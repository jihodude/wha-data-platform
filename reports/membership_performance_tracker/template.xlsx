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2" autoFilterDateGrouping="1"/>
  </bookViews>
  <sheets>
    <sheet xmlns:r="http://schemas.openxmlformats.org/officeDocument/2006/relationships" name="Summary Dashboard" sheetId="1" state="visible" r:id="rId1"/>
    <sheet xmlns:r="http://schemas.openxmlformats.org/officeDocument/2006/relationships" name="TM - Snohomish" sheetId="2" state="visible" r:id="rId2"/>
    <sheet xmlns:r="http://schemas.openxmlformats.org/officeDocument/2006/relationships" name="TM - E KING" sheetId="3" state="visible" r:id="rId3"/>
    <sheet xmlns:r="http://schemas.openxmlformats.org/officeDocument/2006/relationships" name="TM - SouthKing" sheetId="4" state="visible" r:id="rId4"/>
    <sheet xmlns:r="http://schemas.openxmlformats.org/officeDocument/2006/relationships" name="TM - NorthKing" sheetId="5" state="visible" r:id="rId5"/>
    <sheet xmlns:r="http://schemas.openxmlformats.org/officeDocument/2006/relationships" name="TM - Pierce" sheetId="6" state="visible" r:id="rId6"/>
    <sheet xmlns:r="http://schemas.openxmlformats.org/officeDocument/2006/relationships" name="TM - Spokane-NE" sheetId="7" state="visible" r:id="rId7"/>
    <sheet xmlns:r="http://schemas.openxmlformats.org/officeDocument/2006/relationships" name="TM - Southwest" sheetId="8" state="visible" r:id="rId8"/>
    <sheet xmlns:r="http://schemas.openxmlformats.org/officeDocument/2006/relationships" name="TM - TKP" sheetId="9" state="visible" r:id="rId9"/>
    <sheet xmlns:r="http://schemas.openxmlformats.org/officeDocument/2006/relationships" name="TM - Southeast" sheetId="10" state="visible" r:id="rId10"/>
    <sheet xmlns:r="http://schemas.openxmlformats.org/officeDocument/2006/relationships" name="TM - NorthCentral" sheetId="11" state="visible" r:id="rId11"/>
    <sheet xmlns:r="http://schemas.openxmlformats.org/officeDocument/2006/relationships" name="TM - Majors-NRA" sheetId="12" state="visible" r:id="rId12"/>
    <sheet xmlns:r="http://schemas.openxmlformats.org/officeDocument/2006/relationships" name="Ref - Metrics" sheetId="13" state="visible" r:id="rId13"/>
    <sheet xmlns:r="http://schemas.openxmlformats.org/officeDocument/2006/relationships" name="Data - Monthly Metrics" sheetId="14" state="hidden" r:id="rId14"/>
    <sheet xmlns:r="http://schemas.openxmlformats.org/officeDocument/2006/relationships" name="Data - Drops"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quot;($&quot;#,##0\);\$0"/>
    <numFmt numFmtId="165" formatCode="0.0%;\(0.0%\);0.0%"/>
    <numFmt numFmtId="166" formatCode="#,##0;\(#,##0\);0"/>
    <numFmt numFmtId="167" formatCode="0.0%"/>
    <numFmt numFmtId="168" formatCode="_(\$* #,##0_);_(\$* \(#,##0\);_(\$* \-??_);_(@_)"/>
    <numFmt numFmtId="169" formatCode="_(* #,##0_);_(* \(#,##0\);_(* \-??_);_(@_)"/>
    <numFmt numFmtId="170" formatCode="yyyy\-mm\-dd"/>
  </numFmts>
  <fonts count="19">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6"/>
    </font>
    <font>
      <name val="Arial"/>
      <charset val="1"/>
      <family val="2"/>
      <i val="1"/>
      <color rgb="FF595959"/>
      <sz val="9"/>
    </font>
    <font>
      <name val="Arial"/>
      <charset val="1"/>
      <family val="2"/>
      <b val="1"/>
      <sz val="9"/>
    </font>
    <font>
      <name val="Arial"/>
      <charset val="1"/>
      <family val="2"/>
      <b val="1"/>
      <color rgb="FF0000FF"/>
      <sz val="11"/>
    </font>
    <font>
      <name val="Arial"/>
      <charset val="1"/>
      <family val="2"/>
      <b val="1"/>
      <color rgb="FFFFFFFF"/>
      <sz val="11"/>
    </font>
    <font>
      <name val="Arial"/>
      <charset val="1"/>
      <family val="2"/>
      <b val="1"/>
      <color rgb="FFFFFFFF"/>
      <sz val="9"/>
    </font>
    <font>
      <name val="Arial"/>
      <charset val="1"/>
      <family val="2"/>
      <sz val="9"/>
    </font>
    <font>
      <name val="Arial"/>
      <charset val="1"/>
      <family val="2"/>
      <b val="1"/>
      <color rgb="FFFFFFFF"/>
      <sz val="13"/>
    </font>
    <font>
      <name val="Arial"/>
      <charset val="1"/>
      <family val="2"/>
      <b val="1"/>
      <color rgb="FFC00000"/>
      <sz val="9"/>
    </font>
    <font>
      <name val="Arial"/>
      <charset val="1"/>
      <family val="2"/>
      <color rgb="FFFF0000"/>
      <sz val="9"/>
    </font>
    <font>
      <name val="Arial"/>
      <charset val="1"/>
      <family val="2"/>
      <color theme="6" tint="-0.5"/>
      <sz val="9"/>
    </font>
    <font>
      <name val="Arial"/>
      <charset val="1"/>
      <family val="2"/>
      <b val="1"/>
      <sz val="6"/>
    </font>
    <font>
      <name val="Calibri"/>
      <charset val="1"/>
      <family val="2"/>
      <b val="1"/>
      <color theme="1"/>
      <sz val="6"/>
    </font>
    <font>
      <name val="Arial"/>
      <charset val="1"/>
      <family val="2"/>
      <b val="1"/>
      <color rgb="FF0000FF"/>
      <sz val="9"/>
    </font>
    <font>
      <name val="Arial"/>
      <charset val="1"/>
      <family val="2"/>
      <color rgb="FFFFFFFF"/>
      <sz val="9"/>
    </font>
  </fonts>
  <fills count="14">
    <fill>
      <patternFill/>
    </fill>
    <fill>
      <patternFill patternType="gray125"/>
    </fill>
    <fill>
      <patternFill patternType="solid">
        <fgColor rgb="FF0D2137"/>
        <bgColor rgb="FF1F3864"/>
      </patternFill>
    </fill>
    <fill>
      <patternFill patternType="solid">
        <fgColor rgb="FFFFFF00"/>
        <bgColor rgb="FFFFFF00"/>
      </patternFill>
    </fill>
    <fill>
      <patternFill patternType="solid">
        <fgColor rgb="FF2E75B6"/>
        <bgColor rgb="FF0066CC"/>
      </patternFill>
    </fill>
    <fill>
      <patternFill patternType="solid">
        <fgColor rgb="FF1F3864"/>
        <bgColor rgb="FF0D2137"/>
      </patternFill>
    </fill>
    <fill>
      <patternFill patternType="solid">
        <fgColor rgb="FFF5F5F5"/>
        <bgColor rgb="FFE8F5E9"/>
      </patternFill>
    </fill>
    <fill>
      <patternFill patternType="solid">
        <fgColor rgb="FFFFFFFF"/>
        <bgColor rgb="FFF5F5F5"/>
      </patternFill>
    </fill>
    <fill>
      <patternFill patternType="solid">
        <fgColor rgb="FFD6E4F0"/>
        <bgColor rgb="FFE8F5E9"/>
      </patternFill>
    </fill>
    <fill>
      <patternFill patternType="solid">
        <fgColor rgb="FF7030A0"/>
        <bgColor rgb="FF800080"/>
      </patternFill>
    </fill>
    <fill>
      <patternFill patternType="solid">
        <fgColor theme="2" tint="-0.75"/>
        <bgColor rgb="FF4F6228"/>
      </patternFill>
    </fill>
    <fill>
      <patternFill patternType="solid">
        <fgColor rgb="FF006100"/>
        <bgColor rgb="FF1B5E20"/>
      </patternFill>
    </fill>
    <fill>
      <patternFill patternType="solid">
        <fgColor rgb="FF9C5700"/>
        <bgColor rgb="FF7F5F00"/>
      </patternFill>
    </fill>
    <fill>
      <patternFill patternType="solid">
        <fgColor theme="2" tint="-0.5"/>
        <bgColor rgb="FF969696"/>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0" borderId="0" applyAlignment="1" pivotButton="0" quotePrefix="0" xfId="0">
      <alignment horizontal="general" vertical="bottom"/>
    </xf>
    <xf numFmtId="0" fontId="6" fillId="0" borderId="0" applyAlignment="1" pivotButton="0" quotePrefix="0" xfId="0">
      <alignment horizontal="right" vertical="center"/>
    </xf>
    <xf numFmtId="0" fontId="7" fillId="3" borderId="1" applyAlignment="1" pivotButton="0" quotePrefix="0" xfId="0">
      <alignment horizontal="center" vertical="center" wrapText="1"/>
    </xf>
    <xf numFmtId="0" fontId="8" fillId="4" borderId="0" applyAlignment="1" pivotButton="0" quotePrefix="0" xfId="0">
      <alignment horizontal="left" vertical="center" wrapText="1"/>
    </xf>
    <xf numFmtId="0" fontId="9"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10" fillId="6" borderId="1" applyAlignment="1" pivotButton="0" quotePrefix="0" xfId="0">
      <alignment horizontal="left" vertical="center" wrapText="1"/>
    </xf>
    <xf numFmtId="164" fontId="10" fillId="6" borderId="1" applyAlignment="1" pivotButton="0" quotePrefix="0" xfId="0">
      <alignment horizontal="right" vertical="center"/>
    </xf>
    <xf numFmtId="165" fontId="10" fillId="6" borderId="1" applyAlignment="1" pivotButton="0" quotePrefix="0" xfId="0">
      <alignment horizontal="right" vertical="center"/>
    </xf>
    <xf numFmtId="166" fontId="10" fillId="6" borderId="1" applyAlignment="1" pivotButton="0" quotePrefix="0" xfId="0">
      <alignment horizontal="right" vertical="center"/>
    </xf>
    <xf numFmtId="0" fontId="6" fillId="7" borderId="1" applyAlignment="1" pivotButton="0" quotePrefix="0" xfId="0">
      <alignment horizontal="left" vertical="center" wrapText="1"/>
    </xf>
    <xf numFmtId="0" fontId="10" fillId="7" borderId="1" applyAlignment="1" pivotButton="0" quotePrefix="0" xfId="0">
      <alignment horizontal="left" vertical="center" wrapText="1"/>
    </xf>
    <xf numFmtId="164" fontId="10" fillId="7" borderId="1" applyAlignment="1" pivotButton="0" quotePrefix="0" xfId="0">
      <alignment horizontal="right" vertical="center"/>
    </xf>
    <xf numFmtId="165" fontId="10" fillId="7" borderId="1" applyAlignment="1" pivotButton="0" quotePrefix="0" xfId="0">
      <alignment horizontal="right" vertical="center"/>
    </xf>
    <xf numFmtId="166" fontId="10" fillId="7" borderId="1" applyAlignment="1" pivotButton="0" quotePrefix="0" xfId="0">
      <alignment horizontal="right" vertical="center"/>
    </xf>
    <xf numFmtId="0" fontId="6" fillId="8" borderId="0" applyAlignment="1" pivotButton="0" quotePrefix="0" xfId="0">
      <alignment horizontal="general" vertical="bottom"/>
    </xf>
    <xf numFmtId="0" fontId="0" fillId="8" borderId="0" applyAlignment="1" pivotButton="0" quotePrefix="0" xfId="0">
      <alignment horizontal="general" vertical="bottom"/>
    </xf>
    <xf numFmtId="164" fontId="6" fillId="8" borderId="1" applyAlignment="1" pivotButton="0" quotePrefix="0" xfId="0">
      <alignment horizontal="right" vertical="center"/>
    </xf>
    <xf numFmtId="165" fontId="6" fillId="8" borderId="1" applyAlignment="1" pivotButton="0" quotePrefix="0" xfId="0">
      <alignment horizontal="right" vertical="center"/>
    </xf>
    <xf numFmtId="166" fontId="6" fillId="8" borderId="1" applyAlignment="1" pivotButton="0" quotePrefix="0" xfId="0">
      <alignment horizontal="right" vertical="center"/>
    </xf>
    <xf numFmtId="0" fontId="11" fillId="9" borderId="0" applyAlignment="1" pivotButton="0" quotePrefix="0" xfId="0">
      <alignment horizontal="center" vertical="center"/>
    </xf>
    <xf numFmtId="0" fontId="8" fillId="0" borderId="0" applyAlignment="1" pivotButton="0" quotePrefix="0" xfId="0">
      <alignment horizontal="left" vertical="center" wrapText="1"/>
    </xf>
    <xf numFmtId="0" fontId="9" fillId="10" borderId="1" applyAlignment="1" pivotButton="0" quotePrefix="0" xfId="0">
      <alignment horizontal="center" vertical="center" wrapText="1"/>
    </xf>
    <xf numFmtId="167" fontId="10" fillId="6" borderId="1" applyAlignment="1" pivotButton="0" quotePrefix="0" xfId="0">
      <alignment horizontal="right" vertical="center"/>
    </xf>
    <xf numFmtId="167" fontId="6" fillId="8" borderId="1" applyAlignment="1" pivotButton="0" quotePrefix="0" xfId="0">
      <alignment horizontal="right" vertical="center"/>
    </xf>
    <xf numFmtId="0" fontId="6" fillId="0" borderId="0" applyAlignment="1" pivotButton="0" quotePrefix="0" xfId="0">
      <alignment horizontal="general" vertical="bottom"/>
    </xf>
    <xf numFmtId="164" fontId="10" fillId="6" borderId="0" applyAlignment="1" pivotButton="0" quotePrefix="0" xfId="0">
      <alignment horizontal="general" vertical="bottom"/>
    </xf>
    <xf numFmtId="164" fontId="6" fillId="8" borderId="0" applyAlignment="1" pivotButton="0" quotePrefix="0" xfId="0">
      <alignment horizontal="general" vertical="bottom"/>
    </xf>
    <xf numFmtId="164" fontId="10" fillId="7" borderId="0" applyAlignment="1" pivotButton="0" quotePrefix="0" xfId="0">
      <alignment horizontal="general" vertical="bottom"/>
    </xf>
    <xf numFmtId="166" fontId="10" fillId="7" borderId="0" applyAlignment="1" pivotButton="0" quotePrefix="0" xfId="0">
      <alignment horizontal="general" vertical="bottom"/>
    </xf>
    <xf numFmtId="166" fontId="6" fillId="8" borderId="0" applyAlignment="1" pivotButton="0" quotePrefix="0" xfId="0">
      <alignment horizontal="general" vertical="bottom"/>
    </xf>
    <xf numFmtId="165" fontId="10" fillId="6" borderId="0" applyAlignment="1" pivotButton="0" quotePrefix="0" xfId="0">
      <alignment horizontal="general" vertical="bottom"/>
    </xf>
    <xf numFmtId="165" fontId="6" fillId="8" borderId="0" applyAlignment="1" pivotButton="0" quotePrefix="0" xfId="0">
      <alignment horizontal="general" vertical="bottom"/>
    </xf>
    <xf numFmtId="165" fontId="0" fillId="0" borderId="0" applyAlignment="1" pivotButton="0" quotePrefix="0" xfId="0">
      <alignment horizontal="general" vertical="bottom"/>
    </xf>
    <xf numFmtId="165" fontId="10" fillId="7" borderId="0" applyAlignment="1" pivotButton="0" quotePrefix="0" xfId="0">
      <alignment horizontal="general" vertical="bottom"/>
    </xf>
    <xf numFmtId="0" fontId="11" fillId="11" borderId="0" applyAlignment="1" pivotButton="0" quotePrefix="0" xfId="0">
      <alignment horizontal="center" vertical="center"/>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166" fontId="6" fillId="6" borderId="1" applyAlignment="1" pivotButton="0" quotePrefix="0" xfId="0">
      <alignment horizontal="right" vertical="center"/>
    </xf>
    <xf numFmtId="166" fontId="12" fillId="7" borderId="1" applyAlignment="1" pivotButton="0" quotePrefix="0" xfId="0">
      <alignment horizontal="right" vertical="center"/>
    </xf>
    <xf numFmtId="166" fontId="12" fillId="8" borderId="1" applyAlignment="1" pivotButton="0" quotePrefix="0" xfId="0">
      <alignment horizontal="right" vertical="center"/>
    </xf>
    <xf numFmtId="0" fontId="6" fillId="6" borderId="0" applyAlignment="1" pivotButton="0" quotePrefix="0" xfId="0">
      <alignment horizontal="left" vertical="center" wrapText="1"/>
    </xf>
    <xf numFmtId="0" fontId="9" fillId="0" borderId="1" applyAlignment="1" pivotButton="0" quotePrefix="0" xfId="0">
      <alignment horizontal="center" vertical="center" wrapText="1"/>
    </xf>
    <xf numFmtId="0" fontId="6" fillId="0" borderId="1" applyAlignment="1" pivotButton="0" quotePrefix="0" xfId="0">
      <alignment horizontal="left" vertical="center" wrapText="1"/>
    </xf>
    <xf numFmtId="166" fontId="10" fillId="0" borderId="1" applyAlignment="1" pivotButton="0" quotePrefix="0" xfId="0">
      <alignment horizontal="right" vertical="center"/>
    </xf>
    <xf numFmtId="166" fontId="6" fillId="0" borderId="1" applyAlignment="1" pivotButton="0" quotePrefix="0" xfId="0">
      <alignment horizontal="right" vertical="center"/>
    </xf>
    <xf numFmtId="165" fontId="13" fillId="6" borderId="1" applyAlignment="1" pivotButton="0" quotePrefix="0" xfId="0">
      <alignment horizontal="right" vertical="center"/>
    </xf>
    <xf numFmtId="0" fontId="12" fillId="8" borderId="1" applyAlignment="1" pivotButton="0" quotePrefix="0" xfId="0">
      <alignment horizontal="center" vertical="center" wrapText="1"/>
    </xf>
    <xf numFmtId="165" fontId="10" fillId="0" borderId="1" applyAlignment="1" pivotButton="0" quotePrefix="0" xfId="0">
      <alignment horizontal="right" vertical="center"/>
    </xf>
    <xf numFmtId="165" fontId="6" fillId="0" borderId="1" applyAlignment="1" pivotButton="0" quotePrefix="0" xfId="0">
      <alignment horizontal="right" vertical="center"/>
    </xf>
    <xf numFmtId="164" fontId="13" fillId="0" borderId="1" applyAlignment="1" pivotButton="0" quotePrefix="0" xfId="0">
      <alignment horizontal="right" vertical="center"/>
    </xf>
    <xf numFmtId="164" fontId="14" fillId="0" borderId="1" applyAlignment="1" pivotButton="0" quotePrefix="0" xfId="0">
      <alignment horizontal="right" vertical="center"/>
    </xf>
    <xf numFmtId="168" fontId="6" fillId="0" borderId="1" applyAlignment="1" pivotButton="0" quotePrefix="0" xfId="0">
      <alignment horizontal="right" vertical="center"/>
    </xf>
    <xf numFmtId="164" fontId="13" fillId="7" borderId="1" applyAlignment="1" pivotButton="0" quotePrefix="0" xfId="0">
      <alignment horizontal="right" vertical="center"/>
    </xf>
    <xf numFmtId="166" fontId="15" fillId="0" borderId="1" applyAlignment="1" pivotButton="0" quotePrefix="0" xfId="0">
      <alignment horizontal="center" vertical="center"/>
    </xf>
    <xf numFmtId="0" fontId="16" fillId="0" borderId="0" applyAlignment="1" pivotButton="0" quotePrefix="0" xfId="0">
      <alignment horizontal="center" vertical="bottom"/>
    </xf>
    <xf numFmtId="0" fontId="6" fillId="0"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0" borderId="1" applyAlignment="1" pivotButton="0" quotePrefix="0" xfId="0">
      <alignment horizontal="general" vertical="bottom"/>
    </xf>
    <xf numFmtId="167" fontId="17" fillId="0" borderId="1" applyAlignment="1" pivotButton="0" quotePrefix="0" xfId="0">
      <alignment horizontal="right" vertical="center"/>
    </xf>
    <xf numFmtId="169" fontId="17" fillId="0" borderId="1" applyAlignment="1" pivotButton="0" quotePrefix="0" xfId="0">
      <alignment horizontal="right" vertical="center"/>
    </xf>
    <xf numFmtId="1" fontId="6" fillId="0" borderId="1" applyAlignment="1" pivotButton="0" quotePrefix="0" xfId="0">
      <alignment horizontal="general" vertical="center" wrapText="1"/>
    </xf>
    <xf numFmtId="0" fontId="11" fillId="12" borderId="0" applyAlignment="1" pivotButton="0" quotePrefix="0" xfId="0">
      <alignment horizontal="center" vertical="center"/>
    </xf>
    <xf numFmtId="0" fontId="8" fillId="13" borderId="0" applyAlignment="1" pivotButton="0" quotePrefix="0" xfId="0">
      <alignment horizontal="left" vertical="center" wrapText="1"/>
    </xf>
    <xf numFmtId="0" fontId="18" fillId="10" borderId="1" applyAlignment="1" pivotButton="0" quotePrefix="0" xfId="0">
      <alignment horizontal="center" vertical="center" wrapText="1"/>
    </xf>
    <xf numFmtId="0" fontId="9" fillId="5" borderId="0" applyAlignment="1" pivotButton="0" quotePrefix="0" xfId="0">
      <alignment horizontal="center" vertical="center" wrapText="1"/>
    </xf>
    <xf numFmtId="0" fontId="6" fillId="7" borderId="0" applyAlignment="1" pivotButton="0" quotePrefix="0" xfId="0">
      <alignment horizontal="left" vertical="center" wrapText="1"/>
    </xf>
    <xf numFmtId="0" fontId="6" fillId="6" borderId="1" applyAlignment="1" pivotButton="0" quotePrefix="0" xfId="0">
      <alignment horizontal="general" vertical="bottom"/>
    </xf>
    <xf numFmtId="167" fontId="17" fillId="6" borderId="1" applyAlignment="1" pivotButton="0" quotePrefix="0" xfId="0">
      <alignment horizontal="right" vertical="center"/>
    </xf>
    <xf numFmtId="167" fontId="17" fillId="8" borderId="1" applyAlignment="1" pivotButton="0" quotePrefix="0" xfId="0">
      <alignment horizontal="right" vertical="center"/>
    </xf>
    <xf numFmtId="0" fontId="10" fillId="6" borderId="1" applyAlignment="1" pivotButton="0" quotePrefix="0" xfId="0">
      <alignment horizontal="general" vertical="bottom"/>
    </xf>
    <xf numFmtId="1" fontId="10" fillId="6" borderId="1" applyAlignment="1" pivotButton="0" quotePrefix="0" xfId="0">
      <alignment horizontal="general" vertical="bottom"/>
    </xf>
    <xf numFmtId="164" fontId="10" fillId="6" borderId="1" applyAlignment="1" pivotButton="0" quotePrefix="0" xfId="0">
      <alignment horizontal="general" vertical="bottom"/>
    </xf>
    <xf numFmtId="170" fontId="10" fillId="6" borderId="1" applyAlignment="1" pivotButton="0" quotePrefix="0" xfId="0">
      <alignment horizontal="general" vertical="bottom"/>
    </xf>
    <xf numFmtId="0" fontId="10" fillId="7" borderId="1" applyAlignment="1" pivotButton="0" quotePrefix="0" xfId="0">
      <alignment horizontal="general" vertical="bottom"/>
    </xf>
    <xf numFmtId="1" fontId="10" fillId="7" borderId="1" applyAlignment="1" pivotButton="0" quotePrefix="0" xfId="0">
      <alignment horizontal="general" vertical="bottom"/>
    </xf>
    <xf numFmtId="164" fontId="10" fillId="7" borderId="1" applyAlignment="1" pivotButton="0" quotePrefix="0" xfId="0">
      <alignment horizontal="general" vertical="bottom"/>
    </xf>
    <xf numFmtId="170" fontId="10" fillId="7"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0" borderId="0" applyAlignment="1" pivotButton="0" quotePrefix="0" xfId="0">
      <alignment horizontal="general" vertical="bottom"/>
    </xf>
    <xf numFmtId="0" fontId="6" fillId="0" borderId="0" applyAlignment="1" pivotButton="0" quotePrefix="0" xfId="0">
      <alignment horizontal="right" vertical="center"/>
    </xf>
    <xf numFmtId="0" fontId="7" fillId="3" borderId="1" applyAlignment="1" pivotButton="0" quotePrefix="0" xfId="0">
      <alignment horizontal="center" vertical="center" wrapText="1"/>
    </xf>
    <xf numFmtId="0" fontId="8" fillId="4" borderId="0" applyAlignment="1" pivotButton="0" quotePrefix="0" xfId="0">
      <alignment horizontal="left" vertical="center" wrapText="1"/>
    </xf>
    <xf numFmtId="0" fontId="9"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10" fillId="6" borderId="1" applyAlignment="1" pivotButton="0" quotePrefix="0" xfId="0">
      <alignment horizontal="left" vertical="center" wrapText="1"/>
    </xf>
    <xf numFmtId="164" fontId="10" fillId="6" borderId="1" applyAlignment="1" pivotButton="0" quotePrefix="0" xfId="0">
      <alignment horizontal="right" vertical="center"/>
    </xf>
    <xf numFmtId="165" fontId="10" fillId="6" borderId="1" applyAlignment="1" pivotButton="0" quotePrefix="0" xfId="0">
      <alignment horizontal="right" vertical="center"/>
    </xf>
    <xf numFmtId="166" fontId="10" fillId="6" borderId="1" applyAlignment="1" pivotButton="0" quotePrefix="0" xfId="0">
      <alignment horizontal="right" vertical="center"/>
    </xf>
    <xf numFmtId="0" fontId="6" fillId="7" borderId="1" applyAlignment="1" pivotButton="0" quotePrefix="0" xfId="0">
      <alignment horizontal="left" vertical="center" wrapText="1"/>
    </xf>
    <xf numFmtId="0" fontId="10" fillId="7" borderId="1" applyAlignment="1" pivotButton="0" quotePrefix="0" xfId="0">
      <alignment horizontal="left" vertical="center" wrapText="1"/>
    </xf>
    <xf numFmtId="164" fontId="10" fillId="7" borderId="1" applyAlignment="1" pivotButton="0" quotePrefix="0" xfId="0">
      <alignment horizontal="right" vertical="center"/>
    </xf>
    <xf numFmtId="165" fontId="10" fillId="7" borderId="1" applyAlignment="1" pivotButton="0" quotePrefix="0" xfId="0">
      <alignment horizontal="right" vertical="center"/>
    </xf>
    <xf numFmtId="166" fontId="10" fillId="7" borderId="1" applyAlignment="1" pivotButton="0" quotePrefix="0" xfId="0">
      <alignment horizontal="right" vertical="center"/>
    </xf>
    <xf numFmtId="0" fontId="6" fillId="8" borderId="0" applyAlignment="1" pivotButton="0" quotePrefix="0" xfId="0">
      <alignment horizontal="general" vertical="bottom"/>
    </xf>
    <xf numFmtId="0" fontId="0" fillId="8" borderId="0" applyAlignment="1" pivotButton="0" quotePrefix="0" xfId="0">
      <alignment horizontal="general" vertical="bottom"/>
    </xf>
    <xf numFmtId="164" fontId="6" fillId="8" borderId="1" applyAlignment="1" pivotButton="0" quotePrefix="0" xfId="0">
      <alignment horizontal="right" vertical="center"/>
    </xf>
    <xf numFmtId="165" fontId="6" fillId="8" borderId="1" applyAlignment="1" pivotButton="0" quotePrefix="0" xfId="0">
      <alignment horizontal="right" vertical="center"/>
    </xf>
    <xf numFmtId="166" fontId="6" fillId="8" borderId="1" applyAlignment="1" pivotButton="0" quotePrefix="0" xfId="0">
      <alignment horizontal="right" vertical="center"/>
    </xf>
    <xf numFmtId="0" fontId="11" fillId="9" borderId="0" applyAlignment="1" pivotButton="0" quotePrefix="0" xfId="0">
      <alignment horizontal="center" vertical="center"/>
    </xf>
    <xf numFmtId="0" fontId="8" fillId="0" borderId="0" applyAlignment="1" pivotButton="0" quotePrefix="0" xfId="0">
      <alignment horizontal="left" vertical="center" wrapText="1"/>
    </xf>
    <xf numFmtId="0" fontId="9" fillId="10" borderId="1" applyAlignment="1" pivotButton="0" quotePrefix="0" xfId="0">
      <alignment horizontal="center" vertical="center" wrapText="1"/>
    </xf>
    <xf numFmtId="167" fontId="10" fillId="6" borderId="1" applyAlignment="1" pivotButton="0" quotePrefix="0" xfId="0">
      <alignment horizontal="right" vertical="center"/>
    </xf>
    <xf numFmtId="167" fontId="6" fillId="8" borderId="1" applyAlignment="1" pivotButton="0" quotePrefix="0" xfId="0">
      <alignment horizontal="right" vertical="center"/>
    </xf>
    <xf numFmtId="0" fontId="6" fillId="0" borderId="0" applyAlignment="1" pivotButton="0" quotePrefix="0" xfId="0">
      <alignment horizontal="general" vertical="bottom"/>
    </xf>
    <xf numFmtId="164" fontId="10" fillId="6" borderId="0" applyAlignment="1" pivotButton="0" quotePrefix="0" xfId="0">
      <alignment horizontal="general" vertical="bottom"/>
    </xf>
    <xf numFmtId="164" fontId="6" fillId="8" borderId="0" applyAlignment="1" pivotButton="0" quotePrefix="0" xfId="0">
      <alignment horizontal="general" vertical="bottom"/>
    </xf>
    <xf numFmtId="164" fontId="10" fillId="7" borderId="0" applyAlignment="1" pivotButton="0" quotePrefix="0" xfId="0">
      <alignment horizontal="general" vertical="bottom"/>
    </xf>
    <xf numFmtId="166" fontId="10" fillId="7" borderId="0" applyAlignment="1" pivotButton="0" quotePrefix="0" xfId="0">
      <alignment horizontal="general" vertical="bottom"/>
    </xf>
    <xf numFmtId="166" fontId="6" fillId="8" borderId="0" applyAlignment="1" pivotButton="0" quotePrefix="0" xfId="0">
      <alignment horizontal="general" vertical="bottom"/>
    </xf>
    <xf numFmtId="165" fontId="10" fillId="6" borderId="0" applyAlignment="1" pivotButton="0" quotePrefix="0" xfId="0">
      <alignment horizontal="general" vertical="bottom"/>
    </xf>
    <xf numFmtId="165" fontId="6" fillId="8" borderId="0" applyAlignment="1" pivotButton="0" quotePrefix="0" xfId="0">
      <alignment horizontal="general" vertical="bottom"/>
    </xf>
    <xf numFmtId="165" fontId="0" fillId="0" borderId="0" applyAlignment="1" pivotButton="0" quotePrefix="0" xfId="0">
      <alignment horizontal="general" vertical="bottom"/>
    </xf>
    <xf numFmtId="165" fontId="10" fillId="7" borderId="0" applyAlignment="1" pivotButton="0" quotePrefix="0" xfId="0">
      <alignment horizontal="general" vertical="bottom"/>
    </xf>
    <xf numFmtId="0" fontId="11" fillId="11" borderId="0" applyAlignment="1" pivotButton="0" quotePrefix="0" xfId="0">
      <alignment horizontal="center" vertical="center"/>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166" fontId="6" fillId="6" borderId="1" applyAlignment="1" pivotButton="0" quotePrefix="0" xfId="0">
      <alignment horizontal="right" vertical="center"/>
    </xf>
    <xf numFmtId="166" fontId="12" fillId="7" borderId="1" applyAlignment="1" pivotButton="0" quotePrefix="0" xfId="0">
      <alignment horizontal="right" vertical="center"/>
    </xf>
    <xf numFmtId="166" fontId="12" fillId="8" borderId="1" applyAlignment="1" pivotButton="0" quotePrefix="0" xfId="0">
      <alignment horizontal="right" vertical="center"/>
    </xf>
    <xf numFmtId="0" fontId="6" fillId="6" borderId="0" applyAlignment="1" pivotButton="0" quotePrefix="0" xfId="0">
      <alignment horizontal="left" vertical="center" wrapText="1"/>
    </xf>
    <xf numFmtId="0" fontId="9" fillId="0" borderId="1" applyAlignment="1" pivotButton="0" quotePrefix="0" xfId="0">
      <alignment horizontal="center" vertical="center" wrapText="1"/>
    </xf>
    <xf numFmtId="0" fontId="6" fillId="0" borderId="1" applyAlignment="1" pivotButton="0" quotePrefix="0" xfId="0">
      <alignment horizontal="left" vertical="center" wrapText="1"/>
    </xf>
    <xf numFmtId="166" fontId="10" fillId="0" borderId="1" applyAlignment="1" pivotButton="0" quotePrefix="0" xfId="0">
      <alignment horizontal="right" vertical="center"/>
    </xf>
    <xf numFmtId="166" fontId="6" fillId="0" borderId="1" applyAlignment="1" pivotButton="0" quotePrefix="0" xfId="0">
      <alignment horizontal="right" vertical="center"/>
    </xf>
    <xf numFmtId="165" fontId="13" fillId="6" borderId="1" applyAlignment="1" pivotButton="0" quotePrefix="0" xfId="0">
      <alignment horizontal="right" vertical="center"/>
    </xf>
    <xf numFmtId="0" fontId="12" fillId="8" borderId="1" applyAlignment="1" pivotButton="0" quotePrefix="0" xfId="0">
      <alignment horizontal="center" vertical="center" wrapText="1"/>
    </xf>
    <xf numFmtId="165" fontId="10" fillId="0" borderId="1" applyAlignment="1" pivotButton="0" quotePrefix="0" xfId="0">
      <alignment horizontal="right" vertical="center"/>
    </xf>
    <xf numFmtId="165" fontId="6" fillId="0" borderId="1" applyAlignment="1" pivotButton="0" quotePrefix="0" xfId="0">
      <alignment horizontal="right" vertical="center"/>
    </xf>
    <xf numFmtId="164" fontId="13" fillId="0" borderId="1" applyAlignment="1" pivotButton="0" quotePrefix="0" xfId="0">
      <alignment horizontal="right" vertical="center"/>
    </xf>
    <xf numFmtId="164" fontId="14" fillId="0" borderId="1" applyAlignment="1" pivotButton="0" quotePrefix="0" xfId="0">
      <alignment horizontal="right" vertical="center"/>
    </xf>
    <xf numFmtId="168" fontId="6" fillId="0" borderId="1" applyAlignment="1" pivotButton="0" quotePrefix="0" xfId="0">
      <alignment horizontal="right" vertical="center"/>
    </xf>
    <xf numFmtId="164" fontId="13" fillId="7" borderId="1" applyAlignment="1" pivotButton="0" quotePrefix="0" xfId="0">
      <alignment horizontal="right" vertical="center"/>
    </xf>
    <xf numFmtId="166" fontId="15" fillId="0" borderId="1" applyAlignment="1" pivotButton="0" quotePrefix="0" xfId="0">
      <alignment horizontal="center" vertical="center"/>
    </xf>
    <xf numFmtId="0" fontId="16" fillId="0" borderId="0" applyAlignment="1" pivotButton="0" quotePrefix="0" xfId="0">
      <alignment horizontal="center" vertical="bottom"/>
    </xf>
    <xf numFmtId="0" fontId="6" fillId="0"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0" borderId="1" applyAlignment="1" pivotButton="0" quotePrefix="0" xfId="0">
      <alignment horizontal="general" vertical="bottom"/>
    </xf>
    <xf numFmtId="167" fontId="17" fillId="0" borderId="1" applyAlignment="1" pivotButton="0" quotePrefix="0" xfId="0">
      <alignment horizontal="right" vertical="center"/>
    </xf>
    <xf numFmtId="169" fontId="17" fillId="0" borderId="1" applyAlignment="1" pivotButton="0" quotePrefix="0" xfId="0">
      <alignment horizontal="right" vertical="center"/>
    </xf>
    <xf numFmtId="1" fontId="6" fillId="0" borderId="1" applyAlignment="1" pivotButton="0" quotePrefix="0" xfId="0">
      <alignment horizontal="general" vertical="center" wrapText="1"/>
    </xf>
    <xf numFmtId="0" fontId="11" fillId="12" borderId="0" applyAlignment="1" pivotButton="0" quotePrefix="0" xfId="0">
      <alignment horizontal="center" vertical="center"/>
    </xf>
    <xf numFmtId="0" fontId="8" fillId="13" borderId="0" applyAlignment="1" pivotButton="0" quotePrefix="0" xfId="0">
      <alignment horizontal="left" vertical="center" wrapText="1"/>
    </xf>
    <xf numFmtId="0" fontId="18" fillId="10" borderId="1" applyAlignment="1" pivotButton="0" quotePrefix="0" xfId="0">
      <alignment horizontal="center" vertical="center" wrapText="1"/>
    </xf>
    <xf numFmtId="0" fontId="9" fillId="5" borderId="0" applyAlignment="1" pivotButton="0" quotePrefix="0" xfId="0">
      <alignment horizontal="center" vertical="center" wrapText="1"/>
    </xf>
    <xf numFmtId="0" fontId="6" fillId="7" borderId="0" applyAlignment="1" pivotButton="0" quotePrefix="0" xfId="0">
      <alignment horizontal="left" vertical="center" wrapText="1"/>
    </xf>
    <xf numFmtId="0" fontId="6" fillId="6" borderId="1" applyAlignment="1" pivotButton="0" quotePrefix="0" xfId="0">
      <alignment horizontal="general" vertical="bottom"/>
    </xf>
    <xf numFmtId="167" fontId="17" fillId="6" borderId="1" applyAlignment="1" pivotButton="0" quotePrefix="0" xfId="0">
      <alignment horizontal="right" vertical="center"/>
    </xf>
    <xf numFmtId="167" fontId="17" fillId="8" borderId="1" applyAlignment="1" pivotButton="0" quotePrefix="0" xfId="0">
      <alignment horizontal="right" vertical="center"/>
    </xf>
    <xf numFmtId="0" fontId="10" fillId="6" borderId="1" applyAlignment="1" pivotButton="0" quotePrefix="0" xfId="0">
      <alignment horizontal="general" vertical="bottom"/>
    </xf>
    <xf numFmtId="1" fontId="10" fillId="6" borderId="1" applyAlignment="1" pivotButton="0" quotePrefix="0" xfId="0">
      <alignment horizontal="general" vertical="bottom"/>
    </xf>
    <xf numFmtId="164" fontId="10" fillId="6" borderId="1" applyAlignment="1" pivotButton="0" quotePrefix="0" xfId="0">
      <alignment horizontal="general" vertical="bottom"/>
    </xf>
    <xf numFmtId="170" fontId="10" fillId="6" borderId="1" applyAlignment="1" pivotButton="0" quotePrefix="0" xfId="0">
      <alignment horizontal="general" vertical="bottom"/>
    </xf>
    <xf numFmtId="0" fontId="10" fillId="7" borderId="1" applyAlignment="1" pivotButton="0" quotePrefix="0" xfId="0">
      <alignment horizontal="general" vertical="bottom"/>
    </xf>
    <xf numFmtId="1" fontId="10" fillId="7" borderId="1" applyAlignment="1" pivotButton="0" quotePrefix="0" xfId="0">
      <alignment horizontal="general" vertical="bottom"/>
    </xf>
    <xf numFmtId="164" fontId="10" fillId="7" borderId="1" applyAlignment="1" pivotButton="0" quotePrefix="0" xfId="0">
      <alignment horizontal="general" vertical="bottom"/>
    </xf>
    <xf numFmtId="170" fontId="10" fillId="7" borderId="1" applyAlignment="1" pivotButton="0" quotePrefix="0" xfId="0">
      <alignment horizontal="general" vertical="bottom"/>
    </xf>
    <xf numFmtId="0" fontId="0" fillId="0" borderId="4" pivotButton="0" quotePrefix="0" xfId="0"/>
    <xf numFmtId="0" fontId="0" fillId="0" borderId="5"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1B5E20"/>
        <sz val="9"/>
      </font>
      <fill>
        <patternFill>
          <bgColor rgb="FFE8F5E9"/>
        </patternFill>
      </fill>
    </dxf>
    <dxf>
      <font>
        <name val="Arial"/>
        <charset val="1"/>
        <family val="0"/>
        <b val="1"/>
        <color rgb="FFB71C1C"/>
        <sz val="9"/>
      </font>
      <fill>
        <patternFill>
          <bgColor rgb="FFFFEBEE"/>
        </patternFill>
      </fill>
    </dxf>
    <dxf>
      <font>
        <name val="Arial"/>
        <charset val="1"/>
        <family val="0"/>
        <b val="1"/>
        <color rgb="FF7F5F00"/>
        <sz val="9"/>
      </font>
      <fill>
        <patternFill>
          <bgColor rgb="FFFFF4CC"/>
        </patternFill>
      </fill>
    </dxf>
  </dxfs>
  <colors>
    <indexedColors>
      <rgbColor rgb="FF000000"/>
      <rgbColor rgb="FFFFFFFF"/>
      <rgbColor rgb="FFFF0000"/>
      <rgbColor rgb="FF00FF00"/>
      <rgbColor rgb="FF0000FF"/>
      <rgbColor rgb="FFFFFF00"/>
      <rgbColor rgb="FFFF00FF"/>
      <rgbColor rgb="FF00FFFF"/>
      <rgbColor rgb="FFC00000"/>
      <rgbColor rgb="FF006100"/>
      <rgbColor rgb="FF000080"/>
      <rgbColor rgb="FF7F5F00"/>
      <rgbColor rgb="FF800080"/>
      <rgbColor rgb="FF008080"/>
      <rgbColor rgb="FFBFBFBF"/>
      <rgbColor rgb="FF948A54"/>
      <rgbColor rgb="FF9999FF"/>
      <rgbColor rgb="FF7030A0"/>
      <rgbColor rgb="FFFFF4CC"/>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5F5F5"/>
      <rgbColor rgb="FFCCFFCC"/>
      <rgbColor rgb="FFFFEBEE"/>
      <rgbColor rgb="FF99CCFF"/>
      <rgbColor rgb="FFFF99CC"/>
      <rgbColor rgb="FFCC99FF"/>
      <rgbColor rgb="FFFFCC99"/>
      <rgbColor rgb="FF2E75B6"/>
      <rgbColor rgb="FF33CCCC"/>
      <rgbColor rgb="FF99CC00"/>
      <rgbColor rgb="FFFFC000"/>
      <rgbColor rgb="FFFF9900"/>
      <rgbColor rgb="FFFF6600"/>
      <rgbColor rgb="FF595959"/>
      <rgbColor rgb="FF969696"/>
      <rgbColor rgb="FF1F3864"/>
      <rgbColor rgb="FF00B050"/>
      <rgbColor rgb="FF0D2137"/>
      <rgbColor rgb="FF1B5E20"/>
      <rgbColor rgb="FFB71C1C"/>
      <rgbColor rgb="FF9C5700"/>
      <rgbColor rgb="FF4F6228"/>
      <rgbColor rgb="FF4A452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MPR</author>
  </authors>
  <commentList>
    <comment ref="L19" authorId="0" shapeId="0">
      <text>
        <t>This statewide figure is the AVERAGE of the 11 territory percentages, so a small territory counts as much as a large one.
Revenue Retention and Account Retention on this same row are pooled instead (total retained divided by total up for renewal). Two of the three rates on this row are weighted; this one is not.
Raised 2026-08-14 — which one statewide penetration should be is a definition question for Steven / Jen, not a code fix.</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00B050"/>
    <outlinePr summaryBelow="1" summaryRight="1"/>
    <pageSetUpPr fitToPage="0"/>
  </sheetPr>
  <dimension ref="A1:M33"/>
  <sheetViews>
    <sheetView showFormulas="0" showGridLines="1"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4.25" customHeight="0" zeroHeight="0" outlineLevelRow="0"/>
  <cols>
    <col width="16" customWidth="1" style="81" min="1" max="1"/>
    <col width="14" customWidth="1" style="81" min="2" max="2"/>
    <col width="12" customWidth="1" style="81" min="3" max="6"/>
    <col width="16.5" customWidth="1" style="81" min="7" max="7"/>
    <col width="17.5" customWidth="1" style="81" min="8" max="10"/>
    <col width="16.5" customWidth="1" style="81" min="11" max="11"/>
    <col width="15" customWidth="1" style="81" min="12" max="12"/>
    <col width="16.5" customWidth="1" style="81" min="13" max="13"/>
  </cols>
  <sheetData>
    <row r="1" ht="30" customHeight="1" s="82">
      <c r="A1" s="83" t="inlineStr">
        <is>
          <t>Summary Dashboard — All Territories</t>
        </is>
      </c>
    </row>
    <row r="2" ht="14.25" customHeight="1" s="82">
      <c r="A2" s="84" t="inlineStr">
        <is>
          <t>Live cross-territory comparison. Year and Month selectors below.</t>
        </is>
      </c>
    </row>
    <row r="4" ht="14.25" customHeight="1" s="82">
      <c r="A4" s="85" t="inlineStr">
        <is>
          <t>Year:</t>
        </is>
      </c>
      <c r="B4" s="86" t="n">
        <v>2026</v>
      </c>
      <c r="D4" s="85" t="inlineStr">
        <is>
          <t>Month:</t>
        </is>
      </c>
      <c r="E4" s="86" t="inlineStr">
        <is>
          <t>Apr</t>
        </is>
      </c>
      <c r="G4" s="84" t="inlineStr">
        <is>
          <t>← change Year/Month to update all metrics below</t>
        </is>
      </c>
    </row>
    <row r="6" ht="21.75" customHeight="1" s="82">
      <c r="A6" s="87" t="inlineStr">
        <is>
          <t xml:space="preserve">  ▶   A.  CURRENT MONTH — Goals vs Actual by Territory</t>
        </is>
      </c>
    </row>
    <row r="7" ht="14.25" customHeight="1" s="82">
      <c r="A7" s="88" t="inlineStr">
        <is>
          <t>Territory</t>
        </is>
      </c>
      <c r="B7" s="88" t="n"/>
      <c r="C7" s="88" t="inlineStr">
        <is>
          <t>Rev Goal</t>
        </is>
      </c>
      <c r="D7" s="88" t="inlineStr">
        <is>
          <t>Rev Actual</t>
        </is>
      </c>
      <c r="E7" s="88" t="inlineStr">
        <is>
          <t>% to Goal</t>
        </is>
      </c>
      <c r="F7" s="88" t="inlineStr">
        <is>
          <t>Member Goal</t>
        </is>
      </c>
      <c r="G7" s="88" t="inlineStr">
        <is>
          <t>New Members (T)</t>
        </is>
      </c>
      <c r="H7" s="88" t="inlineStr">
        <is>
          <t>New Members (NT)</t>
        </is>
      </c>
      <c r="I7" s="88" t="inlineStr">
        <is>
          <t>Drops (T)</t>
        </is>
      </c>
      <c r="J7" s="88" t="inlineStr">
        <is>
          <t>Drops (NT)</t>
        </is>
      </c>
      <c r="K7" s="88" t="inlineStr">
        <is>
          <t>Revenue Retention % (T + NT)</t>
        </is>
      </c>
      <c r="L7" s="88" t="inlineStr">
        <is>
          <t>Penetration % (Target)</t>
        </is>
      </c>
      <c r="M7" s="88" t="inlineStr">
        <is>
          <t>Account Retention % (T + NT)</t>
        </is>
      </c>
    </row>
    <row r="8" ht="14.25" customHeight="1" s="82">
      <c r="A8" s="89" t="inlineStr">
        <is>
          <t>East King</t>
        </is>
      </c>
      <c r="B8" s="90" t="n"/>
      <c r="C8" s="91">
        <f>IF(COUNTIFS('Data - Monthly Metrics'!A:A,$B$4,'Data - Monthly Metrics'!B:B,$E$4,'Data - Monthly Metrics'!C:C,"East King",'Data - Monthly Metrics'!D:D,"Goal - New Sales Revenue ($)")=0,"-",SUMIFS('Data - Monthly Metrics'!E:E,'Data - Monthly Metrics'!A:A,$B$4,'Data - Monthly Metrics'!B:B,$E$4,'Data - Monthly Metrics'!C:C,"East King",'Data - Monthly Metrics'!D:D,"Goal - New Sales Revenue ($)"))</f>
        <v/>
      </c>
      <c r="D8" s="91">
        <f>IF(COUNTIFS('Data - Monthly Metrics'!A:A,$B$4,'Data - Monthly Metrics'!B:B,$E$4,'Data - Monthly Metrics'!C:C,"East King",'Data - Monthly Metrics'!D:D,"New Sales Revenue - Target ($)")+SUMIFS('Data - Monthly Metrics'!E:E,'Data - Monthly Metrics'!A:A,$B$4,'Data - Monthly Metrics'!B:B,$E$4,'Data - Monthly Metrics'!C:C,"East King",'Data - Monthly Metrics'!D:D,"New Sales Revenue - Non-Target ($)")=0,"-",SUMIFS('Data - Monthly Metrics'!E:E,'Data - Monthly Metrics'!A:A,$B$4,'Data - Monthly Metrics'!B:B,$E$4,'Data - Monthly Metrics'!C:C,"East King",'Data - Monthly Metrics'!D:D,"New Sales Revenue - Target ($)")+SUMIFS('Data - Monthly Metrics'!E:E,'Data - Monthly Metrics'!A:A,$B$4,'Data - Monthly Metrics'!B:B,$E$4,'Data - Monthly Metrics'!C:C,"East King",'Data - Monthly Metrics'!D:D,"New Sales Revenue - Non-Target ($)"))</f>
        <v/>
      </c>
      <c r="E8" s="92">
        <f>IF(OR(NOT(ISNUMBER(C8)),C8=0),"-",D8/C8)</f>
        <v/>
      </c>
      <c r="F8" s="93">
        <f>IF(COUNTIFS('Data - Monthly Metrics'!A:A,$B$4,'Data - Monthly Metrics'!B:B,$E$4,'Data - Monthly Metrics'!C:C,"East King",'Data - Monthly Metrics'!D:D,"Goal - New Members (#)")=0,"-",SUMIFS('Data - Monthly Metrics'!E:E,'Data - Monthly Metrics'!A:A,$B$4,'Data - Monthly Metrics'!B:B,$E$4,'Data - Monthly Metrics'!C:C,"East King",'Data - Monthly Metrics'!D:D,"Goal - New Members (#)"))</f>
        <v/>
      </c>
      <c r="G8" s="93">
        <f>IF(COUNTIFS('Data - Monthly Metrics'!A:A,$B$4,'Data - Monthly Metrics'!B:B,$E$4,'Data - Monthly Metrics'!C:C,"East King",'Data - Monthly Metrics'!D:D,"New Members - Target (#)")=0,"-",SUMIFS('Data - Monthly Metrics'!E:E,'Data - Monthly Metrics'!A:A,$B$4,'Data - Monthly Metrics'!B:B,$E$4,'Data - Monthly Metrics'!C:C,"East King",'Data - Monthly Metrics'!D:D,"New Members - Target (#)"))</f>
        <v/>
      </c>
      <c r="H8" s="93">
        <f>IF(COUNTIFS('Data - Monthly Metrics'!A:A,$B$4,'Data - Monthly Metrics'!B:B,$E$4,'Data - Monthly Metrics'!C:C,"East King",'Data - Monthly Metrics'!D:D,"New Members - Non-Target (#)")=0,"-",SUMIFS('Data - Monthly Metrics'!E:E,'Data - Monthly Metrics'!A:A,$B$4,'Data - Monthly Metrics'!B:B,$E$4,'Data - Monthly Metrics'!C:C,"East King",'Data - Monthly Metrics'!D:D,"New Members - Non-Target (#)"))</f>
        <v/>
      </c>
      <c r="I8" s="93">
        <f>IF(COUNTIFS('Data - Monthly Metrics'!A:A,$B$4,'Data - Monthly Metrics'!B:B,$E$4,'Data - Monthly Metrics'!C:C,"East King",'Data - Monthly Metrics'!D:D,"Drops - Target (#)")=0,"-",SUMIFS('Data - Monthly Metrics'!E:E,'Data - Monthly Metrics'!A:A,$B$4,'Data - Monthly Metrics'!B:B,$E$4,'Data - Monthly Metrics'!C:C,"East King",'Data - Monthly Metrics'!D:D,"Drops - Target (#)"))</f>
        <v/>
      </c>
      <c r="J8" s="93">
        <f>IF(COUNTIFS('Data - Monthly Metrics'!A:A,$B$4,'Data - Monthly Metrics'!B:B,$E$4,'Data - Monthly Metrics'!C:C,"East King",'Data - Monthly Metrics'!D:D,"Drops - Non-Target (#)")=0,"-",SUMIFS('Data - Monthly Metrics'!E:E,'Data - Monthly Metrics'!A:A,$B$4,'Data - Monthly Metrics'!B:B,$E$4,'Data - Monthly Metrics'!C:C,"East King",'Data - Monthly Metrics'!D:D,"Drops - Non-Target (#)"))</f>
        <v/>
      </c>
      <c r="K8" s="92">
        <f>IFERROR((SUMIFS('Data - Monthly Metrics'!E:E,'Data - Monthly Metrics'!A:A,$B$4,'Data - Monthly Metrics'!B:B,$E$4,'Data - Monthly Metrics'!C:C,"East King",'Data - Monthly Metrics'!D:D,"Revenue Retained - Target ($)")+SUMIFS('Data - Monthly Metrics'!E:E,'Data - Monthly Metrics'!A:A,$B$4,'Data - Monthly Metrics'!B:B,$E$4,'Data - Monthly Metrics'!C:C,"East King",'Data - Monthly Metrics'!D:D,"Revenue Retained - Non-Target ($)"))/(SUMIFS('Data - Monthly Metrics'!E:E,'Data - Monthly Metrics'!A:A,$B$4,'Data - Monthly Metrics'!B:B,$E$4,'Data - Monthly Metrics'!C:C,"East King",'Data - Monthly Metrics'!D:D,"Revenue Up for Renewal - Target ($)")+SUMIFS('Data - Monthly Metrics'!E:E,'Data - Monthly Metrics'!A:A,$B$4,'Data - Monthly Metrics'!B:B,$E$4,'Data - Monthly Metrics'!C:C,"East King",'Data - Monthly Metrics'!D:D,"Revenue Up for Renewal - Non-Target ($)")),"-")</f>
        <v/>
      </c>
      <c r="L8" s="92">
        <f>IF(COUNTIFS('Data - Monthly Metrics'!A:A,$B$4,'Data - Monthly Metrics'!B:B,$E$4,'Data - Monthly Metrics'!C:C,"East King",'Data - Monthly Metrics'!D:D,"Penetration - Combined %")=0,"-",SUMIFS('Data - Monthly Metrics'!E:E,'Data - Monthly Metrics'!A:A,$B$4,'Data - Monthly Metrics'!B:B,$E$4,'Data - Monthly Metrics'!C:C,"East King",'Data - Monthly Metrics'!D:D,"Penetration - Combined %"))</f>
        <v/>
      </c>
      <c r="M8" s="92">
        <f>IFERROR((SUMIFS('Data - Monthly Metrics'!E:E,'Data - Monthly Metrics'!A:A,$B$4,'Data - Monthly Metrics'!B:B,$E$4,'Data - Monthly Metrics'!C:C,"East King",'Data - Monthly Metrics'!D:D,"Members Retained - Target (#)")+SUMIFS('Data - Monthly Metrics'!E:E,'Data - Monthly Metrics'!A:A,$B$4,'Data - Monthly Metrics'!B:B,$E$4,'Data - Monthly Metrics'!C:C,"East King",'Data - Monthly Metrics'!D:D,"Members Retained - Non-Target (#)"))/(SUMIFS('Data - Monthly Metrics'!E:E,'Data - Monthly Metrics'!A:A,$B$4,'Data - Monthly Metrics'!B:B,$E$4,'Data - Monthly Metrics'!C:C,"East King",'Data - Monthly Metrics'!D:D,"Members Up for Renewal - Target (#)")+SUMIFS('Data - Monthly Metrics'!E:E,'Data - Monthly Metrics'!A:A,$B$4,'Data - Monthly Metrics'!B:B,$E$4,'Data - Monthly Metrics'!C:C,"East King",'Data - Monthly Metrics'!D:D,"Members Up for Renewal - Non-Target (#)")),"-")</f>
        <v/>
      </c>
    </row>
    <row r="9" ht="14.25" customHeight="1" s="82">
      <c r="A9" s="94" t="inlineStr">
        <is>
          <t>South King</t>
        </is>
      </c>
      <c r="B9" s="95" t="n"/>
      <c r="C9" s="96">
        <f>IF(COUNTIFS('Data - Monthly Metrics'!A:A,$B$4,'Data - Monthly Metrics'!B:B,$E$4,'Data - Monthly Metrics'!C:C,"South King",'Data - Monthly Metrics'!D:D,"Goal - New Sales Revenue ($)")=0,"-",SUMIFS('Data - Monthly Metrics'!E:E,'Data - Monthly Metrics'!A:A,$B$4,'Data - Monthly Metrics'!B:B,$E$4,'Data - Monthly Metrics'!C:C,"South King",'Data - Monthly Metrics'!D:D,"Goal - New Sales Revenue ($)"))</f>
        <v/>
      </c>
      <c r="D9" s="96">
        <f>IF(COUNTIFS('Data - Monthly Metrics'!A:A,$B$4,'Data - Monthly Metrics'!B:B,$E$4,'Data - Monthly Metrics'!C:C,"South King",'Data - Monthly Metrics'!D:D,"New Sales Revenue - Target ($)")+SUMIFS('Data - Monthly Metrics'!E:E,'Data - Monthly Metrics'!A:A,$B$4,'Data - Monthly Metrics'!B:B,$E$4,'Data - Monthly Metrics'!C:C,"South King",'Data - Monthly Metrics'!D:D,"New Sales Revenue - Non-Target ($)")=0,"-",SUMIFS('Data - Monthly Metrics'!E:E,'Data - Monthly Metrics'!A:A,$B$4,'Data - Monthly Metrics'!B:B,$E$4,'Data - Monthly Metrics'!C:C,"South King",'Data - Monthly Metrics'!D:D,"New Sales Revenue - Target ($)")+SUMIFS('Data - Monthly Metrics'!E:E,'Data - Monthly Metrics'!A:A,$B$4,'Data - Monthly Metrics'!B:B,$E$4,'Data - Monthly Metrics'!C:C,"South King",'Data - Monthly Metrics'!D:D,"New Sales Revenue - Non-Target ($)"))</f>
        <v/>
      </c>
      <c r="E9" s="97">
        <f>IF(OR(NOT(ISNUMBER(C9)),C9=0),"-",D9/C9)</f>
        <v/>
      </c>
      <c r="F9" s="98">
        <f>IF(COUNTIFS('Data - Monthly Metrics'!A:A,$B$4,'Data - Monthly Metrics'!B:B,$E$4,'Data - Monthly Metrics'!C:C,"South King",'Data - Monthly Metrics'!D:D,"Goal - New Members (#)")=0,"-",SUMIFS('Data - Monthly Metrics'!E:E,'Data - Monthly Metrics'!A:A,$B$4,'Data - Monthly Metrics'!B:B,$E$4,'Data - Monthly Metrics'!C:C,"South King",'Data - Monthly Metrics'!D:D,"Goal - New Members (#)"))</f>
        <v/>
      </c>
      <c r="G9" s="98">
        <f>IF(COUNTIFS('Data - Monthly Metrics'!A:A,$B$4,'Data - Monthly Metrics'!B:B,$E$4,'Data - Monthly Metrics'!C:C,"South King",'Data - Monthly Metrics'!D:D,"New Members - Target (#)")=0,"-",SUMIFS('Data - Monthly Metrics'!E:E,'Data - Monthly Metrics'!A:A,$B$4,'Data - Monthly Metrics'!B:B,$E$4,'Data - Monthly Metrics'!C:C,"South King",'Data - Monthly Metrics'!D:D,"New Members - Target (#)"))</f>
        <v/>
      </c>
      <c r="H9" s="98">
        <f>IF(COUNTIFS('Data - Monthly Metrics'!A:A,$B$4,'Data - Monthly Metrics'!B:B,$E$4,'Data - Monthly Metrics'!C:C,"South King",'Data - Monthly Metrics'!D:D,"New Members - Non-Target (#)")=0,"-",SUMIFS('Data - Monthly Metrics'!E:E,'Data - Monthly Metrics'!A:A,$B$4,'Data - Monthly Metrics'!B:B,$E$4,'Data - Monthly Metrics'!C:C,"South King",'Data - Monthly Metrics'!D:D,"New Members - Non-Target (#)"))</f>
        <v/>
      </c>
      <c r="I9" s="98">
        <f>IF(COUNTIFS('Data - Monthly Metrics'!A:A,$B$4,'Data - Monthly Metrics'!B:B,$E$4,'Data - Monthly Metrics'!C:C,"South King",'Data - Monthly Metrics'!D:D,"Drops - Target (#)")=0,"-",SUMIFS('Data - Monthly Metrics'!E:E,'Data - Monthly Metrics'!A:A,$B$4,'Data - Monthly Metrics'!B:B,$E$4,'Data - Monthly Metrics'!C:C,"South King",'Data - Monthly Metrics'!D:D,"Drops - Target (#)"))</f>
        <v/>
      </c>
      <c r="J9" s="98">
        <f>IF(COUNTIFS('Data - Monthly Metrics'!A:A,$B$4,'Data - Monthly Metrics'!B:B,$E$4,'Data - Monthly Metrics'!C:C,"South King",'Data - Monthly Metrics'!D:D,"Drops - Non-Target (#)")=0,"-",SUMIFS('Data - Monthly Metrics'!E:E,'Data - Monthly Metrics'!A:A,$B$4,'Data - Monthly Metrics'!B:B,$E$4,'Data - Monthly Metrics'!C:C,"South King",'Data - Monthly Metrics'!D:D,"Drops - Non-Target (#)"))</f>
        <v/>
      </c>
      <c r="K9" s="97">
        <f>IFERROR((SUMIFS('Data - Monthly Metrics'!E:E,'Data - Monthly Metrics'!A:A,$B$4,'Data - Monthly Metrics'!B:B,$E$4,'Data - Monthly Metrics'!C:C,"South King",'Data - Monthly Metrics'!D:D,"Revenue Retained - Target ($)")+SUMIFS('Data - Monthly Metrics'!E:E,'Data - Monthly Metrics'!A:A,$B$4,'Data - Monthly Metrics'!B:B,$E$4,'Data - Monthly Metrics'!C:C,"South King",'Data - Monthly Metrics'!D:D,"Revenue Retained - Non-Target ($)"))/(SUMIFS('Data - Monthly Metrics'!E:E,'Data - Monthly Metrics'!A:A,$B$4,'Data - Monthly Metrics'!B:B,$E$4,'Data - Monthly Metrics'!C:C,"South King",'Data - Monthly Metrics'!D:D,"Revenue Up for Renewal - Target ($)")+SUMIFS('Data - Monthly Metrics'!E:E,'Data - Monthly Metrics'!A:A,$B$4,'Data - Monthly Metrics'!B:B,$E$4,'Data - Monthly Metrics'!C:C,"South King",'Data - Monthly Metrics'!D:D,"Revenue Up for Renewal - Non-Target ($)")),"-")</f>
        <v/>
      </c>
      <c r="L9" s="97">
        <f>IF(COUNTIFS('Data - Monthly Metrics'!A:A,$B$4,'Data - Monthly Metrics'!B:B,$E$4,'Data - Monthly Metrics'!C:C,"South King",'Data - Monthly Metrics'!D:D,"Penetration - Combined %")=0,"-",SUMIFS('Data - Monthly Metrics'!E:E,'Data - Monthly Metrics'!A:A,$B$4,'Data - Monthly Metrics'!B:B,$E$4,'Data - Monthly Metrics'!C:C,"South King",'Data - Monthly Metrics'!D:D,"Penetration - Combined %"))</f>
        <v/>
      </c>
      <c r="M9" s="97">
        <f>IFERROR((SUMIFS('Data - Monthly Metrics'!E:E,'Data - Monthly Metrics'!A:A,$B$4,'Data - Monthly Metrics'!B:B,$E$4,'Data - Monthly Metrics'!C:C,"South King",'Data - Monthly Metrics'!D:D,"Members Retained - Target (#)")+SUMIFS('Data - Monthly Metrics'!E:E,'Data - Monthly Metrics'!A:A,$B$4,'Data - Monthly Metrics'!B:B,$E$4,'Data - Monthly Metrics'!C:C,"South King",'Data - Monthly Metrics'!D:D,"Members Retained - Non-Target (#)"))/(SUMIFS('Data - Monthly Metrics'!E:E,'Data - Monthly Metrics'!A:A,$B$4,'Data - Monthly Metrics'!B:B,$E$4,'Data - Monthly Metrics'!C:C,"South King",'Data - Monthly Metrics'!D:D,"Members Up for Renewal - Target (#)")+SUMIFS('Data - Monthly Metrics'!E:E,'Data - Monthly Metrics'!A:A,$B$4,'Data - Monthly Metrics'!B:B,$E$4,'Data - Monthly Metrics'!C:C,"South King",'Data - Monthly Metrics'!D:D,"Members Up for Renewal - Non-Target (#)")),"-")</f>
        <v/>
      </c>
    </row>
    <row r="10" ht="14.25" customHeight="1" s="82">
      <c r="A10" s="89" t="inlineStr">
        <is>
          <t>North King</t>
        </is>
      </c>
      <c r="B10" s="90" t="n"/>
      <c r="C10" s="91">
        <f>IF(COUNTIFS('Data - Monthly Metrics'!A:A,$B$4,'Data - Monthly Metrics'!B:B,$E$4,'Data - Monthly Metrics'!C:C,"North King",'Data - Monthly Metrics'!D:D,"Goal - New Sales Revenue ($)")=0,"-",SUMIFS('Data - Monthly Metrics'!E:E,'Data - Monthly Metrics'!A:A,$B$4,'Data - Monthly Metrics'!B:B,$E$4,'Data - Monthly Metrics'!C:C,"North King",'Data - Monthly Metrics'!D:D,"Goal - New Sales Revenue ($)"))</f>
        <v/>
      </c>
      <c r="D10" s="91">
        <f>IF(COUNTIFS('Data - Monthly Metrics'!A:A,$B$4,'Data - Monthly Metrics'!B:B,$E$4,'Data - Monthly Metrics'!C:C,"North King",'Data - Monthly Metrics'!D:D,"New Sales Revenue - Target ($)")+SUMIFS('Data - Monthly Metrics'!E:E,'Data - Monthly Metrics'!A:A,$B$4,'Data - Monthly Metrics'!B:B,$E$4,'Data - Monthly Metrics'!C:C,"North King",'Data - Monthly Metrics'!D:D,"New Sales Revenue - Non-Target ($)")=0,"-",SUMIFS('Data - Monthly Metrics'!E:E,'Data - Monthly Metrics'!A:A,$B$4,'Data - Monthly Metrics'!B:B,$E$4,'Data - Monthly Metrics'!C:C,"North King",'Data - Monthly Metrics'!D:D,"New Sales Revenue - Target ($)")+SUMIFS('Data - Monthly Metrics'!E:E,'Data - Monthly Metrics'!A:A,$B$4,'Data - Monthly Metrics'!B:B,$E$4,'Data - Monthly Metrics'!C:C,"North King",'Data - Monthly Metrics'!D:D,"New Sales Revenue - Non-Target ($)"))</f>
        <v/>
      </c>
      <c r="E10" s="92">
        <f>IF(OR(NOT(ISNUMBER(C10)),C10=0),"-",D10/C10)</f>
        <v/>
      </c>
      <c r="F10" s="93">
        <f>IF(COUNTIFS('Data - Monthly Metrics'!A:A,$B$4,'Data - Monthly Metrics'!B:B,$E$4,'Data - Monthly Metrics'!C:C,"North King",'Data - Monthly Metrics'!D:D,"Goal - New Members (#)")=0,"-",SUMIFS('Data - Monthly Metrics'!E:E,'Data - Monthly Metrics'!A:A,$B$4,'Data - Monthly Metrics'!B:B,$E$4,'Data - Monthly Metrics'!C:C,"North King",'Data - Monthly Metrics'!D:D,"Goal - New Members (#)"))</f>
        <v/>
      </c>
      <c r="G10" s="93">
        <f>IF(COUNTIFS('Data - Monthly Metrics'!A:A,$B$4,'Data - Monthly Metrics'!B:B,$E$4,'Data - Monthly Metrics'!C:C,"North King",'Data - Monthly Metrics'!D:D,"New Members - Target (#)")=0,"-",SUMIFS('Data - Monthly Metrics'!E:E,'Data - Monthly Metrics'!A:A,$B$4,'Data - Monthly Metrics'!B:B,$E$4,'Data - Monthly Metrics'!C:C,"North King",'Data - Monthly Metrics'!D:D,"New Members - Target (#)"))</f>
        <v/>
      </c>
      <c r="H10" s="93">
        <f>IF(COUNTIFS('Data - Monthly Metrics'!A:A,$B$4,'Data - Monthly Metrics'!B:B,$E$4,'Data - Monthly Metrics'!C:C,"North King",'Data - Monthly Metrics'!D:D,"New Members - Non-Target (#)")=0,"-",SUMIFS('Data - Monthly Metrics'!E:E,'Data - Monthly Metrics'!A:A,$B$4,'Data - Monthly Metrics'!B:B,$E$4,'Data - Monthly Metrics'!C:C,"North King",'Data - Monthly Metrics'!D:D,"New Members - Non-Target (#)"))</f>
        <v/>
      </c>
      <c r="I10" s="93">
        <f>IF(COUNTIFS('Data - Monthly Metrics'!A:A,$B$4,'Data - Monthly Metrics'!B:B,$E$4,'Data - Monthly Metrics'!C:C,"North King",'Data - Monthly Metrics'!D:D,"Drops - Target (#)")=0,"-",SUMIFS('Data - Monthly Metrics'!E:E,'Data - Monthly Metrics'!A:A,$B$4,'Data - Monthly Metrics'!B:B,$E$4,'Data - Monthly Metrics'!C:C,"North King",'Data - Monthly Metrics'!D:D,"Drops - Target (#)"))</f>
        <v/>
      </c>
      <c r="J10" s="93">
        <f>IF(COUNTIFS('Data - Monthly Metrics'!A:A,$B$4,'Data - Monthly Metrics'!B:B,$E$4,'Data - Monthly Metrics'!C:C,"North King",'Data - Monthly Metrics'!D:D,"Drops - Non-Target (#)")=0,"-",SUMIFS('Data - Monthly Metrics'!E:E,'Data - Monthly Metrics'!A:A,$B$4,'Data - Monthly Metrics'!B:B,$E$4,'Data - Monthly Metrics'!C:C,"North King",'Data - Monthly Metrics'!D:D,"Drops - Non-Target (#)"))</f>
        <v/>
      </c>
      <c r="K10" s="92">
        <f>IFERROR((SUMIFS('Data - Monthly Metrics'!E:E,'Data - Monthly Metrics'!A:A,$B$4,'Data - Monthly Metrics'!B:B,$E$4,'Data - Monthly Metrics'!C:C,"North King",'Data - Monthly Metrics'!D:D,"Revenue Retained - Target ($)")+SUMIFS('Data - Monthly Metrics'!E:E,'Data - Monthly Metrics'!A:A,$B$4,'Data - Monthly Metrics'!B:B,$E$4,'Data - Monthly Metrics'!C:C,"North King",'Data - Monthly Metrics'!D:D,"Revenue Retained - Non-Target ($)"))/(SUMIFS('Data - Monthly Metrics'!E:E,'Data - Monthly Metrics'!A:A,$B$4,'Data - Monthly Metrics'!B:B,$E$4,'Data - Monthly Metrics'!C:C,"North King",'Data - Monthly Metrics'!D:D,"Revenue Up for Renewal - Target ($)")+SUMIFS('Data - Monthly Metrics'!E:E,'Data - Monthly Metrics'!A:A,$B$4,'Data - Monthly Metrics'!B:B,$E$4,'Data - Monthly Metrics'!C:C,"North King",'Data - Monthly Metrics'!D:D,"Revenue Up for Renewal - Non-Target ($)")),"-")</f>
        <v/>
      </c>
      <c r="L10" s="92">
        <f>IF(COUNTIFS('Data - Monthly Metrics'!A:A,$B$4,'Data - Monthly Metrics'!B:B,$E$4,'Data - Monthly Metrics'!C:C,"North King",'Data - Monthly Metrics'!D:D,"Penetration - Combined %")=0,"-",SUMIFS('Data - Monthly Metrics'!E:E,'Data - Monthly Metrics'!A:A,$B$4,'Data - Monthly Metrics'!B:B,$E$4,'Data - Monthly Metrics'!C:C,"North King",'Data - Monthly Metrics'!D:D,"Penetration - Combined %"))</f>
        <v/>
      </c>
      <c r="M10" s="92">
        <f>IFERROR((SUMIFS('Data - Monthly Metrics'!E:E,'Data - Monthly Metrics'!A:A,$B$4,'Data - Monthly Metrics'!B:B,$E$4,'Data - Monthly Metrics'!C:C,"North King",'Data - Monthly Metrics'!D:D,"Members Retained - Target (#)")+SUMIFS('Data - Monthly Metrics'!E:E,'Data - Monthly Metrics'!A:A,$B$4,'Data - Monthly Metrics'!B:B,$E$4,'Data - Monthly Metrics'!C:C,"North King",'Data - Monthly Metrics'!D:D,"Members Retained - Non-Target (#)"))/(SUMIFS('Data - Monthly Metrics'!E:E,'Data - Monthly Metrics'!A:A,$B$4,'Data - Monthly Metrics'!B:B,$E$4,'Data - Monthly Metrics'!C:C,"North King",'Data - Monthly Metrics'!D:D,"Members Up for Renewal - Target (#)")+SUMIFS('Data - Monthly Metrics'!E:E,'Data - Monthly Metrics'!A:A,$B$4,'Data - Monthly Metrics'!B:B,$E$4,'Data - Monthly Metrics'!C:C,"North King",'Data - Monthly Metrics'!D:D,"Members Up for Renewal - Non-Target (#)")),"-")</f>
        <v/>
      </c>
    </row>
    <row r="11" ht="14.25" customHeight="1" s="82">
      <c r="A11" s="94" t="inlineStr">
        <is>
          <t>Pierce</t>
        </is>
      </c>
      <c r="B11" s="95" t="n"/>
      <c r="C11" s="96">
        <f>IF(COUNTIFS('Data - Monthly Metrics'!A:A,$B$4,'Data - Monthly Metrics'!B:B,$E$4,'Data - Monthly Metrics'!C:C,"Pierce",'Data - Monthly Metrics'!D:D,"Goal - New Sales Revenue ($)")=0,"-",SUMIFS('Data - Monthly Metrics'!E:E,'Data - Monthly Metrics'!A:A,$B$4,'Data - Monthly Metrics'!B:B,$E$4,'Data - Monthly Metrics'!C:C,"Pierce",'Data - Monthly Metrics'!D:D,"Goal - New Sales Revenue ($)"))</f>
        <v/>
      </c>
      <c r="D11" s="96">
        <f>IF(COUNTIFS('Data - Monthly Metrics'!A:A,$B$4,'Data - Monthly Metrics'!B:B,$E$4,'Data - Monthly Metrics'!C:C,"Pierce",'Data - Monthly Metrics'!D:D,"New Sales Revenue - Target ($)")+SUMIFS('Data - Monthly Metrics'!E:E,'Data - Monthly Metrics'!A:A,$B$4,'Data - Monthly Metrics'!B:B,$E$4,'Data - Monthly Metrics'!C:C,"Pierce",'Data - Monthly Metrics'!D:D,"New Sales Revenue - Non-Target ($)")=0,"-",SUMIFS('Data - Monthly Metrics'!E:E,'Data - Monthly Metrics'!A:A,$B$4,'Data - Monthly Metrics'!B:B,$E$4,'Data - Monthly Metrics'!C:C,"Pierce",'Data - Monthly Metrics'!D:D,"New Sales Revenue - Target ($)")+SUMIFS('Data - Monthly Metrics'!E:E,'Data - Monthly Metrics'!A:A,$B$4,'Data - Monthly Metrics'!B:B,$E$4,'Data - Monthly Metrics'!C:C,"Pierce",'Data - Monthly Metrics'!D:D,"New Sales Revenue - Non-Target ($)"))</f>
        <v/>
      </c>
      <c r="E11" s="97">
        <f>IF(OR(NOT(ISNUMBER(C11)),C11=0),"-",D11/C11)</f>
        <v/>
      </c>
      <c r="F11" s="98">
        <f>IF(COUNTIFS('Data - Monthly Metrics'!A:A,$B$4,'Data - Monthly Metrics'!B:B,$E$4,'Data - Monthly Metrics'!C:C,"Pierce",'Data - Monthly Metrics'!D:D,"Goal - New Members (#)")=0,"-",SUMIFS('Data - Monthly Metrics'!E:E,'Data - Monthly Metrics'!A:A,$B$4,'Data - Monthly Metrics'!B:B,$E$4,'Data - Monthly Metrics'!C:C,"Pierce",'Data - Monthly Metrics'!D:D,"Goal - New Members (#)"))</f>
        <v/>
      </c>
      <c r="G11" s="98">
        <f>IF(COUNTIFS('Data - Monthly Metrics'!A:A,$B$4,'Data - Monthly Metrics'!B:B,$E$4,'Data - Monthly Metrics'!C:C,"Pierce",'Data - Monthly Metrics'!D:D,"New Members - Target (#)")=0,"-",SUMIFS('Data - Monthly Metrics'!E:E,'Data - Monthly Metrics'!A:A,$B$4,'Data - Monthly Metrics'!B:B,$E$4,'Data - Monthly Metrics'!C:C,"Pierce",'Data - Monthly Metrics'!D:D,"New Members - Target (#)"))</f>
        <v/>
      </c>
      <c r="H11" s="98">
        <f>IF(COUNTIFS('Data - Monthly Metrics'!A:A,$B$4,'Data - Monthly Metrics'!B:B,$E$4,'Data - Monthly Metrics'!C:C,"Pierce",'Data - Monthly Metrics'!D:D,"New Members - Non-Target (#)")=0,"-",SUMIFS('Data - Monthly Metrics'!E:E,'Data - Monthly Metrics'!A:A,$B$4,'Data - Monthly Metrics'!B:B,$E$4,'Data - Monthly Metrics'!C:C,"Pierce",'Data - Monthly Metrics'!D:D,"New Members - Non-Target (#)"))</f>
        <v/>
      </c>
      <c r="I11" s="98">
        <f>IF(COUNTIFS('Data - Monthly Metrics'!A:A,$B$4,'Data - Monthly Metrics'!B:B,$E$4,'Data - Monthly Metrics'!C:C,"Pierce",'Data - Monthly Metrics'!D:D,"Drops - Target (#)")=0,"-",SUMIFS('Data - Monthly Metrics'!E:E,'Data - Monthly Metrics'!A:A,$B$4,'Data - Monthly Metrics'!B:B,$E$4,'Data - Monthly Metrics'!C:C,"Pierce",'Data - Monthly Metrics'!D:D,"Drops - Target (#)"))</f>
        <v/>
      </c>
      <c r="J11" s="98">
        <f>IF(COUNTIFS('Data - Monthly Metrics'!A:A,$B$4,'Data - Monthly Metrics'!B:B,$E$4,'Data - Monthly Metrics'!C:C,"Pierce",'Data - Monthly Metrics'!D:D,"Drops - Non-Target (#)")=0,"-",SUMIFS('Data - Monthly Metrics'!E:E,'Data - Monthly Metrics'!A:A,$B$4,'Data - Monthly Metrics'!B:B,$E$4,'Data - Monthly Metrics'!C:C,"Pierce",'Data - Monthly Metrics'!D:D,"Drops - Non-Target (#)"))</f>
        <v/>
      </c>
      <c r="K11" s="97">
        <f>IFERROR((SUMIFS('Data - Monthly Metrics'!E:E,'Data - Monthly Metrics'!A:A,$B$4,'Data - Monthly Metrics'!B:B,$E$4,'Data - Monthly Metrics'!C:C,"Pierce",'Data - Monthly Metrics'!D:D,"Revenue Retained - Target ($)")+SUMIFS('Data - Monthly Metrics'!E:E,'Data - Monthly Metrics'!A:A,$B$4,'Data - Monthly Metrics'!B:B,$E$4,'Data - Monthly Metrics'!C:C,"Pierce",'Data - Monthly Metrics'!D:D,"Revenue Retained - Non-Target ($)"))/(SUMIFS('Data - Monthly Metrics'!E:E,'Data - Monthly Metrics'!A:A,$B$4,'Data - Monthly Metrics'!B:B,$E$4,'Data - Monthly Metrics'!C:C,"Pierce",'Data - Monthly Metrics'!D:D,"Revenue Up for Renewal - Target ($)")+SUMIFS('Data - Monthly Metrics'!E:E,'Data - Monthly Metrics'!A:A,$B$4,'Data - Monthly Metrics'!B:B,$E$4,'Data - Monthly Metrics'!C:C,"Pierce",'Data - Monthly Metrics'!D:D,"Revenue Up for Renewal - Non-Target ($)")),"-")</f>
        <v/>
      </c>
      <c r="L11" s="97">
        <f>IF(COUNTIFS('Data - Monthly Metrics'!A:A,$B$4,'Data - Monthly Metrics'!B:B,$E$4,'Data - Monthly Metrics'!C:C,"Pierce",'Data - Monthly Metrics'!D:D,"Penetration - Combined %")=0,"-",SUMIFS('Data - Monthly Metrics'!E:E,'Data - Monthly Metrics'!A:A,$B$4,'Data - Monthly Metrics'!B:B,$E$4,'Data - Monthly Metrics'!C:C,"Pierce",'Data - Monthly Metrics'!D:D,"Penetration - Combined %"))</f>
        <v/>
      </c>
      <c r="M11" s="97">
        <f>IFERROR((SUMIFS('Data - Monthly Metrics'!E:E,'Data - Monthly Metrics'!A:A,$B$4,'Data - Monthly Metrics'!B:B,$E$4,'Data - Monthly Metrics'!C:C,"Pierce",'Data - Monthly Metrics'!D:D,"Members Retained - Target (#)")+SUMIFS('Data - Monthly Metrics'!E:E,'Data - Monthly Metrics'!A:A,$B$4,'Data - Monthly Metrics'!B:B,$E$4,'Data - Monthly Metrics'!C:C,"Pierce",'Data - Monthly Metrics'!D:D,"Members Retained - Non-Target (#)"))/(SUMIFS('Data - Monthly Metrics'!E:E,'Data - Monthly Metrics'!A:A,$B$4,'Data - Monthly Metrics'!B:B,$E$4,'Data - Monthly Metrics'!C:C,"Pierce",'Data - Monthly Metrics'!D:D,"Members Up for Renewal - Target (#)")+SUMIFS('Data - Monthly Metrics'!E:E,'Data - Monthly Metrics'!A:A,$B$4,'Data - Monthly Metrics'!B:B,$E$4,'Data - Monthly Metrics'!C:C,"Pierce",'Data - Monthly Metrics'!D:D,"Members Up for Renewal - Non-Target (#)")),"-")</f>
        <v/>
      </c>
    </row>
    <row r="12" ht="14.25" customHeight="1" s="82">
      <c r="A12" s="89" t="inlineStr">
        <is>
          <t>Snohomish</t>
        </is>
      </c>
      <c r="B12" s="90" t="n"/>
      <c r="C12" s="91">
        <f>IF(COUNTIFS('Data - Monthly Metrics'!A:A,$B$4,'Data - Monthly Metrics'!B:B,$E$4,'Data - Monthly Metrics'!C:C,"Snohomish",'Data - Monthly Metrics'!D:D,"Goal - New Sales Revenue ($)")=0,"-",SUMIFS('Data - Monthly Metrics'!E:E,'Data - Monthly Metrics'!A:A,$B$4,'Data - Monthly Metrics'!B:B,$E$4,'Data - Monthly Metrics'!C:C,"Snohomish",'Data - Monthly Metrics'!D:D,"Goal - New Sales Revenue ($)"))</f>
        <v/>
      </c>
      <c r="D12" s="91">
        <f>IF(COUNTIFS('Data - Monthly Metrics'!A:A,$B$4,'Data - Monthly Metrics'!B:B,$E$4,'Data - Monthly Metrics'!C:C,"Snohomish",'Data - Monthly Metrics'!D:D,"New Sales Revenue - Target ($)")+SUMIFS('Data - Monthly Metrics'!E:E,'Data - Monthly Metrics'!A:A,$B$4,'Data - Monthly Metrics'!B:B,$E$4,'Data - Monthly Metrics'!C:C,"Snohomish",'Data - Monthly Metrics'!D:D,"New Sales Revenue - Non-Target ($)")=0,"-",SUMIFS('Data - Monthly Metrics'!E:E,'Data - Monthly Metrics'!A:A,$B$4,'Data - Monthly Metrics'!B:B,$E$4,'Data - Monthly Metrics'!C:C,"Snohomish",'Data - Monthly Metrics'!D:D,"New Sales Revenue - Target ($)")+SUMIFS('Data - Monthly Metrics'!E:E,'Data - Monthly Metrics'!A:A,$B$4,'Data - Monthly Metrics'!B:B,$E$4,'Data - Monthly Metrics'!C:C,"Snohomish",'Data - Monthly Metrics'!D:D,"New Sales Revenue - Non-Target ($)"))</f>
        <v/>
      </c>
      <c r="E12" s="92">
        <f>IF(OR(NOT(ISNUMBER(C12)),C12=0),"-",D12/C12)</f>
        <v/>
      </c>
      <c r="F12" s="93">
        <f>IF(COUNTIFS('Data - Monthly Metrics'!A:A,$B$4,'Data - Monthly Metrics'!B:B,$E$4,'Data - Monthly Metrics'!C:C,"Snohomish",'Data - Monthly Metrics'!D:D,"Goal - New Members (#)")=0,"-",SUMIFS('Data - Monthly Metrics'!E:E,'Data - Monthly Metrics'!A:A,$B$4,'Data - Monthly Metrics'!B:B,$E$4,'Data - Monthly Metrics'!C:C,"Snohomish",'Data - Monthly Metrics'!D:D,"Goal - New Members (#)"))</f>
        <v/>
      </c>
      <c r="G12" s="93">
        <f>IF(COUNTIFS('Data - Monthly Metrics'!A:A,$B$4,'Data - Monthly Metrics'!B:B,$E$4,'Data - Monthly Metrics'!C:C,"Snohomish",'Data - Monthly Metrics'!D:D,"New Members - Target (#)")=0,"-",SUMIFS('Data - Monthly Metrics'!E:E,'Data - Monthly Metrics'!A:A,$B$4,'Data - Monthly Metrics'!B:B,$E$4,'Data - Monthly Metrics'!C:C,"Snohomish",'Data - Monthly Metrics'!D:D,"New Members - Target (#)"))</f>
        <v/>
      </c>
      <c r="H12" s="93">
        <f>IF(COUNTIFS('Data - Monthly Metrics'!A:A,$B$4,'Data - Monthly Metrics'!B:B,$E$4,'Data - Monthly Metrics'!C:C,"Snohomish",'Data - Monthly Metrics'!D:D,"New Members - Non-Target (#)")=0,"-",SUMIFS('Data - Monthly Metrics'!E:E,'Data - Monthly Metrics'!A:A,$B$4,'Data - Monthly Metrics'!B:B,$E$4,'Data - Monthly Metrics'!C:C,"Snohomish",'Data - Monthly Metrics'!D:D,"New Members - Non-Target (#)"))</f>
        <v/>
      </c>
      <c r="I12" s="93">
        <f>IF(COUNTIFS('Data - Monthly Metrics'!A:A,$B$4,'Data - Monthly Metrics'!B:B,$E$4,'Data - Monthly Metrics'!C:C,"Snohomish",'Data - Monthly Metrics'!D:D,"Drops - Target (#)")=0,"-",SUMIFS('Data - Monthly Metrics'!E:E,'Data - Monthly Metrics'!A:A,$B$4,'Data - Monthly Metrics'!B:B,$E$4,'Data - Monthly Metrics'!C:C,"Snohomish",'Data - Monthly Metrics'!D:D,"Drops - Target (#)"))</f>
        <v/>
      </c>
      <c r="J12" s="93">
        <f>IF(COUNTIFS('Data - Monthly Metrics'!A:A,$B$4,'Data - Monthly Metrics'!B:B,$E$4,'Data - Monthly Metrics'!C:C,"Snohomish",'Data - Monthly Metrics'!D:D,"Drops - Non-Target (#)")=0,"-",SUMIFS('Data - Monthly Metrics'!E:E,'Data - Monthly Metrics'!A:A,$B$4,'Data - Monthly Metrics'!B:B,$E$4,'Data - Monthly Metrics'!C:C,"Snohomish",'Data - Monthly Metrics'!D:D,"Drops - Non-Target (#)"))</f>
        <v/>
      </c>
      <c r="K12" s="92">
        <f>IFERROR((SUMIFS('Data - Monthly Metrics'!E:E,'Data - Monthly Metrics'!A:A,$B$4,'Data - Monthly Metrics'!B:B,$E$4,'Data - Monthly Metrics'!C:C,"Snohomish",'Data - Monthly Metrics'!D:D,"Revenue Retained - Target ($)")+SUMIFS('Data - Monthly Metrics'!E:E,'Data - Monthly Metrics'!A:A,$B$4,'Data - Monthly Metrics'!B:B,$E$4,'Data - Monthly Metrics'!C:C,"Snohomish",'Data - Monthly Metrics'!D:D,"Revenue Retained - Non-Target ($)"))/(SUMIFS('Data - Monthly Metrics'!E:E,'Data - Monthly Metrics'!A:A,$B$4,'Data - Monthly Metrics'!B:B,$E$4,'Data - Monthly Metrics'!C:C,"Snohomish",'Data - Monthly Metrics'!D:D,"Revenue Up for Renewal - Target ($)")+SUMIFS('Data - Monthly Metrics'!E:E,'Data - Monthly Metrics'!A:A,$B$4,'Data - Monthly Metrics'!B:B,$E$4,'Data - Monthly Metrics'!C:C,"Snohomish",'Data - Monthly Metrics'!D:D,"Revenue Up for Renewal - Non-Target ($)")),"-")</f>
        <v/>
      </c>
      <c r="L12" s="92">
        <f>IF(COUNTIFS('Data - Monthly Metrics'!A:A,$B$4,'Data - Monthly Metrics'!B:B,$E$4,'Data - Monthly Metrics'!C:C,"Snohomish",'Data - Monthly Metrics'!D:D,"Penetration - Combined %")=0,"-",SUMIFS('Data - Monthly Metrics'!E:E,'Data - Monthly Metrics'!A:A,$B$4,'Data - Monthly Metrics'!B:B,$E$4,'Data - Monthly Metrics'!C:C,"Snohomish",'Data - Monthly Metrics'!D:D,"Penetration - Combined %"))</f>
        <v/>
      </c>
      <c r="M12" s="92">
        <f>IFERROR((SUMIFS('Data - Monthly Metrics'!E:E,'Data - Monthly Metrics'!A:A,$B$4,'Data - Monthly Metrics'!B:B,$E$4,'Data - Monthly Metrics'!C:C,"Snohomish",'Data - Monthly Metrics'!D:D,"Members Retained - Target (#)")+SUMIFS('Data - Monthly Metrics'!E:E,'Data - Monthly Metrics'!A:A,$B$4,'Data - Monthly Metrics'!B:B,$E$4,'Data - Monthly Metrics'!C:C,"Snohomish",'Data - Monthly Metrics'!D:D,"Members Retained - Non-Target (#)"))/(SUMIFS('Data - Monthly Metrics'!E:E,'Data - Monthly Metrics'!A:A,$B$4,'Data - Monthly Metrics'!B:B,$E$4,'Data - Monthly Metrics'!C:C,"Snohomish",'Data - Monthly Metrics'!D:D,"Members Up for Renewal - Target (#)")+SUMIFS('Data - Monthly Metrics'!E:E,'Data - Monthly Metrics'!A:A,$B$4,'Data - Monthly Metrics'!B:B,$E$4,'Data - Monthly Metrics'!C:C,"Snohomish",'Data - Monthly Metrics'!D:D,"Members Up for Renewal - Non-Target (#)")),"-")</f>
        <v/>
      </c>
    </row>
    <row r="13" ht="14.25" customHeight="1" s="82">
      <c r="A13" s="94" t="inlineStr">
        <is>
          <t>Spokane/NE</t>
        </is>
      </c>
      <c r="B13" s="95" t="n"/>
      <c r="C13" s="96">
        <f>IF(COUNTIFS('Data - Monthly Metrics'!A:A,$B$4,'Data - Monthly Metrics'!B:B,$E$4,'Data - Monthly Metrics'!C:C,"Spokane/NE",'Data - Monthly Metrics'!D:D,"Goal - New Sales Revenue ($)")=0,"-",SUMIFS('Data - Monthly Metrics'!E:E,'Data - Monthly Metrics'!A:A,$B$4,'Data - Monthly Metrics'!B:B,$E$4,'Data - Monthly Metrics'!C:C,"Spokane/NE",'Data - Monthly Metrics'!D:D,"Goal - New Sales Revenue ($)"))</f>
        <v/>
      </c>
      <c r="D13" s="96">
        <f>IF(COUNTIFS('Data - Monthly Metrics'!A:A,$B$4,'Data - Monthly Metrics'!B:B,$E$4,'Data - Monthly Metrics'!C:C,"Spokane/NE",'Data - Monthly Metrics'!D:D,"New Sales Revenue - Target ($)")+SUMIFS('Data - Monthly Metrics'!E:E,'Data - Monthly Metrics'!A:A,$B$4,'Data - Monthly Metrics'!B:B,$E$4,'Data - Monthly Metrics'!C:C,"Spokane/NE",'Data - Monthly Metrics'!D:D,"New Sales Revenue - Non-Target ($)")=0,"-",SUMIFS('Data - Monthly Metrics'!E:E,'Data - Monthly Metrics'!A:A,$B$4,'Data - Monthly Metrics'!B:B,$E$4,'Data - Monthly Metrics'!C:C,"Spokane/NE",'Data - Monthly Metrics'!D:D,"New Sales Revenue - Target ($)")+SUMIFS('Data - Monthly Metrics'!E:E,'Data - Monthly Metrics'!A:A,$B$4,'Data - Monthly Metrics'!B:B,$E$4,'Data - Monthly Metrics'!C:C,"Spokane/NE",'Data - Monthly Metrics'!D:D,"New Sales Revenue - Non-Target ($)"))</f>
        <v/>
      </c>
      <c r="E13" s="97">
        <f>IF(OR(NOT(ISNUMBER(C13)),C13=0),"-",D13/C13)</f>
        <v/>
      </c>
      <c r="F13" s="98">
        <f>IF(COUNTIFS('Data - Monthly Metrics'!A:A,$B$4,'Data - Monthly Metrics'!B:B,$E$4,'Data - Monthly Metrics'!C:C,"Spokane/NE",'Data - Monthly Metrics'!D:D,"Goal - New Members (#)")=0,"-",SUMIFS('Data - Monthly Metrics'!E:E,'Data - Monthly Metrics'!A:A,$B$4,'Data - Monthly Metrics'!B:B,$E$4,'Data - Monthly Metrics'!C:C,"Spokane/NE",'Data - Monthly Metrics'!D:D,"Goal - New Members (#)"))</f>
        <v/>
      </c>
      <c r="G13" s="98">
        <f>IF(COUNTIFS('Data - Monthly Metrics'!A:A,$B$4,'Data - Monthly Metrics'!B:B,$E$4,'Data - Monthly Metrics'!C:C,"Spokane/NE",'Data - Monthly Metrics'!D:D,"New Members - Target (#)")=0,"-",SUMIFS('Data - Monthly Metrics'!E:E,'Data - Monthly Metrics'!A:A,$B$4,'Data - Monthly Metrics'!B:B,$E$4,'Data - Monthly Metrics'!C:C,"Spokane/NE",'Data - Monthly Metrics'!D:D,"New Members - Target (#)"))</f>
        <v/>
      </c>
      <c r="H13" s="98">
        <f>IF(COUNTIFS('Data - Monthly Metrics'!A:A,$B$4,'Data - Monthly Metrics'!B:B,$E$4,'Data - Monthly Metrics'!C:C,"Spokane/NE",'Data - Monthly Metrics'!D:D,"New Members - Non-Target (#)")=0,"-",SUMIFS('Data - Monthly Metrics'!E:E,'Data - Monthly Metrics'!A:A,$B$4,'Data - Monthly Metrics'!B:B,$E$4,'Data - Monthly Metrics'!C:C,"Spokane/NE",'Data - Monthly Metrics'!D:D,"New Members - Non-Target (#)"))</f>
        <v/>
      </c>
      <c r="I13" s="98">
        <f>IF(COUNTIFS('Data - Monthly Metrics'!A:A,$B$4,'Data - Monthly Metrics'!B:B,$E$4,'Data - Monthly Metrics'!C:C,"Spokane/NE",'Data - Monthly Metrics'!D:D,"Drops - Target (#)")=0,"-",SUMIFS('Data - Monthly Metrics'!E:E,'Data - Monthly Metrics'!A:A,$B$4,'Data - Monthly Metrics'!B:B,$E$4,'Data - Monthly Metrics'!C:C,"Spokane/NE",'Data - Monthly Metrics'!D:D,"Drops - Target (#)"))</f>
        <v/>
      </c>
      <c r="J13" s="98">
        <f>IF(COUNTIFS('Data - Monthly Metrics'!A:A,$B$4,'Data - Monthly Metrics'!B:B,$E$4,'Data - Monthly Metrics'!C:C,"Spokane/NE",'Data - Monthly Metrics'!D:D,"Drops - Non-Target (#)")=0,"-",SUMIFS('Data - Monthly Metrics'!E:E,'Data - Monthly Metrics'!A:A,$B$4,'Data - Monthly Metrics'!B:B,$E$4,'Data - Monthly Metrics'!C:C,"Spokane/NE",'Data - Monthly Metrics'!D:D,"Drops - Non-Target (#)"))</f>
        <v/>
      </c>
      <c r="K13" s="97">
        <f>IFERROR((SUMIFS('Data - Monthly Metrics'!E:E,'Data - Monthly Metrics'!A:A,$B$4,'Data - Monthly Metrics'!B:B,$E$4,'Data - Monthly Metrics'!C:C,"Spokane/NE",'Data - Monthly Metrics'!D:D,"Revenue Retained - Target ($)")+SUMIFS('Data - Monthly Metrics'!E:E,'Data - Monthly Metrics'!A:A,$B$4,'Data - Monthly Metrics'!B:B,$E$4,'Data - Monthly Metrics'!C:C,"Spokane/NE",'Data - Monthly Metrics'!D:D,"Revenue Retained - Non-Target ($)"))/(SUMIFS('Data - Monthly Metrics'!E:E,'Data - Monthly Metrics'!A:A,$B$4,'Data - Monthly Metrics'!B:B,$E$4,'Data - Monthly Metrics'!C:C,"Spokane/NE",'Data - Monthly Metrics'!D:D,"Revenue Up for Renewal - Target ($)")+SUMIFS('Data - Monthly Metrics'!E:E,'Data - Monthly Metrics'!A:A,$B$4,'Data - Monthly Metrics'!B:B,$E$4,'Data - Monthly Metrics'!C:C,"Spokane/NE",'Data - Monthly Metrics'!D:D,"Revenue Up for Renewal - Non-Target ($)")),"-")</f>
        <v/>
      </c>
      <c r="L13" s="97">
        <f>IF(COUNTIFS('Data - Monthly Metrics'!A:A,$B$4,'Data - Monthly Metrics'!B:B,$E$4,'Data - Monthly Metrics'!C:C,"Spokane/NE",'Data - Monthly Metrics'!D:D,"Penetration - Combined %")=0,"-",SUMIFS('Data - Monthly Metrics'!E:E,'Data - Monthly Metrics'!A:A,$B$4,'Data - Monthly Metrics'!B:B,$E$4,'Data - Monthly Metrics'!C:C,"Spokane/NE",'Data - Monthly Metrics'!D:D,"Penetration - Combined %"))</f>
        <v/>
      </c>
      <c r="M13" s="97">
        <f>IFERROR((SUMIFS('Data - Monthly Metrics'!E:E,'Data - Monthly Metrics'!A:A,$B$4,'Data - Monthly Metrics'!B:B,$E$4,'Data - Monthly Metrics'!C:C,"Spokane/NE",'Data - Monthly Metrics'!D:D,"Members Retained - Target (#)")+SUMIFS('Data - Monthly Metrics'!E:E,'Data - Monthly Metrics'!A:A,$B$4,'Data - Monthly Metrics'!B:B,$E$4,'Data - Monthly Metrics'!C:C,"Spokane/NE",'Data - Monthly Metrics'!D:D,"Members Retained - Non-Target (#)"))/(SUMIFS('Data - Monthly Metrics'!E:E,'Data - Monthly Metrics'!A:A,$B$4,'Data - Monthly Metrics'!B:B,$E$4,'Data - Monthly Metrics'!C:C,"Spokane/NE",'Data - Monthly Metrics'!D:D,"Members Up for Renewal - Target (#)")+SUMIFS('Data - Monthly Metrics'!E:E,'Data - Monthly Metrics'!A:A,$B$4,'Data - Monthly Metrics'!B:B,$E$4,'Data - Monthly Metrics'!C:C,"Spokane/NE",'Data - Monthly Metrics'!D:D,"Members Up for Renewal - Non-Target (#)")),"-")</f>
        <v/>
      </c>
    </row>
    <row r="14" ht="14.25" customHeight="1" s="82">
      <c r="A14" s="89" t="inlineStr">
        <is>
          <t>Southwest</t>
        </is>
      </c>
      <c r="B14" s="90" t="n"/>
      <c r="C14" s="91">
        <f>IF(COUNTIFS('Data - Monthly Metrics'!A:A,$B$4,'Data - Monthly Metrics'!B:B,$E$4,'Data - Monthly Metrics'!C:C,"Southwest",'Data - Monthly Metrics'!D:D,"Goal - New Sales Revenue ($)")=0,"-",SUMIFS('Data - Monthly Metrics'!E:E,'Data - Monthly Metrics'!A:A,$B$4,'Data - Monthly Metrics'!B:B,$E$4,'Data - Monthly Metrics'!C:C,"Southwest",'Data - Monthly Metrics'!D:D,"Goal - New Sales Revenue ($)"))</f>
        <v/>
      </c>
      <c r="D14" s="91">
        <f>IF(COUNTIFS('Data - Monthly Metrics'!A:A,$B$4,'Data - Monthly Metrics'!B:B,$E$4,'Data - Monthly Metrics'!C:C,"Southwest",'Data - Monthly Metrics'!D:D,"New Sales Revenue - Target ($)")+SUMIFS('Data - Monthly Metrics'!E:E,'Data - Monthly Metrics'!A:A,$B$4,'Data - Monthly Metrics'!B:B,$E$4,'Data - Monthly Metrics'!C:C,"Southwest",'Data - Monthly Metrics'!D:D,"New Sales Revenue - Non-Target ($)")=0,"-",SUMIFS('Data - Monthly Metrics'!E:E,'Data - Monthly Metrics'!A:A,$B$4,'Data - Monthly Metrics'!B:B,$E$4,'Data - Monthly Metrics'!C:C,"Southwest",'Data - Monthly Metrics'!D:D,"New Sales Revenue - Target ($)")+SUMIFS('Data - Monthly Metrics'!E:E,'Data - Monthly Metrics'!A:A,$B$4,'Data - Monthly Metrics'!B:B,$E$4,'Data - Monthly Metrics'!C:C,"Southwest",'Data - Monthly Metrics'!D:D,"New Sales Revenue - Non-Target ($)"))</f>
        <v/>
      </c>
      <c r="E14" s="92">
        <f>IF(OR(NOT(ISNUMBER(C14)),C14=0),"-",D14/C14)</f>
        <v/>
      </c>
      <c r="F14" s="93">
        <f>IF(COUNTIFS('Data - Monthly Metrics'!A:A,$B$4,'Data - Monthly Metrics'!B:B,$E$4,'Data - Monthly Metrics'!C:C,"Southwest",'Data - Monthly Metrics'!D:D,"Goal - New Members (#)")=0,"-",SUMIFS('Data - Monthly Metrics'!E:E,'Data - Monthly Metrics'!A:A,$B$4,'Data - Monthly Metrics'!B:B,$E$4,'Data - Monthly Metrics'!C:C,"Southwest",'Data - Monthly Metrics'!D:D,"Goal - New Members (#)"))</f>
        <v/>
      </c>
      <c r="G14" s="93">
        <f>IF(COUNTIFS('Data - Monthly Metrics'!A:A,$B$4,'Data - Monthly Metrics'!B:B,$E$4,'Data - Monthly Metrics'!C:C,"Southwest",'Data - Monthly Metrics'!D:D,"New Members - Target (#)")=0,"-",SUMIFS('Data - Monthly Metrics'!E:E,'Data - Monthly Metrics'!A:A,$B$4,'Data - Monthly Metrics'!B:B,$E$4,'Data - Monthly Metrics'!C:C,"Southwest",'Data - Monthly Metrics'!D:D,"New Members - Target (#)"))</f>
        <v/>
      </c>
      <c r="H14" s="93">
        <f>IF(COUNTIFS('Data - Monthly Metrics'!A:A,$B$4,'Data - Monthly Metrics'!B:B,$E$4,'Data - Monthly Metrics'!C:C,"Southwest",'Data - Monthly Metrics'!D:D,"New Members - Non-Target (#)")=0,"-",SUMIFS('Data - Monthly Metrics'!E:E,'Data - Monthly Metrics'!A:A,$B$4,'Data - Monthly Metrics'!B:B,$E$4,'Data - Monthly Metrics'!C:C,"Southwest",'Data - Monthly Metrics'!D:D,"New Members - Non-Target (#)"))</f>
        <v/>
      </c>
      <c r="I14" s="93">
        <f>IF(COUNTIFS('Data - Monthly Metrics'!A:A,$B$4,'Data - Monthly Metrics'!B:B,$E$4,'Data - Monthly Metrics'!C:C,"Southwest",'Data - Monthly Metrics'!D:D,"Drops - Target (#)")=0,"-",SUMIFS('Data - Monthly Metrics'!E:E,'Data - Monthly Metrics'!A:A,$B$4,'Data - Monthly Metrics'!B:B,$E$4,'Data - Monthly Metrics'!C:C,"Southwest",'Data - Monthly Metrics'!D:D,"Drops - Target (#)"))</f>
        <v/>
      </c>
      <c r="J14" s="93">
        <f>IF(COUNTIFS('Data - Monthly Metrics'!A:A,$B$4,'Data - Monthly Metrics'!B:B,$E$4,'Data - Monthly Metrics'!C:C,"Southwest",'Data - Monthly Metrics'!D:D,"Drops - Non-Target (#)")=0,"-",SUMIFS('Data - Monthly Metrics'!E:E,'Data - Monthly Metrics'!A:A,$B$4,'Data - Monthly Metrics'!B:B,$E$4,'Data - Monthly Metrics'!C:C,"Southwest",'Data - Monthly Metrics'!D:D,"Drops - Non-Target (#)"))</f>
        <v/>
      </c>
      <c r="K14" s="92">
        <f>IFERROR((SUMIFS('Data - Monthly Metrics'!E:E,'Data - Monthly Metrics'!A:A,$B$4,'Data - Monthly Metrics'!B:B,$E$4,'Data - Monthly Metrics'!C:C,"Southwest",'Data - Monthly Metrics'!D:D,"Revenue Retained - Target ($)")+SUMIFS('Data - Monthly Metrics'!E:E,'Data - Monthly Metrics'!A:A,$B$4,'Data - Monthly Metrics'!B:B,$E$4,'Data - Monthly Metrics'!C:C,"Southwest",'Data - Monthly Metrics'!D:D,"Revenue Retained - Non-Target ($)"))/(SUMIFS('Data - Monthly Metrics'!E:E,'Data - Monthly Metrics'!A:A,$B$4,'Data - Monthly Metrics'!B:B,$E$4,'Data - Monthly Metrics'!C:C,"Southwest",'Data - Monthly Metrics'!D:D,"Revenue Up for Renewal - Target ($)")+SUMIFS('Data - Monthly Metrics'!E:E,'Data - Monthly Metrics'!A:A,$B$4,'Data - Monthly Metrics'!B:B,$E$4,'Data - Monthly Metrics'!C:C,"Southwest",'Data - Monthly Metrics'!D:D,"Revenue Up for Renewal - Non-Target ($)")),"-")</f>
        <v/>
      </c>
      <c r="L14" s="92">
        <f>IF(COUNTIFS('Data - Monthly Metrics'!A:A,$B$4,'Data - Monthly Metrics'!B:B,$E$4,'Data - Monthly Metrics'!C:C,"Southwest",'Data - Monthly Metrics'!D:D,"Penetration - Combined %")=0,"-",SUMIFS('Data - Monthly Metrics'!E:E,'Data - Monthly Metrics'!A:A,$B$4,'Data - Monthly Metrics'!B:B,$E$4,'Data - Monthly Metrics'!C:C,"Southwest",'Data - Monthly Metrics'!D:D,"Penetration - Combined %"))</f>
        <v/>
      </c>
      <c r="M14" s="92">
        <f>IFERROR((SUMIFS('Data - Monthly Metrics'!E:E,'Data - Monthly Metrics'!A:A,$B$4,'Data - Monthly Metrics'!B:B,$E$4,'Data - Monthly Metrics'!C:C,"Southwest",'Data - Monthly Metrics'!D:D,"Members Retained - Target (#)")+SUMIFS('Data - Monthly Metrics'!E:E,'Data - Monthly Metrics'!A:A,$B$4,'Data - Monthly Metrics'!B:B,$E$4,'Data - Monthly Metrics'!C:C,"Southwest",'Data - Monthly Metrics'!D:D,"Members Retained - Non-Target (#)"))/(SUMIFS('Data - Monthly Metrics'!E:E,'Data - Monthly Metrics'!A:A,$B$4,'Data - Monthly Metrics'!B:B,$E$4,'Data - Monthly Metrics'!C:C,"Southwest",'Data - Monthly Metrics'!D:D,"Members Up for Renewal - Target (#)")+SUMIFS('Data - Monthly Metrics'!E:E,'Data - Monthly Metrics'!A:A,$B$4,'Data - Monthly Metrics'!B:B,$E$4,'Data - Monthly Metrics'!C:C,"Southwest",'Data - Monthly Metrics'!D:D,"Members Up for Renewal - Non-Target (#)")),"-")</f>
        <v/>
      </c>
    </row>
    <row r="15" ht="14.25" customHeight="1" s="82">
      <c r="A15" s="94" t="inlineStr">
        <is>
          <t>TKP</t>
        </is>
      </c>
      <c r="B15" s="95" t="n"/>
      <c r="C15" s="96">
        <f>IF(COUNTIFS('Data - Monthly Metrics'!A:A,$B$4,'Data - Monthly Metrics'!B:B,$E$4,'Data - Monthly Metrics'!C:C,"TKP",'Data - Monthly Metrics'!D:D,"Goal - New Sales Revenue ($)")=0,"-",SUMIFS('Data - Monthly Metrics'!E:E,'Data - Monthly Metrics'!A:A,$B$4,'Data - Monthly Metrics'!B:B,$E$4,'Data - Monthly Metrics'!C:C,"TKP",'Data - Monthly Metrics'!D:D,"Goal - New Sales Revenue ($)"))</f>
        <v/>
      </c>
      <c r="D15" s="96">
        <f>IF(COUNTIFS('Data - Monthly Metrics'!A:A,$B$4,'Data - Monthly Metrics'!B:B,$E$4,'Data - Monthly Metrics'!C:C,"TKP",'Data - Monthly Metrics'!D:D,"New Sales Revenue - Target ($)")+SUMIFS('Data - Monthly Metrics'!E:E,'Data - Monthly Metrics'!A:A,$B$4,'Data - Monthly Metrics'!B:B,$E$4,'Data - Monthly Metrics'!C:C,"TKP",'Data - Monthly Metrics'!D:D,"New Sales Revenue - Non-Target ($)")=0,"-",SUMIFS('Data - Monthly Metrics'!E:E,'Data - Monthly Metrics'!A:A,$B$4,'Data - Monthly Metrics'!B:B,$E$4,'Data - Monthly Metrics'!C:C,"TKP",'Data - Monthly Metrics'!D:D,"New Sales Revenue - Target ($)")+SUMIFS('Data - Monthly Metrics'!E:E,'Data - Monthly Metrics'!A:A,$B$4,'Data - Monthly Metrics'!B:B,$E$4,'Data - Monthly Metrics'!C:C,"TKP",'Data - Monthly Metrics'!D:D,"New Sales Revenue - Non-Target ($)"))</f>
        <v/>
      </c>
      <c r="E15" s="97">
        <f>IF(OR(NOT(ISNUMBER(C15)),C15=0),"-",D15/C15)</f>
        <v/>
      </c>
      <c r="F15" s="98">
        <f>IF(COUNTIFS('Data - Monthly Metrics'!A:A,$B$4,'Data - Monthly Metrics'!B:B,$E$4,'Data - Monthly Metrics'!C:C,"TKP",'Data - Monthly Metrics'!D:D,"Goal - New Members (#)")=0,"-",SUMIFS('Data - Monthly Metrics'!E:E,'Data - Monthly Metrics'!A:A,$B$4,'Data - Monthly Metrics'!B:B,$E$4,'Data - Monthly Metrics'!C:C,"TKP",'Data - Monthly Metrics'!D:D,"Goal - New Members (#)"))</f>
        <v/>
      </c>
      <c r="G15" s="98">
        <f>IF(COUNTIFS('Data - Monthly Metrics'!A:A,$B$4,'Data - Monthly Metrics'!B:B,$E$4,'Data - Monthly Metrics'!C:C,"TKP",'Data - Monthly Metrics'!D:D,"New Members - Target (#)")=0,"-",SUMIFS('Data - Monthly Metrics'!E:E,'Data - Monthly Metrics'!A:A,$B$4,'Data - Monthly Metrics'!B:B,$E$4,'Data - Monthly Metrics'!C:C,"TKP",'Data - Monthly Metrics'!D:D,"New Members - Target (#)"))</f>
        <v/>
      </c>
      <c r="H15" s="98">
        <f>IF(COUNTIFS('Data - Monthly Metrics'!A:A,$B$4,'Data - Monthly Metrics'!B:B,$E$4,'Data - Monthly Metrics'!C:C,"TKP",'Data - Monthly Metrics'!D:D,"New Members - Non-Target (#)")=0,"-",SUMIFS('Data - Monthly Metrics'!E:E,'Data - Monthly Metrics'!A:A,$B$4,'Data - Monthly Metrics'!B:B,$E$4,'Data - Monthly Metrics'!C:C,"TKP",'Data - Monthly Metrics'!D:D,"New Members - Non-Target (#)"))</f>
        <v/>
      </c>
      <c r="I15" s="98">
        <f>IF(COUNTIFS('Data - Monthly Metrics'!A:A,$B$4,'Data - Monthly Metrics'!B:B,$E$4,'Data - Monthly Metrics'!C:C,"TKP",'Data - Monthly Metrics'!D:D,"Drops - Target (#)")=0,"-",SUMIFS('Data - Monthly Metrics'!E:E,'Data - Monthly Metrics'!A:A,$B$4,'Data - Monthly Metrics'!B:B,$E$4,'Data - Monthly Metrics'!C:C,"TKP",'Data - Monthly Metrics'!D:D,"Drops - Target (#)"))</f>
        <v/>
      </c>
      <c r="J15" s="98">
        <f>IF(COUNTIFS('Data - Monthly Metrics'!A:A,$B$4,'Data - Monthly Metrics'!B:B,$E$4,'Data - Monthly Metrics'!C:C,"TKP",'Data - Monthly Metrics'!D:D,"Drops - Non-Target (#)")=0,"-",SUMIFS('Data - Monthly Metrics'!E:E,'Data - Monthly Metrics'!A:A,$B$4,'Data - Monthly Metrics'!B:B,$E$4,'Data - Monthly Metrics'!C:C,"TKP",'Data - Monthly Metrics'!D:D,"Drops - Non-Target (#)"))</f>
        <v/>
      </c>
      <c r="K15" s="97">
        <f>IFERROR((SUMIFS('Data - Monthly Metrics'!E:E,'Data - Monthly Metrics'!A:A,$B$4,'Data - Monthly Metrics'!B:B,$E$4,'Data - Monthly Metrics'!C:C,"TKP",'Data - Monthly Metrics'!D:D,"Revenue Retained - Target ($)")+SUMIFS('Data - Monthly Metrics'!E:E,'Data - Monthly Metrics'!A:A,$B$4,'Data - Monthly Metrics'!B:B,$E$4,'Data - Monthly Metrics'!C:C,"TKP",'Data - Monthly Metrics'!D:D,"Revenue Retained - Non-Target ($)"))/(SUMIFS('Data - Monthly Metrics'!E:E,'Data - Monthly Metrics'!A:A,$B$4,'Data - Monthly Metrics'!B:B,$E$4,'Data - Monthly Metrics'!C:C,"TKP",'Data - Monthly Metrics'!D:D,"Revenue Up for Renewal - Target ($)")+SUMIFS('Data - Monthly Metrics'!E:E,'Data - Monthly Metrics'!A:A,$B$4,'Data - Monthly Metrics'!B:B,$E$4,'Data - Monthly Metrics'!C:C,"TKP",'Data - Monthly Metrics'!D:D,"Revenue Up for Renewal - Non-Target ($)")),"-")</f>
        <v/>
      </c>
      <c r="L15" s="97">
        <f>IF(COUNTIFS('Data - Monthly Metrics'!A:A,$B$4,'Data - Monthly Metrics'!B:B,$E$4,'Data - Monthly Metrics'!C:C,"TKP",'Data - Monthly Metrics'!D:D,"Penetration - Combined %")=0,"-",SUMIFS('Data - Monthly Metrics'!E:E,'Data - Monthly Metrics'!A:A,$B$4,'Data - Monthly Metrics'!B:B,$E$4,'Data - Monthly Metrics'!C:C,"TKP",'Data - Monthly Metrics'!D:D,"Penetration - Combined %"))</f>
        <v/>
      </c>
      <c r="M15" s="97">
        <f>IFERROR((SUMIFS('Data - Monthly Metrics'!E:E,'Data - Monthly Metrics'!A:A,$B$4,'Data - Monthly Metrics'!B:B,$E$4,'Data - Monthly Metrics'!C:C,"TKP",'Data - Monthly Metrics'!D:D,"Members Retained - Target (#)")+SUMIFS('Data - Monthly Metrics'!E:E,'Data - Monthly Metrics'!A:A,$B$4,'Data - Monthly Metrics'!B:B,$E$4,'Data - Monthly Metrics'!C:C,"TKP",'Data - Monthly Metrics'!D:D,"Members Retained - Non-Target (#)"))/(SUMIFS('Data - Monthly Metrics'!E:E,'Data - Monthly Metrics'!A:A,$B$4,'Data - Monthly Metrics'!B:B,$E$4,'Data - Monthly Metrics'!C:C,"TKP",'Data - Monthly Metrics'!D:D,"Members Up for Renewal - Target (#)")+SUMIFS('Data - Monthly Metrics'!E:E,'Data - Monthly Metrics'!A:A,$B$4,'Data - Monthly Metrics'!B:B,$E$4,'Data - Monthly Metrics'!C:C,"TKP",'Data - Monthly Metrics'!D:D,"Members Up for Renewal - Non-Target (#)")),"-")</f>
        <v/>
      </c>
    </row>
    <row r="16" ht="14.25" customHeight="1" s="82">
      <c r="A16" s="89" t="inlineStr">
        <is>
          <t>Southeast</t>
        </is>
      </c>
      <c r="B16" s="90" t="n"/>
      <c r="C16" s="91">
        <f>IF(COUNTIFS('Data - Monthly Metrics'!A:A,$B$4,'Data - Monthly Metrics'!B:B,$E$4,'Data - Monthly Metrics'!C:C,"Southeast",'Data - Monthly Metrics'!D:D,"Goal - New Sales Revenue ($)")=0,"-",SUMIFS('Data - Monthly Metrics'!E:E,'Data - Monthly Metrics'!A:A,$B$4,'Data - Monthly Metrics'!B:B,$E$4,'Data - Monthly Metrics'!C:C,"Southeast",'Data - Monthly Metrics'!D:D,"Goal - New Sales Revenue ($)"))</f>
        <v/>
      </c>
      <c r="D16" s="91">
        <f>IF(COUNTIFS('Data - Monthly Metrics'!A:A,$B$4,'Data - Monthly Metrics'!B:B,$E$4,'Data - Monthly Metrics'!C:C,"Southeast",'Data - Monthly Metrics'!D:D,"New Sales Revenue - Target ($)")+SUMIFS('Data - Monthly Metrics'!E:E,'Data - Monthly Metrics'!A:A,$B$4,'Data - Monthly Metrics'!B:B,$E$4,'Data - Monthly Metrics'!C:C,"Southeast",'Data - Monthly Metrics'!D:D,"New Sales Revenue - Non-Target ($)")=0,"-",SUMIFS('Data - Monthly Metrics'!E:E,'Data - Monthly Metrics'!A:A,$B$4,'Data - Monthly Metrics'!B:B,$E$4,'Data - Monthly Metrics'!C:C,"Southeast",'Data - Monthly Metrics'!D:D,"New Sales Revenue - Target ($)")+SUMIFS('Data - Monthly Metrics'!E:E,'Data - Monthly Metrics'!A:A,$B$4,'Data - Monthly Metrics'!B:B,$E$4,'Data - Monthly Metrics'!C:C,"Southeast",'Data - Monthly Metrics'!D:D,"New Sales Revenue - Non-Target ($)"))</f>
        <v/>
      </c>
      <c r="E16" s="92">
        <f>IF(OR(NOT(ISNUMBER(C16)),C16=0),"-",D16/C16)</f>
        <v/>
      </c>
      <c r="F16" s="93">
        <f>IF(COUNTIFS('Data - Monthly Metrics'!A:A,$B$4,'Data - Monthly Metrics'!B:B,$E$4,'Data - Monthly Metrics'!C:C,"Southeast",'Data - Monthly Metrics'!D:D,"Goal - New Members (#)")=0,"-",SUMIFS('Data - Monthly Metrics'!E:E,'Data - Monthly Metrics'!A:A,$B$4,'Data - Monthly Metrics'!B:B,$E$4,'Data - Monthly Metrics'!C:C,"Southeast",'Data - Monthly Metrics'!D:D,"Goal - New Members (#)"))</f>
        <v/>
      </c>
      <c r="G16" s="93">
        <f>IF(COUNTIFS('Data - Monthly Metrics'!A:A,$B$4,'Data - Monthly Metrics'!B:B,$E$4,'Data - Monthly Metrics'!C:C,"Southeast",'Data - Monthly Metrics'!D:D,"New Members - Target (#)")=0,"-",SUMIFS('Data - Monthly Metrics'!E:E,'Data - Monthly Metrics'!A:A,$B$4,'Data - Monthly Metrics'!B:B,$E$4,'Data - Monthly Metrics'!C:C,"Southeast",'Data - Monthly Metrics'!D:D,"New Members - Target (#)"))</f>
        <v/>
      </c>
      <c r="H16" s="93">
        <f>IF(COUNTIFS('Data - Monthly Metrics'!A:A,$B$4,'Data - Monthly Metrics'!B:B,$E$4,'Data - Monthly Metrics'!C:C,"Southeast",'Data - Monthly Metrics'!D:D,"New Members - Non-Target (#)")=0,"-",SUMIFS('Data - Monthly Metrics'!E:E,'Data - Monthly Metrics'!A:A,$B$4,'Data - Monthly Metrics'!B:B,$E$4,'Data - Monthly Metrics'!C:C,"Southeast",'Data - Monthly Metrics'!D:D,"New Members - Non-Target (#)"))</f>
        <v/>
      </c>
      <c r="I16" s="93">
        <f>IF(COUNTIFS('Data - Monthly Metrics'!A:A,$B$4,'Data - Monthly Metrics'!B:B,$E$4,'Data - Monthly Metrics'!C:C,"Southeast",'Data - Monthly Metrics'!D:D,"Drops - Target (#)")=0,"-",SUMIFS('Data - Monthly Metrics'!E:E,'Data - Monthly Metrics'!A:A,$B$4,'Data - Monthly Metrics'!B:B,$E$4,'Data - Monthly Metrics'!C:C,"Southeast",'Data - Monthly Metrics'!D:D,"Drops - Target (#)"))</f>
        <v/>
      </c>
      <c r="J16" s="93">
        <f>IF(COUNTIFS('Data - Monthly Metrics'!A:A,$B$4,'Data - Monthly Metrics'!B:B,$E$4,'Data - Monthly Metrics'!C:C,"Southeast",'Data - Monthly Metrics'!D:D,"Drops - Non-Target (#)")=0,"-",SUMIFS('Data - Monthly Metrics'!E:E,'Data - Monthly Metrics'!A:A,$B$4,'Data - Monthly Metrics'!B:B,$E$4,'Data - Monthly Metrics'!C:C,"Southeast",'Data - Monthly Metrics'!D:D,"Drops - Non-Target (#)"))</f>
        <v/>
      </c>
      <c r="K16" s="92">
        <f>IFERROR((SUMIFS('Data - Monthly Metrics'!E:E,'Data - Monthly Metrics'!A:A,$B$4,'Data - Monthly Metrics'!B:B,$E$4,'Data - Monthly Metrics'!C:C,"Southeast",'Data - Monthly Metrics'!D:D,"Revenue Retained - Target ($)")+SUMIFS('Data - Monthly Metrics'!E:E,'Data - Monthly Metrics'!A:A,$B$4,'Data - Monthly Metrics'!B:B,$E$4,'Data - Monthly Metrics'!C:C,"Southeast",'Data - Monthly Metrics'!D:D,"Revenue Retained - Non-Target ($)"))/(SUMIFS('Data - Monthly Metrics'!E:E,'Data - Monthly Metrics'!A:A,$B$4,'Data - Monthly Metrics'!B:B,$E$4,'Data - Monthly Metrics'!C:C,"Southeast",'Data - Monthly Metrics'!D:D,"Revenue Up for Renewal - Target ($)")+SUMIFS('Data - Monthly Metrics'!E:E,'Data - Monthly Metrics'!A:A,$B$4,'Data - Monthly Metrics'!B:B,$E$4,'Data - Monthly Metrics'!C:C,"Southeast",'Data - Monthly Metrics'!D:D,"Revenue Up for Renewal - Non-Target ($)")),"-")</f>
        <v/>
      </c>
      <c r="L16" s="92">
        <f>IF(COUNTIFS('Data - Monthly Metrics'!A:A,$B$4,'Data - Monthly Metrics'!B:B,$E$4,'Data - Monthly Metrics'!C:C,"Southeast",'Data - Monthly Metrics'!D:D,"Penetration - Combined %")=0,"-",SUMIFS('Data - Monthly Metrics'!E:E,'Data - Monthly Metrics'!A:A,$B$4,'Data - Monthly Metrics'!B:B,$E$4,'Data - Monthly Metrics'!C:C,"Southeast",'Data - Monthly Metrics'!D:D,"Penetration - Combined %"))</f>
        <v/>
      </c>
      <c r="M16" s="92">
        <f>IFERROR((SUMIFS('Data - Monthly Metrics'!E:E,'Data - Monthly Metrics'!A:A,$B$4,'Data - Monthly Metrics'!B:B,$E$4,'Data - Monthly Metrics'!C:C,"Southeast",'Data - Monthly Metrics'!D:D,"Members Retained - Target (#)")+SUMIFS('Data - Monthly Metrics'!E:E,'Data - Monthly Metrics'!A:A,$B$4,'Data - Monthly Metrics'!B:B,$E$4,'Data - Monthly Metrics'!C:C,"Southeast",'Data - Monthly Metrics'!D:D,"Members Retained - Non-Target (#)"))/(SUMIFS('Data - Monthly Metrics'!E:E,'Data - Monthly Metrics'!A:A,$B$4,'Data - Monthly Metrics'!B:B,$E$4,'Data - Monthly Metrics'!C:C,"Southeast",'Data - Monthly Metrics'!D:D,"Members Up for Renewal - Target (#)")+SUMIFS('Data - Monthly Metrics'!E:E,'Data - Monthly Metrics'!A:A,$B$4,'Data - Monthly Metrics'!B:B,$E$4,'Data - Monthly Metrics'!C:C,"Southeast",'Data - Monthly Metrics'!D:D,"Members Up for Renewal - Non-Target (#)")),"-")</f>
        <v/>
      </c>
    </row>
    <row r="17" ht="14.25" customHeight="1" s="82">
      <c r="A17" s="94" t="inlineStr">
        <is>
          <t>NorthCentral</t>
        </is>
      </c>
      <c r="B17" s="95" t="n"/>
      <c r="C17" s="96">
        <f>IF(COUNTIFS('Data - Monthly Metrics'!A:A,$B$4,'Data - Monthly Metrics'!B:B,$E$4,'Data - Monthly Metrics'!C:C,"NorthCentral",'Data - Monthly Metrics'!D:D,"Goal - New Sales Revenue ($)")=0,"-",SUMIFS('Data - Monthly Metrics'!E:E,'Data - Monthly Metrics'!A:A,$B$4,'Data - Monthly Metrics'!B:B,$E$4,'Data - Monthly Metrics'!C:C,"NorthCentral",'Data - Monthly Metrics'!D:D,"Goal - New Sales Revenue ($)"))</f>
        <v/>
      </c>
      <c r="D17" s="96">
        <f>IF(COUNTIFS('Data - Monthly Metrics'!A:A,$B$4,'Data - Monthly Metrics'!B:B,$E$4,'Data - Monthly Metrics'!C:C,"NorthCentral",'Data - Monthly Metrics'!D:D,"New Sales Revenue - Target ($)")+SUMIFS('Data - Monthly Metrics'!E:E,'Data - Monthly Metrics'!A:A,$B$4,'Data - Monthly Metrics'!B:B,$E$4,'Data - Monthly Metrics'!C:C,"NorthCentral",'Data - Monthly Metrics'!D:D,"New Sales Revenue - Non-Target ($)")=0,"-",SUMIFS('Data - Monthly Metrics'!E:E,'Data - Monthly Metrics'!A:A,$B$4,'Data - Monthly Metrics'!B:B,$E$4,'Data - Monthly Metrics'!C:C,"NorthCentral",'Data - Monthly Metrics'!D:D,"New Sales Revenue - Target ($)")+SUMIFS('Data - Monthly Metrics'!E:E,'Data - Monthly Metrics'!A:A,$B$4,'Data - Monthly Metrics'!B:B,$E$4,'Data - Monthly Metrics'!C:C,"NorthCentral",'Data - Monthly Metrics'!D:D,"New Sales Revenue - Non-Target ($)"))</f>
        <v/>
      </c>
      <c r="E17" s="97">
        <f>IF(OR(NOT(ISNUMBER(C17)),C17=0),"-",D17/C17)</f>
        <v/>
      </c>
      <c r="F17" s="98">
        <f>IF(COUNTIFS('Data - Monthly Metrics'!A:A,$B$4,'Data - Monthly Metrics'!B:B,$E$4,'Data - Monthly Metrics'!C:C,"NorthCentral",'Data - Monthly Metrics'!D:D,"Goal - New Members (#)")=0,"-",SUMIFS('Data - Monthly Metrics'!E:E,'Data - Monthly Metrics'!A:A,$B$4,'Data - Monthly Metrics'!B:B,$E$4,'Data - Monthly Metrics'!C:C,"NorthCentral",'Data - Monthly Metrics'!D:D,"Goal - New Members (#)"))</f>
        <v/>
      </c>
      <c r="G17" s="98">
        <f>IF(COUNTIFS('Data - Monthly Metrics'!A:A,$B$4,'Data - Monthly Metrics'!B:B,$E$4,'Data - Monthly Metrics'!C:C,"NorthCentral",'Data - Monthly Metrics'!D:D,"New Members - Target (#)")=0,"-",SUMIFS('Data - Monthly Metrics'!E:E,'Data - Monthly Metrics'!A:A,$B$4,'Data - Monthly Metrics'!B:B,$E$4,'Data - Monthly Metrics'!C:C,"NorthCentral",'Data - Monthly Metrics'!D:D,"New Members - Target (#)"))</f>
        <v/>
      </c>
      <c r="H17" s="98">
        <f>IF(COUNTIFS('Data - Monthly Metrics'!A:A,$B$4,'Data - Monthly Metrics'!B:B,$E$4,'Data - Monthly Metrics'!C:C,"NorthCentral",'Data - Monthly Metrics'!D:D,"New Members - Non-Target (#)")=0,"-",SUMIFS('Data - Monthly Metrics'!E:E,'Data - Monthly Metrics'!A:A,$B$4,'Data - Monthly Metrics'!B:B,$E$4,'Data - Monthly Metrics'!C:C,"NorthCentral",'Data - Monthly Metrics'!D:D,"New Members - Non-Target (#)"))</f>
        <v/>
      </c>
      <c r="I17" s="98">
        <f>IF(COUNTIFS('Data - Monthly Metrics'!A:A,$B$4,'Data - Monthly Metrics'!B:B,$E$4,'Data - Monthly Metrics'!C:C,"NorthCentral",'Data - Monthly Metrics'!D:D,"Drops - Target (#)")=0,"-",SUMIFS('Data - Monthly Metrics'!E:E,'Data - Monthly Metrics'!A:A,$B$4,'Data - Monthly Metrics'!B:B,$E$4,'Data - Monthly Metrics'!C:C,"NorthCentral",'Data - Monthly Metrics'!D:D,"Drops - Target (#)"))</f>
        <v/>
      </c>
      <c r="J17" s="98">
        <f>IF(COUNTIFS('Data - Monthly Metrics'!A:A,$B$4,'Data - Monthly Metrics'!B:B,$E$4,'Data - Monthly Metrics'!C:C,"NorthCentral",'Data - Monthly Metrics'!D:D,"Drops - Non-Target (#)")=0,"-",SUMIFS('Data - Monthly Metrics'!E:E,'Data - Monthly Metrics'!A:A,$B$4,'Data - Monthly Metrics'!B:B,$E$4,'Data - Monthly Metrics'!C:C,"NorthCentral",'Data - Monthly Metrics'!D:D,"Drops - Non-Target (#)"))</f>
        <v/>
      </c>
      <c r="K17" s="97">
        <f>IFERROR((SUMIFS('Data - Monthly Metrics'!E:E,'Data - Monthly Metrics'!A:A,$B$4,'Data - Monthly Metrics'!B:B,$E$4,'Data - Monthly Metrics'!C:C,"NorthCentral",'Data - Monthly Metrics'!D:D,"Revenue Retained - Target ($)")+SUMIFS('Data - Monthly Metrics'!E:E,'Data - Monthly Metrics'!A:A,$B$4,'Data - Monthly Metrics'!B:B,$E$4,'Data - Monthly Metrics'!C:C,"NorthCentral",'Data - Monthly Metrics'!D:D,"Revenue Retained - Non-Target ($)"))/(SUMIFS('Data - Monthly Metrics'!E:E,'Data - Monthly Metrics'!A:A,$B$4,'Data - Monthly Metrics'!B:B,$E$4,'Data - Monthly Metrics'!C:C,"NorthCentral",'Data - Monthly Metrics'!D:D,"Revenue Up for Renewal - Target ($)")+SUMIFS('Data - Monthly Metrics'!E:E,'Data - Monthly Metrics'!A:A,$B$4,'Data - Monthly Metrics'!B:B,$E$4,'Data - Monthly Metrics'!C:C,"NorthCentral",'Data - Monthly Metrics'!D:D,"Revenue Up for Renewal - Non-Target ($)")),"-")</f>
        <v/>
      </c>
      <c r="L17" s="97">
        <f>IF(COUNTIFS('Data - Monthly Metrics'!A:A,$B$4,'Data - Monthly Metrics'!B:B,$E$4,'Data - Monthly Metrics'!C:C,"NorthCentral",'Data - Monthly Metrics'!D:D,"Penetration - Combined %")=0,"-",SUMIFS('Data - Monthly Metrics'!E:E,'Data - Monthly Metrics'!A:A,$B$4,'Data - Monthly Metrics'!B:B,$E$4,'Data - Monthly Metrics'!C:C,"NorthCentral",'Data - Monthly Metrics'!D:D,"Penetration - Combined %"))</f>
        <v/>
      </c>
      <c r="M17" s="97">
        <f>IFERROR((SUMIFS('Data - Monthly Metrics'!E:E,'Data - Monthly Metrics'!A:A,$B$4,'Data - Monthly Metrics'!B:B,$E$4,'Data - Monthly Metrics'!C:C,"NorthCentral",'Data - Monthly Metrics'!D:D,"Members Retained - Target (#)")+SUMIFS('Data - Monthly Metrics'!E:E,'Data - Monthly Metrics'!A:A,$B$4,'Data - Monthly Metrics'!B:B,$E$4,'Data - Monthly Metrics'!C:C,"NorthCentral",'Data - Monthly Metrics'!D:D,"Members Retained - Non-Target (#)"))/(SUMIFS('Data - Monthly Metrics'!E:E,'Data - Monthly Metrics'!A:A,$B$4,'Data - Monthly Metrics'!B:B,$E$4,'Data - Monthly Metrics'!C:C,"NorthCentral",'Data - Monthly Metrics'!D:D,"Members Up for Renewal - Target (#)")+SUMIFS('Data - Monthly Metrics'!E:E,'Data - Monthly Metrics'!A:A,$B$4,'Data - Monthly Metrics'!B:B,$E$4,'Data - Monthly Metrics'!C:C,"NorthCentral",'Data - Monthly Metrics'!D:D,"Members Up for Renewal - Non-Target (#)")),"-")</f>
        <v/>
      </c>
    </row>
    <row r="18" ht="14.25" customHeight="1" s="82">
      <c r="A18" s="89" t="inlineStr">
        <is>
          <t>Majors/NRA</t>
        </is>
      </c>
      <c r="B18" s="90" t="n"/>
      <c r="C18" s="91">
        <f>IF(COUNTIFS('Data - Monthly Metrics'!A:A,$B$4,'Data - Monthly Metrics'!B:B,$E$4,'Data - Monthly Metrics'!C:C,"Majors/NRA",'Data - Monthly Metrics'!D:D,"Goal - New Sales Revenue ($)")=0,"-",SUMIFS('Data - Monthly Metrics'!E:E,'Data - Monthly Metrics'!A:A,$B$4,'Data - Monthly Metrics'!B:B,$E$4,'Data - Monthly Metrics'!C:C,"Majors/NRA",'Data - Monthly Metrics'!D:D,"Goal - New Sales Revenue ($)"))</f>
        <v/>
      </c>
      <c r="D18" s="91">
        <f>IF(COUNTIFS('Data - Monthly Metrics'!A:A,$B$4,'Data - Monthly Metrics'!B:B,$E$4,'Data - Monthly Metrics'!C:C,"Majors/NRA",'Data - Monthly Metrics'!D:D,"New Sales Revenue - Target ($)")+SUMIFS('Data - Monthly Metrics'!E:E,'Data - Monthly Metrics'!A:A,$B$4,'Data - Monthly Metrics'!B:B,$E$4,'Data - Monthly Metrics'!C:C,"Majors/NRA",'Data - Monthly Metrics'!D:D,"New Sales Revenue - Non-Target ($)")=0,"-",SUMIFS('Data - Monthly Metrics'!E:E,'Data - Monthly Metrics'!A:A,$B$4,'Data - Monthly Metrics'!B:B,$E$4,'Data - Monthly Metrics'!C:C,"Majors/NRA",'Data - Monthly Metrics'!D:D,"New Sales Revenue - Target ($)")+SUMIFS('Data - Monthly Metrics'!E:E,'Data - Monthly Metrics'!A:A,$B$4,'Data - Monthly Metrics'!B:B,$E$4,'Data - Monthly Metrics'!C:C,"Majors/NRA",'Data - Monthly Metrics'!D:D,"New Sales Revenue - Non-Target ($)"))</f>
        <v/>
      </c>
      <c r="E18" s="92">
        <f>IF(OR(NOT(ISNUMBER(C18)),C18=0),"-",D18/C18)</f>
        <v/>
      </c>
      <c r="F18" s="93">
        <f>IF(COUNTIFS('Data - Monthly Metrics'!A:A,$B$4,'Data - Monthly Metrics'!B:B,$E$4,'Data - Monthly Metrics'!C:C,"Majors/NRA",'Data - Monthly Metrics'!D:D,"Goal - New Members (#)")=0,"-",SUMIFS('Data - Monthly Metrics'!E:E,'Data - Monthly Metrics'!A:A,$B$4,'Data - Monthly Metrics'!B:B,$E$4,'Data - Monthly Metrics'!C:C,"Majors/NRA",'Data - Monthly Metrics'!D:D,"Goal - New Members (#)"))</f>
        <v/>
      </c>
      <c r="G18" s="93">
        <f>IF(COUNTIFS('Data - Monthly Metrics'!A:A,$B$4,'Data - Monthly Metrics'!B:B,$E$4,'Data - Monthly Metrics'!C:C,"Majors/NRA",'Data - Monthly Metrics'!D:D,"New Members - Target (#)")=0,"-",SUMIFS('Data - Monthly Metrics'!E:E,'Data - Monthly Metrics'!A:A,$B$4,'Data - Monthly Metrics'!B:B,$E$4,'Data - Monthly Metrics'!C:C,"Majors/NRA",'Data - Monthly Metrics'!D:D,"New Members - Target (#)"))</f>
        <v/>
      </c>
      <c r="H18" s="93">
        <f>IF(COUNTIFS('Data - Monthly Metrics'!A:A,$B$4,'Data - Monthly Metrics'!B:B,$E$4,'Data - Monthly Metrics'!C:C,"Majors/NRA",'Data - Monthly Metrics'!D:D,"New Members - Non-Target (#)")=0,"-",SUMIFS('Data - Monthly Metrics'!E:E,'Data - Monthly Metrics'!A:A,$B$4,'Data - Monthly Metrics'!B:B,$E$4,'Data - Monthly Metrics'!C:C,"Majors/NRA",'Data - Monthly Metrics'!D:D,"New Members - Non-Target (#)"))</f>
        <v/>
      </c>
      <c r="I18" s="93">
        <f>IF(COUNTIFS('Data - Monthly Metrics'!A:A,$B$4,'Data - Monthly Metrics'!B:B,$E$4,'Data - Monthly Metrics'!C:C,"Majors/NRA",'Data - Monthly Metrics'!D:D,"Drops - Target (#)")=0,"-",SUMIFS('Data - Monthly Metrics'!E:E,'Data - Monthly Metrics'!A:A,$B$4,'Data - Monthly Metrics'!B:B,$E$4,'Data - Monthly Metrics'!C:C,"Majors/NRA",'Data - Monthly Metrics'!D:D,"Drops - Target (#)"))</f>
        <v/>
      </c>
      <c r="J18" s="93">
        <f>IF(COUNTIFS('Data - Monthly Metrics'!A:A,$B$4,'Data - Monthly Metrics'!B:B,$E$4,'Data - Monthly Metrics'!C:C,"Majors/NRA",'Data - Monthly Metrics'!D:D,"Drops - Non-Target (#)")=0,"-",SUMIFS('Data - Monthly Metrics'!E:E,'Data - Monthly Metrics'!A:A,$B$4,'Data - Monthly Metrics'!B:B,$E$4,'Data - Monthly Metrics'!C:C,"Majors/NRA",'Data - Monthly Metrics'!D:D,"Drops - Non-Target (#)"))</f>
        <v/>
      </c>
      <c r="K18" s="92">
        <f>IFERROR((SUMIFS('Data - Monthly Metrics'!E:E,'Data - Monthly Metrics'!A:A,$B$4,'Data - Monthly Metrics'!B:B,$E$4,'Data - Monthly Metrics'!C:C,"Majors/NRA",'Data - Monthly Metrics'!D:D,"Revenue Retained - Target ($)")+SUMIFS('Data - Monthly Metrics'!E:E,'Data - Monthly Metrics'!A:A,$B$4,'Data - Monthly Metrics'!B:B,$E$4,'Data - Monthly Metrics'!C:C,"Majors/NRA",'Data - Monthly Metrics'!D:D,"Revenue Retained - Non-Target ($)"))/(SUMIFS('Data - Monthly Metrics'!E:E,'Data - Monthly Metrics'!A:A,$B$4,'Data - Monthly Metrics'!B:B,$E$4,'Data - Monthly Metrics'!C:C,"Majors/NRA",'Data - Monthly Metrics'!D:D,"Revenue Up for Renewal - Target ($)")+SUMIFS('Data - Monthly Metrics'!E:E,'Data - Monthly Metrics'!A:A,$B$4,'Data - Monthly Metrics'!B:B,$E$4,'Data - Monthly Metrics'!C:C,"Majors/NRA",'Data - Monthly Metrics'!D:D,"Revenue Up for Renewal - Non-Target ($)")),"-")</f>
        <v/>
      </c>
      <c r="L18" s="92">
        <f>IF(COUNTIFS('Data - Monthly Metrics'!A:A,$B$4,'Data - Monthly Metrics'!B:B,$E$4,'Data - Monthly Metrics'!C:C,"Majors/NRA",'Data - Monthly Metrics'!D:D,"Penetration - Combined %")=0,"-",SUMIFS('Data - Monthly Metrics'!E:E,'Data - Monthly Metrics'!A:A,$B$4,'Data - Monthly Metrics'!B:B,$E$4,'Data - Monthly Metrics'!C:C,"Majors/NRA",'Data - Monthly Metrics'!D:D,"Penetration - Combined %"))</f>
        <v/>
      </c>
      <c r="M18" s="92">
        <f>IFERROR((SUMIFS('Data - Monthly Metrics'!E:E,'Data - Monthly Metrics'!A:A,$B$4,'Data - Monthly Metrics'!B:B,$E$4,'Data - Monthly Metrics'!C:C,"Majors/NRA",'Data - Monthly Metrics'!D:D,"Members Retained - Target (#)")+SUMIFS('Data - Monthly Metrics'!E:E,'Data - Monthly Metrics'!A:A,$B$4,'Data - Monthly Metrics'!B:B,$E$4,'Data - Monthly Metrics'!C:C,"Majors/NRA",'Data - Monthly Metrics'!D:D,"Members Retained - Non-Target (#)"))/(SUMIFS('Data - Monthly Metrics'!E:E,'Data - Monthly Metrics'!A:A,$B$4,'Data - Monthly Metrics'!B:B,$E$4,'Data - Monthly Metrics'!C:C,"Majors/NRA",'Data - Monthly Metrics'!D:D,"Members Up for Renewal - Target (#)")+SUMIFS('Data - Monthly Metrics'!E:E,'Data - Monthly Metrics'!A:A,$B$4,'Data - Monthly Metrics'!B:B,$E$4,'Data - Monthly Metrics'!C:C,"Majors/NRA",'Data - Monthly Metrics'!D:D,"Members Up for Renewal - Non-Target (#)")),"-")</f>
        <v/>
      </c>
    </row>
    <row r="19" ht="14.25" customHeight="1" s="82">
      <c r="A19" s="99" t="inlineStr">
        <is>
          <t>STATEWIDE</t>
        </is>
      </c>
      <c r="B19" s="100" t="n"/>
      <c r="C19" s="101">
        <f>SUM(C8:C18)</f>
        <v/>
      </c>
      <c r="D19" s="101">
        <f>SUM(D8:D18)</f>
        <v/>
      </c>
      <c r="E19" s="102">
        <f>IF(OR(NOT(ISNUMBER(C19)),C19=0),"-",D19/C19)</f>
        <v/>
      </c>
      <c r="F19" s="103">
        <f>SUM(F8:F18)</f>
        <v/>
      </c>
      <c r="G19" s="103">
        <f>SUM(G8:G18)</f>
        <v/>
      </c>
      <c r="H19" s="103">
        <f>SUM(H8:H18)</f>
        <v/>
      </c>
      <c r="I19" s="103">
        <f>SUM(I8:I18)</f>
        <v/>
      </c>
      <c r="J19" s="103">
        <f>SUM(J8:J18)</f>
        <v/>
      </c>
      <c r="K19" s="102">
        <f>IFERROR((SUMIFS('Data - Monthly Metrics'!E:E,'Data - Monthly Metrics'!A:A,$B$4,'Data - Monthly Metrics'!B:B,$E$4,'Data - Monthly Metrics'!D:D,"Revenue Retained - Target ($)")+SUMIFS('Data - Monthly Metrics'!E:E,'Data - Monthly Metrics'!A:A,$B$4,'Data - Monthly Metrics'!B:B,$E$4,'Data - Monthly Metrics'!D:D,"Revenue Retained - Non-Target ($)"))/(SUMIFS('Data - Monthly Metrics'!E:E,'Data - Monthly Metrics'!A:A,$B$4,'Data - Monthly Metrics'!B:B,$E$4,'Data - Monthly Metrics'!D:D,"Revenue Up for Renewal - Target ($)")+SUMIFS('Data - Monthly Metrics'!E:E,'Data - Monthly Metrics'!A:A,$B$4,'Data - Monthly Metrics'!B:B,$E$4,'Data - Monthly Metrics'!D:D,"Revenue Up for Renewal - Non-Target ($)")),"-")</f>
        <v/>
      </c>
      <c r="L19" s="102">
        <f>IFERROR(AVERAGE(L8:L18),"-")</f>
        <v/>
      </c>
      <c r="M19" s="102">
        <f>IFERROR((SUMIFS('Data - Monthly Metrics'!E:E,'Data - Monthly Metrics'!A:A,$B$4,'Data - Monthly Metrics'!B:B,$E$4,'Data - Monthly Metrics'!D:D,"Members Retained - Target (#)")+SUMIFS('Data - Monthly Metrics'!E:E,'Data - Monthly Metrics'!A:A,$B$4,'Data - Monthly Metrics'!B:B,$E$4,'Data - Monthly Metrics'!D:D,"Members Retained - Non-Target (#)"))/(SUMIFS('Data - Monthly Metrics'!E:E,'Data - Monthly Metrics'!A:A,$B$4,'Data - Monthly Metrics'!B:B,$E$4,'Data - Monthly Metrics'!D:D,"Members Up for Renewal - Target (#)")+SUMIFS('Data - Monthly Metrics'!E:E,'Data - Monthly Metrics'!A:A,$B$4,'Data - Monthly Metrics'!B:B,$E$4,'Data - Monthly Metrics'!D:D,"Members Up for Renewal - Non-Target (#)")),"-")</f>
        <v/>
      </c>
    </row>
    <row r="21" ht="21.75" customHeight="1" s="82">
      <c r="A21" s="87" t="inlineStr">
        <is>
          <t xml:space="preserve">  ▶   B.  DROPS — Current Month Detail</t>
        </is>
      </c>
    </row>
    <row r="22" ht="22.5" customHeight="1" s="82">
      <c r="A22" s="88" t="inlineStr">
        <is>
          <t>Territory</t>
        </is>
      </c>
      <c r="B22" s="88" t="n"/>
      <c r="C22" s="88" t="inlineStr">
        <is>
          <t># Dropped (T)</t>
        </is>
      </c>
      <c r="D22" s="88" t="inlineStr">
        <is>
          <t># Dropped (NT)</t>
        </is>
      </c>
      <c r="E22" s="88" t="inlineStr">
        <is>
          <t>$ Lost (T)</t>
        </is>
      </c>
      <c r="F22" s="88" t="inlineStr">
        <is>
          <t>$ Lost (NT)</t>
        </is>
      </c>
      <c r="G22" s="88" t="inlineStr">
        <is>
          <t>Total $ Lost</t>
        </is>
      </c>
      <c r="H22" s="88" t="n"/>
    </row>
    <row r="23" ht="14.25" customHeight="1" s="82">
      <c r="A23" s="89" t="inlineStr">
        <is>
          <t>East King</t>
        </is>
      </c>
      <c r="B23" s="90" t="n"/>
      <c r="C23" s="93">
        <f>IF(COUNTIFS('Data - Monthly Metrics'!A:A,$B$4,'Data - Monthly Metrics'!B:B,$E$4,'Data - Monthly Metrics'!C:C,"East King",'Data - Monthly Metrics'!D:D,"Drops - Target (#)")=0,"-",SUMIFS('Data - Monthly Metrics'!E:E,'Data - Monthly Metrics'!A:A,$B$4,'Data - Monthly Metrics'!B:B,$E$4,'Data - Monthly Metrics'!C:C,"East King",'Data - Monthly Metrics'!D:D,"Drops - Target (#)"))</f>
        <v/>
      </c>
      <c r="D23" s="93">
        <f>IF(COUNTIFS('Data - Monthly Metrics'!A:A,$B$4,'Data - Monthly Metrics'!B:B,$E$4,'Data - Monthly Metrics'!C:C,"East King",'Data - Monthly Metrics'!D:D,"Drops - Non-Target (#)")=0,"-",SUMIFS('Data - Monthly Metrics'!E:E,'Data - Monthly Metrics'!A:A,$B$4,'Data - Monthly Metrics'!B:B,$E$4,'Data - Monthly Metrics'!C:C,"East King",'Data - Monthly Metrics'!D:D,"Drops - Non-Target (#)"))</f>
        <v/>
      </c>
      <c r="E23" s="91">
        <f>IF(COUNTIFS('Data - Monthly Metrics'!A:A,$B$4,'Data - Monthly Metrics'!B:B,$E$4,'Data - Monthly Metrics'!C:C,"East King",'Data - Monthly Metrics'!D:D,"Dropped Revenue - Target ($)")=0,"-",SUMIFS('Data - Monthly Metrics'!E:E,'Data - Monthly Metrics'!A:A,$B$4,'Data - Monthly Metrics'!B:B,$E$4,'Data - Monthly Metrics'!C:C,"East King",'Data - Monthly Metrics'!D:D,"Dropped Revenue - Target ($)"))</f>
        <v/>
      </c>
      <c r="F23" s="91">
        <f>IF(COUNTIFS('Data - Monthly Metrics'!A:A,$B$4,'Data - Monthly Metrics'!B:B,$E$4,'Data - Monthly Metrics'!C:C,"East King",'Data - Monthly Metrics'!D:D,"Dropped Revenue - Non-Target ($)")=0,"-",SUMIFS('Data - Monthly Metrics'!E:E,'Data - Monthly Metrics'!A:A,$B$4,'Data - Monthly Metrics'!B:B,$E$4,'Data - Monthly Metrics'!C:C,"East King",'Data - Monthly Metrics'!D:D,"Dropped Revenue - Non-Target ($)"))</f>
        <v/>
      </c>
      <c r="G23" s="91">
        <f>E23+F23</f>
        <v/>
      </c>
      <c r="H23" s="90" t="n"/>
    </row>
    <row r="24" ht="14.25" customHeight="1" s="82">
      <c r="A24" s="94" t="inlineStr">
        <is>
          <t>South King</t>
        </is>
      </c>
      <c r="B24" s="95" t="n"/>
      <c r="C24" s="98">
        <f>IF(COUNTIFS('Data - Monthly Metrics'!A:A,$B$4,'Data - Monthly Metrics'!B:B,$E$4,'Data - Monthly Metrics'!C:C,"South King",'Data - Monthly Metrics'!D:D,"Drops - Target (#)")=0,"-",SUMIFS('Data - Monthly Metrics'!E:E,'Data - Monthly Metrics'!A:A,$B$4,'Data - Monthly Metrics'!B:B,$E$4,'Data - Monthly Metrics'!C:C,"South King",'Data - Monthly Metrics'!D:D,"Drops - Target (#)"))</f>
        <v/>
      </c>
      <c r="D24" s="98">
        <f>IF(COUNTIFS('Data - Monthly Metrics'!A:A,$B$4,'Data - Monthly Metrics'!B:B,$E$4,'Data - Monthly Metrics'!C:C,"South King",'Data - Monthly Metrics'!D:D,"Drops - Non-Target (#)")=0,"-",SUMIFS('Data - Monthly Metrics'!E:E,'Data - Monthly Metrics'!A:A,$B$4,'Data - Monthly Metrics'!B:B,$E$4,'Data - Monthly Metrics'!C:C,"South King",'Data - Monthly Metrics'!D:D,"Drops - Non-Target (#)"))</f>
        <v/>
      </c>
      <c r="E24" s="96">
        <f>IF(COUNTIFS('Data - Monthly Metrics'!A:A,$B$4,'Data - Monthly Metrics'!B:B,$E$4,'Data - Monthly Metrics'!C:C,"South King",'Data - Monthly Metrics'!D:D,"Dropped Revenue - Target ($)")=0,"-",SUMIFS('Data - Monthly Metrics'!E:E,'Data - Monthly Metrics'!A:A,$B$4,'Data - Monthly Metrics'!B:B,$E$4,'Data - Monthly Metrics'!C:C,"South King",'Data - Monthly Metrics'!D:D,"Dropped Revenue - Target ($)"))</f>
        <v/>
      </c>
      <c r="F24" s="96">
        <f>IF(COUNTIFS('Data - Monthly Metrics'!A:A,$B$4,'Data - Monthly Metrics'!B:B,$E$4,'Data - Monthly Metrics'!C:C,"South King",'Data - Monthly Metrics'!D:D,"Dropped Revenue - Non-Target ($)")=0,"-",SUMIFS('Data - Monthly Metrics'!E:E,'Data - Monthly Metrics'!A:A,$B$4,'Data - Monthly Metrics'!B:B,$E$4,'Data - Monthly Metrics'!C:C,"South King",'Data - Monthly Metrics'!D:D,"Dropped Revenue - Non-Target ($)"))</f>
        <v/>
      </c>
      <c r="G24" s="96">
        <f>E24+F24</f>
        <v/>
      </c>
      <c r="H24" s="95" t="n"/>
    </row>
    <row r="25" ht="14.25" customHeight="1" s="82">
      <c r="A25" s="89" t="inlineStr">
        <is>
          <t>North King</t>
        </is>
      </c>
      <c r="B25" s="90" t="n"/>
      <c r="C25" s="93">
        <f>IF(COUNTIFS('Data - Monthly Metrics'!A:A,$B$4,'Data - Monthly Metrics'!B:B,$E$4,'Data - Monthly Metrics'!C:C,"North King",'Data - Monthly Metrics'!D:D,"Drops - Target (#)")=0,"-",SUMIFS('Data - Monthly Metrics'!E:E,'Data - Monthly Metrics'!A:A,$B$4,'Data - Monthly Metrics'!B:B,$E$4,'Data - Monthly Metrics'!C:C,"North King",'Data - Monthly Metrics'!D:D,"Drops - Target (#)"))</f>
        <v/>
      </c>
      <c r="D25" s="93">
        <f>IF(COUNTIFS('Data - Monthly Metrics'!A:A,$B$4,'Data - Monthly Metrics'!B:B,$E$4,'Data - Monthly Metrics'!C:C,"North King",'Data - Monthly Metrics'!D:D,"Drops - Non-Target (#)")=0,"-",SUMIFS('Data - Monthly Metrics'!E:E,'Data - Monthly Metrics'!A:A,$B$4,'Data - Monthly Metrics'!B:B,$E$4,'Data - Monthly Metrics'!C:C,"North King",'Data - Monthly Metrics'!D:D,"Drops - Non-Target (#)"))</f>
        <v/>
      </c>
      <c r="E25" s="91">
        <f>IF(COUNTIFS('Data - Monthly Metrics'!A:A,$B$4,'Data - Monthly Metrics'!B:B,$E$4,'Data - Monthly Metrics'!C:C,"North King",'Data - Monthly Metrics'!D:D,"Dropped Revenue - Target ($)")=0,"-",SUMIFS('Data - Monthly Metrics'!E:E,'Data - Monthly Metrics'!A:A,$B$4,'Data - Monthly Metrics'!B:B,$E$4,'Data - Monthly Metrics'!C:C,"North King",'Data - Monthly Metrics'!D:D,"Dropped Revenue - Target ($)"))</f>
        <v/>
      </c>
      <c r="F25" s="91">
        <f>IF(COUNTIFS('Data - Monthly Metrics'!A:A,$B$4,'Data - Monthly Metrics'!B:B,$E$4,'Data - Monthly Metrics'!C:C,"North King",'Data - Monthly Metrics'!D:D,"Dropped Revenue - Non-Target ($)")=0,"-",SUMIFS('Data - Monthly Metrics'!E:E,'Data - Monthly Metrics'!A:A,$B$4,'Data - Monthly Metrics'!B:B,$E$4,'Data - Monthly Metrics'!C:C,"North King",'Data - Monthly Metrics'!D:D,"Dropped Revenue - Non-Target ($)"))</f>
        <v/>
      </c>
      <c r="G25" s="91">
        <f>E25+F25</f>
        <v/>
      </c>
      <c r="H25" s="90" t="n"/>
    </row>
    <row r="26" ht="14.25" customHeight="1" s="82">
      <c r="A26" s="94" t="inlineStr">
        <is>
          <t>Pierce</t>
        </is>
      </c>
      <c r="B26" s="95" t="n"/>
      <c r="C26" s="98">
        <f>IF(COUNTIFS('Data - Monthly Metrics'!A:A,$B$4,'Data - Monthly Metrics'!B:B,$E$4,'Data - Monthly Metrics'!C:C,"Pierce",'Data - Monthly Metrics'!D:D,"Drops - Target (#)")=0,"-",SUMIFS('Data - Monthly Metrics'!E:E,'Data - Monthly Metrics'!A:A,$B$4,'Data - Monthly Metrics'!B:B,$E$4,'Data - Monthly Metrics'!C:C,"Pierce",'Data - Monthly Metrics'!D:D,"Drops - Target (#)"))</f>
        <v/>
      </c>
      <c r="D26" s="98">
        <f>IF(COUNTIFS('Data - Monthly Metrics'!A:A,$B$4,'Data - Monthly Metrics'!B:B,$E$4,'Data - Monthly Metrics'!C:C,"Pierce",'Data - Monthly Metrics'!D:D,"Drops - Non-Target (#)")=0,"-",SUMIFS('Data - Monthly Metrics'!E:E,'Data - Monthly Metrics'!A:A,$B$4,'Data - Monthly Metrics'!B:B,$E$4,'Data - Monthly Metrics'!C:C,"Pierce",'Data - Monthly Metrics'!D:D,"Drops - Non-Target (#)"))</f>
        <v/>
      </c>
      <c r="E26" s="96">
        <f>IF(COUNTIFS('Data - Monthly Metrics'!A:A,$B$4,'Data - Monthly Metrics'!B:B,$E$4,'Data - Monthly Metrics'!C:C,"Pierce",'Data - Monthly Metrics'!D:D,"Dropped Revenue - Target ($)")=0,"-",SUMIFS('Data - Monthly Metrics'!E:E,'Data - Monthly Metrics'!A:A,$B$4,'Data - Monthly Metrics'!B:B,$E$4,'Data - Monthly Metrics'!C:C,"Pierce",'Data - Monthly Metrics'!D:D,"Dropped Revenue - Target ($)"))</f>
        <v/>
      </c>
      <c r="F26" s="96">
        <f>IF(COUNTIFS('Data - Monthly Metrics'!A:A,$B$4,'Data - Monthly Metrics'!B:B,$E$4,'Data - Monthly Metrics'!C:C,"Pierce",'Data - Monthly Metrics'!D:D,"Dropped Revenue - Non-Target ($)")=0,"-",SUMIFS('Data - Monthly Metrics'!E:E,'Data - Monthly Metrics'!A:A,$B$4,'Data - Monthly Metrics'!B:B,$E$4,'Data - Monthly Metrics'!C:C,"Pierce",'Data - Monthly Metrics'!D:D,"Dropped Revenue - Non-Target ($)"))</f>
        <v/>
      </c>
      <c r="G26" s="96">
        <f>E26+F26</f>
        <v/>
      </c>
      <c r="H26" s="95" t="n"/>
    </row>
    <row r="27" ht="14.25" customHeight="1" s="82">
      <c r="A27" s="89" t="inlineStr">
        <is>
          <t>Snohomish</t>
        </is>
      </c>
      <c r="B27" s="90" t="n"/>
      <c r="C27" s="93">
        <f>IF(COUNTIFS('Data - Monthly Metrics'!A:A,$B$4,'Data - Monthly Metrics'!B:B,$E$4,'Data - Monthly Metrics'!C:C,"Snohomish",'Data - Monthly Metrics'!D:D,"Drops - Target (#)")=0,"-",SUMIFS('Data - Monthly Metrics'!E:E,'Data - Monthly Metrics'!A:A,$B$4,'Data - Monthly Metrics'!B:B,$E$4,'Data - Monthly Metrics'!C:C,"Snohomish",'Data - Monthly Metrics'!D:D,"Drops - Target (#)"))</f>
        <v/>
      </c>
      <c r="D27" s="93">
        <f>IF(COUNTIFS('Data - Monthly Metrics'!A:A,$B$4,'Data - Monthly Metrics'!B:B,$E$4,'Data - Monthly Metrics'!C:C,"Snohomish",'Data - Monthly Metrics'!D:D,"Drops - Non-Target (#)")=0,"-",SUMIFS('Data - Monthly Metrics'!E:E,'Data - Monthly Metrics'!A:A,$B$4,'Data - Monthly Metrics'!B:B,$E$4,'Data - Monthly Metrics'!C:C,"Snohomish",'Data - Monthly Metrics'!D:D,"Drops - Non-Target (#)"))</f>
        <v/>
      </c>
      <c r="E27" s="91">
        <f>IF(COUNTIFS('Data - Monthly Metrics'!A:A,$B$4,'Data - Monthly Metrics'!B:B,$E$4,'Data - Monthly Metrics'!C:C,"Snohomish",'Data - Monthly Metrics'!D:D,"Dropped Revenue - Target ($)")=0,"-",SUMIFS('Data - Monthly Metrics'!E:E,'Data - Monthly Metrics'!A:A,$B$4,'Data - Monthly Metrics'!B:B,$E$4,'Data - Monthly Metrics'!C:C,"Snohomish",'Data - Monthly Metrics'!D:D,"Dropped Revenue - Target ($)"))</f>
        <v/>
      </c>
      <c r="F27" s="91">
        <f>IF(COUNTIFS('Data - Monthly Metrics'!A:A,$B$4,'Data - Monthly Metrics'!B:B,$E$4,'Data - Monthly Metrics'!C:C,"Snohomish",'Data - Monthly Metrics'!D:D,"Dropped Revenue - Non-Target ($)")=0,"-",SUMIFS('Data - Monthly Metrics'!E:E,'Data - Monthly Metrics'!A:A,$B$4,'Data - Monthly Metrics'!B:B,$E$4,'Data - Monthly Metrics'!C:C,"Snohomish",'Data - Monthly Metrics'!D:D,"Dropped Revenue - Non-Target ($)"))</f>
        <v/>
      </c>
      <c r="G27" s="91">
        <f>E27+F27</f>
        <v/>
      </c>
      <c r="H27" s="90" t="n"/>
    </row>
    <row r="28" ht="14.25" customHeight="1" s="82">
      <c r="A28" s="94" t="inlineStr">
        <is>
          <t>Spokane/NE</t>
        </is>
      </c>
      <c r="B28" s="95" t="n"/>
      <c r="C28" s="98">
        <f>IF(COUNTIFS('Data - Monthly Metrics'!A:A,$B$4,'Data - Monthly Metrics'!B:B,$E$4,'Data - Monthly Metrics'!C:C,"Spokane/NE",'Data - Monthly Metrics'!D:D,"Drops - Target (#)")=0,"-",SUMIFS('Data - Monthly Metrics'!E:E,'Data - Monthly Metrics'!A:A,$B$4,'Data - Monthly Metrics'!B:B,$E$4,'Data - Monthly Metrics'!C:C,"Spokane/NE",'Data - Monthly Metrics'!D:D,"Drops - Target (#)"))</f>
        <v/>
      </c>
      <c r="D28" s="98">
        <f>IF(COUNTIFS('Data - Monthly Metrics'!A:A,$B$4,'Data - Monthly Metrics'!B:B,$E$4,'Data - Monthly Metrics'!C:C,"Spokane/NE",'Data - Monthly Metrics'!D:D,"Drops - Non-Target (#)")=0,"-",SUMIFS('Data - Monthly Metrics'!E:E,'Data - Monthly Metrics'!A:A,$B$4,'Data - Monthly Metrics'!B:B,$E$4,'Data - Monthly Metrics'!C:C,"Spokane/NE",'Data - Monthly Metrics'!D:D,"Drops - Non-Target (#)"))</f>
        <v/>
      </c>
      <c r="E28" s="96">
        <f>IF(COUNTIFS('Data - Monthly Metrics'!A:A,$B$4,'Data - Monthly Metrics'!B:B,$E$4,'Data - Monthly Metrics'!C:C,"Spokane/NE",'Data - Monthly Metrics'!D:D,"Dropped Revenue - Target ($)")=0,"-",SUMIFS('Data - Monthly Metrics'!E:E,'Data - Monthly Metrics'!A:A,$B$4,'Data - Monthly Metrics'!B:B,$E$4,'Data - Monthly Metrics'!C:C,"Spokane/NE",'Data - Monthly Metrics'!D:D,"Dropped Revenue - Target ($)"))</f>
        <v/>
      </c>
      <c r="F28" s="96">
        <f>IF(COUNTIFS('Data - Monthly Metrics'!A:A,$B$4,'Data - Monthly Metrics'!B:B,$E$4,'Data - Monthly Metrics'!C:C,"Spokane/NE",'Data - Monthly Metrics'!D:D,"Dropped Revenue - Non-Target ($)")=0,"-",SUMIFS('Data - Monthly Metrics'!E:E,'Data - Monthly Metrics'!A:A,$B$4,'Data - Monthly Metrics'!B:B,$E$4,'Data - Monthly Metrics'!C:C,"Spokane/NE",'Data - Monthly Metrics'!D:D,"Dropped Revenue - Non-Target ($)"))</f>
        <v/>
      </c>
      <c r="G28" s="96">
        <f>E28+F28</f>
        <v/>
      </c>
      <c r="H28" s="95" t="n"/>
    </row>
    <row r="29" ht="14.25" customHeight="1" s="82">
      <c r="A29" s="89" t="inlineStr">
        <is>
          <t>Southwest</t>
        </is>
      </c>
      <c r="B29" s="90" t="n"/>
      <c r="C29" s="93">
        <f>IF(COUNTIFS('Data - Monthly Metrics'!A:A,$B$4,'Data - Monthly Metrics'!B:B,$E$4,'Data - Monthly Metrics'!C:C,"Southwest",'Data - Monthly Metrics'!D:D,"Drops - Target (#)")=0,"-",SUMIFS('Data - Monthly Metrics'!E:E,'Data - Monthly Metrics'!A:A,$B$4,'Data - Monthly Metrics'!B:B,$E$4,'Data - Monthly Metrics'!C:C,"Southwest",'Data - Monthly Metrics'!D:D,"Drops - Target (#)"))</f>
        <v/>
      </c>
      <c r="D29" s="93">
        <f>IF(COUNTIFS('Data - Monthly Metrics'!A:A,$B$4,'Data - Monthly Metrics'!B:B,$E$4,'Data - Monthly Metrics'!C:C,"Southwest",'Data - Monthly Metrics'!D:D,"Drops - Non-Target (#)")=0,"-",SUMIFS('Data - Monthly Metrics'!E:E,'Data - Monthly Metrics'!A:A,$B$4,'Data - Monthly Metrics'!B:B,$E$4,'Data - Monthly Metrics'!C:C,"Southwest",'Data - Monthly Metrics'!D:D,"Drops - Non-Target (#)"))</f>
        <v/>
      </c>
      <c r="E29" s="91">
        <f>IF(COUNTIFS('Data - Monthly Metrics'!A:A,$B$4,'Data - Monthly Metrics'!B:B,$E$4,'Data - Monthly Metrics'!C:C,"Southwest",'Data - Monthly Metrics'!D:D,"Dropped Revenue - Target ($)")=0,"-",SUMIFS('Data - Monthly Metrics'!E:E,'Data - Monthly Metrics'!A:A,$B$4,'Data - Monthly Metrics'!B:B,$E$4,'Data - Monthly Metrics'!C:C,"Southwest",'Data - Monthly Metrics'!D:D,"Dropped Revenue - Target ($)"))</f>
        <v/>
      </c>
      <c r="F29" s="91">
        <f>IF(COUNTIFS('Data - Monthly Metrics'!A:A,$B$4,'Data - Monthly Metrics'!B:B,$E$4,'Data - Monthly Metrics'!C:C,"Southwest",'Data - Monthly Metrics'!D:D,"Dropped Revenue - Non-Target ($)")=0,"-",SUMIFS('Data - Monthly Metrics'!E:E,'Data - Monthly Metrics'!A:A,$B$4,'Data - Monthly Metrics'!B:B,$E$4,'Data - Monthly Metrics'!C:C,"Southwest",'Data - Monthly Metrics'!D:D,"Dropped Revenue - Non-Target ($)"))</f>
        <v/>
      </c>
      <c r="G29" s="91">
        <f>E29+F29</f>
        <v/>
      </c>
      <c r="H29" s="90" t="n"/>
    </row>
    <row r="30" ht="14.25" customHeight="1" s="82">
      <c r="A30" s="94" t="inlineStr">
        <is>
          <t>TKP</t>
        </is>
      </c>
      <c r="B30" s="95" t="n"/>
      <c r="C30" s="98">
        <f>IF(COUNTIFS('Data - Monthly Metrics'!A:A,$B$4,'Data - Monthly Metrics'!B:B,$E$4,'Data - Monthly Metrics'!C:C,"TKP",'Data - Monthly Metrics'!D:D,"Drops - Target (#)")=0,"-",SUMIFS('Data - Monthly Metrics'!E:E,'Data - Monthly Metrics'!A:A,$B$4,'Data - Monthly Metrics'!B:B,$E$4,'Data - Monthly Metrics'!C:C,"TKP",'Data - Monthly Metrics'!D:D,"Drops - Target (#)"))</f>
        <v/>
      </c>
      <c r="D30" s="98">
        <f>IF(COUNTIFS('Data - Monthly Metrics'!A:A,$B$4,'Data - Monthly Metrics'!B:B,$E$4,'Data - Monthly Metrics'!C:C,"TKP",'Data - Monthly Metrics'!D:D,"Drops - Non-Target (#)")=0,"-",SUMIFS('Data - Monthly Metrics'!E:E,'Data - Monthly Metrics'!A:A,$B$4,'Data - Monthly Metrics'!B:B,$E$4,'Data - Monthly Metrics'!C:C,"TKP",'Data - Monthly Metrics'!D:D,"Drops - Non-Target (#)"))</f>
        <v/>
      </c>
      <c r="E30" s="96">
        <f>IF(COUNTIFS('Data - Monthly Metrics'!A:A,$B$4,'Data - Monthly Metrics'!B:B,$E$4,'Data - Monthly Metrics'!C:C,"TKP",'Data - Monthly Metrics'!D:D,"Dropped Revenue - Target ($)")=0,"-",SUMIFS('Data - Monthly Metrics'!E:E,'Data - Monthly Metrics'!A:A,$B$4,'Data - Monthly Metrics'!B:B,$E$4,'Data - Monthly Metrics'!C:C,"TKP",'Data - Monthly Metrics'!D:D,"Dropped Revenue - Target ($)"))</f>
        <v/>
      </c>
      <c r="F30" s="96">
        <f>IF(COUNTIFS('Data - Monthly Metrics'!A:A,$B$4,'Data - Monthly Metrics'!B:B,$E$4,'Data - Monthly Metrics'!C:C,"TKP",'Data - Monthly Metrics'!D:D,"Dropped Revenue - Non-Target ($)")=0,"-",SUMIFS('Data - Monthly Metrics'!E:E,'Data - Monthly Metrics'!A:A,$B$4,'Data - Monthly Metrics'!B:B,$E$4,'Data - Monthly Metrics'!C:C,"TKP",'Data - Monthly Metrics'!D:D,"Dropped Revenue - Non-Target ($)"))</f>
        <v/>
      </c>
      <c r="G30" s="96">
        <f>E30+F30</f>
        <v/>
      </c>
      <c r="H30" s="95" t="n"/>
    </row>
    <row r="31" ht="14.25" customHeight="1" s="82">
      <c r="A31" s="89" t="inlineStr">
        <is>
          <t>Southeast</t>
        </is>
      </c>
      <c r="B31" s="90" t="n"/>
      <c r="C31" s="93">
        <f>IF(COUNTIFS('Data - Monthly Metrics'!A:A,$B$4,'Data - Monthly Metrics'!B:B,$E$4,'Data - Monthly Metrics'!C:C,"Southeast",'Data - Monthly Metrics'!D:D,"Drops - Target (#)")=0,"-",SUMIFS('Data - Monthly Metrics'!E:E,'Data - Monthly Metrics'!A:A,$B$4,'Data - Monthly Metrics'!B:B,$E$4,'Data - Monthly Metrics'!C:C,"Southeast",'Data - Monthly Metrics'!D:D,"Drops - Target (#)"))</f>
        <v/>
      </c>
      <c r="D31" s="93">
        <f>IF(COUNTIFS('Data - Monthly Metrics'!A:A,$B$4,'Data - Monthly Metrics'!B:B,$E$4,'Data - Monthly Metrics'!C:C,"Southeast",'Data - Monthly Metrics'!D:D,"Drops - Non-Target (#)")=0,"-",SUMIFS('Data - Monthly Metrics'!E:E,'Data - Monthly Metrics'!A:A,$B$4,'Data - Monthly Metrics'!B:B,$E$4,'Data - Monthly Metrics'!C:C,"Southeast",'Data - Monthly Metrics'!D:D,"Drops - Non-Target (#)"))</f>
        <v/>
      </c>
      <c r="E31" s="91">
        <f>IF(COUNTIFS('Data - Monthly Metrics'!A:A,$B$4,'Data - Monthly Metrics'!B:B,$E$4,'Data - Monthly Metrics'!C:C,"Southeast",'Data - Monthly Metrics'!D:D,"Dropped Revenue - Target ($)")=0,"-",SUMIFS('Data - Monthly Metrics'!E:E,'Data - Monthly Metrics'!A:A,$B$4,'Data - Monthly Metrics'!B:B,$E$4,'Data - Monthly Metrics'!C:C,"Southeast",'Data - Monthly Metrics'!D:D,"Dropped Revenue - Target ($)"))</f>
        <v/>
      </c>
      <c r="F31" s="91">
        <f>IF(COUNTIFS('Data - Monthly Metrics'!A:A,$B$4,'Data - Monthly Metrics'!B:B,$E$4,'Data - Monthly Metrics'!C:C,"Southeast",'Data - Monthly Metrics'!D:D,"Dropped Revenue - Non-Target ($)")=0,"-",SUMIFS('Data - Monthly Metrics'!E:E,'Data - Monthly Metrics'!A:A,$B$4,'Data - Monthly Metrics'!B:B,$E$4,'Data - Monthly Metrics'!C:C,"Southeast",'Data - Monthly Metrics'!D:D,"Dropped Revenue - Non-Target ($)"))</f>
        <v/>
      </c>
      <c r="G31" s="91">
        <f>E31+F31</f>
        <v/>
      </c>
      <c r="H31" s="90" t="n"/>
    </row>
    <row r="32" ht="14.25" customHeight="1" s="82">
      <c r="A32" s="94" t="inlineStr">
        <is>
          <t>NorthCentral</t>
        </is>
      </c>
      <c r="B32" s="95" t="n"/>
      <c r="C32" s="98">
        <f>IF(COUNTIFS('Data - Monthly Metrics'!A:A,$B$4,'Data - Monthly Metrics'!B:B,$E$4,'Data - Monthly Metrics'!C:C,"NorthCentral",'Data - Monthly Metrics'!D:D,"Drops - Target (#)")=0,"-",SUMIFS('Data - Monthly Metrics'!E:E,'Data - Monthly Metrics'!A:A,$B$4,'Data - Monthly Metrics'!B:B,$E$4,'Data - Monthly Metrics'!C:C,"NorthCentral",'Data - Monthly Metrics'!D:D,"Drops - Target (#)"))</f>
        <v/>
      </c>
      <c r="D32" s="98">
        <f>IF(COUNTIFS('Data - Monthly Metrics'!A:A,$B$4,'Data - Monthly Metrics'!B:B,$E$4,'Data - Monthly Metrics'!C:C,"NorthCentral",'Data - Monthly Metrics'!D:D,"Drops - Non-Target (#)")=0,"-",SUMIFS('Data - Monthly Metrics'!E:E,'Data - Monthly Metrics'!A:A,$B$4,'Data - Monthly Metrics'!B:B,$E$4,'Data - Monthly Metrics'!C:C,"NorthCentral",'Data - Monthly Metrics'!D:D,"Drops - Non-Target (#)"))</f>
        <v/>
      </c>
      <c r="E32" s="96">
        <f>IF(COUNTIFS('Data - Monthly Metrics'!A:A,$B$4,'Data - Monthly Metrics'!B:B,$E$4,'Data - Monthly Metrics'!C:C,"NorthCentral",'Data - Monthly Metrics'!D:D,"Dropped Revenue - Target ($)")=0,"-",SUMIFS('Data - Monthly Metrics'!E:E,'Data - Monthly Metrics'!A:A,$B$4,'Data - Monthly Metrics'!B:B,$E$4,'Data - Monthly Metrics'!C:C,"NorthCentral",'Data - Monthly Metrics'!D:D,"Dropped Revenue - Target ($)"))</f>
        <v/>
      </c>
      <c r="F32" s="96">
        <f>IF(COUNTIFS('Data - Monthly Metrics'!A:A,$B$4,'Data - Monthly Metrics'!B:B,$E$4,'Data - Monthly Metrics'!C:C,"NorthCentral",'Data - Monthly Metrics'!D:D,"Dropped Revenue - Non-Target ($)")=0,"-",SUMIFS('Data - Monthly Metrics'!E:E,'Data - Monthly Metrics'!A:A,$B$4,'Data - Monthly Metrics'!B:B,$E$4,'Data - Monthly Metrics'!C:C,"NorthCentral",'Data - Monthly Metrics'!D:D,"Dropped Revenue - Non-Target ($)"))</f>
        <v/>
      </c>
      <c r="G32" s="96">
        <f>E32+F32</f>
        <v/>
      </c>
      <c r="H32" s="95" t="n"/>
    </row>
    <row r="33" ht="14.25" customHeight="1" s="82">
      <c r="A33" s="89" t="inlineStr">
        <is>
          <t>Majors/NRA</t>
        </is>
      </c>
      <c r="B33" s="90" t="n"/>
      <c r="C33" s="93">
        <f>IF(COUNTIFS('Data - Monthly Metrics'!A:A,$B$4,'Data - Monthly Metrics'!B:B,$E$4,'Data - Monthly Metrics'!C:C,"Majors/NRA",'Data - Monthly Metrics'!D:D,"Drops - Target (#)")=0,"-",SUMIFS('Data - Monthly Metrics'!E:E,'Data - Monthly Metrics'!A:A,$B$4,'Data - Monthly Metrics'!B:B,$E$4,'Data - Monthly Metrics'!C:C,"Majors/NRA",'Data - Monthly Metrics'!D:D,"Drops - Target (#)"))</f>
        <v/>
      </c>
      <c r="D33" s="93">
        <f>IF(COUNTIFS('Data - Monthly Metrics'!A:A,$B$4,'Data - Monthly Metrics'!B:B,$E$4,'Data - Monthly Metrics'!C:C,"Majors/NRA",'Data - Monthly Metrics'!D:D,"Drops - Non-Target (#)")=0,"-",SUMIFS('Data - Monthly Metrics'!E:E,'Data - Monthly Metrics'!A:A,$B$4,'Data - Monthly Metrics'!B:B,$E$4,'Data - Monthly Metrics'!C:C,"Majors/NRA",'Data - Monthly Metrics'!D:D,"Drops - Non-Target (#)"))</f>
        <v/>
      </c>
      <c r="E33" s="91">
        <f>IF(COUNTIFS('Data - Monthly Metrics'!A:A,$B$4,'Data - Monthly Metrics'!B:B,$E$4,'Data - Monthly Metrics'!C:C,"Majors/NRA",'Data - Monthly Metrics'!D:D,"Dropped Revenue - Target ($)")=0,"-",SUMIFS('Data - Monthly Metrics'!E:E,'Data - Monthly Metrics'!A:A,$B$4,'Data - Monthly Metrics'!B:B,$E$4,'Data - Monthly Metrics'!C:C,"Majors/NRA",'Data - Monthly Metrics'!D:D,"Dropped Revenue - Target ($)"))</f>
        <v/>
      </c>
      <c r="F33" s="91">
        <f>IF(COUNTIFS('Data - Monthly Metrics'!A:A,$B$4,'Data - Monthly Metrics'!B:B,$E$4,'Data - Monthly Metrics'!C:C,"Majors/NRA",'Data - Monthly Metrics'!D:D,"Dropped Revenue - Non-Target ($)")=0,"-",SUMIFS('Data - Monthly Metrics'!E:E,'Data - Monthly Metrics'!A:A,$B$4,'Data - Monthly Metrics'!B:B,$E$4,'Data - Monthly Metrics'!C:C,"Majors/NRA",'Data - Monthly Metrics'!D:D,"Dropped Revenue - Non-Target ($)"))</f>
        <v/>
      </c>
      <c r="G33" s="91">
        <f>E33+F33</f>
        <v/>
      </c>
      <c r="H33" s="90" t="n"/>
    </row>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5">
    <mergeCell ref="A21:H21"/>
    <mergeCell ref="A1:M1"/>
    <mergeCell ref="A6:M6"/>
    <mergeCell ref="G4:M4"/>
    <mergeCell ref="A2:M2"/>
  </mergeCells>
  <conditionalFormatting sqref="E8:E19">
    <cfRule type="expression" priority="1" dxfId="0" stopIfTrue="1">
      <formula>AND(ISNUMBER(E8),E8&gt;=1)</formula>
    </cfRule>
    <cfRule type="expression" priority="2" dxfId="2" stopIfTrue="1">
      <formula>AND(ISNUMBER(E8),E8&gt;=0.8)</formula>
    </cfRule>
    <cfRule type="expression" priority="3" dxfId="1" stopIfTrue="1">
      <formula>ISNUMBER(E8)</formula>
    </cfRule>
  </conditionalFormatting>
  <conditionalFormatting sqref="K8">
    <cfRule type="expression" priority="4" dxfId="0" stopIfTrue="1">
      <formula>AND(ISNUMBER(K8),COUNTIFS('Data - Monthly Metrics'!$A:$A,$B$4,'Data - Monthly Metrics'!$B:$B,$E$4,'Data - Monthly Metrics'!$C:$C,$A8,'Data - Monthly Metrics'!$D:$D,"Goal - Retention %")&gt;0,K8&gt;=SUMIFS('Data - Monthly Metrics'!$E:$E,'Data - Monthly Metrics'!$A:$A,$B$4,'Data - Monthly Metrics'!$B:$B,$E$4,'Data - Monthly Metrics'!$C:$C,$A8,'Data - Monthly Metrics'!$D:$D,"Goal - Retention %"))</formula>
    </cfRule>
    <cfRule type="expression" priority="5" dxfId="2" stopIfTrue="1">
      <formula>AND(ISNUMBER(K8),COUNTIFS('Data - Monthly Metrics'!$A:$A,$B$4,'Data - Monthly Metrics'!$B:$B,$E$4,'Data - Monthly Metrics'!$C:$C,$A8,'Data - Monthly Metrics'!$D:$D,"Goal - Retention %")&gt;0,K8&gt;=SUMIFS('Data - Monthly Metrics'!$E:$E,'Data - Monthly Metrics'!$A:$A,$B$4,'Data - Monthly Metrics'!$B:$B,$E$4,'Data - Monthly Metrics'!$C:$C,$A8,'Data - Monthly Metrics'!$D:$D,"Goal - Retention %")-0.05)</formula>
    </cfRule>
    <cfRule type="expression" priority="6" dxfId="1" stopIfTrue="1">
      <formula>AND(ISNUMBER(K8),COUNTIFS('Data - Monthly Metrics'!$A:$A,$B$4,'Data - Monthly Metrics'!$B:$B,$E$4,'Data - Monthly Metrics'!$C:$C,$A8,'Data - Monthly Metrics'!$D:$D,"Goal - Retention %")&gt;0)</formula>
    </cfRule>
  </conditionalFormatting>
  <conditionalFormatting sqref="K9">
    <cfRule type="expression" priority="7" dxfId="0" stopIfTrue="1">
      <formula>AND(ISNUMBER(K9),COUNTIFS('Data - Monthly Metrics'!$A:$A,$B$4,'Data - Monthly Metrics'!$B:$B,$E$4,'Data - Monthly Metrics'!$C:$C,$A8,'Data - Monthly Metrics'!$D:$D,"Goal - Retention %")&gt;0,K9&gt;=SUMIFS('Data - Monthly Metrics'!$E:$E,'Data - Monthly Metrics'!$A:$A,$B$4,'Data - Monthly Metrics'!$B:$B,$E$4,'Data - Monthly Metrics'!$C:$C,$A8,'Data - Monthly Metrics'!$D:$D,"Goal - Retention %"))</formula>
    </cfRule>
    <cfRule type="expression" priority="8" dxfId="2" stopIfTrue="1">
      <formula>AND(ISNUMBER(K9),COUNTIFS('Data - Monthly Metrics'!$A:$A,$B$4,'Data - Monthly Metrics'!$B:$B,$E$4,'Data - Monthly Metrics'!$C:$C,$A8,'Data - Monthly Metrics'!$D:$D,"Goal - Retention %")&gt;0,K9&gt;=SUMIFS('Data - Monthly Metrics'!$E:$E,'Data - Monthly Metrics'!$A:$A,$B$4,'Data - Monthly Metrics'!$B:$B,$E$4,'Data - Monthly Metrics'!$C:$C,$A8,'Data - Monthly Metrics'!$D:$D,"Goal - Retention %")-0.05)</formula>
    </cfRule>
    <cfRule type="expression" priority="9" dxfId="1" stopIfTrue="1">
      <formula>AND(ISNUMBER(K9),COUNTIFS('Data - Monthly Metrics'!$A:$A,$B$4,'Data - Monthly Metrics'!$B:$B,$E$4,'Data - Monthly Metrics'!$C:$C,$A8,'Data - Monthly Metrics'!$D:$D,"Goal - Retention %")&gt;0)</formula>
    </cfRule>
  </conditionalFormatting>
  <conditionalFormatting sqref="K10">
    <cfRule type="expression" priority="10" dxfId="0" stopIfTrue="1">
      <formula>AND(ISNUMBER(K10),COUNTIFS('Data - Monthly Metrics'!$A:$A,$B$4,'Data - Monthly Metrics'!$B:$B,$E$4,'Data - Monthly Metrics'!$C:$C,$A8,'Data - Monthly Metrics'!$D:$D,"Goal - Retention %")&gt;0,K10&gt;=SUMIFS('Data - Monthly Metrics'!$E:$E,'Data - Monthly Metrics'!$A:$A,$B$4,'Data - Monthly Metrics'!$B:$B,$E$4,'Data - Monthly Metrics'!$C:$C,$A8,'Data - Monthly Metrics'!$D:$D,"Goal - Retention %"))</formula>
    </cfRule>
    <cfRule type="expression" priority="11" dxfId="2" stopIfTrue="1">
      <formula>AND(ISNUMBER(K10),COUNTIFS('Data - Monthly Metrics'!$A:$A,$B$4,'Data - Monthly Metrics'!$B:$B,$E$4,'Data - Monthly Metrics'!$C:$C,$A8,'Data - Monthly Metrics'!$D:$D,"Goal - Retention %")&gt;0,K10&gt;=SUMIFS('Data - Monthly Metrics'!$E:$E,'Data - Monthly Metrics'!$A:$A,$B$4,'Data - Monthly Metrics'!$B:$B,$E$4,'Data - Monthly Metrics'!$C:$C,$A8,'Data - Monthly Metrics'!$D:$D,"Goal - Retention %")-0.05)</formula>
    </cfRule>
    <cfRule type="expression" priority="12" dxfId="1" stopIfTrue="1">
      <formula>AND(ISNUMBER(K10),COUNTIFS('Data - Monthly Metrics'!$A:$A,$B$4,'Data - Monthly Metrics'!$B:$B,$E$4,'Data - Monthly Metrics'!$C:$C,$A8,'Data - Monthly Metrics'!$D:$D,"Goal - Retention %")&gt;0)</formula>
    </cfRule>
  </conditionalFormatting>
  <conditionalFormatting sqref="K11">
    <cfRule type="expression" priority="13" dxfId="0" stopIfTrue="1">
      <formula>AND(ISNUMBER(K11),COUNTIFS('Data - Monthly Metrics'!$A:$A,$B$4,'Data - Monthly Metrics'!$B:$B,$E$4,'Data - Monthly Metrics'!$C:$C,$A8,'Data - Monthly Metrics'!$D:$D,"Goal - Retention %")&gt;0,K11&gt;=SUMIFS('Data - Monthly Metrics'!$E:$E,'Data - Monthly Metrics'!$A:$A,$B$4,'Data - Monthly Metrics'!$B:$B,$E$4,'Data - Monthly Metrics'!$C:$C,$A8,'Data - Monthly Metrics'!$D:$D,"Goal - Retention %"))</formula>
    </cfRule>
    <cfRule type="expression" priority="14" dxfId="2" stopIfTrue="1">
      <formula>AND(ISNUMBER(K11),COUNTIFS('Data - Monthly Metrics'!$A:$A,$B$4,'Data - Monthly Metrics'!$B:$B,$E$4,'Data - Monthly Metrics'!$C:$C,$A8,'Data - Monthly Metrics'!$D:$D,"Goal - Retention %")&gt;0,K11&gt;=SUMIFS('Data - Monthly Metrics'!$E:$E,'Data - Monthly Metrics'!$A:$A,$B$4,'Data - Monthly Metrics'!$B:$B,$E$4,'Data - Monthly Metrics'!$C:$C,$A8,'Data - Monthly Metrics'!$D:$D,"Goal - Retention %")-0.05)</formula>
    </cfRule>
    <cfRule type="expression" priority="15" dxfId="1" stopIfTrue="1">
      <formula>AND(ISNUMBER(K11),COUNTIFS('Data - Monthly Metrics'!$A:$A,$B$4,'Data - Monthly Metrics'!$B:$B,$E$4,'Data - Monthly Metrics'!$C:$C,$A8,'Data - Monthly Metrics'!$D:$D,"Goal - Retention %")&gt;0)</formula>
    </cfRule>
  </conditionalFormatting>
  <conditionalFormatting sqref="K12">
    <cfRule type="expression" priority="16" dxfId="0" stopIfTrue="1">
      <formula>AND(ISNUMBER(K12),COUNTIFS('Data - Monthly Metrics'!$A:$A,$B$4,'Data - Monthly Metrics'!$B:$B,$E$4,'Data - Monthly Metrics'!$C:$C,$A8,'Data - Monthly Metrics'!$D:$D,"Goal - Retention %")&gt;0,K12&gt;=SUMIFS('Data - Monthly Metrics'!$E:$E,'Data - Monthly Metrics'!$A:$A,$B$4,'Data - Monthly Metrics'!$B:$B,$E$4,'Data - Monthly Metrics'!$C:$C,$A8,'Data - Monthly Metrics'!$D:$D,"Goal - Retention %"))</formula>
    </cfRule>
    <cfRule type="expression" priority="17" dxfId="2" stopIfTrue="1">
      <formula>AND(ISNUMBER(K12),COUNTIFS('Data - Monthly Metrics'!$A:$A,$B$4,'Data - Monthly Metrics'!$B:$B,$E$4,'Data - Monthly Metrics'!$C:$C,$A8,'Data - Monthly Metrics'!$D:$D,"Goal - Retention %")&gt;0,K12&gt;=SUMIFS('Data - Monthly Metrics'!$E:$E,'Data - Monthly Metrics'!$A:$A,$B$4,'Data - Monthly Metrics'!$B:$B,$E$4,'Data - Monthly Metrics'!$C:$C,$A8,'Data - Monthly Metrics'!$D:$D,"Goal - Retention %")-0.05)</formula>
    </cfRule>
    <cfRule type="expression" priority="18" dxfId="1" stopIfTrue="1">
      <formula>AND(ISNUMBER(K12),COUNTIFS('Data - Monthly Metrics'!$A:$A,$B$4,'Data - Monthly Metrics'!$B:$B,$E$4,'Data - Monthly Metrics'!$C:$C,$A8,'Data - Monthly Metrics'!$D:$D,"Goal - Retention %")&gt;0)</formula>
    </cfRule>
  </conditionalFormatting>
  <conditionalFormatting sqref="K13">
    <cfRule type="expression" priority="19" dxfId="0" stopIfTrue="1">
      <formula>AND(ISNUMBER(K13),COUNTIFS('Data - Monthly Metrics'!$A:$A,$B$4,'Data - Monthly Metrics'!$B:$B,$E$4,'Data - Monthly Metrics'!$C:$C,$A8,'Data - Monthly Metrics'!$D:$D,"Goal - Retention %")&gt;0,K13&gt;=SUMIFS('Data - Monthly Metrics'!$E:$E,'Data - Monthly Metrics'!$A:$A,$B$4,'Data - Monthly Metrics'!$B:$B,$E$4,'Data - Monthly Metrics'!$C:$C,$A8,'Data - Monthly Metrics'!$D:$D,"Goal - Retention %"))</formula>
    </cfRule>
    <cfRule type="expression" priority="20" dxfId="2" stopIfTrue="1">
      <formula>AND(ISNUMBER(K13),COUNTIFS('Data - Monthly Metrics'!$A:$A,$B$4,'Data - Monthly Metrics'!$B:$B,$E$4,'Data - Monthly Metrics'!$C:$C,$A8,'Data - Monthly Metrics'!$D:$D,"Goal - Retention %")&gt;0,K13&gt;=SUMIFS('Data - Monthly Metrics'!$E:$E,'Data - Monthly Metrics'!$A:$A,$B$4,'Data - Monthly Metrics'!$B:$B,$E$4,'Data - Monthly Metrics'!$C:$C,$A8,'Data - Monthly Metrics'!$D:$D,"Goal - Retention %")-0.05)</formula>
    </cfRule>
    <cfRule type="expression" priority="21" dxfId="1" stopIfTrue="1">
      <formula>AND(ISNUMBER(K13),COUNTIFS('Data - Monthly Metrics'!$A:$A,$B$4,'Data - Monthly Metrics'!$B:$B,$E$4,'Data - Monthly Metrics'!$C:$C,$A8,'Data - Monthly Metrics'!$D:$D,"Goal - Retention %")&gt;0)</formula>
    </cfRule>
  </conditionalFormatting>
  <conditionalFormatting sqref="K14">
    <cfRule type="expression" priority="22" dxfId="0" stopIfTrue="1">
      <formula>AND(ISNUMBER(K14),COUNTIFS('Data - Monthly Metrics'!$A:$A,$B$4,'Data - Monthly Metrics'!$B:$B,$E$4,'Data - Monthly Metrics'!$C:$C,$A8,'Data - Monthly Metrics'!$D:$D,"Goal - Retention %")&gt;0,K14&gt;=SUMIFS('Data - Monthly Metrics'!$E:$E,'Data - Monthly Metrics'!$A:$A,$B$4,'Data - Monthly Metrics'!$B:$B,$E$4,'Data - Monthly Metrics'!$C:$C,$A8,'Data - Monthly Metrics'!$D:$D,"Goal - Retention %"))</formula>
    </cfRule>
    <cfRule type="expression" priority="23" dxfId="2" stopIfTrue="1">
      <formula>AND(ISNUMBER(K14),COUNTIFS('Data - Monthly Metrics'!$A:$A,$B$4,'Data - Monthly Metrics'!$B:$B,$E$4,'Data - Monthly Metrics'!$C:$C,$A8,'Data - Monthly Metrics'!$D:$D,"Goal - Retention %")&gt;0,K14&gt;=SUMIFS('Data - Monthly Metrics'!$E:$E,'Data - Monthly Metrics'!$A:$A,$B$4,'Data - Monthly Metrics'!$B:$B,$E$4,'Data - Monthly Metrics'!$C:$C,$A8,'Data - Monthly Metrics'!$D:$D,"Goal - Retention %")-0.05)</formula>
    </cfRule>
    <cfRule type="expression" priority="24" dxfId="1" stopIfTrue="1">
      <formula>AND(ISNUMBER(K14),COUNTIFS('Data - Monthly Metrics'!$A:$A,$B$4,'Data - Monthly Metrics'!$B:$B,$E$4,'Data - Monthly Metrics'!$C:$C,$A8,'Data - Monthly Metrics'!$D:$D,"Goal - Retention %")&gt;0)</formula>
    </cfRule>
  </conditionalFormatting>
  <conditionalFormatting sqref="K15">
    <cfRule type="expression" priority="25" dxfId="0" stopIfTrue="1">
      <formula>AND(ISNUMBER(K15),COUNTIFS('Data - Monthly Metrics'!$A:$A,$B$4,'Data - Monthly Metrics'!$B:$B,$E$4,'Data - Monthly Metrics'!$C:$C,$A8,'Data - Monthly Metrics'!$D:$D,"Goal - Retention %")&gt;0,K15&gt;=SUMIFS('Data - Monthly Metrics'!$E:$E,'Data - Monthly Metrics'!$A:$A,$B$4,'Data - Monthly Metrics'!$B:$B,$E$4,'Data - Monthly Metrics'!$C:$C,$A8,'Data - Monthly Metrics'!$D:$D,"Goal - Retention %"))</formula>
    </cfRule>
    <cfRule type="expression" priority="26" dxfId="2" stopIfTrue="1">
      <formula>AND(ISNUMBER(K15),COUNTIFS('Data - Monthly Metrics'!$A:$A,$B$4,'Data - Monthly Metrics'!$B:$B,$E$4,'Data - Monthly Metrics'!$C:$C,$A8,'Data - Monthly Metrics'!$D:$D,"Goal - Retention %")&gt;0,K15&gt;=SUMIFS('Data - Monthly Metrics'!$E:$E,'Data - Monthly Metrics'!$A:$A,$B$4,'Data - Monthly Metrics'!$B:$B,$E$4,'Data - Monthly Metrics'!$C:$C,$A8,'Data - Monthly Metrics'!$D:$D,"Goal - Retention %")-0.05)</formula>
    </cfRule>
    <cfRule type="expression" priority="27" dxfId="1" stopIfTrue="1">
      <formula>AND(ISNUMBER(K15),COUNTIFS('Data - Monthly Metrics'!$A:$A,$B$4,'Data - Monthly Metrics'!$B:$B,$E$4,'Data - Monthly Metrics'!$C:$C,$A8,'Data - Monthly Metrics'!$D:$D,"Goal - Retention %")&gt;0)</formula>
    </cfRule>
  </conditionalFormatting>
  <conditionalFormatting sqref="K16">
    <cfRule type="expression" priority="28" dxfId="0" stopIfTrue="1">
      <formula>AND(ISNUMBER(K16),COUNTIFS('Data - Monthly Metrics'!$A:$A,$B$4,'Data - Monthly Metrics'!$B:$B,$E$4,'Data - Monthly Metrics'!$C:$C,$A8,'Data - Monthly Metrics'!$D:$D,"Goal - Retention %")&gt;0,K16&gt;=SUMIFS('Data - Monthly Metrics'!$E:$E,'Data - Monthly Metrics'!$A:$A,$B$4,'Data - Monthly Metrics'!$B:$B,$E$4,'Data - Monthly Metrics'!$C:$C,$A8,'Data - Monthly Metrics'!$D:$D,"Goal - Retention %"))</formula>
    </cfRule>
    <cfRule type="expression" priority="29" dxfId="2" stopIfTrue="1">
      <formula>AND(ISNUMBER(K16),COUNTIFS('Data - Monthly Metrics'!$A:$A,$B$4,'Data - Monthly Metrics'!$B:$B,$E$4,'Data - Monthly Metrics'!$C:$C,$A8,'Data - Monthly Metrics'!$D:$D,"Goal - Retention %")&gt;0,K16&gt;=SUMIFS('Data - Monthly Metrics'!$E:$E,'Data - Monthly Metrics'!$A:$A,$B$4,'Data - Monthly Metrics'!$B:$B,$E$4,'Data - Monthly Metrics'!$C:$C,$A8,'Data - Monthly Metrics'!$D:$D,"Goal - Retention %")-0.05)</formula>
    </cfRule>
    <cfRule type="expression" priority="30" dxfId="1" stopIfTrue="1">
      <formula>AND(ISNUMBER(K16),COUNTIFS('Data - Monthly Metrics'!$A:$A,$B$4,'Data - Monthly Metrics'!$B:$B,$E$4,'Data - Monthly Metrics'!$C:$C,$A8,'Data - Monthly Metrics'!$D:$D,"Goal - Retention %")&gt;0)</formula>
    </cfRule>
  </conditionalFormatting>
  <conditionalFormatting sqref="K17">
    <cfRule type="expression" priority="31" dxfId="0" stopIfTrue="1">
      <formula>AND(ISNUMBER(K17),COUNTIFS('Data - Monthly Metrics'!$A:$A,$B$4,'Data - Monthly Metrics'!$B:$B,$E$4,'Data - Monthly Metrics'!$C:$C,$A8,'Data - Monthly Metrics'!$D:$D,"Goal - Retention %")&gt;0,K17&gt;=SUMIFS('Data - Monthly Metrics'!$E:$E,'Data - Monthly Metrics'!$A:$A,$B$4,'Data - Monthly Metrics'!$B:$B,$E$4,'Data - Monthly Metrics'!$C:$C,$A8,'Data - Monthly Metrics'!$D:$D,"Goal - Retention %"))</formula>
    </cfRule>
    <cfRule type="expression" priority="32" dxfId="2" stopIfTrue="1">
      <formula>AND(ISNUMBER(K17),COUNTIFS('Data - Monthly Metrics'!$A:$A,$B$4,'Data - Monthly Metrics'!$B:$B,$E$4,'Data - Monthly Metrics'!$C:$C,$A8,'Data - Monthly Metrics'!$D:$D,"Goal - Retention %")&gt;0,K17&gt;=SUMIFS('Data - Monthly Metrics'!$E:$E,'Data - Monthly Metrics'!$A:$A,$B$4,'Data - Monthly Metrics'!$B:$B,$E$4,'Data - Monthly Metrics'!$C:$C,$A8,'Data - Monthly Metrics'!$D:$D,"Goal - Retention %")-0.05)</formula>
    </cfRule>
    <cfRule type="expression" priority="33" dxfId="1" stopIfTrue="1">
      <formula>AND(ISNUMBER(K17),COUNTIFS('Data - Monthly Metrics'!$A:$A,$B$4,'Data - Monthly Metrics'!$B:$B,$E$4,'Data - Monthly Metrics'!$C:$C,$A8,'Data - Monthly Metrics'!$D:$D,"Goal - Retention %")&gt;0)</formula>
    </cfRule>
  </conditionalFormatting>
  <conditionalFormatting sqref="K18">
    <cfRule type="expression" priority="34" dxfId="0" stopIfTrue="1">
      <formula>AND(ISNUMBER(K18),COUNTIFS('Data - Monthly Metrics'!$A:$A,$B$4,'Data - Monthly Metrics'!$B:$B,$E$4,'Data - Monthly Metrics'!$C:$C,$A8,'Data - Monthly Metrics'!$D:$D,"Goal - Retention %")&gt;0,K18&gt;=SUMIFS('Data - Monthly Metrics'!$E:$E,'Data - Monthly Metrics'!$A:$A,$B$4,'Data - Monthly Metrics'!$B:$B,$E$4,'Data - Monthly Metrics'!$C:$C,$A8,'Data - Monthly Metrics'!$D:$D,"Goal - Retention %"))</formula>
    </cfRule>
    <cfRule type="expression" priority="35" dxfId="2" stopIfTrue="1">
      <formula>AND(ISNUMBER(K18),COUNTIFS('Data - Monthly Metrics'!$A:$A,$B$4,'Data - Monthly Metrics'!$B:$B,$E$4,'Data - Monthly Metrics'!$C:$C,$A8,'Data - Monthly Metrics'!$D:$D,"Goal - Retention %")&gt;0,K18&gt;=SUMIFS('Data - Monthly Metrics'!$E:$E,'Data - Monthly Metrics'!$A:$A,$B$4,'Data - Monthly Metrics'!$B:$B,$E$4,'Data - Monthly Metrics'!$C:$C,$A8,'Data - Monthly Metrics'!$D:$D,"Goal - Retention %")-0.05)</formula>
    </cfRule>
    <cfRule type="expression" priority="36" dxfId="1" stopIfTrue="1">
      <formula>AND(ISNUMBER(K18),COUNTIFS('Data - Monthly Metrics'!$A:$A,$B$4,'Data - Monthly Metrics'!$B:$B,$E$4,'Data - Monthly Metrics'!$C:$C,$A8,'Data - Monthly Metrics'!$D:$D,"Goal - Retention %")&gt;0)</formula>
    </cfRule>
  </conditionalFormatting>
  <conditionalFormatting sqref="K19">
    <cfRule type="expression" priority="37" dxfId="0" stopIfTrue="1">
      <formula>AND(ISNUMBER(K19),COUNTIFS('Data - Monthly Metrics'!$A:$A,$B$4,'Data - Monthly Metrics'!$B:$B,$E$4,'Data - Monthly Metrics'!$C:$C,$A8,'Data - Monthly Metrics'!$D:$D,"Goal - Retention %")&gt;0,K19&gt;=SUMIFS('Data - Monthly Metrics'!$E:$E,'Data - Monthly Metrics'!$A:$A,$B$4,'Data - Monthly Metrics'!$B:$B,$E$4,'Data - Monthly Metrics'!$C:$C,$A8,'Data - Monthly Metrics'!$D:$D,"Goal - Retention %"))</formula>
    </cfRule>
    <cfRule type="expression" priority="38" dxfId="2" stopIfTrue="1">
      <formula>AND(ISNUMBER(K19),COUNTIFS('Data - Monthly Metrics'!$A:$A,$B$4,'Data - Monthly Metrics'!$B:$B,$E$4,'Data - Monthly Metrics'!$C:$C,$A8,'Data - Monthly Metrics'!$D:$D,"Goal - Retention %")&gt;0,K19&gt;=SUMIFS('Data - Monthly Metrics'!$E:$E,'Data - Monthly Metrics'!$A:$A,$B$4,'Data - Monthly Metrics'!$B:$B,$E$4,'Data - Monthly Metrics'!$C:$C,$A8,'Data - Monthly Metrics'!$D:$D,"Goal - Retention %")-0.05)</formula>
    </cfRule>
    <cfRule type="expression" priority="39" dxfId="1" stopIfTrue="1">
      <formula>AND(ISNUMBER(K19),COUNTIFS('Data - Monthly Metrics'!$A:$A,$B$4,'Data - Monthly Metrics'!$B:$B,$E$4,'Data - Monthly Metrics'!$C:$C,$A8,'Data - Monthly Metrics'!$D:$D,"Goal - Retention %")&gt;0)</formula>
    </cfRule>
  </conditionalFormatting>
  <conditionalFormatting sqref="L8">
    <cfRule type="expression" priority="40" dxfId="0" stopIfTrue="1">
      <formula>AND(ISNUMBER(L8),COUNTIFS('Data - Monthly Metrics'!$A:$A,$B$4,'Data - Monthly Metrics'!$B:$B,$E$4,'Data - Monthly Metrics'!$C:$C,$A8,'Data - Monthly Metrics'!$D:$D,"Goal - Penetration %")&gt;0,L8&gt;=SUMIFS('Data - Monthly Metrics'!$E:$E,'Data - Monthly Metrics'!$A:$A,$B$4,'Data - Monthly Metrics'!$B:$B,$E$4,'Data - Monthly Metrics'!$C:$C,$A8,'Data - Monthly Metrics'!$D:$D,"Goal - Penetration %"))</formula>
    </cfRule>
    <cfRule type="expression" priority="41" dxfId="2" stopIfTrue="1">
      <formula>AND(ISNUMBER(L8),COUNTIFS('Data - Monthly Metrics'!$A:$A,$B$4,'Data - Monthly Metrics'!$B:$B,$E$4,'Data - Monthly Metrics'!$C:$C,$A8,'Data - Monthly Metrics'!$D:$D,"Goal - Penetration %")&gt;0,L8&gt;=SUMIFS('Data - Monthly Metrics'!$E:$E,'Data - Monthly Metrics'!$A:$A,$B$4,'Data - Monthly Metrics'!$B:$B,$E$4,'Data - Monthly Metrics'!$C:$C,$A8,'Data - Monthly Metrics'!$D:$D,"Goal - Penetration %")-0.05)</formula>
    </cfRule>
    <cfRule type="expression" priority="42" dxfId="1" stopIfTrue="1">
      <formula>AND(ISNUMBER(L8),COUNTIFS('Data - Monthly Metrics'!$A:$A,$B$4,'Data - Monthly Metrics'!$B:$B,$E$4,'Data - Monthly Metrics'!$C:$C,$A8,'Data - Monthly Metrics'!$D:$D,"Goal - Penetration %")&gt;0)</formula>
    </cfRule>
  </conditionalFormatting>
  <conditionalFormatting sqref="L9">
    <cfRule type="expression" priority="43" dxfId="0" stopIfTrue="1">
      <formula>AND(ISNUMBER(L9),COUNTIFS('Data - Monthly Metrics'!$A:$A,$B$4,'Data - Monthly Metrics'!$B:$B,$E$4,'Data - Monthly Metrics'!$C:$C,$A8,'Data - Monthly Metrics'!$D:$D,"Goal - Penetration %")&gt;0,L9&gt;=SUMIFS('Data - Monthly Metrics'!$E:$E,'Data - Monthly Metrics'!$A:$A,$B$4,'Data - Monthly Metrics'!$B:$B,$E$4,'Data - Monthly Metrics'!$C:$C,$A8,'Data - Monthly Metrics'!$D:$D,"Goal - Penetration %"))</formula>
    </cfRule>
    <cfRule type="expression" priority="44" dxfId="2" stopIfTrue="1">
      <formula>AND(ISNUMBER(L9),COUNTIFS('Data - Monthly Metrics'!$A:$A,$B$4,'Data - Monthly Metrics'!$B:$B,$E$4,'Data - Monthly Metrics'!$C:$C,$A8,'Data - Monthly Metrics'!$D:$D,"Goal - Penetration %")&gt;0,L9&gt;=SUMIFS('Data - Monthly Metrics'!$E:$E,'Data - Monthly Metrics'!$A:$A,$B$4,'Data - Monthly Metrics'!$B:$B,$E$4,'Data - Monthly Metrics'!$C:$C,$A8,'Data - Monthly Metrics'!$D:$D,"Goal - Penetration %")-0.05)</formula>
    </cfRule>
    <cfRule type="expression" priority="45" dxfId="1" stopIfTrue="1">
      <formula>AND(ISNUMBER(L9),COUNTIFS('Data - Monthly Metrics'!$A:$A,$B$4,'Data - Monthly Metrics'!$B:$B,$E$4,'Data - Monthly Metrics'!$C:$C,$A8,'Data - Monthly Metrics'!$D:$D,"Goal - Penetration %")&gt;0)</formula>
    </cfRule>
  </conditionalFormatting>
  <conditionalFormatting sqref="L10">
    <cfRule type="expression" priority="46" dxfId="0" stopIfTrue="1">
      <formula>AND(ISNUMBER(L10),COUNTIFS('Data - Monthly Metrics'!$A:$A,$B$4,'Data - Monthly Metrics'!$B:$B,$E$4,'Data - Monthly Metrics'!$C:$C,$A8,'Data - Monthly Metrics'!$D:$D,"Goal - Penetration %")&gt;0,L10&gt;=SUMIFS('Data - Monthly Metrics'!$E:$E,'Data - Monthly Metrics'!$A:$A,$B$4,'Data - Monthly Metrics'!$B:$B,$E$4,'Data - Monthly Metrics'!$C:$C,$A8,'Data - Monthly Metrics'!$D:$D,"Goal - Penetration %"))</formula>
    </cfRule>
    <cfRule type="expression" priority="47" dxfId="2" stopIfTrue="1">
      <formula>AND(ISNUMBER(L10),COUNTIFS('Data - Monthly Metrics'!$A:$A,$B$4,'Data - Monthly Metrics'!$B:$B,$E$4,'Data - Monthly Metrics'!$C:$C,$A8,'Data - Monthly Metrics'!$D:$D,"Goal - Penetration %")&gt;0,L10&gt;=SUMIFS('Data - Monthly Metrics'!$E:$E,'Data - Monthly Metrics'!$A:$A,$B$4,'Data - Monthly Metrics'!$B:$B,$E$4,'Data - Monthly Metrics'!$C:$C,$A8,'Data - Monthly Metrics'!$D:$D,"Goal - Penetration %")-0.05)</formula>
    </cfRule>
    <cfRule type="expression" priority="48" dxfId="1" stopIfTrue="1">
      <formula>AND(ISNUMBER(L10),COUNTIFS('Data - Monthly Metrics'!$A:$A,$B$4,'Data - Monthly Metrics'!$B:$B,$E$4,'Data - Monthly Metrics'!$C:$C,$A8,'Data - Monthly Metrics'!$D:$D,"Goal - Penetration %")&gt;0)</formula>
    </cfRule>
  </conditionalFormatting>
  <conditionalFormatting sqref="L11">
    <cfRule type="expression" priority="49" dxfId="0" stopIfTrue="1">
      <formula>AND(ISNUMBER(L11),COUNTIFS('Data - Monthly Metrics'!$A:$A,$B$4,'Data - Monthly Metrics'!$B:$B,$E$4,'Data - Monthly Metrics'!$C:$C,$A8,'Data - Monthly Metrics'!$D:$D,"Goal - Penetration %")&gt;0,L11&gt;=SUMIFS('Data - Monthly Metrics'!$E:$E,'Data - Monthly Metrics'!$A:$A,$B$4,'Data - Monthly Metrics'!$B:$B,$E$4,'Data - Monthly Metrics'!$C:$C,$A8,'Data - Monthly Metrics'!$D:$D,"Goal - Penetration %"))</formula>
    </cfRule>
    <cfRule type="expression" priority="50" dxfId="2" stopIfTrue="1">
      <formula>AND(ISNUMBER(L11),COUNTIFS('Data - Monthly Metrics'!$A:$A,$B$4,'Data - Monthly Metrics'!$B:$B,$E$4,'Data - Monthly Metrics'!$C:$C,$A8,'Data - Monthly Metrics'!$D:$D,"Goal - Penetration %")&gt;0,L11&gt;=SUMIFS('Data - Monthly Metrics'!$E:$E,'Data - Monthly Metrics'!$A:$A,$B$4,'Data - Monthly Metrics'!$B:$B,$E$4,'Data - Monthly Metrics'!$C:$C,$A8,'Data - Monthly Metrics'!$D:$D,"Goal - Penetration %")-0.05)</formula>
    </cfRule>
    <cfRule type="expression" priority="51" dxfId="1" stopIfTrue="1">
      <formula>AND(ISNUMBER(L11),COUNTIFS('Data - Monthly Metrics'!$A:$A,$B$4,'Data - Monthly Metrics'!$B:$B,$E$4,'Data - Monthly Metrics'!$C:$C,$A8,'Data - Monthly Metrics'!$D:$D,"Goal - Penetration %")&gt;0)</formula>
    </cfRule>
  </conditionalFormatting>
  <conditionalFormatting sqref="L12">
    <cfRule type="expression" priority="52" dxfId="0" stopIfTrue="1">
      <formula>AND(ISNUMBER(L12),COUNTIFS('Data - Monthly Metrics'!$A:$A,$B$4,'Data - Monthly Metrics'!$B:$B,$E$4,'Data - Monthly Metrics'!$C:$C,$A8,'Data - Monthly Metrics'!$D:$D,"Goal - Penetration %")&gt;0,L12&gt;=SUMIFS('Data - Monthly Metrics'!$E:$E,'Data - Monthly Metrics'!$A:$A,$B$4,'Data - Monthly Metrics'!$B:$B,$E$4,'Data - Monthly Metrics'!$C:$C,$A8,'Data - Monthly Metrics'!$D:$D,"Goal - Penetration %"))</formula>
    </cfRule>
    <cfRule type="expression" priority="53" dxfId="2" stopIfTrue="1">
      <formula>AND(ISNUMBER(L12),COUNTIFS('Data - Monthly Metrics'!$A:$A,$B$4,'Data - Monthly Metrics'!$B:$B,$E$4,'Data - Monthly Metrics'!$C:$C,$A8,'Data - Monthly Metrics'!$D:$D,"Goal - Penetration %")&gt;0,L12&gt;=SUMIFS('Data - Monthly Metrics'!$E:$E,'Data - Monthly Metrics'!$A:$A,$B$4,'Data - Monthly Metrics'!$B:$B,$E$4,'Data - Monthly Metrics'!$C:$C,$A8,'Data - Monthly Metrics'!$D:$D,"Goal - Penetration %")-0.05)</formula>
    </cfRule>
    <cfRule type="expression" priority="54" dxfId="1" stopIfTrue="1">
      <formula>AND(ISNUMBER(L12),COUNTIFS('Data - Monthly Metrics'!$A:$A,$B$4,'Data - Monthly Metrics'!$B:$B,$E$4,'Data - Monthly Metrics'!$C:$C,$A8,'Data - Monthly Metrics'!$D:$D,"Goal - Penetration %")&gt;0)</formula>
    </cfRule>
  </conditionalFormatting>
  <conditionalFormatting sqref="L13">
    <cfRule type="expression" priority="55" dxfId="0" stopIfTrue="1">
      <formula>AND(ISNUMBER(L13),COUNTIFS('Data - Monthly Metrics'!$A:$A,$B$4,'Data - Monthly Metrics'!$B:$B,$E$4,'Data - Monthly Metrics'!$C:$C,$A8,'Data - Monthly Metrics'!$D:$D,"Goal - Penetration %")&gt;0,L13&gt;=SUMIFS('Data - Monthly Metrics'!$E:$E,'Data - Monthly Metrics'!$A:$A,$B$4,'Data - Monthly Metrics'!$B:$B,$E$4,'Data - Monthly Metrics'!$C:$C,$A8,'Data - Monthly Metrics'!$D:$D,"Goal - Penetration %"))</formula>
    </cfRule>
    <cfRule type="expression" priority="56" dxfId="2" stopIfTrue="1">
      <formula>AND(ISNUMBER(L13),COUNTIFS('Data - Monthly Metrics'!$A:$A,$B$4,'Data - Monthly Metrics'!$B:$B,$E$4,'Data - Monthly Metrics'!$C:$C,$A8,'Data - Monthly Metrics'!$D:$D,"Goal - Penetration %")&gt;0,L13&gt;=SUMIFS('Data - Monthly Metrics'!$E:$E,'Data - Monthly Metrics'!$A:$A,$B$4,'Data - Monthly Metrics'!$B:$B,$E$4,'Data - Monthly Metrics'!$C:$C,$A8,'Data - Monthly Metrics'!$D:$D,"Goal - Penetration %")-0.05)</formula>
    </cfRule>
    <cfRule type="expression" priority="57" dxfId="1" stopIfTrue="1">
      <formula>AND(ISNUMBER(L13),COUNTIFS('Data - Monthly Metrics'!$A:$A,$B$4,'Data - Monthly Metrics'!$B:$B,$E$4,'Data - Monthly Metrics'!$C:$C,$A8,'Data - Monthly Metrics'!$D:$D,"Goal - Penetration %")&gt;0)</formula>
    </cfRule>
  </conditionalFormatting>
  <conditionalFormatting sqref="L14">
    <cfRule type="expression" priority="58" dxfId="0" stopIfTrue="1">
      <formula>AND(ISNUMBER(L14),COUNTIFS('Data - Monthly Metrics'!$A:$A,$B$4,'Data - Monthly Metrics'!$B:$B,$E$4,'Data - Monthly Metrics'!$C:$C,$A8,'Data - Monthly Metrics'!$D:$D,"Goal - Penetration %")&gt;0,L14&gt;=SUMIFS('Data - Monthly Metrics'!$E:$E,'Data - Monthly Metrics'!$A:$A,$B$4,'Data - Monthly Metrics'!$B:$B,$E$4,'Data - Monthly Metrics'!$C:$C,$A8,'Data - Monthly Metrics'!$D:$D,"Goal - Penetration %"))</formula>
    </cfRule>
    <cfRule type="expression" priority="59" dxfId="2" stopIfTrue="1">
      <formula>AND(ISNUMBER(L14),COUNTIFS('Data - Monthly Metrics'!$A:$A,$B$4,'Data - Monthly Metrics'!$B:$B,$E$4,'Data - Monthly Metrics'!$C:$C,$A8,'Data - Monthly Metrics'!$D:$D,"Goal - Penetration %")&gt;0,L14&gt;=SUMIFS('Data - Monthly Metrics'!$E:$E,'Data - Monthly Metrics'!$A:$A,$B$4,'Data - Monthly Metrics'!$B:$B,$E$4,'Data - Monthly Metrics'!$C:$C,$A8,'Data - Monthly Metrics'!$D:$D,"Goal - Penetration %")-0.05)</formula>
    </cfRule>
    <cfRule type="expression" priority="60" dxfId="1" stopIfTrue="1">
      <formula>AND(ISNUMBER(L14),COUNTIFS('Data - Monthly Metrics'!$A:$A,$B$4,'Data - Monthly Metrics'!$B:$B,$E$4,'Data - Monthly Metrics'!$C:$C,$A8,'Data - Monthly Metrics'!$D:$D,"Goal - Penetration %")&gt;0)</formula>
    </cfRule>
  </conditionalFormatting>
  <conditionalFormatting sqref="L15">
    <cfRule type="expression" priority="61" dxfId="0" stopIfTrue="1">
      <formula>AND(ISNUMBER(L15),COUNTIFS('Data - Monthly Metrics'!$A:$A,$B$4,'Data - Monthly Metrics'!$B:$B,$E$4,'Data - Monthly Metrics'!$C:$C,$A8,'Data - Monthly Metrics'!$D:$D,"Goal - Penetration %")&gt;0,L15&gt;=SUMIFS('Data - Monthly Metrics'!$E:$E,'Data - Monthly Metrics'!$A:$A,$B$4,'Data - Monthly Metrics'!$B:$B,$E$4,'Data - Monthly Metrics'!$C:$C,$A8,'Data - Monthly Metrics'!$D:$D,"Goal - Penetration %"))</formula>
    </cfRule>
    <cfRule type="expression" priority="62" dxfId="2" stopIfTrue="1">
      <formula>AND(ISNUMBER(L15),COUNTIFS('Data - Monthly Metrics'!$A:$A,$B$4,'Data - Monthly Metrics'!$B:$B,$E$4,'Data - Monthly Metrics'!$C:$C,$A8,'Data - Monthly Metrics'!$D:$D,"Goal - Penetration %")&gt;0,L15&gt;=SUMIFS('Data - Monthly Metrics'!$E:$E,'Data - Monthly Metrics'!$A:$A,$B$4,'Data - Monthly Metrics'!$B:$B,$E$4,'Data - Monthly Metrics'!$C:$C,$A8,'Data - Monthly Metrics'!$D:$D,"Goal - Penetration %")-0.05)</formula>
    </cfRule>
    <cfRule type="expression" priority="63" dxfId="1" stopIfTrue="1">
      <formula>AND(ISNUMBER(L15),COUNTIFS('Data - Monthly Metrics'!$A:$A,$B$4,'Data - Monthly Metrics'!$B:$B,$E$4,'Data - Monthly Metrics'!$C:$C,$A8,'Data - Monthly Metrics'!$D:$D,"Goal - Penetration %")&gt;0)</formula>
    </cfRule>
  </conditionalFormatting>
  <conditionalFormatting sqref="L16">
    <cfRule type="expression" priority="64" dxfId="0" stopIfTrue="1">
      <formula>AND(ISNUMBER(L16),COUNTIFS('Data - Monthly Metrics'!$A:$A,$B$4,'Data - Monthly Metrics'!$B:$B,$E$4,'Data - Monthly Metrics'!$C:$C,$A8,'Data - Monthly Metrics'!$D:$D,"Goal - Penetration %")&gt;0,L16&gt;=SUMIFS('Data - Monthly Metrics'!$E:$E,'Data - Monthly Metrics'!$A:$A,$B$4,'Data - Monthly Metrics'!$B:$B,$E$4,'Data - Monthly Metrics'!$C:$C,$A8,'Data - Monthly Metrics'!$D:$D,"Goal - Penetration %"))</formula>
    </cfRule>
    <cfRule type="expression" priority="65" dxfId="2" stopIfTrue="1">
      <formula>AND(ISNUMBER(L16),COUNTIFS('Data - Monthly Metrics'!$A:$A,$B$4,'Data - Monthly Metrics'!$B:$B,$E$4,'Data - Monthly Metrics'!$C:$C,$A8,'Data - Monthly Metrics'!$D:$D,"Goal - Penetration %")&gt;0,L16&gt;=SUMIFS('Data - Monthly Metrics'!$E:$E,'Data - Monthly Metrics'!$A:$A,$B$4,'Data - Monthly Metrics'!$B:$B,$E$4,'Data - Monthly Metrics'!$C:$C,$A8,'Data - Monthly Metrics'!$D:$D,"Goal - Penetration %")-0.05)</formula>
    </cfRule>
    <cfRule type="expression" priority="66" dxfId="1" stopIfTrue="1">
      <formula>AND(ISNUMBER(L16),COUNTIFS('Data - Monthly Metrics'!$A:$A,$B$4,'Data - Monthly Metrics'!$B:$B,$E$4,'Data - Monthly Metrics'!$C:$C,$A8,'Data - Monthly Metrics'!$D:$D,"Goal - Penetration %")&gt;0)</formula>
    </cfRule>
  </conditionalFormatting>
  <conditionalFormatting sqref="L17">
    <cfRule type="expression" priority="67" dxfId="0" stopIfTrue="1">
      <formula>AND(ISNUMBER(L17),COUNTIFS('Data - Monthly Metrics'!$A:$A,$B$4,'Data - Monthly Metrics'!$B:$B,$E$4,'Data - Monthly Metrics'!$C:$C,$A8,'Data - Monthly Metrics'!$D:$D,"Goal - Penetration %")&gt;0,L17&gt;=SUMIFS('Data - Monthly Metrics'!$E:$E,'Data - Monthly Metrics'!$A:$A,$B$4,'Data - Monthly Metrics'!$B:$B,$E$4,'Data - Monthly Metrics'!$C:$C,$A8,'Data - Monthly Metrics'!$D:$D,"Goal - Penetration %"))</formula>
    </cfRule>
    <cfRule type="expression" priority="68" dxfId="2" stopIfTrue="1">
      <formula>AND(ISNUMBER(L17),COUNTIFS('Data - Monthly Metrics'!$A:$A,$B$4,'Data - Monthly Metrics'!$B:$B,$E$4,'Data - Monthly Metrics'!$C:$C,$A8,'Data - Monthly Metrics'!$D:$D,"Goal - Penetration %")&gt;0,L17&gt;=SUMIFS('Data - Monthly Metrics'!$E:$E,'Data - Monthly Metrics'!$A:$A,$B$4,'Data - Monthly Metrics'!$B:$B,$E$4,'Data - Monthly Metrics'!$C:$C,$A8,'Data - Monthly Metrics'!$D:$D,"Goal - Penetration %")-0.05)</formula>
    </cfRule>
    <cfRule type="expression" priority="69" dxfId="1" stopIfTrue="1">
      <formula>AND(ISNUMBER(L17),COUNTIFS('Data - Monthly Metrics'!$A:$A,$B$4,'Data - Monthly Metrics'!$B:$B,$E$4,'Data - Monthly Metrics'!$C:$C,$A8,'Data - Monthly Metrics'!$D:$D,"Goal - Penetration %")&gt;0)</formula>
    </cfRule>
  </conditionalFormatting>
  <conditionalFormatting sqref="L18">
    <cfRule type="expression" priority="70" dxfId="0" stopIfTrue="1">
      <formula>AND(ISNUMBER(L18),COUNTIFS('Data - Monthly Metrics'!$A:$A,$B$4,'Data - Monthly Metrics'!$B:$B,$E$4,'Data - Monthly Metrics'!$C:$C,$A8,'Data - Monthly Metrics'!$D:$D,"Goal - Penetration %")&gt;0,L18&gt;=SUMIFS('Data - Monthly Metrics'!$E:$E,'Data - Monthly Metrics'!$A:$A,$B$4,'Data - Monthly Metrics'!$B:$B,$E$4,'Data - Monthly Metrics'!$C:$C,$A8,'Data - Monthly Metrics'!$D:$D,"Goal - Penetration %"))</formula>
    </cfRule>
    <cfRule type="expression" priority="71" dxfId="2" stopIfTrue="1">
      <formula>AND(ISNUMBER(L18),COUNTIFS('Data - Monthly Metrics'!$A:$A,$B$4,'Data - Monthly Metrics'!$B:$B,$E$4,'Data - Monthly Metrics'!$C:$C,$A8,'Data - Monthly Metrics'!$D:$D,"Goal - Penetration %")&gt;0,L18&gt;=SUMIFS('Data - Monthly Metrics'!$E:$E,'Data - Monthly Metrics'!$A:$A,$B$4,'Data - Monthly Metrics'!$B:$B,$E$4,'Data - Monthly Metrics'!$C:$C,$A8,'Data - Monthly Metrics'!$D:$D,"Goal - Penetration %")-0.05)</formula>
    </cfRule>
    <cfRule type="expression" priority="72" dxfId="1" stopIfTrue="1">
      <formula>AND(ISNUMBER(L18),COUNTIFS('Data - Monthly Metrics'!$A:$A,$B$4,'Data - Monthly Metrics'!$B:$B,$E$4,'Data - Monthly Metrics'!$C:$C,$A8,'Data - Monthly Metrics'!$D:$D,"Goal - Penetration %")&gt;0)</formula>
    </cfRule>
  </conditionalFormatting>
  <conditionalFormatting sqref="L19">
    <cfRule type="expression" priority="73" dxfId="0" stopIfTrue="1">
      <formula>AND(ISNUMBER(L19),COUNTIFS('Data - Monthly Metrics'!$A:$A,$B$4,'Data - Monthly Metrics'!$B:$B,$E$4,'Data - Monthly Metrics'!$C:$C,$A8,'Data - Monthly Metrics'!$D:$D,"Goal - Penetration %")&gt;0,L19&gt;=SUMIFS('Data - Monthly Metrics'!$E:$E,'Data - Monthly Metrics'!$A:$A,$B$4,'Data - Monthly Metrics'!$B:$B,$E$4,'Data - Monthly Metrics'!$C:$C,$A8,'Data - Monthly Metrics'!$D:$D,"Goal - Penetration %"))</formula>
    </cfRule>
    <cfRule type="expression" priority="74" dxfId="2" stopIfTrue="1">
      <formula>AND(ISNUMBER(L19),COUNTIFS('Data - Monthly Metrics'!$A:$A,$B$4,'Data - Monthly Metrics'!$B:$B,$E$4,'Data - Monthly Metrics'!$C:$C,$A8,'Data - Monthly Metrics'!$D:$D,"Goal - Penetration %")&gt;0,L19&gt;=SUMIFS('Data - Monthly Metrics'!$E:$E,'Data - Monthly Metrics'!$A:$A,$B$4,'Data - Monthly Metrics'!$B:$B,$E$4,'Data - Monthly Metrics'!$C:$C,$A8,'Data - Monthly Metrics'!$D:$D,"Goal - Penetration %")-0.05)</formula>
    </cfRule>
    <cfRule type="expression" priority="75" dxfId="1" stopIfTrue="1">
      <formula>AND(ISNUMBER(L19),COUNTIFS('Data - Monthly Metrics'!$A:$A,$B$4,'Data - Monthly Metrics'!$B:$B,$E$4,'Data - Monthly Metrics'!$C:$C,$A8,'Data - Monthly Metrics'!$D:$D,"Goal - Penetration %")&gt;0)</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tabColor rgb="FF2E75B6"/>
    <outlinePr summaryBelow="1" summaryRight="1"/>
    <pageSetUpPr fitToPage="0"/>
  </sheetPr>
  <dimension ref="A1:AR116"/>
  <sheetViews>
    <sheetView showFormulas="0" showGridLines="1" showRowColHeaders="1" showZeros="1" rightToLeft="0" tabSelected="1" showOutlineSymbols="1" defaultGridColor="1" view="normal" topLeftCell="A1" colorId="64" zoomScale="210" zoomScaleNormal="210" zoomScalePageLayoutView="100" workbookViewId="0">
      <pane xSplit="1" ySplit="5" topLeftCell="B37" activePane="bottomRight" state="frozen"/>
      <selection pane="topLeft" activeCell="A1" activeCellId="0" sqref="A1"/>
      <selection pane="topRight" activeCell="B1" activeCellId="0" sqref="B1"/>
      <selection pane="bottomLeft" activeCell="A37" activeCellId="0" sqref="A37"/>
      <selection pane="bottomRight" activeCell="B44" activeCellId="0" sqref="B44"/>
    </sheetView>
  </sheetViews>
  <sheetFormatPr baseColWidth="8" defaultColWidth="8.6796875" defaultRowHeight="14.25" customHeight="0" zeroHeight="0" outlineLevelRow="0"/>
  <cols>
    <col width="42.5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SNOHOMISH</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106" t="inlineStr">
        <is>
          <t>Metric</t>
        </is>
      </c>
      <c r="B8" s="106" t="inlineStr">
        <is>
          <t>Oct</t>
        </is>
      </c>
      <c r="C8" s="106" t="inlineStr">
        <is>
          <t>Nov</t>
        </is>
      </c>
      <c r="D8" s="106" t="inlineStr">
        <is>
          <t>Dec</t>
        </is>
      </c>
      <c r="E8" s="106" t="inlineStr">
        <is>
          <t>Q1</t>
        </is>
      </c>
      <c r="F8" s="106" t="inlineStr">
        <is>
          <t>Jan</t>
        </is>
      </c>
      <c r="G8" s="106" t="inlineStr">
        <is>
          <t>Feb</t>
        </is>
      </c>
      <c r="H8" s="106" t="inlineStr">
        <is>
          <t>Mar</t>
        </is>
      </c>
      <c r="I8" s="106" t="inlineStr">
        <is>
          <t>Q2</t>
        </is>
      </c>
      <c r="J8" s="106" t="inlineStr">
        <is>
          <t>Apr</t>
        </is>
      </c>
      <c r="K8" s="106" t="inlineStr">
        <is>
          <t>May</t>
        </is>
      </c>
      <c r="L8" s="106" t="inlineStr">
        <is>
          <t>Jun</t>
        </is>
      </c>
      <c r="M8" s="106" t="inlineStr">
        <is>
          <t>Q3</t>
        </is>
      </c>
      <c r="N8" s="106" t="inlineStr">
        <is>
          <t>Jul</t>
        </is>
      </c>
      <c r="O8" s="106" t="inlineStr">
        <is>
          <t>Aug</t>
        </is>
      </c>
      <c r="P8" s="106" t="inlineStr">
        <is>
          <t>Sep</t>
        </is>
      </c>
      <c r="Q8" s="106" t="inlineStr">
        <is>
          <t>Q4</t>
        </is>
      </c>
      <c r="R8" s="106" t="inlineStr">
        <is>
          <t>YTD</t>
        </is>
      </c>
    </row>
    <row r="9" ht="14.25" customHeight="1" s="82">
      <c r="A9" s="89" t="inlineStr">
        <is>
          <t>New Sales Revenue — Combined ($)</t>
        </is>
      </c>
      <c r="B9" s="91">
        <f>N(B38)+N(B88)</f>
        <v/>
      </c>
      <c r="C9" s="91">
        <f>N(C38)+N(C88)</f>
        <v/>
      </c>
      <c r="D9" s="91">
        <f>N(D38)+N(D88)</f>
        <v/>
      </c>
      <c r="E9" s="101">
        <f>N(E38)+N(E88)</f>
        <v/>
      </c>
      <c r="F9" s="91">
        <f>N(F38)+N(F88)</f>
        <v/>
      </c>
      <c r="G9" s="91">
        <f>N(G38)+N(G88)</f>
        <v/>
      </c>
      <c r="H9" s="91">
        <f>N(H38)+N(H88)</f>
        <v/>
      </c>
      <c r="I9" s="101">
        <f>N(I38)+N(I88)</f>
        <v/>
      </c>
      <c r="J9" s="91">
        <f>N(J38)+N(J88)</f>
        <v/>
      </c>
      <c r="K9" s="91">
        <f>N(K38)+N(K88)</f>
        <v/>
      </c>
      <c r="L9" s="91">
        <f>N(L38)+N(L88)</f>
        <v/>
      </c>
      <c r="M9" s="101">
        <f>N(M38)+N(M88)</f>
        <v/>
      </c>
      <c r="N9" s="91">
        <f>N(N38)+N(N88)</f>
        <v/>
      </c>
      <c r="O9" s="91">
        <f>N(O38)+N(O88)</f>
        <v/>
      </c>
      <c r="P9" s="91">
        <f>N(P38)+N(P88)</f>
        <v/>
      </c>
      <c r="Q9" s="101">
        <f>N(Q38)+N(Q88)</f>
        <v/>
      </c>
      <c r="R9" s="101">
        <f>N(R38)+N(R88)</f>
        <v/>
      </c>
    </row>
    <row r="10" ht="14.25" customHeight="1" s="82">
      <c r="A10" s="89" t="inlineStr">
        <is>
          <t xml:space="preserve">   BOB ($)</t>
        </is>
      </c>
      <c r="B10" s="91">
        <f>IF(COUNTIFS('Data - Monthly Metrics'!A:A,$B$4-1,'Data - Monthly Metrics'!B:B,"Oct",'Data - Monthly Metrics'!C:C,"Snohomish",'Data - Monthly Metrics'!D:D,"New Sales Revenue - BOB/Promo ($)")=0,"-",SUMIFS('Data - Monthly Metrics'!E:E,'Data - Monthly Metrics'!A:A,$B$4-1,'Data - Monthly Metrics'!B:B,"Oct",'Data - Monthly Metrics'!C:C,"Snohomish",'Data - Monthly Metrics'!D:D,"New Sales Revenue - BOB/Promo ($)"))</f>
        <v/>
      </c>
      <c r="C10" s="91">
        <f>IF(COUNTIFS('Data - Monthly Metrics'!A:A,$B$4-1,'Data - Monthly Metrics'!B:B,"Nov",'Data - Monthly Metrics'!C:C,"Snohomish",'Data - Monthly Metrics'!D:D,"New Sales Revenue - BOB/Promo ($)")=0,"-",SUMIFS('Data - Monthly Metrics'!E:E,'Data - Monthly Metrics'!A:A,$B$4-1,'Data - Monthly Metrics'!B:B,"Nov",'Data - Monthly Metrics'!C:C,"Snohomish",'Data - Monthly Metrics'!D:D,"New Sales Revenue - BOB/Promo ($)"))</f>
        <v/>
      </c>
      <c r="D10" s="91">
        <f>IF(COUNTIFS('Data - Monthly Metrics'!A:A,$B$4-1,'Data - Monthly Metrics'!B:B,"Dec",'Data - Monthly Metrics'!C:C,"Snohomish",'Data - Monthly Metrics'!D:D,"New Sales Revenue - BOB/Promo ($)")=0,"-",SUMIFS('Data - Monthly Metrics'!E:E,'Data - Monthly Metrics'!A:A,$B$4-1,'Data - Monthly Metrics'!B:B,"Dec",'Data - Monthly Metrics'!C:C,"Snohomish",'Data - Monthly Metrics'!D:D,"New Sales Revenue - BOB/Promo ($)"))</f>
        <v/>
      </c>
      <c r="E10" s="101">
        <f>SUM(B10,C10,D10)</f>
        <v/>
      </c>
      <c r="F10" s="91">
        <f>IF(COUNTIFS('Data - Monthly Metrics'!A:A,$B$4,'Data - Monthly Metrics'!B:B,"Jan",'Data - Monthly Metrics'!C:C,"Snohomish",'Data - Monthly Metrics'!D:D,"New Sales Revenue - BOB/Promo ($)")=0,"-",SUMIFS('Data - Monthly Metrics'!E:E,'Data - Monthly Metrics'!A:A,$B$4,'Data - Monthly Metrics'!B:B,"Jan",'Data - Monthly Metrics'!C:C,"Snohomish",'Data - Monthly Metrics'!D:D,"New Sales Revenue - BOB/Promo ($)"))</f>
        <v/>
      </c>
      <c r="G10" s="91">
        <f>IF(COUNTIFS('Data - Monthly Metrics'!A:A,$B$4,'Data - Monthly Metrics'!B:B,"Feb",'Data - Monthly Metrics'!C:C,"Snohomish",'Data - Monthly Metrics'!D:D,"New Sales Revenue - BOB/Promo ($)")=0,"-",SUMIFS('Data - Monthly Metrics'!E:E,'Data - Monthly Metrics'!A:A,$B$4,'Data - Monthly Metrics'!B:B,"Feb",'Data - Monthly Metrics'!C:C,"Snohomish",'Data - Monthly Metrics'!D:D,"New Sales Revenue - BOB/Promo ($)"))</f>
        <v/>
      </c>
      <c r="H10" s="91">
        <f>IF(COUNTIFS('Data - Monthly Metrics'!A:A,$B$4,'Data - Monthly Metrics'!B:B,"Mar",'Data - Monthly Metrics'!C:C,"Snohomish",'Data - Monthly Metrics'!D:D,"New Sales Revenue - BOB/Promo ($)")=0,"-",SUMIFS('Data - Monthly Metrics'!E:E,'Data - Monthly Metrics'!A:A,$B$4,'Data - Monthly Metrics'!B:B,"Mar",'Data - Monthly Metrics'!C:C,"Snohomish",'Data - Monthly Metrics'!D:D,"New Sales Revenue - BOB/Promo ($)"))</f>
        <v/>
      </c>
      <c r="I10" s="101">
        <f>SUM(F10,G10,H10)</f>
        <v/>
      </c>
      <c r="J10" s="91">
        <f>IF(COUNTIFS('Data - Monthly Metrics'!A:A,$B$4,'Data - Monthly Metrics'!B:B,"Apr",'Data - Monthly Metrics'!C:C,"Snohomish",'Data - Monthly Metrics'!D:D,"New Sales Revenue - BOB/Promo ($)")=0,"-",SUMIFS('Data - Monthly Metrics'!E:E,'Data - Monthly Metrics'!A:A,$B$4,'Data - Monthly Metrics'!B:B,"Apr",'Data - Monthly Metrics'!C:C,"Snohomish",'Data - Monthly Metrics'!D:D,"New Sales Revenue - BOB/Promo ($)"))</f>
        <v/>
      </c>
      <c r="K10" s="91">
        <f>IF(COUNTIFS('Data - Monthly Metrics'!A:A,$B$4,'Data - Monthly Metrics'!B:B,"May",'Data - Monthly Metrics'!C:C,"Snohomish",'Data - Monthly Metrics'!D:D,"New Sales Revenue - BOB/Promo ($)")=0,"-",SUMIFS('Data - Monthly Metrics'!E:E,'Data - Monthly Metrics'!A:A,$B$4,'Data - Monthly Metrics'!B:B,"May",'Data - Monthly Metrics'!C:C,"Snohomish",'Data - Monthly Metrics'!D:D,"New Sales Revenue - BOB/Promo ($)"))</f>
        <v/>
      </c>
      <c r="L10" s="91">
        <f>IF(COUNTIFS('Data - Monthly Metrics'!A:A,$B$4,'Data - Monthly Metrics'!B:B,"Jun",'Data - Monthly Metrics'!C:C,"Snohomish",'Data - Monthly Metrics'!D:D,"New Sales Revenue - BOB/Promo ($)")=0,"-",SUMIFS('Data - Monthly Metrics'!E:E,'Data - Monthly Metrics'!A:A,$B$4,'Data - Monthly Metrics'!B:B,"Jun",'Data - Monthly Metrics'!C:C,"Snohomish",'Data - Monthly Metrics'!D:D,"New Sales Revenue - BOB/Promo ($)"))</f>
        <v/>
      </c>
      <c r="M10" s="101">
        <f>SUM(J10,K10,L10)</f>
        <v/>
      </c>
      <c r="N10" s="91">
        <f>IF(COUNTIFS('Data - Monthly Metrics'!A:A,$B$4,'Data - Monthly Metrics'!B:B,"Jul",'Data - Monthly Metrics'!C:C,"Snohomish",'Data - Monthly Metrics'!D:D,"New Sales Revenue - BOB/Promo ($)")=0,"-",SUMIFS('Data - Monthly Metrics'!E:E,'Data - Monthly Metrics'!A:A,$B$4,'Data - Monthly Metrics'!B:B,"Jul",'Data - Monthly Metrics'!C:C,"Snohomish",'Data - Monthly Metrics'!D:D,"New Sales Revenue - BOB/Promo ($)"))</f>
        <v/>
      </c>
      <c r="O10" s="91">
        <f>IF(COUNTIFS('Data - Monthly Metrics'!A:A,$B$4,'Data - Monthly Metrics'!B:B,"Aug",'Data - Monthly Metrics'!C:C,"Snohomish",'Data - Monthly Metrics'!D:D,"New Sales Revenue - BOB/Promo ($)")=0,"-",SUMIFS('Data - Monthly Metrics'!E:E,'Data - Monthly Metrics'!A:A,$B$4,'Data - Monthly Metrics'!B:B,"Aug",'Data - Monthly Metrics'!C:C,"Snohomish",'Data - Monthly Metrics'!D:D,"New Sales Revenue - BOB/Promo ($)"))</f>
        <v/>
      </c>
      <c r="P10" s="91">
        <f>IF(COUNTIFS('Data - Monthly Metrics'!A:A,$B$4,'Data - Monthly Metrics'!B:B,"Sep",'Data - Monthly Metrics'!C:C,"Snohomish",'Data - Monthly Metrics'!D:D,"New Sales Revenue - BOB/Promo ($)")=0,"-",SUMIFS('Data - Monthly Metrics'!E:E,'Data - Monthly Metrics'!A:A,$B$4,'Data - Monthly Metrics'!B:B,"Sep",'Data - Monthly Metrics'!C:C,"Snohomish",'Data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Metrics'!C:C,"Snohomish",'Data - Monthly Metrics'!D:D,"New Members - BOB (#)")=0,"-",SUMIFS('Data - Monthly Metrics'!E:E,'Data - Monthly Metrics'!A:A,$B$4-1,'Data - Monthly Metrics'!B:B,"Oct",'Data - Monthly Metrics'!C:C,"Snohomish",'Data - Monthly Metrics'!D:D,"New Members - BOB (#)"))</f>
        <v/>
      </c>
      <c r="C11" s="93">
        <f>IF(COUNTIFS('Data - Monthly Metrics'!A:A,$B$4-1,'Data - Monthly Metrics'!B:B,"Nov",'Data - Monthly Metrics'!C:C,"Snohomish",'Data - Monthly Metrics'!D:D,"New Members - BOB (#)")=0,"-",SUMIFS('Data - Monthly Metrics'!E:E,'Data - Monthly Metrics'!A:A,$B$4-1,'Data - Monthly Metrics'!B:B,"Nov",'Data - Monthly Metrics'!C:C,"Snohomish",'Data - Monthly Metrics'!D:D,"New Members - BOB (#)"))</f>
        <v/>
      </c>
      <c r="D11" s="93">
        <f>IF(COUNTIFS('Data - Monthly Metrics'!A:A,$B$4-1,'Data - Monthly Metrics'!B:B,"Dec",'Data - Monthly Metrics'!C:C,"Snohomish",'Data - Monthly Metrics'!D:D,"New Members - BOB (#)")=0,"-",SUMIFS('Data - Monthly Metrics'!E:E,'Data - Monthly Metrics'!A:A,$B$4-1,'Data - Monthly Metrics'!B:B,"Dec",'Data - Monthly Metrics'!C:C,"Snohomish",'Data - Monthly Metrics'!D:D,"New Members - BOB (#)"))</f>
        <v/>
      </c>
      <c r="E11" s="103">
        <f>SUM(B11,C11,D11)</f>
        <v/>
      </c>
      <c r="F11" s="93">
        <f>IF(COUNTIFS('Data - Monthly Metrics'!A:A,$B$4,'Data - Monthly Metrics'!B:B,"Jan",'Data - Monthly Metrics'!C:C,"Snohomish",'Data - Monthly Metrics'!D:D,"New Members - BOB (#)")=0,"-",SUMIFS('Data - Monthly Metrics'!E:E,'Data - Monthly Metrics'!A:A,$B$4,'Data - Monthly Metrics'!B:B,"Jan",'Data - Monthly Metrics'!C:C,"Snohomish",'Data - Monthly Metrics'!D:D,"New Members - BOB (#)"))</f>
        <v/>
      </c>
      <c r="G11" s="93">
        <f>IF(COUNTIFS('Data - Monthly Metrics'!A:A,$B$4,'Data - Monthly Metrics'!B:B,"Feb",'Data - Monthly Metrics'!C:C,"Snohomish",'Data - Monthly Metrics'!D:D,"New Members - BOB (#)")=0,"-",SUMIFS('Data - Monthly Metrics'!E:E,'Data - Monthly Metrics'!A:A,$B$4,'Data - Monthly Metrics'!B:B,"Feb",'Data - Monthly Metrics'!C:C,"Snohomish",'Data - Monthly Metrics'!D:D,"New Members - BOB (#)"))</f>
        <v/>
      </c>
      <c r="H11" s="93">
        <f>IF(COUNTIFS('Data - Monthly Metrics'!A:A,$B$4,'Data - Monthly Metrics'!B:B,"Mar",'Data - Monthly Metrics'!C:C,"Snohomish",'Data - Monthly Metrics'!D:D,"New Members - BOB (#)")=0,"-",SUMIFS('Data - Monthly Metrics'!E:E,'Data - Monthly Metrics'!A:A,$B$4,'Data - Monthly Metrics'!B:B,"Mar",'Data - Monthly Metrics'!C:C,"Snohomish",'Data - Monthly Metrics'!D:D,"New Members - BOB (#)"))</f>
        <v/>
      </c>
      <c r="I11" s="103">
        <f>SUM(F11,G11,H11)</f>
        <v/>
      </c>
      <c r="J11" s="93">
        <f>IF(COUNTIFS('Data - Monthly Metrics'!A:A,$B$4,'Data - Monthly Metrics'!B:B,"Apr",'Data - Monthly Metrics'!C:C,"Snohomish",'Data - Monthly Metrics'!D:D,"New Members - BOB (#)")=0,"-",SUMIFS('Data - Monthly Metrics'!E:E,'Data - Monthly Metrics'!A:A,$B$4,'Data - Monthly Metrics'!B:B,"Apr",'Data - Monthly Metrics'!C:C,"Snohomish",'Data - Monthly Metrics'!D:D,"New Members - BOB (#)"))</f>
        <v/>
      </c>
      <c r="K11" s="93">
        <f>IF(COUNTIFS('Data - Monthly Metrics'!A:A,$B$4,'Data - Monthly Metrics'!B:B,"May",'Data - Monthly Metrics'!C:C,"Snohomish",'Data - Monthly Metrics'!D:D,"New Members - BOB (#)")=0,"-",SUMIFS('Data - Monthly Metrics'!E:E,'Data - Monthly Metrics'!A:A,$B$4,'Data - Monthly Metrics'!B:B,"May",'Data - Monthly Metrics'!C:C,"Snohomish",'Data - Monthly Metrics'!D:D,"New Members - BOB (#)"))</f>
        <v/>
      </c>
      <c r="L11" s="93">
        <f>IF(COUNTIFS('Data - Monthly Metrics'!A:A,$B$4,'Data - Monthly Metrics'!B:B,"Jun",'Data - Monthly Metrics'!C:C,"Snohomish",'Data - Monthly Metrics'!D:D,"New Members - BOB (#)")=0,"-",SUMIFS('Data - Monthly Metrics'!E:E,'Data - Monthly Metrics'!A:A,$B$4,'Data - Monthly Metrics'!B:B,"Jun",'Data - Monthly Metrics'!C:C,"Snohomish",'Data - Monthly Metrics'!D:D,"New Members - BOB (#)"))</f>
        <v/>
      </c>
      <c r="M11" s="103">
        <f>SUM(J11,K11,L11)</f>
        <v/>
      </c>
      <c r="N11" s="93">
        <f>IF(COUNTIFS('Data - Monthly Metrics'!A:A,$B$4,'Data - Monthly Metrics'!B:B,"Jul",'Data - Monthly Metrics'!C:C,"Snohomish",'Data - Monthly Metrics'!D:D,"New Members - BOB (#)")=0,"-",SUMIFS('Data - Monthly Metrics'!E:E,'Data - Monthly Metrics'!A:A,$B$4,'Data - Monthly Metrics'!B:B,"Jul",'Data - Monthly Metrics'!C:C,"Snohomish",'Data - Monthly Metrics'!D:D,"New Members - BOB (#)"))</f>
        <v/>
      </c>
      <c r="O11" s="93">
        <f>IF(COUNTIFS('Data - Monthly Metrics'!A:A,$B$4,'Data - Monthly Metrics'!B:B,"Aug",'Data - Monthly Metrics'!C:C,"Snohomish",'Data - Monthly Metrics'!D:D,"New Members - BOB (#)")=0,"-",SUMIFS('Data - Monthly Metrics'!E:E,'Data - Monthly Metrics'!A:A,$B$4,'Data - Monthly Metrics'!B:B,"Aug",'Data - Monthly Metrics'!C:C,"Snohomish",'Data - Monthly Metrics'!D:D,"New Members - BOB (#)"))</f>
        <v/>
      </c>
      <c r="P11" s="93">
        <f>IF(COUNTIFS('Data - Monthly Metrics'!A:A,$B$4,'Data - Monthly Metrics'!B:B,"Sep",'Data - Monthly Metrics'!C:C,"Snohomish",'Data - Monthly Metrics'!D:D,"New Members - BOB (#)")=0,"-",SUMIFS('Data - Monthly Metrics'!E:E,'Data - Monthly Metrics'!A:A,$B$4,'Data - Monthly Metrics'!B:B,"Sep",'Data - Monthly Metrics'!C:C,"Snohomish",'Data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Metrics'!C:C,"Snohomish",'Data - Monthly Metrics'!D:D,"New Sales - Comped ($)")=0,"-",SUMIFS('Data - Monthly Metrics'!E:E,'Data - Monthly Metrics'!A:A,$B$4-1,'Data - Monthly Metrics'!B:B,"Oct",'Data - Monthly Metrics'!C:C,"Snohomish",'Data - Monthly Metrics'!D:D,"New Sales - Comped ($)"))</f>
        <v/>
      </c>
      <c r="C12" s="91">
        <f>IF(COUNTIFS('Data - Monthly Metrics'!A:A,$B$4-1,'Data - Monthly Metrics'!B:B,"Nov",'Data - Monthly Metrics'!C:C,"Snohomish",'Data - Monthly Metrics'!D:D,"New Sales - Comped ($)")=0,"-",SUMIFS('Data - Monthly Metrics'!E:E,'Data - Monthly Metrics'!A:A,$B$4-1,'Data - Monthly Metrics'!B:B,"Nov",'Data - Monthly Metrics'!C:C,"Snohomish",'Data - Monthly Metrics'!D:D,"New Sales - Comped ($)"))</f>
        <v/>
      </c>
      <c r="D12" s="91">
        <f>IF(COUNTIFS('Data - Monthly Metrics'!A:A,$B$4-1,'Data - Monthly Metrics'!B:B,"Dec",'Data - Monthly Metrics'!C:C,"Snohomish",'Data - Monthly Metrics'!D:D,"New Sales - Comped ($)")=0,"-",SUMIFS('Data - Monthly Metrics'!E:E,'Data - Monthly Metrics'!A:A,$B$4-1,'Data - Monthly Metrics'!B:B,"Dec",'Data - Monthly Metrics'!C:C,"Snohomish",'Data - Monthly Metrics'!D:D,"New Sales - Comped ($)"))</f>
        <v/>
      </c>
      <c r="E12" s="101">
        <f>SUM(B12,C12,D12)</f>
        <v/>
      </c>
      <c r="F12" s="91">
        <f>IF(COUNTIFS('Data - Monthly Metrics'!A:A,$B$4,'Data - Monthly Metrics'!B:B,"Jan",'Data - Monthly Metrics'!C:C,"Snohomish",'Data - Monthly Metrics'!D:D,"New Sales - Comped ($)")=0,"-",SUMIFS('Data - Monthly Metrics'!E:E,'Data - Monthly Metrics'!A:A,$B$4,'Data - Monthly Metrics'!B:B,"Jan",'Data - Monthly Metrics'!C:C,"Snohomish",'Data - Monthly Metrics'!D:D,"New Sales - Comped ($)"))</f>
        <v/>
      </c>
      <c r="G12" s="91">
        <f>IF(COUNTIFS('Data - Monthly Metrics'!A:A,$B$4,'Data - Monthly Metrics'!B:B,"Feb",'Data - Monthly Metrics'!C:C,"Snohomish",'Data - Monthly Metrics'!D:D,"New Sales - Comped ($)")=0,"-",SUMIFS('Data - Monthly Metrics'!E:E,'Data - Monthly Metrics'!A:A,$B$4,'Data - Monthly Metrics'!B:B,"Feb",'Data - Monthly Metrics'!C:C,"Snohomish",'Data - Monthly Metrics'!D:D,"New Sales - Comped ($)"))</f>
        <v/>
      </c>
      <c r="H12" s="91">
        <f>IF(COUNTIFS('Data - Monthly Metrics'!A:A,$B$4,'Data - Monthly Metrics'!B:B,"Mar",'Data - Monthly Metrics'!C:C,"Snohomish",'Data - Monthly Metrics'!D:D,"New Sales - Comped ($)")=0,"-",SUMIFS('Data - Monthly Metrics'!E:E,'Data - Monthly Metrics'!A:A,$B$4,'Data - Monthly Metrics'!B:B,"Mar",'Data - Monthly Metrics'!C:C,"Snohomish",'Data - Monthly Metrics'!D:D,"New Sales - Comped ($)"))</f>
        <v/>
      </c>
      <c r="I12" s="101">
        <f>SUM(F12,G12,H12)</f>
        <v/>
      </c>
      <c r="J12" s="91">
        <f>IF(COUNTIFS('Data - Monthly Metrics'!A:A,$B$4,'Data - Monthly Metrics'!B:B,"Apr",'Data - Monthly Metrics'!C:C,"Snohomish",'Data - Monthly Metrics'!D:D,"New Sales - Comped ($)")=0,"-",SUMIFS('Data - Monthly Metrics'!E:E,'Data - Monthly Metrics'!A:A,$B$4,'Data - Monthly Metrics'!B:B,"Apr",'Data - Monthly Metrics'!C:C,"Snohomish",'Data - Monthly Metrics'!D:D,"New Sales - Comped ($)"))</f>
        <v/>
      </c>
      <c r="K12" s="91">
        <f>IF(COUNTIFS('Data - Monthly Metrics'!A:A,$B$4,'Data - Monthly Metrics'!B:B,"May",'Data - Monthly Metrics'!C:C,"Snohomish",'Data - Monthly Metrics'!D:D,"New Sales - Comped ($)")=0,"-",SUMIFS('Data - Monthly Metrics'!E:E,'Data - Monthly Metrics'!A:A,$B$4,'Data - Monthly Metrics'!B:B,"May",'Data - Monthly Metrics'!C:C,"Snohomish",'Data - Monthly Metrics'!D:D,"New Sales - Comped ($)"))</f>
        <v/>
      </c>
      <c r="L12" s="91">
        <f>IF(COUNTIFS('Data - Monthly Metrics'!A:A,$B$4,'Data - Monthly Metrics'!B:B,"Jun",'Data - Monthly Metrics'!C:C,"Snohomish",'Data - Monthly Metrics'!D:D,"New Sales - Comped ($)")=0,"-",SUMIFS('Data - Monthly Metrics'!E:E,'Data - Monthly Metrics'!A:A,$B$4,'Data - Monthly Metrics'!B:B,"Jun",'Data - Monthly Metrics'!C:C,"Snohomish",'Data - Monthly Metrics'!D:D,"New Sales - Comped ($)"))</f>
        <v/>
      </c>
      <c r="M12" s="101">
        <f>SUM(J12,K12,L12)</f>
        <v/>
      </c>
      <c r="N12" s="91">
        <f>IF(COUNTIFS('Data - Monthly Metrics'!A:A,$B$4,'Data - Monthly Metrics'!B:B,"Jul",'Data - Monthly Metrics'!C:C,"Snohomish",'Data - Monthly Metrics'!D:D,"New Sales - Comped ($)")=0,"-",SUMIFS('Data - Monthly Metrics'!E:E,'Data - Monthly Metrics'!A:A,$B$4,'Data - Monthly Metrics'!B:B,"Jul",'Data - Monthly Metrics'!C:C,"Snohomish",'Data - Monthly Metrics'!D:D,"New Sales - Comped ($)"))</f>
        <v/>
      </c>
      <c r="O12" s="91">
        <f>IF(COUNTIFS('Data - Monthly Metrics'!A:A,$B$4,'Data - Monthly Metrics'!B:B,"Aug",'Data - Monthly Metrics'!C:C,"Snohomish",'Data - Monthly Metrics'!D:D,"New Sales - Comped ($)")=0,"-",SUMIFS('Data - Monthly Metrics'!E:E,'Data - Monthly Metrics'!A:A,$B$4,'Data - Monthly Metrics'!B:B,"Aug",'Data - Monthly Metrics'!C:C,"Snohomish",'Data - Monthly Metrics'!D:D,"New Sales - Comped ($)"))</f>
        <v/>
      </c>
      <c r="P12" s="91">
        <f>IF(COUNTIFS('Data - Monthly Metrics'!A:A,$B$4,'Data - Monthly Metrics'!B:B,"Sep",'Data - Monthly Metrics'!C:C,"Snohomish",'Data - Monthly Metrics'!D:D,"New Sales - Comped ($)")=0,"-",SUMIFS('Data - Monthly Metrics'!E:E,'Data - Monthly Metrics'!A:A,$B$4,'Data - Monthly Metrics'!B:B,"Sep",'Data - Monthly Metrics'!C:C,"Snohomish",'Data - Monthly Metrics'!D:D,"New Sales - Comped ($)"))</f>
        <v/>
      </c>
      <c r="Q12" s="101">
        <f>SUM(N12,O12,P12)</f>
        <v/>
      </c>
      <c r="R12" s="101">
        <f>SUM(E12,I12,M12,Q12)</f>
        <v/>
      </c>
    </row>
    <row r="13" ht="14.25" customHeight="1" s="82">
      <c r="A13" s="89" t="inlineStr">
        <is>
          <t>New Members — Combined (#)</t>
        </is>
      </c>
      <c r="B13" s="93">
        <f>N(B42)+N(B89)</f>
        <v/>
      </c>
      <c r="C13" s="93">
        <f>N(C42)+N(C89)</f>
        <v/>
      </c>
      <c r="D13" s="93">
        <f>N(D42)+N(D89)</f>
        <v/>
      </c>
      <c r="E13" s="103">
        <f>N(E42)+N(E89)</f>
        <v/>
      </c>
      <c r="F13" s="93">
        <f>N(F42)+N(F89)</f>
        <v/>
      </c>
      <c r="G13" s="93">
        <f>N(G42)+N(G89)</f>
        <v/>
      </c>
      <c r="H13" s="93">
        <f>N(H42)+N(H89)</f>
        <v/>
      </c>
      <c r="I13" s="103">
        <f>N(I42)+N(I89)</f>
        <v/>
      </c>
      <c r="J13" s="93">
        <f>N(J42)+N(J89)</f>
        <v/>
      </c>
      <c r="K13" s="93">
        <f>N(K42)+N(K89)</f>
        <v/>
      </c>
      <c r="L13" s="93">
        <f>N(L42)+N(L89)</f>
        <v/>
      </c>
      <c r="M13" s="103">
        <f>N(M42)+N(M89)</f>
        <v/>
      </c>
      <c r="N13" s="93">
        <f>N(N42)+N(N89)</f>
        <v/>
      </c>
      <c r="O13" s="93">
        <f>N(O42)+N(O89)</f>
        <v/>
      </c>
      <c r="P13" s="93">
        <f>N(P42)+N(P89)</f>
        <v/>
      </c>
      <c r="Q13" s="103">
        <f>N(Q42)+N(Q89)</f>
        <v/>
      </c>
      <c r="R13" s="103">
        <f>N(R42)+N(R89)</f>
        <v/>
      </c>
    </row>
    <row r="14" ht="14.25" customHeight="1" s="82">
      <c r="A14" s="89" t="inlineStr">
        <is>
          <t>Billables — Combined (T + NT) (#)</t>
        </is>
      </c>
      <c r="B14" s="93">
        <f>IF(OR(ISNUMBER(B52),ISNUMBER(B93)),N(B52)+N(B93),"-")</f>
        <v/>
      </c>
      <c r="C14" s="93">
        <f>IF(OR(ISNUMBER(C52),ISNUMBER(C93)),N(C52)+N(C93),"-")</f>
        <v/>
      </c>
      <c r="D14" s="93">
        <f>IF(OR(ISNUMBER(D52),ISNUMBER(D93)),N(D52)+N(D93),"-")</f>
        <v/>
      </c>
      <c r="E14" s="103">
        <f>IF(OR(ISNUMBER(E52),ISNUMBER(E93)),N(E52)+N(E93),"-")</f>
        <v/>
      </c>
      <c r="F14" s="93">
        <f>IF(OR(ISNUMBER(F52),ISNUMBER(F93)),N(F52)+N(F93),"-")</f>
        <v/>
      </c>
      <c r="G14" s="93">
        <f>IF(OR(ISNUMBER(G52),ISNUMBER(G93)),N(G52)+N(G93),"-")</f>
        <v/>
      </c>
      <c r="H14" s="93">
        <f>IF(OR(ISNUMBER(H52),ISNUMBER(H93)),N(H52)+N(H93),"-")</f>
        <v/>
      </c>
      <c r="I14" s="103">
        <f>IF(OR(ISNUMBER(I52),ISNUMBER(I93)),N(I52)+N(I93),"-")</f>
        <v/>
      </c>
      <c r="J14" s="93">
        <f>IF(OR(ISNUMBER(J52),ISNUMBER(J93)),N(J52)+N(J93),"-")</f>
        <v/>
      </c>
      <c r="K14" s="93">
        <f>IF(OR(ISNUMBER(K52),ISNUMBER(K93)),N(K52)+N(K93),"-")</f>
        <v/>
      </c>
      <c r="L14" s="93">
        <f>IF(OR(ISNUMBER(L52),ISNUMBER(L93)),N(L52)+N(L93),"-")</f>
        <v/>
      </c>
      <c r="M14" s="103">
        <f>IF(OR(ISNUMBER(M52),ISNUMBER(M93)),N(M52)+N(M93),"-")</f>
        <v/>
      </c>
      <c r="N14" s="93">
        <f>IF(OR(ISNUMBER(N52),ISNUMBER(N93)),N(N52)+N(N93),"-")</f>
        <v/>
      </c>
      <c r="O14" s="93">
        <f>IF(OR(ISNUMBER(O52),ISNUMBER(O93)),N(O52)+N(O93),"-")</f>
        <v/>
      </c>
      <c r="P14" s="93">
        <f>IF(OR(ISNUMBER(P52),ISNUMBER(P93)),N(P52)+N(P93),"-")</f>
        <v/>
      </c>
      <c r="Q14" s="103">
        <f>IF(OR(ISNUMBER(Q52),ISNUMBER(Q93)),N(Q52)+N(Q93),"-")</f>
        <v/>
      </c>
      <c r="R14" s="103">
        <f>IF(OR(ISNUMBER(R52),ISNUMBER(R93)),N(R52)+N(R93),"-")</f>
        <v/>
      </c>
    </row>
    <row r="15" ht="14.25" customHeight="1" s="82">
      <c r="A15" s="89" t="inlineStr">
        <is>
          <t>Member Locations — Combined (#)</t>
        </is>
      </c>
      <c r="B15" s="93">
        <f>IF(OR(ISNUMBER(B53),ISNUMBER(B94)),N(B53)+N(B94),"-")</f>
        <v/>
      </c>
      <c r="C15" s="93">
        <f>IF(OR(ISNUMBER(C53),ISNUMBER(C94)),N(C53)+N(C94),"-")</f>
        <v/>
      </c>
      <c r="D15" s="93">
        <f>IF(OR(ISNUMBER(D53),ISNUMBER(D94)),N(D53)+N(D94),"-")</f>
        <v/>
      </c>
      <c r="E15" s="103">
        <f>IF(OR(ISNUMBER(E53),ISNUMBER(E94)),N(E53)+N(E94),"-")</f>
        <v/>
      </c>
      <c r="F15" s="93">
        <f>IF(OR(ISNUMBER(F53),ISNUMBER(F94)),N(F53)+N(F94),"-")</f>
        <v/>
      </c>
      <c r="G15" s="93">
        <f>IF(OR(ISNUMBER(G53),ISNUMBER(G94)),N(G53)+N(G94),"-")</f>
        <v/>
      </c>
      <c r="H15" s="93">
        <f>IF(OR(ISNUMBER(H53),ISNUMBER(H94)),N(H53)+N(H94),"-")</f>
        <v/>
      </c>
      <c r="I15" s="103">
        <f>IF(OR(ISNUMBER(I53),ISNUMBER(I94)),N(I53)+N(I94),"-")</f>
        <v/>
      </c>
      <c r="J15" s="93">
        <f>IF(OR(ISNUMBER(J53),ISNUMBER(J94)),N(J53)+N(J94),"-")</f>
        <v/>
      </c>
      <c r="K15" s="93">
        <f>IF(OR(ISNUMBER(K53),ISNUMBER(K94)),N(K53)+N(K94),"-")</f>
        <v/>
      </c>
      <c r="L15" s="93">
        <f>IF(OR(ISNUMBER(L53),ISNUMBER(L94)),N(L53)+N(L94),"-")</f>
        <v/>
      </c>
      <c r="M15" s="103">
        <f>IF(OR(ISNUMBER(M53),ISNUMBER(M94)),N(M53)+N(M94),"-")</f>
        <v/>
      </c>
      <c r="N15" s="93">
        <f>IF(OR(ISNUMBER(N53),ISNUMBER(N94)),N(N53)+N(N94),"-")</f>
        <v/>
      </c>
      <c r="O15" s="93">
        <f>IF(OR(ISNUMBER(O53),ISNUMBER(O94)),N(O53)+N(O94),"-")</f>
        <v/>
      </c>
      <c r="P15" s="93">
        <f>IF(OR(ISNUMBER(P53),ISNUMBER(P94)),N(P53)+N(P94),"-")</f>
        <v/>
      </c>
      <c r="Q15" s="103">
        <f>IF(OR(ISNUMBER(Q53),ISNUMBER(Q94)),N(Q53)+N(Q94),"-")</f>
        <v/>
      </c>
      <c r="R15" s="103">
        <f>IF(OR(ISNUMBER(R53),ISNUMBER(R94)),N(R53)+N(R94),"-")</f>
        <v/>
      </c>
    </row>
    <row r="16" ht="14.25" customHeight="1" s="82">
      <c r="A16" s="89" t="inlineStr">
        <is>
          <t>Billables — Total incl. Allied (#)</t>
        </is>
      </c>
      <c r="B16" s="93">
        <f>IF(OR(ISNUMBER(B52),ISNUMBER(B96)),N(B52)+N(B96),"-")</f>
        <v/>
      </c>
      <c r="C16" s="93">
        <f>IF(OR(ISNUMBER(C52),ISNUMBER(C96)),N(C52)+N(C96),"-")</f>
        <v/>
      </c>
      <c r="D16" s="93">
        <f>IF(OR(ISNUMBER(D52),ISNUMBER(D96)),N(D52)+N(D96),"-")</f>
        <v/>
      </c>
      <c r="E16" s="103">
        <f>IF(OR(ISNUMBER(E52),ISNUMBER(E96)),N(E52)+N(E96),"-")</f>
        <v/>
      </c>
      <c r="F16" s="93">
        <f>IF(OR(ISNUMBER(F52),ISNUMBER(F96)),N(F52)+N(F96),"-")</f>
        <v/>
      </c>
      <c r="G16" s="93">
        <f>IF(OR(ISNUMBER(G52),ISNUMBER(G96)),N(G52)+N(G96),"-")</f>
        <v/>
      </c>
      <c r="H16" s="93">
        <f>IF(OR(ISNUMBER(H52),ISNUMBER(H96)),N(H52)+N(H96),"-")</f>
        <v/>
      </c>
      <c r="I16" s="103">
        <f>IF(OR(ISNUMBER(I52),ISNUMBER(I96)),N(I52)+N(I96),"-")</f>
        <v/>
      </c>
      <c r="J16" s="93">
        <f>IF(OR(ISNUMBER(J52),ISNUMBER(J96)),N(J52)+N(J96),"-")</f>
        <v/>
      </c>
      <c r="K16" s="93">
        <f>IF(OR(ISNUMBER(K52),ISNUMBER(K96)),N(K52)+N(K96),"-")</f>
        <v/>
      </c>
      <c r="L16" s="93">
        <f>IF(OR(ISNUMBER(L52),ISNUMBER(L96)),N(L52)+N(L96),"-")</f>
        <v/>
      </c>
      <c r="M16" s="103">
        <f>IF(OR(ISNUMBER(M52),ISNUMBER(M96)),N(M52)+N(M96),"-")</f>
        <v/>
      </c>
      <c r="N16" s="93">
        <f>IF(OR(ISNUMBER(N52),ISNUMBER(N96)),N(N52)+N(N96),"-")</f>
        <v/>
      </c>
      <c r="O16" s="93">
        <f>IF(OR(ISNUMBER(O52),ISNUMBER(O96)),N(O52)+N(O96),"-")</f>
        <v/>
      </c>
      <c r="P16" s="93">
        <f>IF(OR(ISNUMBER(P52),ISNUMBER(P96)),N(P52)+N(P96),"-")</f>
        <v/>
      </c>
      <c r="Q16" s="103">
        <f>IF(OR(ISNUMBER(Q52),ISNUMBER(Q96)),N(Q52)+N(Q96),"-")</f>
        <v/>
      </c>
      <c r="R16" s="103">
        <f>IF(OR(ISNUMBER(R52),ISNUMBER(R96)),N(R52)+N(R96),"-")</f>
        <v/>
      </c>
    </row>
    <row r="17" ht="14.25" customHeight="1" s="82">
      <c r="A17" s="89" t="inlineStr">
        <is>
          <t>Up for Renewal — T + NT (#)</t>
        </is>
      </c>
      <c r="B17" s="93">
        <f>N(B57)+N(B100)</f>
        <v/>
      </c>
      <c r="C17" s="93">
        <f>N(C57)+N(C100)</f>
        <v/>
      </c>
      <c r="D17" s="93">
        <f>N(D57)+N(D100)</f>
        <v/>
      </c>
      <c r="E17" s="103">
        <f>N(E57)+N(E100)</f>
        <v/>
      </c>
      <c r="F17" s="93">
        <f>N(F57)+N(F100)</f>
        <v/>
      </c>
      <c r="G17" s="93">
        <f>N(G57)+N(G100)</f>
        <v/>
      </c>
      <c r="H17" s="93">
        <f>N(H57)+N(H100)</f>
        <v/>
      </c>
      <c r="I17" s="103">
        <f>N(I57)+N(I100)</f>
        <v/>
      </c>
      <c r="J17" s="93">
        <f>N(J57)+N(J100)</f>
        <v/>
      </c>
      <c r="K17" s="93">
        <f>N(K57)+N(K100)</f>
        <v/>
      </c>
      <c r="L17" s="93">
        <f>N(L57)+N(L100)</f>
        <v/>
      </c>
      <c r="M17" s="103">
        <f>N(M57)+N(M100)</f>
        <v/>
      </c>
      <c r="N17" s="93">
        <f>N(N57)+N(N100)</f>
        <v/>
      </c>
      <c r="O17" s="93">
        <f>N(O57)+N(O100)</f>
        <v/>
      </c>
      <c r="P17" s="93">
        <f>N(P57)+N(P100)</f>
        <v/>
      </c>
      <c r="Q17" s="103">
        <f>N(Q57)+N(Q100)</f>
        <v/>
      </c>
      <c r="R17" s="103">
        <f>N(R57)+N(R100)</f>
        <v/>
      </c>
    </row>
    <row r="18" ht="14.25" customHeight="1" s="82">
      <c r="A18" s="89" t="inlineStr">
        <is>
          <t>Retained — T + NT (#)</t>
        </is>
      </c>
      <c r="B18" s="93">
        <f>N(B58)+N(B101)</f>
        <v/>
      </c>
      <c r="C18" s="93">
        <f>N(C58)+N(C101)</f>
        <v/>
      </c>
      <c r="D18" s="93">
        <f>N(D58)+N(D101)</f>
        <v/>
      </c>
      <c r="E18" s="103">
        <f>N(E58)+N(E101)</f>
        <v/>
      </c>
      <c r="F18" s="93">
        <f>N(F58)+N(F101)</f>
        <v/>
      </c>
      <c r="G18" s="93">
        <f>N(G58)+N(G101)</f>
        <v/>
      </c>
      <c r="H18" s="93">
        <f>N(H58)+N(H101)</f>
        <v/>
      </c>
      <c r="I18" s="103">
        <f>N(I58)+N(I101)</f>
        <v/>
      </c>
      <c r="J18" s="93">
        <f>N(J58)+N(J101)</f>
        <v/>
      </c>
      <c r="K18" s="93">
        <f>N(K58)+N(K101)</f>
        <v/>
      </c>
      <c r="L18" s="93">
        <f>N(L58)+N(L101)</f>
        <v/>
      </c>
      <c r="M18" s="103">
        <f>N(M58)+N(M101)</f>
        <v/>
      </c>
      <c r="N18" s="93">
        <f>N(N58)+N(N101)</f>
        <v/>
      </c>
      <c r="O18" s="93">
        <f>N(O58)+N(O101)</f>
        <v/>
      </c>
      <c r="P18" s="93">
        <f>N(P58)+N(P101)</f>
        <v/>
      </c>
      <c r="Q18" s="103">
        <f>N(Q58)+N(Q101)</f>
        <v/>
      </c>
      <c r="R18" s="103">
        <f>N(R58)+N(R101)</f>
        <v/>
      </c>
    </row>
    <row r="19" ht="14.25" customHeight="1" s="82">
      <c r="A19" s="89" t="inlineStr">
        <is>
          <t>Account Retention % — T + NT</t>
        </is>
      </c>
      <c r="B19" s="107">
        <f>IF((N(B57)+N(B100))=0,"",(N(B58)+N(B101))/(N(B57)+N(B100)))</f>
        <v/>
      </c>
      <c r="C19" s="107">
        <f>IF((N(C57)+N(C100))=0,"",(N(C58)+N(C101))/(N(C57)+N(C100)))</f>
        <v/>
      </c>
      <c r="D19" s="107">
        <f>IF((N(D57)+N(D100))=0,"",(N(D58)+N(D101))/(N(D57)+N(D100)))</f>
        <v/>
      </c>
      <c r="E19" s="108">
        <f>IF((N(E57)+N(E100))=0,"",(N(E58)+N(E101))/(N(E57)+N(E100)))</f>
        <v/>
      </c>
      <c r="F19" s="107">
        <f>IF((N(F57)+N(F100))=0,"",(N(F58)+N(F101))/(N(F57)+N(F100)))</f>
        <v/>
      </c>
      <c r="G19" s="107">
        <f>IF((N(G57)+N(G100))=0,"",(N(G58)+N(G101))/(N(G57)+N(G100)))</f>
        <v/>
      </c>
      <c r="H19" s="107">
        <f>IF((N(H57)+N(H100))=0,"",(N(H58)+N(H101))/(N(H57)+N(H100)))</f>
        <v/>
      </c>
      <c r="I19" s="108">
        <f>IF((N(I57)+N(I100))=0,"",(N(I58)+N(I101))/(N(I57)+N(I100)))</f>
        <v/>
      </c>
      <c r="J19" s="107">
        <f>IF((N(J57)+N(J100))=0,"",(N(J58)+N(J101))/(N(J57)+N(J100)))</f>
        <v/>
      </c>
      <c r="K19" s="107">
        <f>IF((N(K57)+N(K100))=0,"",(N(K58)+N(K101))/(N(K57)+N(K100)))</f>
        <v/>
      </c>
      <c r="L19" s="107">
        <f>IF((N(L57)+N(L100))=0,"",(N(L58)+N(L101))/(N(L57)+N(L100)))</f>
        <v/>
      </c>
      <c r="M19" s="108">
        <f>IF((N(M57)+N(M100))=0,"",(N(M58)+N(M101))/(N(M57)+N(M100)))</f>
        <v/>
      </c>
      <c r="N19" s="107">
        <f>IF((N(N57)+N(N100))=0,"",(N(N58)+N(N101))/(N(N57)+N(N100)))</f>
        <v/>
      </c>
      <c r="O19" s="107">
        <f>IF((N(O57)+N(O100))=0,"",(N(O58)+N(O101))/(N(O57)+N(O100)))</f>
        <v/>
      </c>
      <c r="P19" s="107">
        <f>IF((N(P57)+N(P100))=0,"",(N(P58)+N(P101))/(N(P57)+N(P100)))</f>
        <v/>
      </c>
      <c r="Q19" s="108">
        <f>IF((N(Q57)+N(Q100))=0,"",(N(Q58)+N(Q101))/(N(Q57)+N(Q100)))</f>
        <v/>
      </c>
      <c r="R19" s="108">
        <f>IF((N(R57)+N(R100))=0,"",(N(R58)+N(R101))/(N(R57)+N(R100)))</f>
        <v/>
      </c>
    </row>
    <row r="20" ht="14.25" customHeight="1" s="82">
      <c r="A20" s="89" t="inlineStr">
        <is>
          <t>Drops — Combined (#)</t>
        </is>
      </c>
      <c r="B20" s="93">
        <f>N(B69)+N(B109)</f>
        <v/>
      </c>
      <c r="C20" s="93">
        <f>N(C69)+N(C109)</f>
        <v/>
      </c>
      <c r="D20" s="93">
        <f>N(D69)+N(D109)</f>
        <v/>
      </c>
      <c r="E20" s="103">
        <f>N(E69)+N(E109)</f>
        <v/>
      </c>
      <c r="F20" s="93">
        <f>N(F69)+N(F109)</f>
        <v/>
      </c>
      <c r="G20" s="93">
        <f>N(G69)+N(G109)</f>
        <v/>
      </c>
      <c r="H20" s="93">
        <f>N(H69)+N(H109)</f>
        <v/>
      </c>
      <c r="I20" s="103">
        <f>N(I69)+N(I109)</f>
        <v/>
      </c>
      <c r="J20" s="93">
        <f>N(J69)+N(J109)</f>
        <v/>
      </c>
      <c r="K20" s="93">
        <f>N(K69)+N(K109)</f>
        <v/>
      </c>
      <c r="L20" s="93">
        <f>N(L69)+N(L109)</f>
        <v/>
      </c>
      <c r="M20" s="103">
        <f>N(M69)+N(M109)</f>
        <v/>
      </c>
      <c r="N20" s="93">
        <f>N(N69)+N(N109)</f>
        <v/>
      </c>
      <c r="O20" s="93">
        <f>N(O69)+N(O109)</f>
        <v/>
      </c>
      <c r="P20" s="93">
        <f>N(P69)+N(P109)</f>
        <v/>
      </c>
      <c r="Q20" s="103">
        <f>N(Q69)+N(Q109)</f>
        <v/>
      </c>
      <c r="R20" s="103">
        <f>N(R69)+N(R109)</f>
        <v/>
      </c>
    </row>
    <row r="21" ht="14.25" customHeight="1" s="82">
      <c r="A21" s="89" t="inlineStr">
        <is>
          <t>Dropped Revenue — Combined ($)</t>
        </is>
      </c>
      <c r="B21" s="91">
        <f>N(B70)+N(B110)</f>
        <v/>
      </c>
      <c r="C21" s="91">
        <f>N(C70)+N(C110)</f>
        <v/>
      </c>
      <c r="D21" s="91">
        <f>N(D70)+N(D110)</f>
        <v/>
      </c>
      <c r="E21" s="101">
        <f>N(E70)+N(E110)</f>
        <v/>
      </c>
      <c r="F21" s="91">
        <f>N(F70)+N(F110)</f>
        <v/>
      </c>
      <c r="G21" s="91">
        <f>N(G70)+N(G110)</f>
        <v/>
      </c>
      <c r="H21" s="91">
        <f>N(H70)+N(H110)</f>
        <v/>
      </c>
      <c r="I21" s="101">
        <f>N(I70)+N(I110)</f>
        <v/>
      </c>
      <c r="J21" s="91">
        <f>N(J70)+N(J110)</f>
        <v/>
      </c>
      <c r="K21" s="91">
        <f>N(K70)+N(K110)</f>
        <v/>
      </c>
      <c r="L21" s="91">
        <f>N(L70)+N(L110)</f>
        <v/>
      </c>
      <c r="M21" s="101">
        <f>N(M70)+N(M110)</f>
        <v/>
      </c>
      <c r="N21" s="91">
        <f>N(N70)+N(N110)</f>
        <v/>
      </c>
      <c r="O21" s="91">
        <f>N(O70)+N(O110)</f>
        <v/>
      </c>
      <c r="P21" s="91">
        <f>N(P70)+N(P110)</f>
        <v/>
      </c>
      <c r="Q21" s="101">
        <f>N(Q70)+N(Q110)</f>
        <v/>
      </c>
      <c r="R21" s="101">
        <f>N(R70)+N(R110)</f>
        <v/>
      </c>
    </row>
    <row r="22" ht="14.25" customHeight="1" s="82">
      <c r="A22" s="109" t="inlineStr">
        <is>
          <t>Revenue Up for Renewal — T + NT ($)</t>
        </is>
      </c>
      <c r="B22" s="110">
        <f>SUMIFS('Data - Monthly Metrics'!E:E,'Data - Monthly Metrics'!A:A,$B$4-1,'Data - Monthly Metrics'!B:B,"Oct",'Data - Monthly Metrics'!C:C,"Snohomish",'Data - Monthly Metrics'!D:D,"Revenue Up for Renewal - Target ($)")+SUMIFS('Data - Monthly Metrics'!E:E,'Data - Monthly Metrics'!A:A,$B$4-1,'Data - Monthly Metrics'!B:B,"Oct",'Data - Monthly Metrics'!C:C,"Snohomish",'Data - Monthly Metrics'!D:D,"Revenue Up for Renewal - Non-Target ($)")</f>
        <v/>
      </c>
      <c r="C22" s="110">
        <f>SUMIFS('Data - Monthly Metrics'!E:E,'Data - Monthly Metrics'!A:A,$B$4-1,'Data - Monthly Metrics'!B:B,"Nov",'Data - Monthly Metrics'!C:C,"Snohomish",'Data - Monthly Metrics'!D:D,"Revenue Up for Renewal - Target ($)")+SUMIFS('Data - Monthly Metrics'!E:E,'Data - Monthly Metrics'!A:A,$B$4-1,'Data - Monthly Metrics'!B:B,"Nov",'Data - Monthly Metrics'!C:C,"Snohomish",'Data - Monthly Metrics'!D:D,"Revenue Up for Renewal - Non-Target ($)")</f>
        <v/>
      </c>
      <c r="D22" s="110">
        <f>SUMIFS('Data - Monthly Metrics'!E:E,'Data - Monthly Metrics'!A:A,$B$4-1,'Data - Monthly Metrics'!B:B,"Dec",'Data - Monthly Metrics'!C:C,"Snohomish",'Data - Monthly Metrics'!D:D,"Revenue Up for Renewal - Target ($)")+SUMIFS('Data - Monthly Metrics'!E:E,'Data - Monthly Metrics'!A:A,$B$4-1,'Data - Monthly Metrics'!B:B,"Dec",'Data - Monthly Metrics'!C:C,"Snohomish",'Data - Monthly Metrics'!D:D,"Revenue Up for Renewal - Non-Target ($)")</f>
        <v/>
      </c>
      <c r="E22" s="111">
        <f>SUM(B22,C22,D22)</f>
        <v/>
      </c>
      <c r="F22" s="110">
        <f>SUMIFS('Data - Monthly Metrics'!E:E,'Data - Monthly Metrics'!A:A,$B$4,'Data - Monthly Metrics'!B:B,"Jan",'Data - Monthly Metrics'!C:C,"Snohomish",'Data - Monthly Metrics'!D:D,"Revenue Up for Renewal - Target ($)")+SUMIFS('Data - Monthly Metrics'!E:E,'Data - Monthly Metrics'!A:A,$B$4,'Data - Monthly Metrics'!B:B,"Jan",'Data - Monthly Metrics'!C:C,"Snohomish",'Data - Monthly Metrics'!D:D,"Revenue Up for Renewal - Non-Target ($)")</f>
        <v/>
      </c>
      <c r="G22" s="110">
        <f>SUMIFS('Data - Monthly Metrics'!E:E,'Data - Monthly Metrics'!A:A,$B$4,'Data - Monthly Metrics'!B:B,"Feb",'Data - Monthly Metrics'!C:C,"Snohomish",'Data - Monthly Metrics'!D:D,"Revenue Up for Renewal - Target ($)")+SUMIFS('Data - Monthly Metrics'!E:E,'Data - Monthly Metrics'!A:A,$B$4,'Data - Monthly Metrics'!B:B,"Feb",'Data - Monthly Metrics'!C:C,"Snohomish",'Data - Monthly Metrics'!D:D,"Revenue Up for Renewal - Non-Target ($)")</f>
        <v/>
      </c>
      <c r="H22" s="110">
        <f>SUMIFS('Data - Monthly Metrics'!E:E,'Data - Monthly Metrics'!A:A,$B$4,'Data - Monthly Metrics'!B:B,"Mar",'Data - Monthly Metrics'!C:C,"Snohomish",'Data - Monthly Metrics'!D:D,"Revenue Up for Renewal - Target ($)")+SUMIFS('Data - Monthly Metrics'!E:E,'Data - Monthly Metrics'!A:A,$B$4,'Data - Monthly Metrics'!B:B,"Mar",'Data - Monthly Metrics'!C:C,"Snohomish",'Data - Monthly Metrics'!D:D,"Revenue Up for Renewal - Non-Target ($)")</f>
        <v/>
      </c>
      <c r="I22" s="111">
        <f>SUM(F22,G22,H22)</f>
        <v/>
      </c>
      <c r="J22" s="110">
        <f>SUMIFS('Data - Monthly Metrics'!E:E,'Data - Monthly Metrics'!A:A,$B$4,'Data - Monthly Metrics'!B:B,"Apr",'Data - Monthly Metrics'!C:C,"Snohomish",'Data - Monthly Metrics'!D:D,"Revenue Up for Renewal - Target ($)")+SUMIFS('Data - Monthly Metrics'!E:E,'Data - Monthly Metrics'!A:A,$B$4,'Data - Monthly Metrics'!B:B,"Apr",'Data - Monthly Metrics'!C:C,"Snohomish",'Data - Monthly Metrics'!D:D,"Revenue Up for Renewal - Non-Target ($)")</f>
        <v/>
      </c>
      <c r="K22" s="110">
        <f>SUMIFS('Data - Monthly Metrics'!E:E,'Data - Monthly Metrics'!A:A,$B$4,'Data - Monthly Metrics'!B:B,"May",'Data - Monthly Metrics'!C:C,"Snohomish",'Data - Monthly Metrics'!D:D,"Revenue Up for Renewal - Target ($)")+SUMIFS('Data - Monthly Metrics'!E:E,'Data - Monthly Metrics'!A:A,$B$4,'Data - Monthly Metrics'!B:B,"May",'Data - Monthly Metrics'!C:C,"Snohomish",'Data - Monthly Metrics'!D:D,"Revenue Up for Renewal - Non-Target ($)")</f>
        <v/>
      </c>
      <c r="L22" s="110">
        <f>SUMIFS('Data - Monthly Metrics'!E:E,'Data - Monthly Metrics'!A:A,$B$4,'Data - Monthly Metrics'!B:B,"Jun",'Data - Monthly Metrics'!C:C,"Snohomish",'Data - Monthly Metrics'!D:D,"Revenue Up for Renewal - Target ($)")+SUMIFS('Data - Monthly Metrics'!E:E,'Data - Monthly Metrics'!A:A,$B$4,'Data - Monthly Metrics'!B:B,"Jun",'Data - Monthly Metrics'!C:C,"Snohomish",'Data - Monthly Metrics'!D:D,"Revenue Up for Renewal - Non-Target ($)")</f>
        <v/>
      </c>
      <c r="M22" s="111">
        <f>SUM(J22,K22,L22)</f>
        <v/>
      </c>
      <c r="N22" s="110">
        <f>SUMIFS('Data - Monthly Metrics'!E:E,'Data - Monthly Metrics'!A:A,$B$4,'Data - Monthly Metrics'!B:B,"Jul",'Data - Monthly Metrics'!C:C,"Snohomish",'Data - Monthly Metrics'!D:D,"Revenue Up for Renewal - Target ($)")+SUMIFS('Data - Monthly Metrics'!E:E,'Data - Monthly Metrics'!A:A,$B$4,'Data - Monthly Metrics'!B:B,"Jul",'Data - Monthly Metrics'!C:C,"Snohomish",'Data - Monthly Metrics'!D:D,"Revenue Up for Renewal - Non-Target ($)")</f>
        <v/>
      </c>
      <c r="O22" s="110">
        <f>SUMIFS('Data - Monthly Metrics'!E:E,'Data - Monthly Metrics'!A:A,$B$4,'Data - Monthly Metrics'!B:B,"Aug",'Data - Monthly Metrics'!C:C,"Snohomish",'Data - Monthly Metrics'!D:D,"Revenue Up for Renewal - Target ($)")+SUMIFS('Data - Monthly Metrics'!E:E,'Data - Monthly Metrics'!A:A,$B$4,'Data - Monthly Metrics'!B:B,"Aug",'Data - Monthly Metrics'!C:C,"Snohomish",'Data - Monthly Metrics'!D:D,"Revenue Up for Renewal - Non-Target ($)")</f>
        <v/>
      </c>
      <c r="P22" s="110">
        <f>SUMIFS('Data - Monthly Metrics'!E:E,'Data - Monthly Metrics'!A:A,$B$4,'Data - Monthly Metrics'!B:B,"Sep",'Data - Monthly Metrics'!C:C,"Snohomish",'Data - Monthly Metrics'!D:D,"Revenue Up for Renewal - Target ($)")+SUMIFS('Data - Monthly Metrics'!E:E,'Data - Monthly Metrics'!A:A,$B$4,'Data - Monthly Metrics'!B:B,"Sep",'Data - Monthly Metrics'!C:C,"Snohomish",'Data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Metrics'!C:C,"Snohomish",'Data - Monthly Metrics'!D:D,"Revenue Retained - Target ($)")+SUMIFS('Data - Monthly Metrics'!E:E,'Data - Monthly Metrics'!A:A,$B$4-1,'Data - Monthly Metrics'!B:B,"Oct",'Data - Monthly Metrics'!C:C,"Snohomish",'Data - Monthly Metrics'!D:D,"Revenue Retained - Non-Target ($)")</f>
        <v/>
      </c>
      <c r="C23" s="112">
        <f>SUMIFS('Data - Monthly Metrics'!E:E,'Data - Monthly Metrics'!A:A,$B$4-1,'Data - Monthly Metrics'!B:B,"Nov",'Data - Monthly Metrics'!C:C,"Snohomish",'Data - Monthly Metrics'!D:D,"Revenue Retained - Target ($)")+SUMIFS('Data - Monthly Metrics'!E:E,'Data - Monthly Metrics'!A:A,$B$4-1,'Data - Monthly Metrics'!B:B,"Nov",'Data - Monthly Metrics'!C:C,"Snohomish",'Data - Monthly Metrics'!D:D,"Revenue Retained - Non-Target ($)")</f>
        <v/>
      </c>
      <c r="D23" s="112">
        <f>SUMIFS('Data - Monthly Metrics'!E:E,'Data - Monthly Metrics'!A:A,$B$4-1,'Data - Monthly Metrics'!B:B,"Dec",'Data - Monthly Metrics'!C:C,"Snohomish",'Data - Monthly Metrics'!D:D,"Revenue Retained - Target ($)")+SUMIFS('Data - Monthly Metrics'!E:E,'Data - Monthly Metrics'!A:A,$B$4-1,'Data - Monthly Metrics'!B:B,"Dec",'Data - Monthly Metrics'!C:C,"Snohomish",'Data - Monthly Metrics'!D:D,"Revenue Retained - Non-Target ($)")</f>
        <v/>
      </c>
      <c r="E23" s="111">
        <f>SUM(B23,C23,D23)</f>
        <v/>
      </c>
      <c r="F23" s="112">
        <f>SUMIFS('Data - Monthly Metrics'!E:E,'Data - Monthly Metrics'!A:A,$B$4,'Data - Monthly Metrics'!B:B,"Jan",'Data - Monthly Metrics'!C:C,"Snohomish",'Data - Monthly Metrics'!D:D,"Revenue Retained - Target ($)")+SUMIFS('Data - Monthly Metrics'!E:E,'Data - Monthly Metrics'!A:A,$B$4,'Data - Monthly Metrics'!B:B,"Jan",'Data - Monthly Metrics'!C:C,"Snohomish",'Data - Monthly Metrics'!D:D,"Revenue Retained - Non-Target ($)")</f>
        <v/>
      </c>
      <c r="G23" s="112">
        <f>SUMIFS('Data - Monthly Metrics'!E:E,'Data - Monthly Metrics'!A:A,$B$4,'Data - Monthly Metrics'!B:B,"Feb",'Data - Monthly Metrics'!C:C,"Snohomish",'Data - Monthly Metrics'!D:D,"Revenue Retained - Target ($)")+SUMIFS('Data - Monthly Metrics'!E:E,'Data - Monthly Metrics'!A:A,$B$4,'Data - Monthly Metrics'!B:B,"Feb",'Data - Monthly Metrics'!C:C,"Snohomish",'Data - Monthly Metrics'!D:D,"Revenue Retained - Non-Target ($)")</f>
        <v/>
      </c>
      <c r="H23" s="112">
        <f>SUMIFS('Data - Monthly Metrics'!E:E,'Data - Monthly Metrics'!A:A,$B$4,'Data - Monthly Metrics'!B:B,"Mar",'Data - Monthly Metrics'!C:C,"Snohomish",'Data - Monthly Metrics'!D:D,"Revenue Retained - Target ($)")+SUMIFS('Data - Monthly Metrics'!E:E,'Data - Monthly Metrics'!A:A,$B$4,'Data - Monthly Metrics'!B:B,"Mar",'Data - Monthly Metrics'!C:C,"Snohomish",'Data - Monthly Metrics'!D:D,"Revenue Retained - Non-Target ($)")</f>
        <v/>
      </c>
      <c r="I23" s="111">
        <f>SUM(F23,G23,H23)</f>
        <v/>
      </c>
      <c r="J23" s="112">
        <f>SUMIFS('Data - Monthly Metrics'!E:E,'Data - Monthly Metrics'!A:A,$B$4,'Data - Monthly Metrics'!B:B,"Apr",'Data - Monthly Metrics'!C:C,"Snohomish",'Data - Monthly Metrics'!D:D,"Revenue Retained - Target ($)")+SUMIFS('Data - Monthly Metrics'!E:E,'Data - Monthly Metrics'!A:A,$B$4,'Data - Monthly Metrics'!B:B,"Apr",'Data - Monthly Metrics'!C:C,"Snohomish",'Data - Monthly Metrics'!D:D,"Revenue Retained - Non-Target ($)")</f>
        <v/>
      </c>
      <c r="K23" s="112">
        <f>SUMIFS('Data - Monthly Metrics'!E:E,'Data - Monthly Metrics'!A:A,$B$4,'Data - Monthly Metrics'!B:B,"May",'Data - Monthly Metrics'!C:C,"Snohomish",'Data - Monthly Metrics'!D:D,"Revenue Retained - Target ($)")+SUMIFS('Data - Monthly Metrics'!E:E,'Data - Monthly Metrics'!A:A,$B$4,'Data - Monthly Metrics'!B:B,"May",'Data - Monthly Metrics'!C:C,"Snohomish",'Data - Monthly Metrics'!D:D,"Revenue Retained - Non-Target ($)")</f>
        <v/>
      </c>
      <c r="L23" s="112">
        <f>SUMIFS('Data - Monthly Metrics'!E:E,'Data - Monthly Metrics'!A:A,$B$4,'Data - Monthly Metrics'!B:B,"Jun",'Data - Monthly Metrics'!C:C,"Snohomish",'Data - Monthly Metrics'!D:D,"Revenue Retained - Target ($)")+SUMIFS('Data - Monthly Metrics'!E:E,'Data - Monthly Metrics'!A:A,$B$4,'Data - Monthly Metrics'!B:B,"Jun",'Data - Monthly Metrics'!C:C,"Snohomish",'Data - Monthly Metrics'!D:D,"Revenue Retained - Non-Target ($)")</f>
        <v/>
      </c>
      <c r="M23" s="111">
        <f>SUM(J23,K23,L23)</f>
        <v/>
      </c>
      <c r="N23" s="112">
        <f>SUMIFS('Data - Monthly Metrics'!E:E,'Data - Monthly Metrics'!A:A,$B$4,'Data - Monthly Metrics'!B:B,"Jul",'Data - Monthly Metrics'!C:C,"Snohomish",'Data - Monthly Metrics'!D:D,"Revenue Retained - Target ($)")+SUMIFS('Data - Monthly Metrics'!E:E,'Data - Monthly Metrics'!A:A,$B$4,'Data - Monthly Metrics'!B:B,"Jul",'Data - Monthly Metrics'!C:C,"Snohomish",'Data - Monthly Metrics'!D:D,"Revenue Retained - Non-Target ($)")</f>
        <v/>
      </c>
      <c r="O23" s="112">
        <f>SUMIFS('Data - Monthly Metrics'!E:E,'Data - Monthly Metrics'!A:A,$B$4,'Data - Monthly Metrics'!B:B,"Aug",'Data - Monthly Metrics'!C:C,"Snohomish",'Data - Monthly Metrics'!D:D,"Revenue Retained - Target ($)")+SUMIFS('Data - Monthly Metrics'!E:E,'Data - Monthly Metrics'!A:A,$B$4,'Data - Monthly Metrics'!B:B,"Aug",'Data - Monthly Metrics'!C:C,"Snohomish",'Data - Monthly Metrics'!D:D,"Revenue Retained - Non-Target ($)")</f>
        <v/>
      </c>
      <c r="P23" s="112">
        <f>SUMIFS('Data - Monthly Metrics'!E:E,'Data - Monthly Metrics'!A:A,$B$4,'Data - Monthly Metrics'!B:B,"Sep",'Data - Monthly Metrics'!C:C,"Snohomish",'Data - Monthly Metrics'!D:D,"Revenue Retained - Target ($)")+SUMIFS('Data - Monthly Metrics'!E:E,'Data - Monthly Metrics'!A:A,$B$4,'Data - Monthly Metrics'!B:B,"Sep",'Data - Monthly Metrics'!C:C,"Snohomish",'Data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Metrics'!C:C,"Snohomish",'Data - Monthly Metrics'!D:D,"Retention - Comped ($)")</f>
        <v/>
      </c>
      <c r="C24" s="112">
        <f>SUMIFS('Data - Monthly Metrics'!E:E,'Data - Monthly Metrics'!A:A,$B$4-1,'Data - Monthly Metrics'!B:B,"Nov",'Data - Monthly Metrics'!C:C,"Snohomish",'Data - Monthly Metrics'!D:D,"Retention - Comped ($)")</f>
        <v/>
      </c>
      <c r="D24" s="112">
        <f>SUMIFS('Data - Monthly Metrics'!E:E,'Data - Monthly Metrics'!A:A,$B$4-1,'Data - Monthly Metrics'!B:B,"Dec",'Data - Monthly Metrics'!C:C,"Snohomish",'Data - Monthly Metrics'!D:D,"Retention - Comped ($)")</f>
        <v/>
      </c>
      <c r="E24" s="111">
        <f>SUM(B24,C24,D24)</f>
        <v/>
      </c>
      <c r="F24" s="112">
        <f>SUMIFS('Data - Monthly Metrics'!E:E,'Data - Monthly Metrics'!A:A,$B$4,'Data - Monthly Metrics'!B:B,"Jan",'Data - Monthly Metrics'!C:C,"Snohomish",'Data - Monthly Metrics'!D:D,"Retention - Comped ($)")</f>
        <v/>
      </c>
      <c r="G24" s="112">
        <f>SUMIFS('Data - Monthly Metrics'!E:E,'Data - Monthly Metrics'!A:A,$B$4,'Data - Monthly Metrics'!B:B,"Feb",'Data - Monthly Metrics'!C:C,"Snohomish",'Data - Monthly Metrics'!D:D,"Retention - Comped ($)")</f>
        <v/>
      </c>
      <c r="H24" s="112">
        <f>SUMIFS('Data - Monthly Metrics'!E:E,'Data - Monthly Metrics'!A:A,$B$4,'Data - Monthly Metrics'!B:B,"Mar",'Data - Monthly Metrics'!C:C,"Snohomish",'Data - Monthly Metrics'!D:D,"Retention - Comped ($)")</f>
        <v/>
      </c>
      <c r="I24" s="111">
        <f>SUM(F24,G24,H24)</f>
        <v/>
      </c>
      <c r="J24" s="112">
        <f>SUMIFS('Data - Monthly Metrics'!E:E,'Data - Monthly Metrics'!A:A,$B$4,'Data - Monthly Metrics'!B:B,"Apr",'Data - Monthly Metrics'!C:C,"Snohomish",'Data - Monthly Metrics'!D:D,"Retention - Comped ($)")</f>
        <v/>
      </c>
      <c r="K24" s="112">
        <f>SUMIFS('Data - Monthly Metrics'!E:E,'Data - Monthly Metrics'!A:A,$B$4,'Data - Monthly Metrics'!B:B,"May",'Data - Monthly Metrics'!C:C,"Snohomish",'Data - Monthly Metrics'!D:D,"Retention - Comped ($)")</f>
        <v/>
      </c>
      <c r="L24" s="112">
        <f>SUMIFS('Data - Monthly Metrics'!E:E,'Data - Monthly Metrics'!A:A,$B$4,'Data - Monthly Metrics'!B:B,"Jun",'Data - Monthly Metrics'!C:C,"Snohomish",'Data - Monthly Metrics'!D:D,"Retention - Comped ($)")</f>
        <v/>
      </c>
      <c r="M24" s="111">
        <f>SUM(J24,K24,L24)</f>
        <v/>
      </c>
      <c r="N24" s="112">
        <f>SUMIFS('Data - Monthly Metrics'!E:E,'Data - Monthly Metrics'!A:A,$B$4,'Data - Monthly Metrics'!B:B,"Jul",'Data - Monthly Metrics'!C:C,"Snohomish",'Data - Monthly Metrics'!D:D,"Retention - Comped ($)")</f>
        <v/>
      </c>
      <c r="O24" s="112">
        <f>SUMIFS('Data - Monthly Metrics'!E:E,'Data - Monthly Metrics'!A:A,$B$4,'Data - Monthly Metrics'!B:B,"Aug",'Data - Monthly Metrics'!C:C,"Snohomish",'Data - Monthly Metrics'!D:D,"Retention - Comped ($)")</f>
        <v/>
      </c>
      <c r="P24" s="112">
        <f>SUMIFS('Data - Monthly Metrics'!E:E,'Data - Monthly Metrics'!A:A,$B$4,'Data - Monthly Metrics'!B:B,"Sep",'Data - Monthly Metrics'!C:C,"Snohomish",'Data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Metrics'!C:C,"Snohomish",'Data - Monthly Metrics'!D:D,"Retention - Comped (#)")</f>
        <v/>
      </c>
      <c r="C25" s="113">
        <f>SUMIFS('Data - Monthly Metrics'!E:E,'Data - Monthly Metrics'!A:A,$B$4-1,'Data - Monthly Metrics'!B:B,"Nov",'Data - Monthly Metrics'!C:C,"Snohomish",'Data - Monthly Metrics'!D:D,"Retention - Comped (#)")</f>
        <v/>
      </c>
      <c r="D25" s="113">
        <f>SUMIFS('Data - Monthly Metrics'!E:E,'Data - Monthly Metrics'!A:A,$B$4-1,'Data - Monthly Metrics'!B:B,"Dec",'Data - Monthly Metrics'!C:C,"Snohomish",'Data - Monthly Metrics'!D:D,"Retention - Comped (#)")</f>
        <v/>
      </c>
      <c r="E25" s="114">
        <f>SUM(B25,C25,D25)</f>
        <v/>
      </c>
      <c r="F25" s="113">
        <f>SUMIFS('Data - Monthly Metrics'!E:E,'Data - Monthly Metrics'!A:A,$B$4,'Data - Monthly Metrics'!B:B,"Jan",'Data - Monthly Metrics'!C:C,"Snohomish",'Data - Monthly Metrics'!D:D,"Retention - Comped (#)")</f>
        <v/>
      </c>
      <c r="G25" s="113">
        <f>SUMIFS('Data - Monthly Metrics'!E:E,'Data - Monthly Metrics'!A:A,$B$4,'Data - Monthly Metrics'!B:B,"Feb",'Data - Monthly Metrics'!C:C,"Snohomish",'Data - Monthly Metrics'!D:D,"Retention - Comped (#)")</f>
        <v/>
      </c>
      <c r="H25" s="113">
        <f>SUMIFS('Data - Monthly Metrics'!E:E,'Data - Monthly Metrics'!A:A,$B$4,'Data - Monthly Metrics'!B:B,"Mar",'Data - Monthly Metrics'!C:C,"Snohomish",'Data - Monthly Metrics'!D:D,"Retention - Comped (#)")</f>
        <v/>
      </c>
      <c r="I25" s="114">
        <f>SUM(F25,G25,H25)</f>
        <v/>
      </c>
      <c r="J25" s="113">
        <f>SUMIFS('Data - Monthly Metrics'!E:E,'Data - Monthly Metrics'!A:A,$B$4,'Data - Monthly Metrics'!B:B,"Apr",'Data - Monthly Metrics'!C:C,"Snohomish",'Data - Monthly Metrics'!D:D,"Retention - Comped (#)")</f>
        <v/>
      </c>
      <c r="K25" s="113">
        <f>SUMIFS('Data - Monthly Metrics'!E:E,'Data - Monthly Metrics'!A:A,$B$4,'Data - Monthly Metrics'!B:B,"May",'Data - Monthly Metrics'!C:C,"Snohomish",'Data - Monthly Metrics'!D:D,"Retention - Comped (#)")</f>
        <v/>
      </c>
      <c r="L25" s="113">
        <f>SUMIFS('Data - Monthly Metrics'!E:E,'Data - Monthly Metrics'!A:A,$B$4,'Data - Monthly Metrics'!B:B,"Jun",'Data - Monthly Metrics'!C:C,"Snohomish",'Data - Monthly Metrics'!D:D,"Retention - Comped (#)")</f>
        <v/>
      </c>
      <c r="M25" s="114">
        <f>SUM(J25,K25,L25)</f>
        <v/>
      </c>
      <c r="N25" s="113">
        <f>SUMIFS('Data - Monthly Metrics'!E:E,'Data - Monthly Metrics'!A:A,$B$4,'Data - Monthly Metrics'!B:B,"Jul",'Data - Monthly Metrics'!C:C,"Snohomish",'Data - Monthly Metrics'!D:D,"Retention - Comped (#)")</f>
        <v/>
      </c>
      <c r="O25" s="113">
        <f>SUMIFS('Data - Monthly Metrics'!E:E,'Data - Monthly Metrics'!A:A,$B$4,'Data - Monthly Metrics'!B:B,"Aug",'Data - Monthly Metrics'!C:C,"Snohomish",'Data - Monthly Metrics'!D:D,"Retention - Comped (#)")</f>
        <v/>
      </c>
      <c r="P25" s="113">
        <f>SUMIFS('Data - Monthly Metrics'!E:E,'Data - Monthly Metrics'!A:A,$B$4,'Data - Monthly Metrics'!B:B,"Sep",'Data - Monthly Metrics'!C:C,"Snohomish",'Data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Metrics'!C:C,"Snohomish",'Data - Monthly Metrics'!D:D,"Retention - BOB ($)")</f>
        <v/>
      </c>
      <c r="C26" s="112">
        <f>SUMIFS('Data - Monthly Metrics'!E:E,'Data - Monthly Metrics'!A:A,$B$4-1,'Data - Monthly Metrics'!B:B,"Nov",'Data - Monthly Metrics'!C:C,"Snohomish",'Data - Monthly Metrics'!D:D,"Retention - BOB ($)")</f>
        <v/>
      </c>
      <c r="D26" s="112">
        <f>SUMIFS('Data - Monthly Metrics'!E:E,'Data - Monthly Metrics'!A:A,$B$4-1,'Data - Monthly Metrics'!B:B,"Dec",'Data - Monthly Metrics'!C:C,"Snohomish",'Data - Monthly Metrics'!D:D,"Retention - BOB ($)")</f>
        <v/>
      </c>
      <c r="E26" s="111">
        <f>SUM(B26,C26,D26)</f>
        <v/>
      </c>
      <c r="F26" s="112">
        <f>SUMIFS('Data - Monthly Metrics'!E:E,'Data - Monthly Metrics'!A:A,$B$4,'Data - Monthly Metrics'!B:B,"Jan",'Data - Monthly Metrics'!C:C,"Snohomish",'Data - Monthly Metrics'!D:D,"Retention - BOB ($)")</f>
        <v/>
      </c>
      <c r="G26" s="112">
        <f>SUMIFS('Data - Monthly Metrics'!E:E,'Data - Monthly Metrics'!A:A,$B$4,'Data - Monthly Metrics'!B:B,"Feb",'Data - Monthly Metrics'!C:C,"Snohomish",'Data - Monthly Metrics'!D:D,"Retention - BOB ($)")</f>
        <v/>
      </c>
      <c r="H26" s="112">
        <f>SUMIFS('Data - Monthly Metrics'!E:E,'Data - Monthly Metrics'!A:A,$B$4,'Data - Monthly Metrics'!B:B,"Mar",'Data - Monthly Metrics'!C:C,"Snohomish",'Data - Monthly Metrics'!D:D,"Retention - BOB ($)")</f>
        <v/>
      </c>
      <c r="I26" s="111">
        <f>SUM(F26,G26,H26)</f>
        <v/>
      </c>
      <c r="J26" s="112">
        <f>SUMIFS('Data - Monthly Metrics'!E:E,'Data - Monthly Metrics'!A:A,$B$4,'Data - Monthly Metrics'!B:B,"Apr",'Data - Monthly Metrics'!C:C,"Snohomish",'Data - Monthly Metrics'!D:D,"Retention - BOB ($)")</f>
        <v/>
      </c>
      <c r="K26" s="112">
        <f>SUMIFS('Data - Monthly Metrics'!E:E,'Data - Monthly Metrics'!A:A,$B$4,'Data - Monthly Metrics'!B:B,"May",'Data - Monthly Metrics'!C:C,"Snohomish",'Data - Monthly Metrics'!D:D,"Retention - BOB ($)")</f>
        <v/>
      </c>
      <c r="L26" s="112">
        <f>SUMIFS('Data - Monthly Metrics'!E:E,'Data - Monthly Metrics'!A:A,$B$4,'Data - Monthly Metrics'!B:B,"Jun",'Data - Monthly Metrics'!C:C,"Snohomish",'Data - Monthly Metrics'!D:D,"Retention - BOB ($)")</f>
        <v/>
      </c>
      <c r="M26" s="111">
        <f>SUM(J26,K26,L26)</f>
        <v/>
      </c>
      <c r="N26" s="112">
        <f>SUMIFS('Data - Monthly Metrics'!E:E,'Data - Monthly Metrics'!A:A,$B$4,'Data - Monthly Metrics'!B:B,"Jul",'Data - Monthly Metrics'!C:C,"Snohomish",'Data - Monthly Metrics'!D:D,"Retention - BOB ($)")</f>
        <v/>
      </c>
      <c r="O26" s="112">
        <f>SUMIFS('Data - Monthly Metrics'!E:E,'Data - Monthly Metrics'!A:A,$B$4,'Data - Monthly Metrics'!B:B,"Aug",'Data - Monthly Metrics'!C:C,"Snohomish",'Data - Monthly Metrics'!D:D,"Retention - BOB ($)")</f>
        <v/>
      </c>
      <c r="P26" s="112">
        <f>SUMIFS('Data - Monthly Metrics'!E:E,'Data - Monthly Metrics'!A:A,$B$4,'Data - Monthly Metrics'!B:B,"Sep",'Data - Monthly Metrics'!C:C,"Snohomish",'Data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Metrics'!C:C,"Snohomish",'Data - Monthly Metrics'!D:D,"Retention - BOB (#)")</f>
        <v/>
      </c>
      <c r="C27" s="113">
        <f>SUMIFS('Data - Monthly Metrics'!E:E,'Data - Monthly Metrics'!A:A,$B$4-1,'Data - Monthly Metrics'!B:B,"Nov",'Data - Monthly Metrics'!C:C,"Snohomish",'Data - Monthly Metrics'!D:D,"Retention - BOB (#)")</f>
        <v/>
      </c>
      <c r="D27" s="113">
        <f>SUMIFS('Data - Monthly Metrics'!E:E,'Data - Monthly Metrics'!A:A,$B$4-1,'Data - Monthly Metrics'!B:B,"Dec",'Data - Monthly Metrics'!C:C,"Snohomish",'Data - Monthly Metrics'!D:D,"Retention - BOB (#)")</f>
        <v/>
      </c>
      <c r="E27" s="114">
        <f>SUM(B27,C27,D27)</f>
        <v/>
      </c>
      <c r="F27" s="113">
        <f>SUMIFS('Data - Monthly Metrics'!E:E,'Data - Monthly Metrics'!A:A,$B$4,'Data - Monthly Metrics'!B:B,"Jan",'Data - Monthly Metrics'!C:C,"Snohomish",'Data - Monthly Metrics'!D:D,"Retention - BOB (#)")</f>
        <v/>
      </c>
      <c r="G27" s="113">
        <f>SUMIFS('Data - Monthly Metrics'!E:E,'Data - Monthly Metrics'!A:A,$B$4,'Data - Monthly Metrics'!B:B,"Feb",'Data - Monthly Metrics'!C:C,"Snohomish",'Data - Monthly Metrics'!D:D,"Retention - BOB (#)")</f>
        <v/>
      </c>
      <c r="H27" s="113">
        <f>SUMIFS('Data - Monthly Metrics'!E:E,'Data - Monthly Metrics'!A:A,$B$4,'Data - Monthly Metrics'!B:B,"Mar",'Data - Monthly Metrics'!C:C,"Snohomish",'Data - Monthly Metrics'!D:D,"Retention - BOB (#)")</f>
        <v/>
      </c>
      <c r="I27" s="114">
        <f>SUM(F27,G27,H27)</f>
        <v/>
      </c>
      <c r="J27" s="113">
        <f>SUMIFS('Data - Monthly Metrics'!E:E,'Data - Monthly Metrics'!A:A,$B$4,'Data - Monthly Metrics'!B:B,"Apr",'Data - Monthly Metrics'!C:C,"Snohomish",'Data - Monthly Metrics'!D:D,"Retention - BOB (#)")</f>
        <v/>
      </c>
      <c r="K27" s="113">
        <f>SUMIFS('Data - Monthly Metrics'!E:E,'Data - Monthly Metrics'!A:A,$B$4,'Data - Monthly Metrics'!B:B,"May",'Data - Monthly Metrics'!C:C,"Snohomish",'Data - Monthly Metrics'!D:D,"Retention - BOB (#)")</f>
        <v/>
      </c>
      <c r="L27" s="113">
        <f>SUMIFS('Data - Monthly Metrics'!E:E,'Data - Monthly Metrics'!A:A,$B$4,'Data - Monthly Metrics'!B:B,"Jun",'Data - Monthly Metrics'!C:C,"Snohomish",'Data - Monthly Metrics'!D:D,"Retention - BOB (#)")</f>
        <v/>
      </c>
      <c r="M27" s="114">
        <f>SUM(J27,K27,L27)</f>
        <v/>
      </c>
      <c r="N27" s="113">
        <f>SUMIFS('Data - Monthly Metrics'!E:E,'Data - Monthly Metrics'!A:A,$B$4,'Data - Monthly Metrics'!B:B,"Jul",'Data - Monthly Metrics'!C:C,"Snohomish",'Data - Monthly Metrics'!D:D,"Retention - BOB (#)")</f>
        <v/>
      </c>
      <c r="O27" s="113">
        <f>SUMIFS('Data - Monthly Metrics'!E:E,'Data - Monthly Metrics'!A:A,$B$4,'Data - Monthly Metrics'!B:B,"Aug",'Data - Monthly Metrics'!C:C,"Snohomish",'Data - Monthly Metrics'!D:D,"Retention - BOB (#)")</f>
        <v/>
      </c>
      <c r="P27" s="113">
        <f>SUMIFS('Data - Monthly Metrics'!E:E,'Data - Monthly Metrics'!A:A,$B$4,'Data - Monthly Metrics'!B:B,"Sep",'Data - Monthly Metrics'!C:C,"Snohomish",'Data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Metrics'!C:C,"Snohomish",'Data - Monthly Metrics'!D:D,"Revenue Up for Renewal - Target ($)")+SUMIFS('Data - Monthly Metrics'!E:E,'Data - Monthly Metrics'!A:A,$B$4-1,'Data - Monthly Metrics'!B:B,"Oct",'Data - Monthly Metrics'!C:C,"Snohomish",'Data - Monthly Metrics'!D:D,"Revenue Up for Renewal - Non-Target ($)"))=0,"-",(SUMIFS('Data - Monthly Metrics'!E:E,'Data - Monthly Metrics'!A:A,$B$4-1,'Data - Monthly Metrics'!B:B,"Oct",'Data - Monthly Metrics'!C:C,"Snohomish",'Data - Monthly Metrics'!D:D,"Revenue Retained - Target ($)")+SUMIFS('Data - Monthly Metrics'!E:E,'Data - Monthly Metrics'!A:A,$B$4-1,'Data - Monthly Metrics'!B:B,"Oct",'Data - Monthly Metrics'!C:C,"Snohomish",'Data - Monthly Metrics'!D:D,"Revenue Retained - Non-Target ($)"))/(SUMIFS('Data - Monthly Metrics'!E:E,'Data - Monthly Metrics'!A:A,$B$4-1,'Data - Monthly Metrics'!B:B,"Oct",'Data - Monthly Metrics'!C:C,"Snohomish",'Data - Monthly Metrics'!D:D,"Revenue Up for Renewal - Target ($)")+SUMIFS('Data - Monthly Metrics'!E:E,'Data - Monthly Metrics'!A:A,$B$4-1,'Data - Monthly Metrics'!B:B,"Oct",'Data - Monthly Metrics'!C:C,"Snohomish",'Data - Monthly Metrics'!D:D,"Revenue Up for Renewal - Non-Target ($)")))</f>
        <v/>
      </c>
      <c r="C28" s="115">
        <f>IF((SUMIFS('Data - Monthly Metrics'!E:E,'Data - Monthly Metrics'!A:A,$B$4-1,'Data - Monthly Metrics'!B:B,"Nov",'Data - Monthly Metrics'!C:C,"Snohomish",'Data - Monthly Metrics'!D:D,"Revenue Up for Renewal - Target ($)")+SUMIFS('Data - Monthly Metrics'!E:E,'Data - Monthly Metrics'!A:A,$B$4-1,'Data - Monthly Metrics'!B:B,"Nov",'Data - Monthly Metrics'!C:C,"Snohomish",'Data - Monthly Metrics'!D:D,"Revenue Up for Renewal - Non-Target ($)"))=0,"-",(SUMIFS('Data - Monthly Metrics'!E:E,'Data - Monthly Metrics'!A:A,$B$4-1,'Data - Monthly Metrics'!B:B,"Nov",'Data - Monthly Metrics'!C:C,"Snohomish",'Data - Monthly Metrics'!D:D,"Revenue Retained - Target ($)")+SUMIFS('Data - Monthly Metrics'!E:E,'Data - Monthly Metrics'!A:A,$B$4-1,'Data - Monthly Metrics'!B:B,"Nov",'Data - Monthly Metrics'!C:C,"Snohomish",'Data - Monthly Metrics'!D:D,"Revenue Retained - Non-Target ($)"))/(SUMIFS('Data - Monthly Metrics'!E:E,'Data - Monthly Metrics'!A:A,$B$4-1,'Data - Monthly Metrics'!B:B,"Nov",'Data - Monthly Metrics'!C:C,"Snohomish",'Data - Monthly Metrics'!D:D,"Revenue Up for Renewal - Target ($)")+SUMIFS('Data - Monthly Metrics'!E:E,'Data - Monthly Metrics'!A:A,$B$4-1,'Data - Monthly Metrics'!B:B,"Nov",'Data - Monthly Metrics'!C:C,"Snohomish",'Data - Monthly Metrics'!D:D,"Revenue Up for Renewal - Non-Target ($)")))</f>
        <v/>
      </c>
      <c r="D28" s="115">
        <f>IF((SUMIFS('Data - Monthly Metrics'!E:E,'Data - Monthly Metrics'!A:A,$B$4-1,'Data - Monthly Metrics'!B:B,"Dec",'Data - Monthly Metrics'!C:C,"Snohomish",'Data - Monthly Metrics'!D:D,"Revenue Up for Renewal - Target ($)")+SUMIFS('Data - Monthly Metrics'!E:E,'Data - Monthly Metrics'!A:A,$B$4-1,'Data - Monthly Metrics'!B:B,"Dec",'Data - Monthly Metrics'!C:C,"Snohomish",'Data - Monthly Metrics'!D:D,"Revenue Up for Renewal - Non-Target ($)"))=0,"-",(SUMIFS('Data - Monthly Metrics'!E:E,'Data - Monthly Metrics'!A:A,$B$4-1,'Data - Monthly Metrics'!B:B,"Dec",'Data - Monthly Metrics'!C:C,"Snohomish",'Data - Monthly Metrics'!D:D,"Revenue Retained - Target ($)")+SUMIFS('Data - Monthly Metrics'!E:E,'Data - Monthly Metrics'!A:A,$B$4-1,'Data - Monthly Metrics'!B:B,"Dec",'Data - Monthly Metrics'!C:C,"Snohomish",'Data - Monthly Metrics'!D:D,"Revenue Retained - Non-Target ($)"))/(SUMIFS('Data - Monthly Metrics'!E:E,'Data - Monthly Metrics'!A:A,$B$4-1,'Data - Monthly Metrics'!B:B,"Dec",'Data - Monthly Metrics'!C:C,"Snohomish",'Data - Monthly Metrics'!D:D,"Revenue Up for Renewal - Target ($)")+SUMIFS('Data - Monthly Metrics'!E:E,'Data - Monthly Metrics'!A:A,$B$4-1,'Data - Monthly Metrics'!B:B,"Dec",'Data - Monthly Metrics'!C:C,"Snohomish",'Data - Monthly Metrics'!D:D,"Revenue Up for Renewal - Non-Target ($)")))</f>
        <v/>
      </c>
      <c r="E28" s="116">
        <f>IF(E22=0,0,E23/E22)</f>
        <v/>
      </c>
      <c r="F28" s="115">
        <f>IF((SUMIFS('Data - Monthly Metrics'!E:E,'Data - Monthly Metrics'!A:A,$B$4,'Data - Monthly Metrics'!B:B,"Jan",'Data - Monthly Metrics'!C:C,"Snohomish",'Data - Monthly Metrics'!D:D,"Revenue Up for Renewal - Target ($)")+SUMIFS('Data - Monthly Metrics'!E:E,'Data - Monthly Metrics'!A:A,$B$4,'Data - Monthly Metrics'!B:B,"Jan",'Data - Monthly Metrics'!C:C,"Snohomish",'Data - Monthly Metrics'!D:D,"Revenue Up for Renewal - Non-Target ($)"))=0,"-",(SUMIFS('Data - Monthly Metrics'!E:E,'Data - Monthly Metrics'!A:A,$B$4,'Data - Monthly Metrics'!B:B,"Jan",'Data - Monthly Metrics'!C:C,"Snohomish",'Data - Monthly Metrics'!D:D,"Revenue Retained - Target ($)")+SUMIFS('Data - Monthly Metrics'!E:E,'Data - Monthly Metrics'!A:A,$B$4,'Data - Monthly Metrics'!B:B,"Jan",'Data - Monthly Metrics'!C:C,"Snohomish",'Data - Monthly Metrics'!D:D,"Revenue Retained - Non-Target ($)"))/(SUMIFS('Data - Monthly Metrics'!E:E,'Data - Monthly Metrics'!A:A,$B$4,'Data - Monthly Metrics'!B:B,"Jan",'Data - Monthly Metrics'!C:C,"Snohomish",'Data - Monthly Metrics'!D:D,"Revenue Up for Renewal - Target ($)")+SUMIFS('Data - Monthly Metrics'!E:E,'Data - Monthly Metrics'!A:A,$B$4,'Data - Monthly Metrics'!B:B,"Jan",'Data - Monthly Metrics'!C:C,"Snohomish",'Data - Monthly Metrics'!D:D,"Revenue Up for Renewal - Non-Target ($)")))</f>
        <v/>
      </c>
      <c r="G28" s="115">
        <f>IF((SUMIFS('Data - Monthly Metrics'!E:E,'Data - Monthly Metrics'!A:A,$B$4,'Data - Monthly Metrics'!B:B,"Feb",'Data - Monthly Metrics'!C:C,"Snohomish",'Data - Monthly Metrics'!D:D,"Revenue Up for Renewal - Target ($)")+SUMIFS('Data - Monthly Metrics'!E:E,'Data - Monthly Metrics'!A:A,$B$4,'Data - Monthly Metrics'!B:B,"Feb",'Data - Monthly Metrics'!C:C,"Snohomish",'Data - Monthly Metrics'!D:D,"Revenue Up for Renewal - Non-Target ($)"))=0,"-",(SUMIFS('Data - Monthly Metrics'!E:E,'Data - Monthly Metrics'!A:A,$B$4,'Data - Monthly Metrics'!B:B,"Feb",'Data - Monthly Metrics'!C:C,"Snohomish",'Data - Monthly Metrics'!D:D,"Revenue Retained - Target ($)")+SUMIFS('Data - Monthly Metrics'!E:E,'Data - Monthly Metrics'!A:A,$B$4,'Data - Monthly Metrics'!B:B,"Feb",'Data - Monthly Metrics'!C:C,"Snohomish",'Data - Monthly Metrics'!D:D,"Revenue Retained - Non-Target ($)"))/(SUMIFS('Data - Monthly Metrics'!E:E,'Data - Monthly Metrics'!A:A,$B$4,'Data - Monthly Metrics'!B:B,"Feb",'Data - Monthly Metrics'!C:C,"Snohomish",'Data - Monthly Metrics'!D:D,"Revenue Up for Renewal - Target ($)")+SUMIFS('Data - Monthly Metrics'!E:E,'Data - Monthly Metrics'!A:A,$B$4,'Data - Monthly Metrics'!B:B,"Feb",'Data - Monthly Metrics'!C:C,"Snohomish",'Data - Monthly Metrics'!D:D,"Revenue Up for Renewal - Non-Target ($)")))</f>
        <v/>
      </c>
      <c r="H28" s="115">
        <f>IF((SUMIFS('Data - Monthly Metrics'!E:E,'Data - Monthly Metrics'!A:A,$B$4,'Data - Monthly Metrics'!B:B,"Mar",'Data - Monthly Metrics'!C:C,"Snohomish",'Data - Monthly Metrics'!D:D,"Revenue Up for Renewal - Target ($)")+SUMIFS('Data - Monthly Metrics'!E:E,'Data - Monthly Metrics'!A:A,$B$4,'Data - Monthly Metrics'!B:B,"Mar",'Data - Monthly Metrics'!C:C,"Snohomish",'Data - Monthly Metrics'!D:D,"Revenue Up for Renewal - Non-Target ($)"))=0,"-",(SUMIFS('Data - Monthly Metrics'!E:E,'Data - Monthly Metrics'!A:A,$B$4,'Data - Monthly Metrics'!B:B,"Mar",'Data - Monthly Metrics'!C:C,"Snohomish",'Data - Monthly Metrics'!D:D,"Revenue Retained - Target ($)")+SUMIFS('Data - Monthly Metrics'!E:E,'Data - Monthly Metrics'!A:A,$B$4,'Data - Monthly Metrics'!B:B,"Mar",'Data - Monthly Metrics'!C:C,"Snohomish",'Data - Monthly Metrics'!D:D,"Revenue Retained - Non-Target ($)"))/(SUMIFS('Data - Monthly Metrics'!E:E,'Data - Monthly Metrics'!A:A,$B$4,'Data - Monthly Metrics'!B:B,"Mar",'Data - Monthly Metrics'!C:C,"Snohomish",'Data - Monthly Metrics'!D:D,"Revenue Up for Renewal - Target ($)")+SUMIFS('Data - Monthly Metrics'!E:E,'Data - Monthly Metrics'!A:A,$B$4,'Data - Monthly Metrics'!B:B,"Mar",'Data - Monthly Metrics'!C:C,"Snohomish",'Data - Monthly Metrics'!D:D,"Revenue Up for Renewal - Non-Target ($)")))</f>
        <v/>
      </c>
      <c r="I28" s="116">
        <f>IF(I22=0,0,I23/I22)</f>
        <v/>
      </c>
      <c r="J28" s="115">
        <f>IF((SUMIFS('Data - Monthly Metrics'!E:E,'Data - Monthly Metrics'!A:A,$B$4,'Data - Monthly Metrics'!B:B,"Apr",'Data - Monthly Metrics'!C:C,"Snohomish",'Data - Monthly Metrics'!D:D,"Revenue Up for Renewal - Target ($)")+SUMIFS('Data - Monthly Metrics'!E:E,'Data - Monthly Metrics'!A:A,$B$4,'Data - Monthly Metrics'!B:B,"Apr",'Data - Monthly Metrics'!C:C,"Snohomish",'Data - Monthly Metrics'!D:D,"Revenue Up for Renewal - Non-Target ($)"))=0,"-",(SUMIFS('Data - Monthly Metrics'!E:E,'Data - Monthly Metrics'!A:A,$B$4,'Data - Monthly Metrics'!B:B,"Apr",'Data - Monthly Metrics'!C:C,"Snohomish",'Data - Monthly Metrics'!D:D,"Revenue Retained - Target ($)")+SUMIFS('Data - Monthly Metrics'!E:E,'Data - Monthly Metrics'!A:A,$B$4,'Data - Monthly Metrics'!B:B,"Apr",'Data - Monthly Metrics'!C:C,"Snohomish",'Data - Monthly Metrics'!D:D,"Revenue Retained - Non-Target ($)"))/(SUMIFS('Data - Monthly Metrics'!E:E,'Data - Monthly Metrics'!A:A,$B$4,'Data - Monthly Metrics'!B:B,"Apr",'Data - Monthly Metrics'!C:C,"Snohomish",'Data - Monthly Metrics'!D:D,"Revenue Up for Renewal - Target ($)")+SUMIFS('Data - Monthly Metrics'!E:E,'Data - Monthly Metrics'!A:A,$B$4,'Data - Monthly Metrics'!B:B,"Apr",'Data - Monthly Metrics'!C:C,"Snohomish",'Data - Monthly Metrics'!D:D,"Revenue Up for Renewal - Non-Target ($)")))</f>
        <v/>
      </c>
      <c r="K28" s="115">
        <f>IF((SUMIFS('Data - Monthly Metrics'!E:E,'Data - Monthly Metrics'!A:A,$B$4,'Data - Monthly Metrics'!B:B,"May",'Data - Monthly Metrics'!C:C,"Snohomish",'Data - Monthly Metrics'!D:D,"Revenue Up for Renewal - Target ($)")+SUMIFS('Data - Monthly Metrics'!E:E,'Data - Monthly Metrics'!A:A,$B$4,'Data - Monthly Metrics'!B:B,"May",'Data - Monthly Metrics'!C:C,"Snohomish",'Data - Monthly Metrics'!D:D,"Revenue Up for Renewal - Non-Target ($)"))=0,"-",(SUMIFS('Data - Monthly Metrics'!E:E,'Data - Monthly Metrics'!A:A,$B$4,'Data - Monthly Metrics'!B:B,"May",'Data - Monthly Metrics'!C:C,"Snohomish",'Data - Monthly Metrics'!D:D,"Revenue Retained - Target ($)")+SUMIFS('Data - Monthly Metrics'!E:E,'Data - Monthly Metrics'!A:A,$B$4,'Data - Monthly Metrics'!B:B,"May",'Data - Monthly Metrics'!C:C,"Snohomish",'Data - Monthly Metrics'!D:D,"Revenue Retained - Non-Target ($)"))/(SUMIFS('Data - Monthly Metrics'!E:E,'Data - Monthly Metrics'!A:A,$B$4,'Data - Monthly Metrics'!B:B,"May",'Data - Monthly Metrics'!C:C,"Snohomish",'Data - Monthly Metrics'!D:D,"Revenue Up for Renewal - Target ($)")+SUMIFS('Data - Monthly Metrics'!E:E,'Data - Monthly Metrics'!A:A,$B$4,'Data - Monthly Metrics'!B:B,"May",'Data - Monthly Metrics'!C:C,"Snohomish",'Data - Monthly Metrics'!D:D,"Revenue Up for Renewal - Non-Target ($)")))</f>
        <v/>
      </c>
      <c r="L28" s="115">
        <f>IF((SUMIFS('Data - Monthly Metrics'!E:E,'Data - Monthly Metrics'!A:A,$B$4,'Data - Monthly Metrics'!B:B,"Jun",'Data - Monthly Metrics'!C:C,"Snohomish",'Data - Monthly Metrics'!D:D,"Revenue Up for Renewal - Target ($)")+SUMIFS('Data - Monthly Metrics'!E:E,'Data - Monthly Metrics'!A:A,$B$4,'Data - Monthly Metrics'!B:B,"Jun",'Data - Monthly Metrics'!C:C,"Snohomish",'Data - Monthly Metrics'!D:D,"Revenue Up for Renewal - Non-Target ($)"))=0,"-",(SUMIFS('Data - Monthly Metrics'!E:E,'Data - Monthly Metrics'!A:A,$B$4,'Data - Monthly Metrics'!B:B,"Jun",'Data - Monthly Metrics'!C:C,"Snohomish",'Data - Monthly Metrics'!D:D,"Revenue Retained - Target ($)")+SUMIFS('Data - Monthly Metrics'!E:E,'Data - Monthly Metrics'!A:A,$B$4,'Data - Monthly Metrics'!B:B,"Jun",'Data - Monthly Metrics'!C:C,"Snohomish",'Data - Monthly Metrics'!D:D,"Revenue Retained - Non-Target ($)"))/(SUMIFS('Data - Monthly Metrics'!E:E,'Data - Monthly Metrics'!A:A,$B$4,'Data - Monthly Metrics'!B:B,"Jun",'Data - Monthly Metrics'!C:C,"Snohomish",'Data - Monthly Metrics'!D:D,"Revenue Up for Renewal - Target ($)")+SUMIFS('Data - Monthly Metrics'!E:E,'Data - Monthly Metrics'!A:A,$B$4,'Data - Monthly Metrics'!B:B,"Jun",'Data - Monthly Metrics'!C:C,"Snohomish",'Data - Monthly Metrics'!D:D,"Revenue Up for Renewal - Non-Target ($)")))</f>
        <v/>
      </c>
      <c r="M28" s="116">
        <f>IF(M22=0,0,M23/M22)</f>
        <v/>
      </c>
      <c r="N28" s="115">
        <f>IF((SUMIFS('Data - Monthly Metrics'!E:E,'Data - Monthly Metrics'!A:A,$B$4,'Data - Monthly Metrics'!B:B,"Jul",'Data - Monthly Metrics'!C:C,"Snohomish",'Data - Monthly Metrics'!D:D,"Revenue Up for Renewal - Target ($)")+SUMIFS('Data - Monthly Metrics'!E:E,'Data - Monthly Metrics'!A:A,$B$4,'Data - Monthly Metrics'!B:B,"Jul",'Data - Monthly Metrics'!C:C,"Snohomish",'Data - Monthly Metrics'!D:D,"Revenue Up for Renewal - Non-Target ($)"))=0,"-",(SUMIFS('Data - Monthly Metrics'!E:E,'Data - Monthly Metrics'!A:A,$B$4,'Data - Monthly Metrics'!B:B,"Jul",'Data - Monthly Metrics'!C:C,"Snohomish",'Data - Monthly Metrics'!D:D,"Revenue Retained - Target ($)")+SUMIFS('Data - Monthly Metrics'!E:E,'Data - Monthly Metrics'!A:A,$B$4,'Data - Monthly Metrics'!B:B,"Jul",'Data - Monthly Metrics'!C:C,"Snohomish",'Data - Monthly Metrics'!D:D,"Revenue Retained - Non-Target ($)"))/(SUMIFS('Data - Monthly Metrics'!E:E,'Data - Monthly Metrics'!A:A,$B$4,'Data - Monthly Metrics'!B:B,"Jul",'Data - Monthly Metrics'!C:C,"Snohomish",'Data - Monthly Metrics'!D:D,"Revenue Up for Renewal - Target ($)")+SUMIFS('Data - Monthly Metrics'!E:E,'Data - Monthly Metrics'!A:A,$B$4,'Data - Monthly Metrics'!B:B,"Jul",'Data - Monthly Metrics'!C:C,"Snohomish",'Data - Monthly Metrics'!D:D,"Revenue Up for Renewal - Non-Target ($)")))</f>
        <v/>
      </c>
      <c r="O28" s="115">
        <f>IF((SUMIFS('Data - Monthly Metrics'!E:E,'Data - Monthly Metrics'!A:A,$B$4,'Data - Monthly Metrics'!B:B,"Aug",'Data - Monthly Metrics'!C:C,"Snohomish",'Data - Monthly Metrics'!D:D,"Revenue Up for Renewal - Target ($)")+SUMIFS('Data - Monthly Metrics'!E:E,'Data - Monthly Metrics'!A:A,$B$4,'Data - Monthly Metrics'!B:B,"Aug",'Data - Monthly Metrics'!C:C,"Snohomish",'Data - Monthly Metrics'!D:D,"Revenue Up for Renewal - Non-Target ($)"))=0,"-",(SUMIFS('Data - Monthly Metrics'!E:E,'Data - Monthly Metrics'!A:A,$B$4,'Data - Monthly Metrics'!B:B,"Aug",'Data - Monthly Metrics'!C:C,"Snohomish",'Data - Monthly Metrics'!D:D,"Revenue Retained - Target ($)")+SUMIFS('Data - Monthly Metrics'!E:E,'Data - Monthly Metrics'!A:A,$B$4,'Data - Monthly Metrics'!B:B,"Aug",'Data - Monthly Metrics'!C:C,"Snohomish",'Data - Monthly Metrics'!D:D,"Revenue Retained - Non-Target ($)"))/(SUMIFS('Data - Monthly Metrics'!E:E,'Data - Monthly Metrics'!A:A,$B$4,'Data - Monthly Metrics'!B:B,"Aug",'Data - Monthly Metrics'!C:C,"Snohomish",'Data - Monthly Metrics'!D:D,"Revenue Up for Renewal - Target ($)")+SUMIFS('Data - Monthly Metrics'!E:E,'Data - Monthly Metrics'!A:A,$B$4,'Data - Monthly Metrics'!B:B,"Aug",'Data - Monthly Metrics'!C:C,"Snohomish",'Data - Monthly Metrics'!D:D,"Revenue Up for Renewal - Non-Target ($)")))</f>
        <v/>
      </c>
      <c r="P28" s="115">
        <f>IF((SUMIFS('Data - Monthly Metrics'!E:E,'Data - Monthly Metrics'!A:A,$B$4,'Data - Monthly Metrics'!B:B,"Sep",'Data - Monthly Metrics'!C:C,"Snohomish",'Data - Monthly Metrics'!D:D,"Revenue Up for Renewal - Target ($)")+SUMIFS('Data - Monthly Metrics'!E:E,'Data - Monthly Metrics'!A:A,$B$4,'Data - Monthly Metrics'!B:B,"Sep",'Data - Monthly Metrics'!C:C,"Snohomish",'Data - Monthly Metrics'!D:D,"Revenue Up for Renewal - Non-Target ($)"))=0,"-",(SUMIFS('Data - Monthly Metrics'!E:E,'Data - Monthly Metrics'!A:A,$B$4,'Data - Monthly Metrics'!B:B,"Sep",'Data - Monthly Metrics'!C:C,"Snohomish",'Data - Monthly Metrics'!D:D,"Revenue Retained - Target ($)")+SUMIFS('Data - Monthly Metrics'!E:E,'Data - Monthly Metrics'!A:A,$B$4,'Data - Monthly Metrics'!B:B,"Sep",'Data - Monthly Metrics'!C:C,"Snohomish",'Data - Monthly Metrics'!D:D,"Revenue Retained - Non-Target ($)"))/(SUMIFS('Data - Monthly Metrics'!E:E,'Data - Monthly Metrics'!A:A,$B$4,'Data - Monthly Metrics'!B:B,"Sep",'Data - Monthly Metrics'!C:C,"Snohomish",'Data - Monthly Metrics'!D:D,"Revenue Up for Renewal - Target ($)")+SUMIFS('Data - Monthly Metrics'!E:E,'Data - Monthly Metrics'!A:A,$B$4,'Data - Monthly Metrics'!B:B,"Sep",'Data - Monthly Metrics'!C:C,"Snohomish",'Data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Metrics'!C:C,"Snohomish",'Data - Monthly Metrics'!D:D,"Total Target Locations - Restaurant (#)")+SUMIFS('Data - Monthly Metrics'!E:E,'Data - Monthly Metrics'!A:A,$B$4-1,'Data - Monthly Metrics'!B:B,"Oct",'Data - Monthly Metrics'!C:C,"Snohomish",'Data - Monthly Metrics'!D:D,"Non-Target Locations - Restaurant (#)"))=0,"-",(SUMIFS('Data - Monthly Metrics'!E:E,'Data - Monthly Metrics'!A:A,$B$4-1,'Data - Monthly Metrics'!B:B,"Oct",'Data - Monthly Metrics'!C:C,"Snohomish",'Data - Monthly Metrics'!D:D,"Target Members - Restaurant (#)")+SUMIFS('Data - Monthly Metrics'!E:E,'Data - Monthly Metrics'!A:A,$B$4-1,'Data - Monthly Metrics'!B:B,"Oct",'Data - Monthly Metrics'!C:C,"Snohomish",'Data - Monthly Metrics'!D:D,"Non-Target Members - Restaurant (#)"))/(SUMIFS('Data - Monthly Metrics'!E:E,'Data - Monthly Metrics'!A:A,$B$4-1,'Data - Monthly Metrics'!B:B,"Oct",'Data - Monthly Metrics'!C:C,"Snohomish",'Data - Monthly Metrics'!D:D,"Total Target Locations - Restaurant (#)")+SUMIFS('Data - Monthly Metrics'!E:E,'Data - Monthly Metrics'!A:A,$B$4-1,'Data - Monthly Metrics'!B:B,"Oct",'Data - Monthly Metrics'!C:C,"Snohomish",'Data - Monthly Metrics'!D:D,"Non-Target Locations - Restaurant (#)")))</f>
        <v/>
      </c>
      <c r="C29" s="115">
        <f>IF((SUMIFS('Data - Monthly Metrics'!E:E,'Data - Monthly Metrics'!A:A,$B$4-1,'Data - Monthly Metrics'!B:B,"Nov",'Data - Monthly Metrics'!C:C,"Snohomish",'Data - Monthly Metrics'!D:D,"Total Target Locations - Restaurant (#)")+SUMIFS('Data - Monthly Metrics'!E:E,'Data - Monthly Metrics'!A:A,$B$4-1,'Data - Monthly Metrics'!B:B,"Nov",'Data - Monthly Metrics'!C:C,"Snohomish",'Data - Monthly Metrics'!D:D,"Non-Target Locations - Restaurant (#)"))=0,"-",(SUMIFS('Data - Monthly Metrics'!E:E,'Data - Monthly Metrics'!A:A,$B$4-1,'Data - Monthly Metrics'!B:B,"Nov",'Data - Monthly Metrics'!C:C,"Snohomish",'Data - Monthly Metrics'!D:D,"Target Members - Restaurant (#)")+SUMIFS('Data - Monthly Metrics'!E:E,'Data - Monthly Metrics'!A:A,$B$4-1,'Data - Monthly Metrics'!B:B,"Nov",'Data - Monthly Metrics'!C:C,"Snohomish",'Data - Monthly Metrics'!D:D,"Non-Target Members - Restaurant (#)"))/(SUMIFS('Data - Monthly Metrics'!E:E,'Data - Monthly Metrics'!A:A,$B$4-1,'Data - Monthly Metrics'!B:B,"Nov",'Data - Monthly Metrics'!C:C,"Snohomish",'Data - Monthly Metrics'!D:D,"Total Target Locations - Restaurant (#)")+SUMIFS('Data - Monthly Metrics'!E:E,'Data - Monthly Metrics'!A:A,$B$4-1,'Data - Monthly Metrics'!B:B,"Nov",'Data - Monthly Metrics'!C:C,"Snohomish",'Data - Monthly Metrics'!D:D,"Non-Target Locations - Restaurant (#)")))</f>
        <v/>
      </c>
      <c r="D29" s="115">
        <f>IF((SUMIFS('Data - Monthly Metrics'!E:E,'Data - Monthly Metrics'!A:A,$B$4-1,'Data - Monthly Metrics'!B:B,"Dec",'Data - Monthly Metrics'!C:C,"Snohomish",'Data - Monthly Metrics'!D:D,"Total Target Locations - Restaurant (#)")+SUMIFS('Data - Monthly Metrics'!E:E,'Data - Monthly Metrics'!A:A,$B$4-1,'Data - Monthly Metrics'!B:B,"Dec",'Data - Monthly Metrics'!C:C,"Snohomish",'Data - Monthly Metrics'!D:D,"Non-Target Locations - Restaurant (#)"))=0,"-",(SUMIFS('Data - Monthly Metrics'!E:E,'Data - Monthly Metrics'!A:A,$B$4-1,'Data - Monthly Metrics'!B:B,"Dec",'Data - Monthly Metrics'!C:C,"Snohomish",'Data - Monthly Metrics'!D:D,"Target Members - Restaurant (#)")+SUMIFS('Data - Monthly Metrics'!E:E,'Data - Monthly Metrics'!A:A,$B$4-1,'Data - Monthly Metrics'!B:B,"Dec",'Data - Monthly Metrics'!C:C,"Snohomish",'Data - Monthly Metrics'!D:D,"Non-Target Members - Restaurant (#)"))/(SUMIFS('Data - Monthly Metrics'!E:E,'Data - Monthly Metrics'!A:A,$B$4-1,'Data - Monthly Metrics'!B:B,"Dec",'Data - Monthly Metrics'!C:C,"Snohomish",'Data - Monthly Metrics'!D:D,"Total Target Locations - Restaurant (#)")+SUMIFS('Data - Monthly Metrics'!E:E,'Data - Monthly Metrics'!A:A,$B$4-1,'Data - Monthly Metrics'!B:B,"Dec",'Data - Monthly Metrics'!C:C,"Snohomish",'Data - Monthly Metrics'!D:D,"Non-Target Locations - Restaurant (#)")))</f>
        <v/>
      </c>
      <c r="E29" s="116">
        <f>IF(ISNUMBER(D29),D29,IF(ISNUMBER(C29),C29,IF(ISNUMBER(B29),B29,"-")))</f>
        <v/>
      </c>
      <c r="F29" s="115">
        <f>IF((SUMIFS('Data - Monthly Metrics'!E:E,'Data - Monthly Metrics'!A:A,$B$4,'Data - Monthly Metrics'!B:B,"Jan",'Data - Monthly Metrics'!C:C,"Snohomish",'Data - Monthly Metrics'!D:D,"Total Target Locations - Restaurant (#)")+SUMIFS('Data - Monthly Metrics'!E:E,'Data - Monthly Metrics'!A:A,$B$4,'Data - Monthly Metrics'!B:B,"Jan",'Data - Monthly Metrics'!C:C,"Snohomish",'Data - Monthly Metrics'!D:D,"Non-Target Locations - Restaurant (#)"))=0,"-",(SUMIFS('Data - Monthly Metrics'!E:E,'Data - Monthly Metrics'!A:A,$B$4,'Data - Monthly Metrics'!B:B,"Jan",'Data - Monthly Metrics'!C:C,"Snohomish",'Data - Monthly Metrics'!D:D,"Target Members - Restaurant (#)")+SUMIFS('Data - Monthly Metrics'!E:E,'Data - Monthly Metrics'!A:A,$B$4,'Data - Monthly Metrics'!B:B,"Jan",'Data - Monthly Metrics'!C:C,"Snohomish",'Data - Monthly Metrics'!D:D,"Non-Target Members - Restaurant (#)"))/(SUMIFS('Data - Monthly Metrics'!E:E,'Data - Monthly Metrics'!A:A,$B$4,'Data - Monthly Metrics'!B:B,"Jan",'Data - Monthly Metrics'!C:C,"Snohomish",'Data - Monthly Metrics'!D:D,"Total Target Locations - Restaurant (#)")+SUMIFS('Data - Monthly Metrics'!E:E,'Data - Monthly Metrics'!A:A,$B$4,'Data - Monthly Metrics'!B:B,"Jan",'Data - Monthly Metrics'!C:C,"Snohomish",'Data - Monthly Metrics'!D:D,"Non-Target Locations - Restaurant (#)")))</f>
        <v/>
      </c>
      <c r="G29" s="115">
        <f>IF((SUMIFS('Data - Monthly Metrics'!E:E,'Data - Monthly Metrics'!A:A,$B$4,'Data - Monthly Metrics'!B:B,"Feb",'Data - Monthly Metrics'!C:C,"Snohomish",'Data - Monthly Metrics'!D:D,"Total Target Locations - Restaurant (#)")+SUMIFS('Data - Monthly Metrics'!E:E,'Data - Monthly Metrics'!A:A,$B$4,'Data - Monthly Metrics'!B:B,"Feb",'Data - Monthly Metrics'!C:C,"Snohomish",'Data - Monthly Metrics'!D:D,"Non-Target Locations - Restaurant (#)"))=0,"-",(SUMIFS('Data - Monthly Metrics'!E:E,'Data - Monthly Metrics'!A:A,$B$4,'Data - Monthly Metrics'!B:B,"Feb",'Data - Monthly Metrics'!C:C,"Snohomish",'Data - Monthly Metrics'!D:D,"Target Members - Restaurant (#)")+SUMIFS('Data - Monthly Metrics'!E:E,'Data - Monthly Metrics'!A:A,$B$4,'Data - Monthly Metrics'!B:B,"Feb",'Data - Monthly Metrics'!C:C,"Snohomish",'Data - Monthly Metrics'!D:D,"Non-Target Members - Restaurant (#)"))/(SUMIFS('Data - Monthly Metrics'!E:E,'Data - Monthly Metrics'!A:A,$B$4,'Data - Monthly Metrics'!B:B,"Feb",'Data - Monthly Metrics'!C:C,"Snohomish",'Data - Monthly Metrics'!D:D,"Total Target Locations - Restaurant (#)")+SUMIFS('Data - Monthly Metrics'!E:E,'Data - Monthly Metrics'!A:A,$B$4,'Data - Monthly Metrics'!B:B,"Feb",'Data - Monthly Metrics'!C:C,"Snohomish",'Data - Monthly Metrics'!D:D,"Non-Target Locations - Restaurant (#)")))</f>
        <v/>
      </c>
      <c r="H29" s="115">
        <f>IF((SUMIFS('Data - Monthly Metrics'!E:E,'Data - Monthly Metrics'!A:A,$B$4,'Data - Monthly Metrics'!B:B,"Mar",'Data - Monthly Metrics'!C:C,"Snohomish",'Data - Monthly Metrics'!D:D,"Total Target Locations - Restaurant (#)")+SUMIFS('Data - Monthly Metrics'!E:E,'Data - Monthly Metrics'!A:A,$B$4,'Data - Monthly Metrics'!B:B,"Mar",'Data - Monthly Metrics'!C:C,"Snohomish",'Data - Monthly Metrics'!D:D,"Non-Target Locations - Restaurant (#)"))=0,"-",(SUMIFS('Data - Monthly Metrics'!E:E,'Data - Monthly Metrics'!A:A,$B$4,'Data - Monthly Metrics'!B:B,"Mar",'Data - Monthly Metrics'!C:C,"Snohomish",'Data - Monthly Metrics'!D:D,"Target Members - Restaurant (#)")+SUMIFS('Data - Monthly Metrics'!E:E,'Data - Monthly Metrics'!A:A,$B$4,'Data - Monthly Metrics'!B:B,"Mar",'Data - Monthly Metrics'!C:C,"Snohomish",'Data - Monthly Metrics'!D:D,"Non-Target Members - Restaurant (#)"))/(SUMIFS('Data - Monthly Metrics'!E:E,'Data - Monthly Metrics'!A:A,$B$4,'Data - Monthly Metrics'!B:B,"Mar",'Data - Monthly Metrics'!C:C,"Snohomish",'Data - Monthly Metrics'!D:D,"Total Target Locations - Restaurant (#)")+SUMIFS('Data - Monthly Metrics'!E:E,'Data - Monthly Metrics'!A:A,$B$4,'Data - Monthly Metrics'!B:B,"Mar",'Data - Monthly Metrics'!C:C,"Snohomish",'Data - Monthly Metrics'!D:D,"Non-Target Locations - Restaurant (#)")))</f>
        <v/>
      </c>
      <c r="I29" s="116">
        <f>IF(ISNUMBER(H29),H29,IF(ISNUMBER(G29),G29,IF(ISNUMBER(F29),F29,"-")))</f>
        <v/>
      </c>
      <c r="J29" s="115">
        <f>IF((SUMIFS('Data - Monthly Metrics'!E:E,'Data - Monthly Metrics'!A:A,$B$4,'Data - Monthly Metrics'!B:B,"Apr",'Data - Monthly Metrics'!C:C,"Snohomish",'Data - Monthly Metrics'!D:D,"Total Target Locations - Restaurant (#)")+SUMIFS('Data - Monthly Metrics'!E:E,'Data - Monthly Metrics'!A:A,$B$4,'Data - Monthly Metrics'!B:B,"Apr",'Data - Monthly Metrics'!C:C,"Snohomish",'Data - Monthly Metrics'!D:D,"Non-Target Locations - Restaurant (#)"))=0,"-",(SUMIFS('Data - Monthly Metrics'!E:E,'Data - Monthly Metrics'!A:A,$B$4,'Data - Monthly Metrics'!B:B,"Apr",'Data - Monthly Metrics'!C:C,"Snohomish",'Data - Monthly Metrics'!D:D,"Target Members - Restaurant (#)")+SUMIFS('Data - Monthly Metrics'!E:E,'Data - Monthly Metrics'!A:A,$B$4,'Data - Monthly Metrics'!B:B,"Apr",'Data - Monthly Metrics'!C:C,"Snohomish",'Data - Monthly Metrics'!D:D,"Non-Target Members - Restaurant (#)"))/(SUMIFS('Data - Monthly Metrics'!E:E,'Data - Monthly Metrics'!A:A,$B$4,'Data - Monthly Metrics'!B:B,"Apr",'Data - Monthly Metrics'!C:C,"Snohomish",'Data - Monthly Metrics'!D:D,"Total Target Locations - Restaurant (#)")+SUMIFS('Data - Monthly Metrics'!E:E,'Data - Monthly Metrics'!A:A,$B$4,'Data - Monthly Metrics'!B:B,"Apr",'Data - Monthly Metrics'!C:C,"Snohomish",'Data - Monthly Metrics'!D:D,"Non-Target Locations - Restaurant (#)")))</f>
        <v/>
      </c>
      <c r="K29" s="115">
        <f>IF((SUMIFS('Data - Monthly Metrics'!E:E,'Data - Monthly Metrics'!A:A,$B$4,'Data - Monthly Metrics'!B:B,"May",'Data - Monthly Metrics'!C:C,"Snohomish",'Data - Monthly Metrics'!D:D,"Total Target Locations - Restaurant (#)")+SUMIFS('Data - Monthly Metrics'!E:E,'Data - Monthly Metrics'!A:A,$B$4,'Data - Monthly Metrics'!B:B,"May",'Data - Monthly Metrics'!C:C,"Snohomish",'Data - Monthly Metrics'!D:D,"Non-Target Locations - Restaurant (#)"))=0,"-",(SUMIFS('Data - Monthly Metrics'!E:E,'Data - Monthly Metrics'!A:A,$B$4,'Data - Monthly Metrics'!B:B,"May",'Data - Monthly Metrics'!C:C,"Snohomish",'Data - Monthly Metrics'!D:D,"Target Members - Restaurant (#)")+SUMIFS('Data - Monthly Metrics'!E:E,'Data - Monthly Metrics'!A:A,$B$4,'Data - Monthly Metrics'!B:B,"May",'Data - Monthly Metrics'!C:C,"Snohomish",'Data - Monthly Metrics'!D:D,"Non-Target Members - Restaurant (#)"))/(SUMIFS('Data - Monthly Metrics'!E:E,'Data - Monthly Metrics'!A:A,$B$4,'Data - Monthly Metrics'!B:B,"May",'Data - Monthly Metrics'!C:C,"Snohomish",'Data - Monthly Metrics'!D:D,"Total Target Locations - Restaurant (#)")+SUMIFS('Data - Monthly Metrics'!E:E,'Data - Monthly Metrics'!A:A,$B$4,'Data - Monthly Metrics'!B:B,"May",'Data - Monthly Metrics'!C:C,"Snohomish",'Data - Monthly Metrics'!D:D,"Non-Target Locations - Restaurant (#)")))</f>
        <v/>
      </c>
      <c r="L29" s="115">
        <f>IF((SUMIFS('Data - Monthly Metrics'!E:E,'Data - Monthly Metrics'!A:A,$B$4,'Data - Monthly Metrics'!B:B,"Jun",'Data - Monthly Metrics'!C:C,"Snohomish",'Data - Monthly Metrics'!D:D,"Total Target Locations - Restaurant (#)")+SUMIFS('Data - Monthly Metrics'!E:E,'Data - Monthly Metrics'!A:A,$B$4,'Data - Monthly Metrics'!B:B,"Jun",'Data - Monthly Metrics'!C:C,"Snohomish",'Data - Monthly Metrics'!D:D,"Non-Target Locations - Restaurant (#)"))=0,"-",(SUMIFS('Data - Monthly Metrics'!E:E,'Data - Monthly Metrics'!A:A,$B$4,'Data - Monthly Metrics'!B:B,"Jun",'Data - Monthly Metrics'!C:C,"Snohomish",'Data - Monthly Metrics'!D:D,"Target Members - Restaurant (#)")+SUMIFS('Data - Monthly Metrics'!E:E,'Data - Monthly Metrics'!A:A,$B$4,'Data - Monthly Metrics'!B:B,"Jun",'Data - Monthly Metrics'!C:C,"Snohomish",'Data - Monthly Metrics'!D:D,"Non-Target Members - Restaurant (#)"))/(SUMIFS('Data - Monthly Metrics'!E:E,'Data - Monthly Metrics'!A:A,$B$4,'Data - Monthly Metrics'!B:B,"Jun",'Data - Monthly Metrics'!C:C,"Snohomish",'Data - Monthly Metrics'!D:D,"Total Target Locations - Restaurant (#)")+SUMIFS('Data - Monthly Metrics'!E:E,'Data - Monthly Metrics'!A:A,$B$4,'Data - Monthly Metrics'!B:B,"Jun",'Data - Monthly Metrics'!C:C,"Snohomish",'Data - Monthly Metrics'!D:D,"Non-Target Locations - Restaurant (#)")))</f>
        <v/>
      </c>
      <c r="M29" s="116">
        <f>IF(ISNUMBER(L29),L29,IF(ISNUMBER(K29),K29,IF(ISNUMBER(J29),J29,"-")))</f>
        <v/>
      </c>
      <c r="N29" s="115">
        <f>IF((SUMIFS('Data - Monthly Metrics'!E:E,'Data - Monthly Metrics'!A:A,$B$4,'Data - Monthly Metrics'!B:B,"Jul",'Data - Monthly Metrics'!C:C,"Snohomish",'Data - Monthly Metrics'!D:D,"Total Target Locations - Restaurant (#)")+SUMIFS('Data - Monthly Metrics'!E:E,'Data - Monthly Metrics'!A:A,$B$4,'Data - Monthly Metrics'!B:B,"Jul",'Data - Monthly Metrics'!C:C,"Snohomish",'Data - Monthly Metrics'!D:D,"Non-Target Locations - Restaurant (#)"))=0,"-",(SUMIFS('Data - Monthly Metrics'!E:E,'Data - Monthly Metrics'!A:A,$B$4,'Data - Monthly Metrics'!B:B,"Jul",'Data - Monthly Metrics'!C:C,"Snohomish",'Data - Monthly Metrics'!D:D,"Target Members - Restaurant (#)")+SUMIFS('Data - Monthly Metrics'!E:E,'Data - Monthly Metrics'!A:A,$B$4,'Data - Monthly Metrics'!B:B,"Jul",'Data - Monthly Metrics'!C:C,"Snohomish",'Data - Monthly Metrics'!D:D,"Non-Target Members - Restaurant (#)"))/(SUMIFS('Data - Monthly Metrics'!E:E,'Data - Monthly Metrics'!A:A,$B$4,'Data - Monthly Metrics'!B:B,"Jul",'Data - Monthly Metrics'!C:C,"Snohomish",'Data - Monthly Metrics'!D:D,"Total Target Locations - Restaurant (#)")+SUMIFS('Data - Monthly Metrics'!E:E,'Data - Monthly Metrics'!A:A,$B$4,'Data - Monthly Metrics'!B:B,"Jul",'Data - Monthly Metrics'!C:C,"Snohomish",'Data - Monthly Metrics'!D:D,"Non-Target Locations - Restaurant (#)")))</f>
        <v/>
      </c>
      <c r="O29" s="115">
        <f>IF((SUMIFS('Data - Monthly Metrics'!E:E,'Data - Monthly Metrics'!A:A,$B$4,'Data - Monthly Metrics'!B:B,"Aug",'Data - Monthly Metrics'!C:C,"Snohomish",'Data - Monthly Metrics'!D:D,"Total Target Locations - Restaurant (#)")+SUMIFS('Data - Monthly Metrics'!E:E,'Data - Monthly Metrics'!A:A,$B$4,'Data - Monthly Metrics'!B:B,"Aug",'Data - Monthly Metrics'!C:C,"Snohomish",'Data - Monthly Metrics'!D:D,"Non-Target Locations - Restaurant (#)"))=0,"-",(SUMIFS('Data - Monthly Metrics'!E:E,'Data - Monthly Metrics'!A:A,$B$4,'Data - Monthly Metrics'!B:B,"Aug",'Data - Monthly Metrics'!C:C,"Snohomish",'Data - Monthly Metrics'!D:D,"Target Members - Restaurant (#)")+SUMIFS('Data - Monthly Metrics'!E:E,'Data - Monthly Metrics'!A:A,$B$4,'Data - Monthly Metrics'!B:B,"Aug",'Data - Monthly Metrics'!C:C,"Snohomish",'Data - Monthly Metrics'!D:D,"Non-Target Members - Restaurant (#)"))/(SUMIFS('Data - Monthly Metrics'!E:E,'Data - Monthly Metrics'!A:A,$B$4,'Data - Monthly Metrics'!B:B,"Aug",'Data - Monthly Metrics'!C:C,"Snohomish",'Data - Monthly Metrics'!D:D,"Total Target Locations - Restaurant (#)")+SUMIFS('Data - Monthly Metrics'!E:E,'Data - Monthly Metrics'!A:A,$B$4,'Data - Monthly Metrics'!B:B,"Aug",'Data - Monthly Metrics'!C:C,"Snohomish",'Data - Monthly Metrics'!D:D,"Non-Target Locations - Restaurant (#)")))</f>
        <v/>
      </c>
      <c r="P29" s="115">
        <f>IF((SUMIFS('Data - Monthly Metrics'!E:E,'Data - Monthly Metrics'!A:A,$B$4,'Data - Monthly Metrics'!B:B,"Sep",'Data - Monthly Metrics'!C:C,"Snohomish",'Data - Monthly Metrics'!D:D,"Total Target Locations - Restaurant (#)")+SUMIFS('Data - Monthly Metrics'!E:E,'Data - Monthly Metrics'!A:A,$B$4,'Data - Monthly Metrics'!B:B,"Sep",'Data - Monthly Metrics'!C:C,"Snohomish",'Data - Monthly Metrics'!D:D,"Non-Target Locations - Restaurant (#)"))=0,"-",(SUMIFS('Data - Monthly Metrics'!E:E,'Data - Monthly Metrics'!A:A,$B$4,'Data - Monthly Metrics'!B:B,"Sep",'Data - Monthly Metrics'!C:C,"Snohomish",'Data - Monthly Metrics'!D:D,"Target Members - Restaurant (#)")+SUMIFS('Data - Monthly Metrics'!E:E,'Data - Monthly Metrics'!A:A,$B$4,'Data - Monthly Metrics'!B:B,"Sep",'Data - Monthly Metrics'!C:C,"Snohomish",'Data - Monthly Metrics'!D:D,"Non-Target Members - Restaurant (#)"))/(SUMIFS('Data - Monthly Metrics'!E:E,'Data - Monthly Metrics'!A:A,$B$4,'Data - Monthly Metrics'!B:B,"Sep",'Data - Monthly Metrics'!C:C,"Snohomish",'Data - Monthly Metrics'!D:D,"Total Target Locations - Restaurant (#)")+SUMIFS('Data - Monthly Metrics'!E:E,'Data - Monthly Metrics'!A:A,$B$4,'Data - Monthly Metrics'!B:B,"Sep",'Data - Monthly Metrics'!C:C,"Snohomish",'Data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Metrics'!C:C,"Snohomish",'Data - Monthly Metrics'!D:D,"Total Target Locations - Lodging (#)")+SUMIFS('Data - Monthly Metrics'!E:E,'Data - Monthly Metrics'!A:A,$B$4-1,'Data - Monthly Metrics'!B:B,"Oct",'Data - Monthly Metrics'!C:C,"Snohomish",'Data - Monthly Metrics'!D:D,"Non-Target Locations - Lodging (#)"))=0,"-",(SUMIFS('Data - Monthly Metrics'!E:E,'Data - Monthly Metrics'!A:A,$B$4-1,'Data - Monthly Metrics'!B:B,"Oct",'Data - Monthly Metrics'!C:C,"Snohomish",'Data - Monthly Metrics'!D:D,"Target Members - Lodging (#)")+SUMIFS('Data - Monthly Metrics'!E:E,'Data - Monthly Metrics'!A:A,$B$4-1,'Data - Monthly Metrics'!B:B,"Oct",'Data - Monthly Metrics'!C:C,"Snohomish",'Data - Monthly Metrics'!D:D,"Non-Target Members - Lodging (#)"))/(SUMIFS('Data - Monthly Metrics'!E:E,'Data - Monthly Metrics'!A:A,$B$4-1,'Data - Monthly Metrics'!B:B,"Oct",'Data - Monthly Metrics'!C:C,"Snohomish",'Data - Monthly Metrics'!D:D,"Total Target Locations - Lodging (#)")+SUMIFS('Data - Monthly Metrics'!E:E,'Data - Monthly Metrics'!A:A,$B$4-1,'Data - Monthly Metrics'!B:B,"Oct",'Data - Monthly Metrics'!C:C,"Snohomish",'Data - Monthly Metrics'!D:D,"Non-Target Locations - Lodging (#)")))</f>
        <v/>
      </c>
      <c r="C30" s="118">
        <f>IF((SUMIFS('Data - Monthly Metrics'!E:E,'Data - Monthly Metrics'!A:A,$B$4-1,'Data - Monthly Metrics'!B:B,"Nov",'Data - Monthly Metrics'!C:C,"Snohomish",'Data - Monthly Metrics'!D:D,"Total Target Locations - Lodging (#)")+SUMIFS('Data - Monthly Metrics'!E:E,'Data - Monthly Metrics'!A:A,$B$4-1,'Data - Monthly Metrics'!B:B,"Nov",'Data - Monthly Metrics'!C:C,"Snohomish",'Data - Monthly Metrics'!D:D,"Non-Target Locations - Lodging (#)"))=0,"-",(SUMIFS('Data - Monthly Metrics'!E:E,'Data - Monthly Metrics'!A:A,$B$4-1,'Data - Monthly Metrics'!B:B,"Nov",'Data - Monthly Metrics'!C:C,"Snohomish",'Data - Monthly Metrics'!D:D,"Target Members - Lodging (#)")+SUMIFS('Data - Monthly Metrics'!E:E,'Data - Monthly Metrics'!A:A,$B$4-1,'Data - Monthly Metrics'!B:B,"Nov",'Data - Monthly Metrics'!C:C,"Snohomish",'Data - Monthly Metrics'!D:D,"Non-Target Members - Lodging (#)"))/(SUMIFS('Data - Monthly Metrics'!E:E,'Data - Monthly Metrics'!A:A,$B$4-1,'Data - Monthly Metrics'!B:B,"Nov",'Data - Monthly Metrics'!C:C,"Snohomish",'Data - Monthly Metrics'!D:D,"Total Target Locations - Lodging (#)")+SUMIFS('Data - Monthly Metrics'!E:E,'Data - Monthly Metrics'!A:A,$B$4-1,'Data - Monthly Metrics'!B:B,"Nov",'Data - Monthly Metrics'!C:C,"Snohomish",'Data - Monthly Metrics'!D:D,"Non-Target Locations - Lodging (#)")))</f>
        <v/>
      </c>
      <c r="D30" s="118">
        <f>IF((SUMIFS('Data - Monthly Metrics'!E:E,'Data - Monthly Metrics'!A:A,$B$4-1,'Data - Monthly Metrics'!B:B,"Dec",'Data - Monthly Metrics'!C:C,"Snohomish",'Data - Monthly Metrics'!D:D,"Total Target Locations - Lodging (#)")+SUMIFS('Data - Monthly Metrics'!E:E,'Data - Monthly Metrics'!A:A,$B$4-1,'Data - Monthly Metrics'!B:B,"Dec",'Data - Monthly Metrics'!C:C,"Snohomish",'Data - Monthly Metrics'!D:D,"Non-Target Locations - Lodging (#)"))=0,"-",(SUMIFS('Data - Monthly Metrics'!E:E,'Data - Monthly Metrics'!A:A,$B$4-1,'Data - Monthly Metrics'!B:B,"Dec",'Data - Monthly Metrics'!C:C,"Snohomish",'Data - Monthly Metrics'!D:D,"Target Members - Lodging (#)")+SUMIFS('Data - Monthly Metrics'!E:E,'Data - Monthly Metrics'!A:A,$B$4-1,'Data - Monthly Metrics'!B:B,"Dec",'Data - Monthly Metrics'!C:C,"Snohomish",'Data - Monthly Metrics'!D:D,"Non-Target Members - Lodging (#)"))/(SUMIFS('Data - Monthly Metrics'!E:E,'Data - Monthly Metrics'!A:A,$B$4-1,'Data - Monthly Metrics'!B:B,"Dec",'Data - Monthly Metrics'!C:C,"Snohomish",'Data - Monthly Metrics'!D:D,"Total Target Locations - Lodging (#)")+SUMIFS('Data - Monthly Metrics'!E:E,'Data - Monthly Metrics'!A:A,$B$4-1,'Data - Monthly Metrics'!B:B,"Dec",'Data - Monthly Metrics'!C:C,"Snohomish",'Data - Monthly Metrics'!D:D,"Non-Target Locations - Lodging (#)")))</f>
        <v/>
      </c>
      <c r="E30" s="116">
        <f>IF(ISNUMBER(D30),D30,IF(ISNUMBER(C30),C30,IF(ISNUMBER(B30),B30,"-")))</f>
        <v/>
      </c>
      <c r="F30" s="118">
        <f>IF((SUMIFS('Data - Monthly Metrics'!E:E,'Data - Monthly Metrics'!A:A,$B$4,'Data - Monthly Metrics'!B:B,"Jan",'Data - Monthly Metrics'!C:C,"Snohomish",'Data - Monthly Metrics'!D:D,"Total Target Locations - Lodging (#)")+SUMIFS('Data - Monthly Metrics'!E:E,'Data - Monthly Metrics'!A:A,$B$4,'Data - Monthly Metrics'!B:B,"Jan",'Data - Monthly Metrics'!C:C,"Snohomish",'Data - Monthly Metrics'!D:D,"Non-Target Locations - Lodging (#)"))=0,"-",(SUMIFS('Data - Monthly Metrics'!E:E,'Data - Monthly Metrics'!A:A,$B$4,'Data - Monthly Metrics'!B:B,"Jan",'Data - Monthly Metrics'!C:C,"Snohomish",'Data - Monthly Metrics'!D:D,"Target Members - Lodging (#)")+SUMIFS('Data - Monthly Metrics'!E:E,'Data - Monthly Metrics'!A:A,$B$4,'Data - Monthly Metrics'!B:B,"Jan",'Data - Monthly Metrics'!C:C,"Snohomish",'Data - Monthly Metrics'!D:D,"Non-Target Members - Lodging (#)"))/(SUMIFS('Data - Monthly Metrics'!E:E,'Data - Monthly Metrics'!A:A,$B$4,'Data - Monthly Metrics'!B:B,"Jan",'Data - Monthly Metrics'!C:C,"Snohomish",'Data - Monthly Metrics'!D:D,"Total Target Locations - Lodging (#)")+SUMIFS('Data - Monthly Metrics'!E:E,'Data - Monthly Metrics'!A:A,$B$4,'Data - Monthly Metrics'!B:B,"Jan",'Data - Monthly Metrics'!C:C,"Snohomish",'Data - Monthly Metrics'!D:D,"Non-Target Locations - Lodging (#)")))</f>
        <v/>
      </c>
      <c r="G30" s="118">
        <f>IF((SUMIFS('Data - Monthly Metrics'!E:E,'Data - Monthly Metrics'!A:A,$B$4,'Data - Monthly Metrics'!B:B,"Feb",'Data - Monthly Metrics'!C:C,"Snohomish",'Data - Monthly Metrics'!D:D,"Total Target Locations - Lodging (#)")+SUMIFS('Data - Monthly Metrics'!E:E,'Data - Monthly Metrics'!A:A,$B$4,'Data - Monthly Metrics'!B:B,"Feb",'Data - Monthly Metrics'!C:C,"Snohomish",'Data - Monthly Metrics'!D:D,"Non-Target Locations - Lodging (#)"))=0,"-",(SUMIFS('Data - Monthly Metrics'!E:E,'Data - Monthly Metrics'!A:A,$B$4,'Data - Monthly Metrics'!B:B,"Feb",'Data - Monthly Metrics'!C:C,"Snohomish",'Data - Monthly Metrics'!D:D,"Target Members - Lodging (#)")+SUMIFS('Data - Monthly Metrics'!E:E,'Data - Monthly Metrics'!A:A,$B$4,'Data - Monthly Metrics'!B:B,"Feb",'Data - Monthly Metrics'!C:C,"Snohomish",'Data - Monthly Metrics'!D:D,"Non-Target Members - Lodging (#)"))/(SUMIFS('Data - Monthly Metrics'!E:E,'Data - Monthly Metrics'!A:A,$B$4,'Data - Monthly Metrics'!B:B,"Feb",'Data - Monthly Metrics'!C:C,"Snohomish",'Data - Monthly Metrics'!D:D,"Total Target Locations - Lodging (#)")+SUMIFS('Data - Monthly Metrics'!E:E,'Data - Monthly Metrics'!A:A,$B$4,'Data - Monthly Metrics'!B:B,"Feb",'Data - Monthly Metrics'!C:C,"Snohomish",'Data - Monthly Metrics'!D:D,"Non-Target Locations - Lodging (#)")))</f>
        <v/>
      </c>
      <c r="H30" s="118">
        <f>IF((SUMIFS('Data - Monthly Metrics'!E:E,'Data - Monthly Metrics'!A:A,$B$4,'Data - Monthly Metrics'!B:B,"Mar",'Data - Monthly Metrics'!C:C,"Snohomish",'Data - Monthly Metrics'!D:D,"Total Target Locations - Lodging (#)")+SUMIFS('Data - Monthly Metrics'!E:E,'Data - Monthly Metrics'!A:A,$B$4,'Data - Monthly Metrics'!B:B,"Mar",'Data - Monthly Metrics'!C:C,"Snohomish",'Data - Monthly Metrics'!D:D,"Non-Target Locations - Lodging (#)"))=0,"-",(SUMIFS('Data - Monthly Metrics'!E:E,'Data - Monthly Metrics'!A:A,$B$4,'Data - Monthly Metrics'!B:B,"Mar",'Data - Monthly Metrics'!C:C,"Snohomish",'Data - Monthly Metrics'!D:D,"Target Members - Lodging (#)")+SUMIFS('Data - Monthly Metrics'!E:E,'Data - Monthly Metrics'!A:A,$B$4,'Data - Monthly Metrics'!B:B,"Mar",'Data - Monthly Metrics'!C:C,"Snohomish",'Data - Monthly Metrics'!D:D,"Non-Target Members - Lodging (#)"))/(SUMIFS('Data - Monthly Metrics'!E:E,'Data - Monthly Metrics'!A:A,$B$4,'Data - Monthly Metrics'!B:B,"Mar",'Data - Monthly Metrics'!C:C,"Snohomish",'Data - Monthly Metrics'!D:D,"Total Target Locations - Lodging (#)")+SUMIFS('Data - Monthly Metrics'!E:E,'Data - Monthly Metrics'!A:A,$B$4,'Data - Monthly Metrics'!B:B,"Mar",'Data - Monthly Metrics'!C:C,"Snohomish",'Data - Monthly Metrics'!D:D,"Non-Target Locations - Lodging (#)")))</f>
        <v/>
      </c>
      <c r="I30" s="116">
        <f>IF(ISNUMBER(H30),H30,IF(ISNUMBER(G30),G30,IF(ISNUMBER(F30),F30,"-")))</f>
        <v/>
      </c>
      <c r="J30" s="118">
        <f>IF((SUMIFS('Data - Monthly Metrics'!E:E,'Data - Monthly Metrics'!A:A,$B$4,'Data - Monthly Metrics'!B:B,"Apr",'Data - Monthly Metrics'!C:C,"Snohomish",'Data - Monthly Metrics'!D:D,"Total Target Locations - Lodging (#)")+SUMIFS('Data - Monthly Metrics'!E:E,'Data - Monthly Metrics'!A:A,$B$4,'Data - Monthly Metrics'!B:B,"Apr",'Data - Monthly Metrics'!C:C,"Snohomish",'Data - Monthly Metrics'!D:D,"Non-Target Locations - Lodging (#)"))=0,"-",(SUMIFS('Data - Monthly Metrics'!E:E,'Data - Monthly Metrics'!A:A,$B$4,'Data - Monthly Metrics'!B:B,"Apr",'Data - Monthly Metrics'!C:C,"Snohomish",'Data - Monthly Metrics'!D:D,"Target Members - Lodging (#)")+SUMIFS('Data - Monthly Metrics'!E:E,'Data - Monthly Metrics'!A:A,$B$4,'Data - Monthly Metrics'!B:B,"Apr",'Data - Monthly Metrics'!C:C,"Snohomish",'Data - Monthly Metrics'!D:D,"Non-Target Members - Lodging (#)"))/(SUMIFS('Data - Monthly Metrics'!E:E,'Data - Monthly Metrics'!A:A,$B$4,'Data - Monthly Metrics'!B:B,"Apr",'Data - Monthly Metrics'!C:C,"Snohomish",'Data - Monthly Metrics'!D:D,"Total Target Locations - Lodging (#)")+SUMIFS('Data - Monthly Metrics'!E:E,'Data - Monthly Metrics'!A:A,$B$4,'Data - Monthly Metrics'!B:B,"Apr",'Data - Monthly Metrics'!C:C,"Snohomish",'Data - Monthly Metrics'!D:D,"Non-Target Locations - Lodging (#)")))</f>
        <v/>
      </c>
      <c r="K30" s="118">
        <f>IF((SUMIFS('Data - Monthly Metrics'!E:E,'Data - Monthly Metrics'!A:A,$B$4,'Data - Monthly Metrics'!B:B,"May",'Data - Monthly Metrics'!C:C,"Snohomish",'Data - Monthly Metrics'!D:D,"Total Target Locations - Lodging (#)")+SUMIFS('Data - Monthly Metrics'!E:E,'Data - Monthly Metrics'!A:A,$B$4,'Data - Monthly Metrics'!B:B,"May",'Data - Monthly Metrics'!C:C,"Snohomish",'Data - Monthly Metrics'!D:D,"Non-Target Locations - Lodging (#)"))=0,"-",(SUMIFS('Data - Monthly Metrics'!E:E,'Data - Monthly Metrics'!A:A,$B$4,'Data - Monthly Metrics'!B:B,"May",'Data - Monthly Metrics'!C:C,"Snohomish",'Data - Monthly Metrics'!D:D,"Target Members - Lodging (#)")+SUMIFS('Data - Monthly Metrics'!E:E,'Data - Monthly Metrics'!A:A,$B$4,'Data - Monthly Metrics'!B:B,"May",'Data - Monthly Metrics'!C:C,"Snohomish",'Data - Monthly Metrics'!D:D,"Non-Target Members - Lodging (#)"))/(SUMIFS('Data - Monthly Metrics'!E:E,'Data - Monthly Metrics'!A:A,$B$4,'Data - Monthly Metrics'!B:B,"May",'Data - Monthly Metrics'!C:C,"Snohomish",'Data - Monthly Metrics'!D:D,"Total Target Locations - Lodging (#)")+SUMIFS('Data - Monthly Metrics'!E:E,'Data - Monthly Metrics'!A:A,$B$4,'Data - Monthly Metrics'!B:B,"May",'Data - Monthly Metrics'!C:C,"Snohomish",'Data - Monthly Metrics'!D:D,"Non-Target Locations - Lodging (#)")))</f>
        <v/>
      </c>
      <c r="L30" s="118">
        <f>IF((SUMIFS('Data - Monthly Metrics'!E:E,'Data - Monthly Metrics'!A:A,$B$4,'Data - Monthly Metrics'!B:B,"Jun",'Data - Monthly Metrics'!C:C,"Snohomish",'Data - Monthly Metrics'!D:D,"Total Target Locations - Lodging (#)")+SUMIFS('Data - Monthly Metrics'!E:E,'Data - Monthly Metrics'!A:A,$B$4,'Data - Monthly Metrics'!B:B,"Jun",'Data - Monthly Metrics'!C:C,"Snohomish",'Data - Monthly Metrics'!D:D,"Non-Target Locations - Lodging (#)"))=0,"-",(SUMIFS('Data - Monthly Metrics'!E:E,'Data - Monthly Metrics'!A:A,$B$4,'Data - Monthly Metrics'!B:B,"Jun",'Data - Monthly Metrics'!C:C,"Snohomish",'Data - Monthly Metrics'!D:D,"Target Members - Lodging (#)")+SUMIFS('Data - Monthly Metrics'!E:E,'Data - Monthly Metrics'!A:A,$B$4,'Data - Monthly Metrics'!B:B,"Jun",'Data - Monthly Metrics'!C:C,"Snohomish",'Data - Monthly Metrics'!D:D,"Non-Target Members - Lodging (#)"))/(SUMIFS('Data - Monthly Metrics'!E:E,'Data - Monthly Metrics'!A:A,$B$4,'Data - Monthly Metrics'!B:B,"Jun",'Data - Monthly Metrics'!C:C,"Snohomish",'Data - Monthly Metrics'!D:D,"Total Target Locations - Lodging (#)")+SUMIFS('Data - Monthly Metrics'!E:E,'Data - Monthly Metrics'!A:A,$B$4,'Data - Monthly Metrics'!B:B,"Jun",'Data - Monthly Metrics'!C:C,"Snohomish",'Data - Monthly Metrics'!D:D,"Non-Target Locations - Lodging (#)")))</f>
        <v/>
      </c>
      <c r="M30" s="116">
        <f>IF(ISNUMBER(L30),L30,IF(ISNUMBER(K30),K30,IF(ISNUMBER(J30),J30,"-")))</f>
        <v/>
      </c>
      <c r="N30" s="118">
        <f>IF((SUMIFS('Data - Monthly Metrics'!E:E,'Data - Monthly Metrics'!A:A,$B$4,'Data - Monthly Metrics'!B:B,"Jul",'Data - Monthly Metrics'!C:C,"Snohomish",'Data - Monthly Metrics'!D:D,"Total Target Locations - Lodging (#)")+SUMIFS('Data - Monthly Metrics'!E:E,'Data - Monthly Metrics'!A:A,$B$4,'Data - Monthly Metrics'!B:B,"Jul",'Data - Monthly Metrics'!C:C,"Snohomish",'Data - Monthly Metrics'!D:D,"Non-Target Locations - Lodging (#)"))=0,"-",(SUMIFS('Data - Monthly Metrics'!E:E,'Data - Monthly Metrics'!A:A,$B$4,'Data - Monthly Metrics'!B:B,"Jul",'Data - Monthly Metrics'!C:C,"Snohomish",'Data - Monthly Metrics'!D:D,"Target Members - Lodging (#)")+SUMIFS('Data - Monthly Metrics'!E:E,'Data - Monthly Metrics'!A:A,$B$4,'Data - Monthly Metrics'!B:B,"Jul",'Data - Monthly Metrics'!C:C,"Snohomish",'Data - Monthly Metrics'!D:D,"Non-Target Members - Lodging (#)"))/(SUMIFS('Data - Monthly Metrics'!E:E,'Data - Monthly Metrics'!A:A,$B$4,'Data - Monthly Metrics'!B:B,"Jul",'Data - Monthly Metrics'!C:C,"Snohomish",'Data - Monthly Metrics'!D:D,"Total Target Locations - Lodging (#)")+SUMIFS('Data - Monthly Metrics'!E:E,'Data - Monthly Metrics'!A:A,$B$4,'Data - Monthly Metrics'!B:B,"Jul",'Data - Monthly Metrics'!C:C,"Snohomish",'Data - Monthly Metrics'!D:D,"Non-Target Locations - Lodging (#)")))</f>
        <v/>
      </c>
      <c r="O30" s="118">
        <f>IF((SUMIFS('Data - Monthly Metrics'!E:E,'Data - Monthly Metrics'!A:A,$B$4,'Data - Monthly Metrics'!B:B,"Aug",'Data - Monthly Metrics'!C:C,"Snohomish",'Data - Monthly Metrics'!D:D,"Total Target Locations - Lodging (#)")+SUMIFS('Data - Monthly Metrics'!E:E,'Data - Monthly Metrics'!A:A,$B$4,'Data - Monthly Metrics'!B:B,"Aug",'Data - Monthly Metrics'!C:C,"Snohomish",'Data - Monthly Metrics'!D:D,"Non-Target Locations - Lodging (#)"))=0,"-",(SUMIFS('Data - Monthly Metrics'!E:E,'Data - Monthly Metrics'!A:A,$B$4,'Data - Monthly Metrics'!B:B,"Aug",'Data - Monthly Metrics'!C:C,"Snohomish",'Data - Monthly Metrics'!D:D,"Target Members - Lodging (#)")+SUMIFS('Data - Monthly Metrics'!E:E,'Data - Monthly Metrics'!A:A,$B$4,'Data - Monthly Metrics'!B:B,"Aug",'Data - Monthly Metrics'!C:C,"Snohomish",'Data - Monthly Metrics'!D:D,"Non-Target Members - Lodging (#)"))/(SUMIFS('Data - Monthly Metrics'!E:E,'Data - Monthly Metrics'!A:A,$B$4,'Data - Monthly Metrics'!B:B,"Aug",'Data - Monthly Metrics'!C:C,"Snohomish",'Data - Monthly Metrics'!D:D,"Total Target Locations - Lodging (#)")+SUMIFS('Data - Monthly Metrics'!E:E,'Data - Monthly Metrics'!A:A,$B$4,'Data - Monthly Metrics'!B:B,"Aug",'Data - Monthly Metrics'!C:C,"Snohomish",'Data - Monthly Metrics'!D:D,"Non-Target Locations - Lodging (#)")))</f>
        <v/>
      </c>
      <c r="P30" s="118">
        <f>IF((SUMIFS('Data - Monthly Metrics'!E:E,'Data - Monthly Metrics'!A:A,$B$4,'Data - Monthly Metrics'!B:B,"Sep",'Data - Monthly Metrics'!C:C,"Snohomish",'Data - Monthly Metrics'!D:D,"Total Target Locations - Lodging (#)")+SUMIFS('Data - Monthly Metrics'!E:E,'Data - Monthly Metrics'!A:A,$B$4,'Data - Monthly Metrics'!B:B,"Sep",'Data - Monthly Metrics'!C:C,"Snohomish",'Data - Monthly Metrics'!D:D,"Non-Target Locations - Lodging (#)"))=0,"-",(SUMIFS('Data - Monthly Metrics'!E:E,'Data - Monthly Metrics'!A:A,$B$4,'Data - Monthly Metrics'!B:B,"Sep",'Data - Monthly Metrics'!C:C,"Snohomish",'Data - Monthly Metrics'!D:D,"Target Members - Lodging (#)")+SUMIFS('Data - Monthly Metrics'!E:E,'Data - Monthly Metrics'!A:A,$B$4,'Data - Monthly Metrics'!B:B,"Sep",'Data - Monthly Metrics'!C:C,"Snohomish",'Data - Monthly Metrics'!D:D,"Non-Target Members - Lodging (#)"))/(SUMIFS('Data - Monthly Metrics'!E:E,'Data - Monthly Metrics'!A:A,$B$4,'Data - Monthly Metrics'!B:B,"Sep",'Data - Monthly Metrics'!C:C,"Snohomish",'Data - Monthly Metrics'!D:D,"Total Target Locations - Lodging (#)")+SUMIFS('Data - Monthly Metrics'!E:E,'Data - Monthly Metrics'!A:A,$B$4,'Data - Monthly Metrics'!B:B,"Sep",'Data - Monthly Metrics'!C:C,"Snohomish",'Data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Metrics'!C:C,"Snohomish",'Data - Monthly Metrics'!D:D,"Total Target Locations - Restaurant (#)")+SUMIFS('Data - Monthly Metrics'!E:E,'Data - Monthly Metrics'!A:A,$B$4-1,'Data - Monthly Metrics'!B:B,"Oct",'Data - Monthly Metrics'!C:C,"Snohomish",'Data - Monthly Metrics'!D:D,"Total Target Locations - Lodging (#)")+SUMIFS('Data - Monthly Metrics'!E:E,'Data - Monthly Metrics'!A:A,$B$4-1,'Data - Monthly Metrics'!B:B,"Oct",'Data - Monthly Metrics'!C:C,"Snohomish",'Data - Monthly Metrics'!D:D,"Non-Target Locations - Restaurant (#)")+SUMIFS('Data - Monthly Metrics'!E:E,'Data - Monthly Metrics'!A:A,$B$4-1,'Data - Monthly Metrics'!B:B,"Oct",'Data - Monthly Metrics'!C:C,"Snohomish",'Data - Monthly Metrics'!D:D,"Non-Target Locations - Lodging (#)"))=0,"-",(SUMIFS('Data - Monthly Metrics'!E:E,'Data - Monthly Metrics'!A:A,$B$4-1,'Data - Monthly Metrics'!B:B,"Oct",'Data - Monthly Metrics'!C:C,"Snohomish",'Data - Monthly Metrics'!D:D,"Target Members - Restaurant (#)")+SUMIFS('Data - Monthly Metrics'!E:E,'Data - Monthly Metrics'!A:A,$B$4-1,'Data - Monthly Metrics'!B:B,"Oct",'Data - Monthly Metrics'!C:C,"Snohomish",'Data - Monthly Metrics'!D:D,"Target Members - Lodging (#)")+SUMIFS('Data - Monthly Metrics'!E:E,'Data - Monthly Metrics'!A:A,$B$4-1,'Data - Monthly Metrics'!B:B,"Oct",'Data - Monthly Metrics'!C:C,"Snohomish",'Data - Monthly Metrics'!D:D,"Non-Target Members - Restaurant (#)")+SUMIFS('Data - Monthly Metrics'!E:E,'Data - Monthly Metrics'!A:A,$B$4-1,'Data - Monthly Metrics'!B:B,"Oct",'Data - Monthly Metrics'!C:C,"Snohomish",'Data - Monthly Metrics'!D:D,"Non-Target Members - Lodging (#)"))/(SUMIFS('Data - Monthly Metrics'!E:E,'Data - Monthly Metrics'!A:A,$B$4-1,'Data - Monthly Metrics'!B:B,"Oct",'Data - Monthly Metrics'!C:C,"Snohomish",'Data - Monthly Metrics'!D:D,"Total Target Locations - Restaurant (#)")+SUMIFS('Data - Monthly Metrics'!E:E,'Data - Monthly Metrics'!A:A,$B$4-1,'Data - Monthly Metrics'!B:B,"Oct",'Data - Monthly Metrics'!C:C,"Snohomish",'Data - Monthly Metrics'!D:D,"Total Target Locations - Lodging (#)")+SUMIFS('Data - Monthly Metrics'!E:E,'Data - Monthly Metrics'!A:A,$B$4-1,'Data - Monthly Metrics'!B:B,"Oct",'Data - Monthly Metrics'!C:C,"Snohomish",'Data - Monthly Metrics'!D:D,"Non-Target Locations - Restaurant (#)")+SUMIFS('Data - Monthly Metrics'!E:E,'Data - Monthly Metrics'!A:A,$B$4-1,'Data - Monthly Metrics'!B:B,"Oct",'Data - Monthly Metrics'!C:C,"Snohomish",'Data - Monthly Metrics'!D:D,"Non-Target Locations - Lodging (#)")))</f>
        <v/>
      </c>
      <c r="C31" s="115">
        <f>IF((SUMIFS('Data - Monthly Metrics'!E:E,'Data - Monthly Metrics'!A:A,$B$4-1,'Data - Monthly Metrics'!B:B,"Nov",'Data - Monthly Metrics'!C:C,"Snohomish",'Data - Monthly Metrics'!D:D,"Total Target Locations - Restaurant (#)")+SUMIFS('Data - Monthly Metrics'!E:E,'Data - Monthly Metrics'!A:A,$B$4-1,'Data - Monthly Metrics'!B:B,"Nov",'Data - Monthly Metrics'!C:C,"Snohomish",'Data - Monthly Metrics'!D:D,"Total Target Locations - Lodging (#)")+SUMIFS('Data - Monthly Metrics'!E:E,'Data - Monthly Metrics'!A:A,$B$4-1,'Data - Monthly Metrics'!B:B,"Nov",'Data - Monthly Metrics'!C:C,"Snohomish",'Data - Monthly Metrics'!D:D,"Non-Target Locations - Restaurant (#)")+SUMIFS('Data - Monthly Metrics'!E:E,'Data - Monthly Metrics'!A:A,$B$4-1,'Data - Monthly Metrics'!B:B,"Nov",'Data - Monthly Metrics'!C:C,"Snohomish",'Data - Monthly Metrics'!D:D,"Non-Target Locations - Lodging (#)"))=0,"-",(SUMIFS('Data - Monthly Metrics'!E:E,'Data - Monthly Metrics'!A:A,$B$4-1,'Data - Monthly Metrics'!B:B,"Nov",'Data - Monthly Metrics'!C:C,"Snohomish",'Data - Monthly Metrics'!D:D,"Target Members - Restaurant (#)")+SUMIFS('Data - Monthly Metrics'!E:E,'Data - Monthly Metrics'!A:A,$B$4-1,'Data - Monthly Metrics'!B:B,"Nov",'Data - Monthly Metrics'!C:C,"Snohomish",'Data - Monthly Metrics'!D:D,"Target Members - Lodging (#)")+SUMIFS('Data - Monthly Metrics'!E:E,'Data - Monthly Metrics'!A:A,$B$4-1,'Data - Monthly Metrics'!B:B,"Nov",'Data - Monthly Metrics'!C:C,"Snohomish",'Data - Monthly Metrics'!D:D,"Non-Target Members - Restaurant (#)")+SUMIFS('Data - Monthly Metrics'!E:E,'Data - Monthly Metrics'!A:A,$B$4-1,'Data - Monthly Metrics'!B:B,"Nov",'Data - Monthly Metrics'!C:C,"Snohomish",'Data - Monthly Metrics'!D:D,"Non-Target Members - Lodging (#)"))/(SUMIFS('Data - Monthly Metrics'!E:E,'Data - Monthly Metrics'!A:A,$B$4-1,'Data - Monthly Metrics'!B:B,"Nov",'Data - Monthly Metrics'!C:C,"Snohomish",'Data - Monthly Metrics'!D:D,"Total Target Locations - Restaurant (#)")+SUMIFS('Data - Monthly Metrics'!E:E,'Data - Monthly Metrics'!A:A,$B$4-1,'Data - Monthly Metrics'!B:B,"Nov",'Data - Monthly Metrics'!C:C,"Snohomish",'Data - Monthly Metrics'!D:D,"Total Target Locations - Lodging (#)")+SUMIFS('Data - Monthly Metrics'!E:E,'Data - Monthly Metrics'!A:A,$B$4-1,'Data - Monthly Metrics'!B:B,"Nov",'Data - Monthly Metrics'!C:C,"Snohomish",'Data - Monthly Metrics'!D:D,"Non-Target Locations - Restaurant (#)")+SUMIFS('Data - Monthly Metrics'!E:E,'Data - Monthly Metrics'!A:A,$B$4-1,'Data - Monthly Metrics'!B:B,"Nov",'Data - Monthly Metrics'!C:C,"Snohomish",'Data - Monthly Metrics'!D:D,"Non-Target Locations - Lodging (#)")))</f>
        <v/>
      </c>
      <c r="D31" s="115">
        <f>IF((SUMIFS('Data - Monthly Metrics'!E:E,'Data - Monthly Metrics'!A:A,$B$4-1,'Data - Monthly Metrics'!B:B,"Dec",'Data - Monthly Metrics'!C:C,"Snohomish",'Data - Monthly Metrics'!D:D,"Total Target Locations - Restaurant (#)")+SUMIFS('Data - Monthly Metrics'!E:E,'Data - Monthly Metrics'!A:A,$B$4-1,'Data - Monthly Metrics'!B:B,"Dec",'Data - Monthly Metrics'!C:C,"Snohomish",'Data - Monthly Metrics'!D:D,"Total Target Locations - Lodging (#)")+SUMIFS('Data - Monthly Metrics'!E:E,'Data - Monthly Metrics'!A:A,$B$4-1,'Data - Monthly Metrics'!B:B,"Dec",'Data - Monthly Metrics'!C:C,"Snohomish",'Data - Monthly Metrics'!D:D,"Non-Target Locations - Restaurant (#)")+SUMIFS('Data - Monthly Metrics'!E:E,'Data - Monthly Metrics'!A:A,$B$4-1,'Data - Monthly Metrics'!B:B,"Dec",'Data - Monthly Metrics'!C:C,"Snohomish",'Data - Monthly Metrics'!D:D,"Non-Target Locations - Lodging (#)"))=0,"-",(SUMIFS('Data - Monthly Metrics'!E:E,'Data - Monthly Metrics'!A:A,$B$4-1,'Data - Monthly Metrics'!B:B,"Dec",'Data - Monthly Metrics'!C:C,"Snohomish",'Data - Monthly Metrics'!D:D,"Target Members - Restaurant (#)")+SUMIFS('Data - Monthly Metrics'!E:E,'Data - Monthly Metrics'!A:A,$B$4-1,'Data - Monthly Metrics'!B:B,"Dec",'Data - Monthly Metrics'!C:C,"Snohomish",'Data - Monthly Metrics'!D:D,"Target Members - Lodging (#)")+SUMIFS('Data - Monthly Metrics'!E:E,'Data - Monthly Metrics'!A:A,$B$4-1,'Data - Monthly Metrics'!B:B,"Dec",'Data - Monthly Metrics'!C:C,"Snohomish",'Data - Monthly Metrics'!D:D,"Non-Target Members - Restaurant (#)")+SUMIFS('Data - Monthly Metrics'!E:E,'Data - Monthly Metrics'!A:A,$B$4-1,'Data - Monthly Metrics'!B:B,"Dec",'Data - Monthly Metrics'!C:C,"Snohomish",'Data - Monthly Metrics'!D:D,"Non-Target Members - Lodging (#)"))/(SUMIFS('Data - Monthly Metrics'!E:E,'Data - Monthly Metrics'!A:A,$B$4-1,'Data - Monthly Metrics'!B:B,"Dec",'Data - Monthly Metrics'!C:C,"Snohomish",'Data - Monthly Metrics'!D:D,"Total Target Locations - Restaurant (#)")+SUMIFS('Data - Monthly Metrics'!E:E,'Data - Monthly Metrics'!A:A,$B$4-1,'Data - Monthly Metrics'!B:B,"Dec",'Data - Monthly Metrics'!C:C,"Snohomish",'Data - Monthly Metrics'!D:D,"Total Target Locations - Lodging (#)")+SUMIFS('Data - Monthly Metrics'!E:E,'Data - Monthly Metrics'!A:A,$B$4-1,'Data - Monthly Metrics'!B:B,"Dec",'Data - Monthly Metrics'!C:C,"Snohomish",'Data - Monthly Metrics'!D:D,"Non-Target Locations - Restaurant (#)")+SUMIFS('Data - Monthly Metrics'!E:E,'Data - Monthly Metrics'!A:A,$B$4-1,'Data - Monthly Metrics'!B:B,"Dec",'Data - Monthly Metrics'!C:C,"Snohomish",'Data - Monthly Metrics'!D:D,"Non-Target Locations - Lodging (#)")))</f>
        <v/>
      </c>
      <c r="E31" s="116">
        <f>IF(ISNUMBER(D31),D31,IF(ISNUMBER(C31),C31,IF(ISNUMBER(B31),B31,"-")))</f>
        <v/>
      </c>
      <c r="F31" s="115">
        <f>IF((SUMIFS('Data - Monthly Metrics'!E:E,'Data - Monthly Metrics'!A:A,$B$4,'Data - Monthly Metrics'!B:B,"Jan",'Data - Monthly Metrics'!C:C,"Snohomish",'Data - Monthly Metrics'!D:D,"Total Target Locations - Restaurant (#)")+SUMIFS('Data - Monthly Metrics'!E:E,'Data - Monthly Metrics'!A:A,$B$4,'Data - Monthly Metrics'!B:B,"Jan",'Data - Monthly Metrics'!C:C,"Snohomish",'Data - Monthly Metrics'!D:D,"Total Target Locations - Lodging (#)")+SUMIFS('Data - Monthly Metrics'!E:E,'Data - Monthly Metrics'!A:A,$B$4,'Data - Monthly Metrics'!B:B,"Jan",'Data - Monthly Metrics'!C:C,"Snohomish",'Data - Monthly Metrics'!D:D,"Non-Target Locations - Restaurant (#)")+SUMIFS('Data - Monthly Metrics'!E:E,'Data - Monthly Metrics'!A:A,$B$4,'Data - Monthly Metrics'!B:B,"Jan",'Data - Monthly Metrics'!C:C,"Snohomish",'Data - Monthly Metrics'!D:D,"Non-Target Locations - Lodging (#)"))=0,"-",(SUMIFS('Data - Monthly Metrics'!E:E,'Data - Monthly Metrics'!A:A,$B$4,'Data - Monthly Metrics'!B:B,"Jan",'Data - Monthly Metrics'!C:C,"Snohomish",'Data - Monthly Metrics'!D:D,"Target Members - Restaurant (#)")+SUMIFS('Data - Monthly Metrics'!E:E,'Data - Monthly Metrics'!A:A,$B$4,'Data - Monthly Metrics'!B:B,"Jan",'Data - Monthly Metrics'!C:C,"Snohomish",'Data - Monthly Metrics'!D:D,"Target Members - Lodging (#)")+SUMIFS('Data - Monthly Metrics'!E:E,'Data - Monthly Metrics'!A:A,$B$4,'Data - Monthly Metrics'!B:B,"Jan",'Data - Monthly Metrics'!C:C,"Snohomish",'Data - Monthly Metrics'!D:D,"Non-Target Members - Restaurant (#)")+SUMIFS('Data - Monthly Metrics'!E:E,'Data - Monthly Metrics'!A:A,$B$4,'Data - Monthly Metrics'!B:B,"Jan",'Data - Monthly Metrics'!C:C,"Snohomish",'Data - Monthly Metrics'!D:D,"Non-Target Members - Lodging (#)"))/(SUMIFS('Data - Monthly Metrics'!E:E,'Data - Monthly Metrics'!A:A,$B$4,'Data - Monthly Metrics'!B:B,"Jan",'Data - Monthly Metrics'!C:C,"Snohomish",'Data - Monthly Metrics'!D:D,"Total Target Locations - Restaurant (#)")+SUMIFS('Data - Monthly Metrics'!E:E,'Data - Monthly Metrics'!A:A,$B$4,'Data - Monthly Metrics'!B:B,"Jan",'Data - Monthly Metrics'!C:C,"Snohomish",'Data - Monthly Metrics'!D:D,"Total Target Locations - Lodging (#)")+SUMIFS('Data - Monthly Metrics'!E:E,'Data - Monthly Metrics'!A:A,$B$4,'Data - Monthly Metrics'!B:B,"Jan",'Data - Monthly Metrics'!C:C,"Snohomish",'Data - Monthly Metrics'!D:D,"Non-Target Locations - Restaurant (#)")+SUMIFS('Data - Monthly Metrics'!E:E,'Data - Monthly Metrics'!A:A,$B$4,'Data - Monthly Metrics'!B:B,"Jan",'Data - Monthly Metrics'!C:C,"Snohomish",'Data - Monthly Metrics'!D:D,"Non-Target Locations - Lodging (#)")))</f>
        <v/>
      </c>
      <c r="G31" s="115">
        <f>IF((SUMIFS('Data - Monthly Metrics'!E:E,'Data - Monthly Metrics'!A:A,$B$4,'Data - Monthly Metrics'!B:B,"Feb",'Data - Monthly Metrics'!C:C,"Snohomish",'Data - Monthly Metrics'!D:D,"Total Target Locations - Restaurant (#)")+SUMIFS('Data - Monthly Metrics'!E:E,'Data - Monthly Metrics'!A:A,$B$4,'Data - Monthly Metrics'!B:B,"Feb",'Data - Monthly Metrics'!C:C,"Snohomish",'Data - Monthly Metrics'!D:D,"Total Target Locations - Lodging (#)")+SUMIFS('Data - Monthly Metrics'!E:E,'Data - Monthly Metrics'!A:A,$B$4,'Data - Monthly Metrics'!B:B,"Feb",'Data - Monthly Metrics'!C:C,"Snohomish",'Data - Monthly Metrics'!D:D,"Non-Target Locations - Restaurant (#)")+SUMIFS('Data - Monthly Metrics'!E:E,'Data - Monthly Metrics'!A:A,$B$4,'Data - Monthly Metrics'!B:B,"Feb",'Data - Monthly Metrics'!C:C,"Snohomish",'Data - Monthly Metrics'!D:D,"Non-Target Locations - Lodging (#)"))=0,"-",(SUMIFS('Data - Monthly Metrics'!E:E,'Data - Monthly Metrics'!A:A,$B$4,'Data - Monthly Metrics'!B:B,"Feb",'Data - Monthly Metrics'!C:C,"Snohomish",'Data - Monthly Metrics'!D:D,"Target Members - Restaurant (#)")+SUMIFS('Data - Monthly Metrics'!E:E,'Data - Monthly Metrics'!A:A,$B$4,'Data - Monthly Metrics'!B:B,"Feb",'Data - Monthly Metrics'!C:C,"Snohomish",'Data - Monthly Metrics'!D:D,"Target Members - Lodging (#)")+SUMIFS('Data - Monthly Metrics'!E:E,'Data - Monthly Metrics'!A:A,$B$4,'Data - Monthly Metrics'!B:B,"Feb",'Data - Monthly Metrics'!C:C,"Snohomish",'Data - Monthly Metrics'!D:D,"Non-Target Members - Restaurant (#)")+SUMIFS('Data - Monthly Metrics'!E:E,'Data - Monthly Metrics'!A:A,$B$4,'Data - Monthly Metrics'!B:B,"Feb",'Data - Monthly Metrics'!C:C,"Snohomish",'Data - Monthly Metrics'!D:D,"Non-Target Members - Lodging (#)"))/(SUMIFS('Data - Monthly Metrics'!E:E,'Data - Monthly Metrics'!A:A,$B$4,'Data - Monthly Metrics'!B:B,"Feb",'Data - Monthly Metrics'!C:C,"Snohomish",'Data - Monthly Metrics'!D:D,"Total Target Locations - Restaurant (#)")+SUMIFS('Data - Monthly Metrics'!E:E,'Data - Monthly Metrics'!A:A,$B$4,'Data - Monthly Metrics'!B:B,"Feb",'Data - Monthly Metrics'!C:C,"Snohomish",'Data - Monthly Metrics'!D:D,"Total Target Locations - Lodging (#)")+SUMIFS('Data - Monthly Metrics'!E:E,'Data - Monthly Metrics'!A:A,$B$4,'Data - Monthly Metrics'!B:B,"Feb",'Data - Monthly Metrics'!C:C,"Snohomish",'Data - Monthly Metrics'!D:D,"Non-Target Locations - Restaurant (#)")+SUMIFS('Data - Monthly Metrics'!E:E,'Data - Monthly Metrics'!A:A,$B$4,'Data - Monthly Metrics'!B:B,"Feb",'Data - Monthly Metrics'!C:C,"Snohomish",'Data - Monthly Metrics'!D:D,"Non-Target Locations - Lodging (#)")))</f>
        <v/>
      </c>
      <c r="H31" s="115">
        <f>IF((SUMIFS('Data - Monthly Metrics'!E:E,'Data - Monthly Metrics'!A:A,$B$4,'Data - Monthly Metrics'!B:B,"Mar",'Data - Monthly Metrics'!C:C,"Snohomish",'Data - Monthly Metrics'!D:D,"Total Target Locations - Restaurant (#)")+SUMIFS('Data - Monthly Metrics'!E:E,'Data - Monthly Metrics'!A:A,$B$4,'Data - Monthly Metrics'!B:B,"Mar",'Data - Monthly Metrics'!C:C,"Snohomish",'Data - Monthly Metrics'!D:D,"Total Target Locations - Lodging (#)")+SUMIFS('Data - Monthly Metrics'!E:E,'Data - Monthly Metrics'!A:A,$B$4,'Data - Monthly Metrics'!B:B,"Mar",'Data - Monthly Metrics'!C:C,"Snohomish",'Data - Monthly Metrics'!D:D,"Non-Target Locations - Restaurant (#)")+SUMIFS('Data - Monthly Metrics'!E:E,'Data - Monthly Metrics'!A:A,$B$4,'Data - Monthly Metrics'!B:B,"Mar",'Data - Monthly Metrics'!C:C,"Snohomish",'Data - Monthly Metrics'!D:D,"Non-Target Locations - Lodging (#)"))=0,"-",(SUMIFS('Data - Monthly Metrics'!E:E,'Data - Monthly Metrics'!A:A,$B$4,'Data - Monthly Metrics'!B:B,"Mar",'Data - Monthly Metrics'!C:C,"Snohomish",'Data - Monthly Metrics'!D:D,"Target Members - Restaurant (#)")+SUMIFS('Data - Monthly Metrics'!E:E,'Data - Monthly Metrics'!A:A,$B$4,'Data - Monthly Metrics'!B:B,"Mar",'Data - Monthly Metrics'!C:C,"Snohomish",'Data - Monthly Metrics'!D:D,"Target Members - Lodging (#)")+SUMIFS('Data - Monthly Metrics'!E:E,'Data - Monthly Metrics'!A:A,$B$4,'Data - Monthly Metrics'!B:B,"Mar",'Data - Monthly Metrics'!C:C,"Snohomish",'Data - Monthly Metrics'!D:D,"Non-Target Members - Restaurant (#)")+SUMIFS('Data - Monthly Metrics'!E:E,'Data - Monthly Metrics'!A:A,$B$4,'Data - Monthly Metrics'!B:B,"Mar",'Data - Monthly Metrics'!C:C,"Snohomish",'Data - Monthly Metrics'!D:D,"Non-Target Members - Lodging (#)"))/(SUMIFS('Data - Monthly Metrics'!E:E,'Data - Monthly Metrics'!A:A,$B$4,'Data - Monthly Metrics'!B:B,"Mar",'Data - Monthly Metrics'!C:C,"Snohomish",'Data - Monthly Metrics'!D:D,"Total Target Locations - Restaurant (#)")+SUMIFS('Data - Monthly Metrics'!E:E,'Data - Monthly Metrics'!A:A,$B$4,'Data - Monthly Metrics'!B:B,"Mar",'Data - Monthly Metrics'!C:C,"Snohomish",'Data - Monthly Metrics'!D:D,"Total Target Locations - Lodging (#)")+SUMIFS('Data - Monthly Metrics'!E:E,'Data - Monthly Metrics'!A:A,$B$4,'Data - Monthly Metrics'!B:B,"Mar",'Data - Monthly Metrics'!C:C,"Snohomish",'Data - Monthly Metrics'!D:D,"Non-Target Locations - Restaurant (#)")+SUMIFS('Data - Monthly Metrics'!E:E,'Data - Monthly Metrics'!A:A,$B$4,'Data - Monthly Metrics'!B:B,"Mar",'Data - Monthly Metrics'!C:C,"Snohomish",'Data - Monthly Metrics'!D:D,"Non-Target Locations - Lodging (#)")))</f>
        <v/>
      </c>
      <c r="I31" s="116">
        <f>IF(ISNUMBER(H31),H31,IF(ISNUMBER(G31),G31,IF(ISNUMBER(F31),F31,"-")))</f>
        <v/>
      </c>
      <c r="J31" s="115">
        <f>IF((SUMIFS('Data - Monthly Metrics'!E:E,'Data - Monthly Metrics'!A:A,$B$4,'Data - Monthly Metrics'!B:B,"Apr",'Data - Monthly Metrics'!C:C,"Snohomish",'Data - Monthly Metrics'!D:D,"Total Target Locations - Restaurant (#)")+SUMIFS('Data - Monthly Metrics'!E:E,'Data - Monthly Metrics'!A:A,$B$4,'Data - Monthly Metrics'!B:B,"Apr",'Data - Monthly Metrics'!C:C,"Snohomish",'Data - Monthly Metrics'!D:D,"Total Target Locations - Lodging (#)")+SUMIFS('Data - Monthly Metrics'!E:E,'Data - Monthly Metrics'!A:A,$B$4,'Data - Monthly Metrics'!B:B,"Apr",'Data - Monthly Metrics'!C:C,"Snohomish",'Data - Monthly Metrics'!D:D,"Non-Target Locations - Restaurant (#)")+SUMIFS('Data - Monthly Metrics'!E:E,'Data - Monthly Metrics'!A:A,$B$4,'Data - Monthly Metrics'!B:B,"Apr",'Data - Monthly Metrics'!C:C,"Snohomish",'Data - Monthly Metrics'!D:D,"Non-Target Locations - Lodging (#)"))=0,"-",(SUMIFS('Data - Monthly Metrics'!E:E,'Data - Monthly Metrics'!A:A,$B$4,'Data - Monthly Metrics'!B:B,"Apr",'Data - Monthly Metrics'!C:C,"Snohomish",'Data - Monthly Metrics'!D:D,"Target Members - Restaurant (#)")+SUMIFS('Data - Monthly Metrics'!E:E,'Data - Monthly Metrics'!A:A,$B$4,'Data - Monthly Metrics'!B:B,"Apr",'Data - Monthly Metrics'!C:C,"Snohomish",'Data - Monthly Metrics'!D:D,"Target Members - Lodging (#)")+SUMIFS('Data - Monthly Metrics'!E:E,'Data - Monthly Metrics'!A:A,$B$4,'Data - Monthly Metrics'!B:B,"Apr",'Data - Monthly Metrics'!C:C,"Snohomish",'Data - Monthly Metrics'!D:D,"Non-Target Members - Restaurant (#)")+SUMIFS('Data - Monthly Metrics'!E:E,'Data - Monthly Metrics'!A:A,$B$4,'Data - Monthly Metrics'!B:B,"Apr",'Data - Monthly Metrics'!C:C,"Snohomish",'Data - Monthly Metrics'!D:D,"Non-Target Members - Lodging (#)"))/(SUMIFS('Data - Monthly Metrics'!E:E,'Data - Monthly Metrics'!A:A,$B$4,'Data - Monthly Metrics'!B:B,"Apr",'Data - Monthly Metrics'!C:C,"Snohomish",'Data - Monthly Metrics'!D:D,"Total Target Locations - Restaurant (#)")+SUMIFS('Data - Monthly Metrics'!E:E,'Data - Monthly Metrics'!A:A,$B$4,'Data - Monthly Metrics'!B:B,"Apr",'Data - Monthly Metrics'!C:C,"Snohomish",'Data - Monthly Metrics'!D:D,"Total Target Locations - Lodging (#)")+SUMIFS('Data - Monthly Metrics'!E:E,'Data - Monthly Metrics'!A:A,$B$4,'Data - Monthly Metrics'!B:B,"Apr",'Data - Monthly Metrics'!C:C,"Snohomish",'Data - Monthly Metrics'!D:D,"Non-Target Locations - Restaurant (#)")+SUMIFS('Data - Monthly Metrics'!E:E,'Data - Monthly Metrics'!A:A,$B$4,'Data - Monthly Metrics'!B:B,"Apr",'Data - Monthly Metrics'!C:C,"Snohomish",'Data - Monthly Metrics'!D:D,"Non-Target Locations - Lodging (#)")))</f>
        <v/>
      </c>
      <c r="K31" s="115">
        <f>IF((SUMIFS('Data - Monthly Metrics'!E:E,'Data - Monthly Metrics'!A:A,$B$4,'Data - Monthly Metrics'!B:B,"May",'Data - Monthly Metrics'!C:C,"Snohomish",'Data - Monthly Metrics'!D:D,"Total Target Locations - Restaurant (#)")+SUMIFS('Data - Monthly Metrics'!E:E,'Data - Monthly Metrics'!A:A,$B$4,'Data - Monthly Metrics'!B:B,"May",'Data - Monthly Metrics'!C:C,"Snohomish",'Data - Monthly Metrics'!D:D,"Total Target Locations - Lodging (#)")+SUMIFS('Data - Monthly Metrics'!E:E,'Data - Monthly Metrics'!A:A,$B$4,'Data - Monthly Metrics'!B:B,"May",'Data - Monthly Metrics'!C:C,"Snohomish",'Data - Monthly Metrics'!D:D,"Non-Target Locations - Restaurant (#)")+SUMIFS('Data - Monthly Metrics'!E:E,'Data - Monthly Metrics'!A:A,$B$4,'Data - Monthly Metrics'!B:B,"May",'Data - Monthly Metrics'!C:C,"Snohomish",'Data - Monthly Metrics'!D:D,"Non-Target Locations - Lodging (#)"))=0,"-",(SUMIFS('Data - Monthly Metrics'!E:E,'Data - Monthly Metrics'!A:A,$B$4,'Data - Monthly Metrics'!B:B,"May",'Data - Monthly Metrics'!C:C,"Snohomish",'Data - Monthly Metrics'!D:D,"Target Members - Restaurant (#)")+SUMIFS('Data - Monthly Metrics'!E:E,'Data - Monthly Metrics'!A:A,$B$4,'Data - Monthly Metrics'!B:B,"May",'Data - Monthly Metrics'!C:C,"Snohomish",'Data - Monthly Metrics'!D:D,"Target Members - Lodging (#)")+SUMIFS('Data - Monthly Metrics'!E:E,'Data - Monthly Metrics'!A:A,$B$4,'Data - Monthly Metrics'!B:B,"May",'Data - Monthly Metrics'!C:C,"Snohomish",'Data - Monthly Metrics'!D:D,"Non-Target Members - Restaurant (#)")+SUMIFS('Data - Monthly Metrics'!E:E,'Data - Monthly Metrics'!A:A,$B$4,'Data - Monthly Metrics'!B:B,"May",'Data - Monthly Metrics'!C:C,"Snohomish",'Data - Monthly Metrics'!D:D,"Non-Target Members - Lodging (#)"))/(SUMIFS('Data - Monthly Metrics'!E:E,'Data - Monthly Metrics'!A:A,$B$4,'Data - Monthly Metrics'!B:B,"May",'Data - Monthly Metrics'!C:C,"Snohomish",'Data - Monthly Metrics'!D:D,"Total Target Locations - Restaurant (#)")+SUMIFS('Data - Monthly Metrics'!E:E,'Data - Monthly Metrics'!A:A,$B$4,'Data - Monthly Metrics'!B:B,"May",'Data - Monthly Metrics'!C:C,"Snohomish",'Data - Monthly Metrics'!D:D,"Total Target Locations - Lodging (#)")+SUMIFS('Data - Monthly Metrics'!E:E,'Data - Monthly Metrics'!A:A,$B$4,'Data - Monthly Metrics'!B:B,"May",'Data - Monthly Metrics'!C:C,"Snohomish",'Data - Monthly Metrics'!D:D,"Non-Target Locations - Restaurant (#)")+SUMIFS('Data - Monthly Metrics'!E:E,'Data - Monthly Metrics'!A:A,$B$4,'Data - Monthly Metrics'!B:B,"May",'Data - Monthly Metrics'!C:C,"Snohomish",'Data - Monthly Metrics'!D:D,"Non-Target Locations - Lodging (#)")))</f>
        <v/>
      </c>
      <c r="L31" s="115">
        <f>IF((SUMIFS('Data - Monthly Metrics'!E:E,'Data - Monthly Metrics'!A:A,$B$4,'Data - Monthly Metrics'!B:B,"Jun",'Data - Monthly Metrics'!C:C,"Snohomish",'Data - Monthly Metrics'!D:D,"Total Target Locations - Restaurant (#)")+SUMIFS('Data - Monthly Metrics'!E:E,'Data - Monthly Metrics'!A:A,$B$4,'Data - Monthly Metrics'!B:B,"Jun",'Data - Monthly Metrics'!C:C,"Snohomish",'Data - Monthly Metrics'!D:D,"Total Target Locations - Lodging (#)")+SUMIFS('Data - Monthly Metrics'!E:E,'Data - Monthly Metrics'!A:A,$B$4,'Data - Monthly Metrics'!B:B,"Jun",'Data - Monthly Metrics'!C:C,"Snohomish",'Data - Monthly Metrics'!D:D,"Non-Target Locations - Restaurant (#)")+SUMIFS('Data - Monthly Metrics'!E:E,'Data - Monthly Metrics'!A:A,$B$4,'Data - Monthly Metrics'!B:B,"Jun",'Data - Monthly Metrics'!C:C,"Snohomish",'Data - Monthly Metrics'!D:D,"Non-Target Locations - Lodging (#)"))=0,"-",(SUMIFS('Data - Monthly Metrics'!E:E,'Data - Monthly Metrics'!A:A,$B$4,'Data - Monthly Metrics'!B:B,"Jun",'Data - Monthly Metrics'!C:C,"Snohomish",'Data - Monthly Metrics'!D:D,"Target Members - Restaurant (#)")+SUMIFS('Data - Monthly Metrics'!E:E,'Data - Monthly Metrics'!A:A,$B$4,'Data - Monthly Metrics'!B:B,"Jun",'Data - Monthly Metrics'!C:C,"Snohomish",'Data - Monthly Metrics'!D:D,"Target Members - Lodging (#)")+SUMIFS('Data - Monthly Metrics'!E:E,'Data - Monthly Metrics'!A:A,$B$4,'Data - Monthly Metrics'!B:B,"Jun",'Data - Monthly Metrics'!C:C,"Snohomish",'Data - Monthly Metrics'!D:D,"Non-Target Members - Restaurant (#)")+SUMIFS('Data - Monthly Metrics'!E:E,'Data - Monthly Metrics'!A:A,$B$4,'Data - Monthly Metrics'!B:B,"Jun",'Data - Monthly Metrics'!C:C,"Snohomish",'Data - Monthly Metrics'!D:D,"Non-Target Members - Lodging (#)"))/(SUMIFS('Data - Monthly Metrics'!E:E,'Data - Monthly Metrics'!A:A,$B$4,'Data - Monthly Metrics'!B:B,"Jun",'Data - Monthly Metrics'!C:C,"Snohomish",'Data - Monthly Metrics'!D:D,"Total Target Locations - Restaurant (#)")+SUMIFS('Data - Monthly Metrics'!E:E,'Data - Monthly Metrics'!A:A,$B$4,'Data - Monthly Metrics'!B:B,"Jun",'Data - Monthly Metrics'!C:C,"Snohomish",'Data - Monthly Metrics'!D:D,"Total Target Locations - Lodging (#)")+SUMIFS('Data - Monthly Metrics'!E:E,'Data - Monthly Metrics'!A:A,$B$4,'Data - Monthly Metrics'!B:B,"Jun",'Data - Monthly Metrics'!C:C,"Snohomish",'Data - Monthly Metrics'!D:D,"Non-Target Locations - Restaurant (#)")+SUMIFS('Data - Monthly Metrics'!E:E,'Data - Monthly Metrics'!A:A,$B$4,'Data - Monthly Metrics'!B:B,"Jun",'Data - Monthly Metrics'!C:C,"Snohomish",'Data - Monthly Metrics'!D:D,"Non-Target Locations - Lodging (#)")))</f>
        <v/>
      </c>
      <c r="M31" s="116">
        <f>IF(ISNUMBER(L31),L31,IF(ISNUMBER(K31),K31,IF(ISNUMBER(J31),J31,"-")))</f>
        <v/>
      </c>
      <c r="N31" s="115">
        <f>IF((SUMIFS('Data - Monthly Metrics'!E:E,'Data - Monthly Metrics'!A:A,$B$4,'Data - Monthly Metrics'!B:B,"Jul",'Data - Monthly Metrics'!C:C,"Snohomish",'Data - Monthly Metrics'!D:D,"Total Target Locations - Restaurant (#)")+SUMIFS('Data - Monthly Metrics'!E:E,'Data - Monthly Metrics'!A:A,$B$4,'Data - Monthly Metrics'!B:B,"Jul",'Data - Monthly Metrics'!C:C,"Snohomish",'Data - Monthly Metrics'!D:D,"Total Target Locations - Lodging (#)")+SUMIFS('Data - Monthly Metrics'!E:E,'Data - Monthly Metrics'!A:A,$B$4,'Data - Monthly Metrics'!B:B,"Jul",'Data - Monthly Metrics'!C:C,"Snohomish",'Data - Monthly Metrics'!D:D,"Non-Target Locations - Restaurant (#)")+SUMIFS('Data - Monthly Metrics'!E:E,'Data - Monthly Metrics'!A:A,$B$4,'Data - Monthly Metrics'!B:B,"Jul",'Data - Monthly Metrics'!C:C,"Snohomish",'Data - Monthly Metrics'!D:D,"Non-Target Locations - Lodging (#)"))=0,"-",(SUMIFS('Data - Monthly Metrics'!E:E,'Data - Monthly Metrics'!A:A,$B$4,'Data - Monthly Metrics'!B:B,"Jul",'Data - Monthly Metrics'!C:C,"Snohomish",'Data - Monthly Metrics'!D:D,"Target Members - Restaurant (#)")+SUMIFS('Data - Monthly Metrics'!E:E,'Data - Monthly Metrics'!A:A,$B$4,'Data - Monthly Metrics'!B:B,"Jul",'Data - Monthly Metrics'!C:C,"Snohomish",'Data - Monthly Metrics'!D:D,"Target Members - Lodging (#)")+SUMIFS('Data - Monthly Metrics'!E:E,'Data - Monthly Metrics'!A:A,$B$4,'Data - Monthly Metrics'!B:B,"Jul",'Data - Monthly Metrics'!C:C,"Snohomish",'Data - Monthly Metrics'!D:D,"Non-Target Members - Restaurant (#)")+SUMIFS('Data - Monthly Metrics'!E:E,'Data - Monthly Metrics'!A:A,$B$4,'Data - Monthly Metrics'!B:B,"Jul",'Data - Monthly Metrics'!C:C,"Snohomish",'Data - Monthly Metrics'!D:D,"Non-Target Members - Lodging (#)"))/(SUMIFS('Data - Monthly Metrics'!E:E,'Data - Monthly Metrics'!A:A,$B$4,'Data - Monthly Metrics'!B:B,"Jul",'Data - Monthly Metrics'!C:C,"Snohomish",'Data - Monthly Metrics'!D:D,"Total Target Locations - Restaurant (#)")+SUMIFS('Data - Monthly Metrics'!E:E,'Data - Monthly Metrics'!A:A,$B$4,'Data - Monthly Metrics'!B:B,"Jul",'Data - Monthly Metrics'!C:C,"Snohomish",'Data - Monthly Metrics'!D:D,"Total Target Locations - Lodging (#)")+SUMIFS('Data - Monthly Metrics'!E:E,'Data - Monthly Metrics'!A:A,$B$4,'Data - Monthly Metrics'!B:B,"Jul",'Data - Monthly Metrics'!C:C,"Snohomish",'Data - Monthly Metrics'!D:D,"Non-Target Locations - Restaurant (#)")+SUMIFS('Data - Monthly Metrics'!E:E,'Data - Monthly Metrics'!A:A,$B$4,'Data - Monthly Metrics'!B:B,"Jul",'Data - Monthly Metrics'!C:C,"Snohomish",'Data - Monthly Metrics'!D:D,"Non-Target Locations - Lodging (#)")))</f>
        <v/>
      </c>
      <c r="O31" s="115">
        <f>IF((SUMIFS('Data - Monthly Metrics'!E:E,'Data - Monthly Metrics'!A:A,$B$4,'Data - Monthly Metrics'!B:B,"Aug",'Data - Monthly Metrics'!C:C,"Snohomish",'Data - Monthly Metrics'!D:D,"Total Target Locations - Restaurant (#)")+SUMIFS('Data - Monthly Metrics'!E:E,'Data - Monthly Metrics'!A:A,$B$4,'Data - Monthly Metrics'!B:B,"Aug",'Data - Monthly Metrics'!C:C,"Snohomish",'Data - Monthly Metrics'!D:D,"Total Target Locations - Lodging (#)")+SUMIFS('Data - Monthly Metrics'!E:E,'Data - Monthly Metrics'!A:A,$B$4,'Data - Monthly Metrics'!B:B,"Aug",'Data - Monthly Metrics'!C:C,"Snohomish",'Data - Monthly Metrics'!D:D,"Non-Target Locations - Restaurant (#)")+SUMIFS('Data - Monthly Metrics'!E:E,'Data - Monthly Metrics'!A:A,$B$4,'Data - Monthly Metrics'!B:B,"Aug",'Data - Monthly Metrics'!C:C,"Snohomish",'Data - Monthly Metrics'!D:D,"Non-Target Locations - Lodging (#)"))=0,"-",(SUMIFS('Data - Monthly Metrics'!E:E,'Data - Monthly Metrics'!A:A,$B$4,'Data - Monthly Metrics'!B:B,"Aug",'Data - Monthly Metrics'!C:C,"Snohomish",'Data - Monthly Metrics'!D:D,"Target Members - Restaurant (#)")+SUMIFS('Data - Monthly Metrics'!E:E,'Data - Monthly Metrics'!A:A,$B$4,'Data - Monthly Metrics'!B:B,"Aug",'Data - Monthly Metrics'!C:C,"Snohomish",'Data - Monthly Metrics'!D:D,"Target Members - Lodging (#)")+SUMIFS('Data - Monthly Metrics'!E:E,'Data - Monthly Metrics'!A:A,$B$4,'Data - Monthly Metrics'!B:B,"Aug",'Data - Monthly Metrics'!C:C,"Snohomish",'Data - Monthly Metrics'!D:D,"Non-Target Members - Restaurant (#)")+SUMIFS('Data - Monthly Metrics'!E:E,'Data - Monthly Metrics'!A:A,$B$4,'Data - Monthly Metrics'!B:B,"Aug",'Data - Monthly Metrics'!C:C,"Snohomish",'Data - Monthly Metrics'!D:D,"Non-Target Members - Lodging (#)"))/(SUMIFS('Data - Monthly Metrics'!E:E,'Data - Monthly Metrics'!A:A,$B$4,'Data - Monthly Metrics'!B:B,"Aug",'Data - Monthly Metrics'!C:C,"Snohomish",'Data - Monthly Metrics'!D:D,"Total Target Locations - Restaurant (#)")+SUMIFS('Data - Monthly Metrics'!E:E,'Data - Monthly Metrics'!A:A,$B$4,'Data - Monthly Metrics'!B:B,"Aug",'Data - Monthly Metrics'!C:C,"Snohomish",'Data - Monthly Metrics'!D:D,"Total Target Locations - Lodging (#)")+SUMIFS('Data - Monthly Metrics'!E:E,'Data - Monthly Metrics'!A:A,$B$4,'Data - Monthly Metrics'!B:B,"Aug",'Data - Monthly Metrics'!C:C,"Snohomish",'Data - Monthly Metrics'!D:D,"Non-Target Locations - Restaurant (#)")+SUMIFS('Data - Monthly Metrics'!E:E,'Data - Monthly Metrics'!A:A,$B$4,'Data - Monthly Metrics'!B:B,"Aug",'Data - Monthly Metrics'!C:C,"Snohomish",'Data - Monthly Metrics'!D:D,"Non-Target Locations - Lodging (#)")))</f>
        <v/>
      </c>
      <c r="P31" s="115">
        <f>IF((SUMIFS('Data - Monthly Metrics'!E:E,'Data - Monthly Metrics'!A:A,$B$4,'Data - Monthly Metrics'!B:B,"Sep",'Data - Monthly Metrics'!C:C,"Snohomish",'Data - Monthly Metrics'!D:D,"Total Target Locations - Restaurant (#)")+SUMIFS('Data - Monthly Metrics'!E:E,'Data - Monthly Metrics'!A:A,$B$4,'Data - Monthly Metrics'!B:B,"Sep",'Data - Monthly Metrics'!C:C,"Snohomish",'Data - Monthly Metrics'!D:D,"Total Target Locations - Lodging (#)")+SUMIFS('Data - Monthly Metrics'!E:E,'Data - Monthly Metrics'!A:A,$B$4,'Data - Monthly Metrics'!B:B,"Sep",'Data - Monthly Metrics'!C:C,"Snohomish",'Data - Monthly Metrics'!D:D,"Non-Target Locations - Restaurant (#)")+SUMIFS('Data - Monthly Metrics'!E:E,'Data - Monthly Metrics'!A:A,$B$4,'Data - Monthly Metrics'!B:B,"Sep",'Data - Monthly Metrics'!C:C,"Snohomish",'Data - Monthly Metrics'!D:D,"Non-Target Locations - Lodging (#)"))=0,"-",(SUMIFS('Data - Monthly Metrics'!E:E,'Data - Monthly Metrics'!A:A,$B$4,'Data - Monthly Metrics'!B:B,"Sep",'Data - Monthly Metrics'!C:C,"Snohomish",'Data - Monthly Metrics'!D:D,"Target Members - Restaurant (#)")+SUMIFS('Data - Monthly Metrics'!E:E,'Data - Monthly Metrics'!A:A,$B$4,'Data - Monthly Metrics'!B:B,"Sep",'Data - Monthly Metrics'!C:C,"Snohomish",'Data - Monthly Metrics'!D:D,"Target Members - Lodging (#)")+SUMIFS('Data - Monthly Metrics'!E:E,'Data - Monthly Metrics'!A:A,$B$4,'Data - Monthly Metrics'!B:B,"Sep",'Data - Monthly Metrics'!C:C,"Snohomish",'Data - Monthly Metrics'!D:D,"Non-Target Members - Restaurant (#)")+SUMIFS('Data - Monthly Metrics'!E:E,'Data - Monthly Metrics'!A:A,$B$4,'Data - Monthly Metrics'!B:B,"Sep",'Data - Monthly Metrics'!C:C,"Snohomish",'Data - Monthly Metrics'!D:D,"Non-Target Members - Lodging (#)"))/(SUMIFS('Data - Monthly Metrics'!E:E,'Data - Monthly Metrics'!A:A,$B$4,'Data - Monthly Metrics'!B:B,"Sep",'Data - Monthly Metrics'!C:C,"Snohomish",'Data - Monthly Metrics'!D:D,"Total Target Locations - Restaurant (#)")+SUMIFS('Data - Monthly Metrics'!E:E,'Data - Monthly Metrics'!A:A,$B$4,'Data - Monthly Metrics'!B:B,"Sep",'Data - Monthly Metrics'!C:C,"Snohomish",'Data - Monthly Metrics'!D:D,"Total Target Locations - Lodging (#)")+SUMIFS('Data - Monthly Metrics'!E:E,'Data - Monthly Metrics'!A:A,$B$4,'Data - Monthly Metrics'!B:B,"Sep",'Data - Monthly Metrics'!C:C,"Snohomish",'Data - Monthly Metrics'!D:D,"Non-Target Locations - Restaurant (#)")+SUMIFS('Data - Monthly Metrics'!E:E,'Data - Monthly Metrics'!A:A,$B$4,'Data - Monthly Metrics'!B:B,"Sep",'Data - Monthly Metrics'!C:C,"Snohomish",'Data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SALES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Metrics'!C:C,"Snohomish",'Data - Monthly Metrics'!D:D,"Goal - New Sales Revenue ($)")=0,"-",SUMIFS('Data - Monthly Metrics'!E:E,'Data - Monthly Metrics'!A:A,$B$4-1,'Data - Monthly Metrics'!B:B,"Oct",'Data - Monthly Metrics'!C:C,"Snohomish",'Data - Monthly Metrics'!D:D,"Goal - New Sales Revenue ($)"))</f>
        <v/>
      </c>
      <c r="C37" s="91">
        <f>IF(COUNTIFS('Data - Monthly Metrics'!A:A,$B$4-1,'Data - Monthly Metrics'!B:B,"Nov",'Data - Monthly Metrics'!C:C,"Snohomish",'Data - Monthly Metrics'!D:D,"Goal - New Sales Revenue ($)")=0,"-",SUMIFS('Data - Monthly Metrics'!E:E,'Data - Monthly Metrics'!A:A,$B$4-1,'Data - Monthly Metrics'!B:B,"Nov",'Data - Monthly Metrics'!C:C,"Snohomish",'Data - Monthly Metrics'!D:D,"Goal - New Sales Revenue ($)"))</f>
        <v/>
      </c>
      <c r="D37" s="91">
        <f>IF(COUNTIFS('Data - Monthly Metrics'!A:A,$B$4-1,'Data - Monthly Metrics'!B:B,"Dec",'Data - Monthly Metrics'!C:C,"Snohomish",'Data - Monthly Metrics'!D:D,"Goal - New Sales Revenue ($)")=0,"-",SUMIFS('Data - Monthly Metrics'!E:E,'Data - Monthly Metrics'!A:A,$B$4-1,'Data - Monthly Metrics'!B:B,"Dec",'Data - Monthly Metrics'!C:C,"Snohomish",'Data - Monthly Metrics'!D:D,"Goal - New Sales Revenue ($)"))</f>
        <v/>
      </c>
      <c r="E37" s="101">
        <f>SUM(B37,C37,D37)</f>
        <v/>
      </c>
      <c r="F37" s="91">
        <f>IF(COUNTIFS('Data - Monthly Metrics'!A:A,$B$4,'Data - Monthly Metrics'!B:B,"Jan",'Data - Monthly Metrics'!C:C,"Snohomish",'Data - Monthly Metrics'!D:D,"Goal - New Sales Revenue ($)")=0,"-",SUMIFS('Data - Monthly Metrics'!E:E,'Data - Monthly Metrics'!A:A,$B$4,'Data - Monthly Metrics'!B:B,"Jan",'Data - Monthly Metrics'!C:C,"Snohomish",'Data - Monthly Metrics'!D:D,"Goal - New Sales Revenue ($)"))</f>
        <v/>
      </c>
      <c r="G37" s="91">
        <f>IF(COUNTIFS('Data - Monthly Metrics'!A:A,$B$4,'Data - Monthly Metrics'!B:B,"Feb",'Data - Monthly Metrics'!C:C,"Snohomish",'Data - Monthly Metrics'!D:D,"Goal - New Sales Revenue ($)")=0,"-",SUMIFS('Data - Monthly Metrics'!E:E,'Data - Monthly Metrics'!A:A,$B$4,'Data - Monthly Metrics'!B:B,"Feb",'Data - Monthly Metrics'!C:C,"Snohomish",'Data - Monthly Metrics'!D:D,"Goal - New Sales Revenue ($)"))</f>
        <v/>
      </c>
      <c r="H37" s="91">
        <f>IF(COUNTIFS('Data - Monthly Metrics'!A:A,$B$4,'Data - Monthly Metrics'!B:B,"Mar",'Data - Monthly Metrics'!C:C,"Snohomish",'Data - Monthly Metrics'!D:D,"Goal - New Sales Revenue ($)")=0,"-",SUMIFS('Data - Monthly Metrics'!E:E,'Data - Monthly Metrics'!A:A,$B$4,'Data - Monthly Metrics'!B:B,"Mar",'Data - Monthly Metrics'!C:C,"Snohomish",'Data - Monthly Metrics'!D:D,"Goal - New Sales Revenue ($)"))</f>
        <v/>
      </c>
      <c r="I37" s="101">
        <f>SUM(F37,G37,H37)</f>
        <v/>
      </c>
      <c r="J37" s="91">
        <f>IF(COUNTIFS('Data - Monthly Metrics'!A:A,$B$4,'Data - Monthly Metrics'!B:B,"Apr",'Data - Monthly Metrics'!C:C,"Snohomish",'Data - Monthly Metrics'!D:D,"Goal - New Sales Revenue ($)")=0,"-",SUMIFS('Data - Monthly Metrics'!E:E,'Data - Monthly Metrics'!A:A,$B$4,'Data - Monthly Metrics'!B:B,"Apr",'Data - Monthly Metrics'!C:C,"Snohomish",'Data - Monthly Metrics'!D:D,"Goal - New Sales Revenue ($)"))</f>
        <v/>
      </c>
      <c r="K37" s="91">
        <f>IF(COUNTIFS('Data - Monthly Metrics'!A:A,$B$4,'Data - Monthly Metrics'!B:B,"May",'Data - Monthly Metrics'!C:C,"Snohomish",'Data - Monthly Metrics'!D:D,"Goal - New Sales Revenue ($)")=0,"-",SUMIFS('Data - Monthly Metrics'!E:E,'Data - Monthly Metrics'!A:A,$B$4,'Data - Monthly Metrics'!B:B,"May",'Data - Monthly Metrics'!C:C,"Snohomish",'Data - Monthly Metrics'!D:D,"Goal - New Sales Revenue ($)"))</f>
        <v/>
      </c>
      <c r="L37" s="91">
        <f>IF(COUNTIFS('Data - Monthly Metrics'!A:A,$B$4,'Data - Monthly Metrics'!B:B,"Jun",'Data - Monthly Metrics'!C:C,"Snohomish",'Data - Monthly Metrics'!D:D,"Goal - New Sales Revenue ($)")=0,"-",SUMIFS('Data - Monthly Metrics'!E:E,'Data - Monthly Metrics'!A:A,$B$4,'Data - Monthly Metrics'!B:B,"Jun",'Data - Monthly Metrics'!C:C,"Snohomish",'Data - Monthly Metrics'!D:D,"Goal - New Sales Revenue ($)"))</f>
        <v/>
      </c>
      <c r="M37" s="101">
        <f>SUM(J37,K37,L37)</f>
        <v/>
      </c>
      <c r="N37" s="91">
        <f>IF(COUNTIFS('Data - Monthly Metrics'!A:A,$B$4,'Data - Monthly Metrics'!B:B,"Jul",'Data - Monthly Metrics'!C:C,"Snohomish",'Data - Monthly Metrics'!D:D,"Goal - New Sales Revenue ($)")=0,"-",SUMIFS('Data - Monthly Metrics'!E:E,'Data - Monthly Metrics'!A:A,$B$4,'Data - Monthly Metrics'!B:B,"Jul",'Data - Monthly Metrics'!C:C,"Snohomish",'Data - Monthly Metrics'!D:D,"Goal - New Sales Revenue ($)"))</f>
        <v/>
      </c>
      <c r="O37" s="91">
        <f>IF(COUNTIFS('Data - Monthly Metrics'!A:A,$B$4,'Data - Monthly Metrics'!B:B,"Aug",'Data - Monthly Metrics'!C:C,"Snohomish",'Data - Monthly Metrics'!D:D,"Goal - New Sales Revenue ($)")=0,"-",SUMIFS('Data - Monthly Metrics'!E:E,'Data - Monthly Metrics'!A:A,$B$4,'Data - Monthly Metrics'!B:B,"Aug",'Data - Monthly Metrics'!C:C,"Snohomish",'Data - Monthly Metrics'!D:D,"Goal - New Sales Revenue ($)"))</f>
        <v/>
      </c>
      <c r="P37" s="91">
        <f>IF(COUNTIFS('Data - Monthly Metrics'!A:A,$B$4,'Data - Monthly Metrics'!B:B,"Sep",'Data - Monthly Metrics'!C:C,"Snohomish",'Data - Monthly Metrics'!D:D,"Goal - New Sales Revenue ($)")=0,"-",SUMIFS('Data - Monthly Metrics'!E:E,'Data - Monthly Metrics'!A:A,$B$4,'Data - Monthly Metrics'!B:B,"Sep",'Data - Monthly Metrics'!C:C,"Snohomish",'Data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Metrics'!C:C,"Snohomish",'Data - Monthly Metrics'!D:D,"New Sales Revenue - Target ($)")=0,"-",SUMIFS('Data - Monthly Metrics'!E:E,'Data - Monthly Metrics'!A:A,$B$4-1,'Data - Monthly Metrics'!B:B,"Oct",'Data - Monthly Metrics'!C:C,"Snohomish",'Data - Monthly Metrics'!D:D,"New Sales Revenue - Target ($)"))</f>
        <v/>
      </c>
      <c r="C38" s="96">
        <f>IF(COUNTIFS('Data - Monthly Metrics'!A:A,$B$4-1,'Data - Monthly Metrics'!B:B,"Nov",'Data - Monthly Metrics'!C:C,"Snohomish",'Data - Monthly Metrics'!D:D,"New Sales Revenue - Target ($)")=0,"-",SUMIFS('Data - Monthly Metrics'!E:E,'Data - Monthly Metrics'!A:A,$B$4-1,'Data - Monthly Metrics'!B:B,"Nov",'Data - Monthly Metrics'!C:C,"Snohomish",'Data - Monthly Metrics'!D:D,"New Sales Revenue - Target ($)"))</f>
        <v/>
      </c>
      <c r="D38" s="96">
        <f>IF(COUNTIFS('Data - Monthly Metrics'!A:A,$B$4-1,'Data - Monthly Metrics'!B:B,"Dec",'Data - Monthly Metrics'!C:C,"Snohomish",'Data - Monthly Metrics'!D:D,"New Sales Revenue - Target ($)")=0,"-",SUMIFS('Data - Monthly Metrics'!E:E,'Data - Monthly Metrics'!A:A,$B$4-1,'Data - Monthly Metrics'!B:B,"Dec",'Data - Monthly Metrics'!C:C,"Snohomish",'Data - Monthly Metrics'!D:D,"New Sales Revenue - Target ($)"))</f>
        <v/>
      </c>
      <c r="E38" s="101">
        <f>SUM(B38,C38,D38)</f>
        <v/>
      </c>
      <c r="F38" s="96">
        <f>IF(COUNTIFS('Data - Monthly Metrics'!A:A,$B$4,'Data - Monthly Metrics'!B:B,"Jan",'Data - Monthly Metrics'!C:C,"Snohomish",'Data - Monthly Metrics'!D:D,"New Sales Revenue - Target ($)")=0,"-",SUMIFS('Data - Monthly Metrics'!E:E,'Data - Monthly Metrics'!A:A,$B$4,'Data - Monthly Metrics'!B:B,"Jan",'Data - Monthly Metrics'!C:C,"Snohomish",'Data - Monthly Metrics'!D:D,"New Sales Revenue - Target ($)"))</f>
        <v/>
      </c>
      <c r="G38" s="96">
        <f>IF(COUNTIFS('Data - Monthly Metrics'!A:A,$B$4,'Data - Monthly Metrics'!B:B,"Feb",'Data - Monthly Metrics'!C:C,"Snohomish",'Data - Monthly Metrics'!D:D,"New Sales Revenue - Target ($)")=0,"-",SUMIFS('Data - Monthly Metrics'!E:E,'Data - Monthly Metrics'!A:A,$B$4,'Data - Monthly Metrics'!B:B,"Feb",'Data - Monthly Metrics'!C:C,"Snohomish",'Data - Monthly Metrics'!D:D,"New Sales Revenue - Target ($)"))</f>
        <v/>
      </c>
      <c r="H38" s="96">
        <f>IF(COUNTIFS('Data - Monthly Metrics'!A:A,$B$4,'Data - Monthly Metrics'!B:B,"Mar",'Data - Monthly Metrics'!C:C,"Snohomish",'Data - Monthly Metrics'!D:D,"New Sales Revenue - Target ($)")=0,"-",SUMIFS('Data - Monthly Metrics'!E:E,'Data - Monthly Metrics'!A:A,$B$4,'Data - Monthly Metrics'!B:B,"Mar",'Data - Monthly Metrics'!C:C,"Snohomish",'Data - Monthly Metrics'!D:D,"New Sales Revenue - Target ($)"))</f>
        <v/>
      </c>
      <c r="I38" s="101">
        <f>SUM(F38,G38,H38)</f>
        <v/>
      </c>
      <c r="J38" s="96">
        <f>IF(COUNTIFS('Data - Monthly Metrics'!A:A,$B$4,'Data - Monthly Metrics'!B:B,"Apr",'Data - Monthly Metrics'!C:C,"Snohomish",'Data - Monthly Metrics'!D:D,"New Sales Revenue - Target ($)")=0,"-",SUMIFS('Data - Monthly Metrics'!E:E,'Data - Monthly Metrics'!A:A,$B$4,'Data - Monthly Metrics'!B:B,"Apr",'Data - Monthly Metrics'!C:C,"Snohomish",'Data - Monthly Metrics'!D:D,"New Sales Revenue - Target ($)"))</f>
        <v/>
      </c>
      <c r="K38" s="96">
        <f>IF(COUNTIFS('Data - Monthly Metrics'!A:A,$B$4,'Data - Monthly Metrics'!B:B,"May",'Data - Monthly Metrics'!C:C,"Snohomish",'Data - Monthly Metrics'!D:D,"New Sales Revenue - Target ($)")=0,"-",SUMIFS('Data - Monthly Metrics'!E:E,'Data - Monthly Metrics'!A:A,$B$4,'Data - Monthly Metrics'!B:B,"May",'Data - Monthly Metrics'!C:C,"Snohomish",'Data - Monthly Metrics'!D:D,"New Sales Revenue - Target ($)"))</f>
        <v/>
      </c>
      <c r="L38" s="96">
        <f>IF(COUNTIFS('Data - Monthly Metrics'!A:A,$B$4,'Data - Monthly Metrics'!B:B,"Jun",'Data - Monthly Metrics'!C:C,"Snohomish",'Data - Monthly Metrics'!D:D,"New Sales Revenue - Target ($)")=0,"-",SUMIFS('Data - Monthly Metrics'!E:E,'Data - Monthly Metrics'!A:A,$B$4,'Data - Monthly Metrics'!B:B,"Jun",'Data - Monthly Metrics'!C:C,"Snohomish",'Data - Monthly Metrics'!D:D,"New Sales Revenue - Target ($)"))</f>
        <v/>
      </c>
      <c r="M38" s="101">
        <f>SUM(J38,K38,L38)</f>
        <v/>
      </c>
      <c r="N38" s="96">
        <f>IF(COUNTIFS('Data - Monthly Metrics'!A:A,$B$4,'Data - Monthly Metrics'!B:B,"Jul",'Data - Monthly Metrics'!C:C,"Snohomish",'Data - Monthly Metrics'!D:D,"New Sales Revenue - Target ($)")=0,"-",SUMIFS('Data - Monthly Metrics'!E:E,'Data - Monthly Metrics'!A:A,$B$4,'Data - Monthly Metrics'!B:B,"Jul",'Data - Monthly Metrics'!C:C,"Snohomish",'Data - Monthly Metrics'!D:D,"New Sales Revenue - Target ($)"))</f>
        <v/>
      </c>
      <c r="O38" s="96">
        <f>IF(COUNTIFS('Data - Monthly Metrics'!A:A,$B$4,'Data - Monthly Metrics'!B:B,"Aug",'Data - Monthly Metrics'!C:C,"Snohomish",'Data - Monthly Metrics'!D:D,"New Sales Revenue - Target ($)")=0,"-",SUMIFS('Data - Monthly Metrics'!E:E,'Data - Monthly Metrics'!A:A,$B$4,'Data - Monthly Metrics'!B:B,"Aug",'Data - Monthly Metrics'!C:C,"Snohomish",'Data - Monthly Metrics'!D:D,"New Sales Revenue - Target ($)"))</f>
        <v/>
      </c>
      <c r="P38" s="96">
        <f>IF(COUNTIFS('Data - Monthly Metrics'!A:A,$B$4,'Data - Monthly Metrics'!B:B,"Sep",'Data - Monthly Metrics'!C:C,"Snohomish",'Data - Monthly Metrics'!D:D,"New Sales Revenue - Target ($)")=0,"-",SUMIFS('Data - Monthly Metrics'!E:E,'Data - Monthly Metrics'!A:A,$B$4,'Data - Monthly Metrics'!B:B,"Sep",'Data - Monthly Metrics'!C:C,"Snohomish",'Data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Metrics'!C:C,"Snohomish",'Data - Monthly Metrics'!D:D,"Goal - New Members (#)")=0,"-",SUMIFS('Data - Monthly Metrics'!E:E,'Data - Monthly Metrics'!A:A,$B$4-1,'Data - Monthly Metrics'!B:B,"Oct",'Data - Monthly Metrics'!C:C,"Snohomish",'Data - Monthly Metrics'!D:D,"Goal - New Members (#)"))</f>
        <v/>
      </c>
      <c r="C41" s="93">
        <f>IF(COUNTIFS('Data - Monthly Metrics'!A:A,$B$4-1,'Data - Monthly Metrics'!B:B,"Nov",'Data - Monthly Metrics'!C:C,"Snohomish",'Data - Monthly Metrics'!D:D,"Goal - New Members (#)")=0,"-",SUMIFS('Data - Monthly Metrics'!E:E,'Data - Monthly Metrics'!A:A,$B$4-1,'Data - Monthly Metrics'!B:B,"Nov",'Data - Monthly Metrics'!C:C,"Snohomish",'Data - Monthly Metrics'!D:D,"Goal - New Members (#)"))</f>
        <v/>
      </c>
      <c r="D41" s="93">
        <f>IF(COUNTIFS('Data - Monthly Metrics'!A:A,$B$4-1,'Data - Monthly Metrics'!B:B,"Dec",'Data - Monthly Metrics'!C:C,"Snohomish",'Data - Monthly Metrics'!D:D,"Goal - New Members (#)")=0,"-",SUMIFS('Data - Monthly Metrics'!E:E,'Data - Monthly Metrics'!A:A,$B$4-1,'Data - Monthly Metrics'!B:B,"Dec",'Data - Monthly Metrics'!C:C,"Snohomish",'Data - Monthly Metrics'!D:D,"Goal - New Members (#)"))</f>
        <v/>
      </c>
      <c r="E41" s="103">
        <f>SUM(B41,C41,D41)</f>
        <v/>
      </c>
      <c r="F41" s="122">
        <f>IF(COUNTIFS('Data - Monthly Metrics'!A:A,$B$4,'Data - Monthly Metrics'!B:B,"Jan",'Data - Monthly Metrics'!C:C,"Snohomish",'Data - Monthly Metrics'!D:D,"Goal - New Members (#)")=0,"-",SUMIFS('Data - Monthly Metrics'!E:E,'Data - Monthly Metrics'!A:A,$B$4,'Data - Monthly Metrics'!B:B,"Jan",'Data - Monthly Metrics'!C:C,"Snohomish",'Data - Monthly Metrics'!D:D,"Goal - New Members (#)"))</f>
        <v/>
      </c>
      <c r="G41" s="122">
        <f>IF(COUNTIFS('Data - Monthly Metrics'!A:A,$B$4,'Data - Monthly Metrics'!B:B,"Feb",'Data - Monthly Metrics'!C:C,"Snohomish",'Data - Monthly Metrics'!D:D,"Goal - New Members (#)")=0,"-",SUMIFS('Data - Monthly Metrics'!E:E,'Data - Monthly Metrics'!A:A,$B$4,'Data - Monthly Metrics'!B:B,"Feb",'Data - Monthly Metrics'!C:C,"Snohomish",'Data - Monthly Metrics'!D:D,"Goal - New Members (#)"))</f>
        <v/>
      </c>
      <c r="H41" s="122">
        <f>IF(COUNTIFS('Data - Monthly Metrics'!A:A,$B$4,'Data - Monthly Metrics'!B:B,"Mar",'Data - Monthly Metrics'!C:C,"Snohomish",'Data - Monthly Metrics'!D:D,"Goal - New Members (#)")=0,"-",SUMIFS('Data - Monthly Metrics'!E:E,'Data - Monthly Metrics'!A:A,$B$4,'Data - Monthly Metrics'!B:B,"Mar",'Data - Monthly Metrics'!C:C,"Snohomish",'Data - Monthly Metrics'!D:D,"Goal - New Members (#)"))</f>
        <v/>
      </c>
      <c r="I41" s="103">
        <f>SUM(F41,G41,H41)</f>
        <v/>
      </c>
      <c r="J41" s="93">
        <f>IF(COUNTIFS('Data - Monthly Metrics'!A:A,$B$4,'Data - Monthly Metrics'!B:B,"Apr",'Data - Monthly Metrics'!C:C,"Snohomish",'Data - Monthly Metrics'!D:D,"Goal - New Members (#)")=0,"-",SUMIFS('Data - Monthly Metrics'!E:E,'Data - Monthly Metrics'!A:A,$B$4,'Data - Monthly Metrics'!B:B,"Apr",'Data - Monthly Metrics'!C:C,"Snohomish",'Data - Monthly Metrics'!D:D,"Goal - New Members (#)"))</f>
        <v/>
      </c>
      <c r="K41" s="93">
        <f>IF(COUNTIFS('Data - Monthly Metrics'!A:A,$B$4,'Data - Monthly Metrics'!B:B,"May",'Data - Monthly Metrics'!C:C,"Snohomish",'Data - Monthly Metrics'!D:D,"Goal - New Members (#)")=0,"-",SUMIFS('Data - Monthly Metrics'!E:E,'Data - Monthly Metrics'!A:A,$B$4,'Data - Monthly Metrics'!B:B,"May",'Data - Monthly Metrics'!C:C,"Snohomish",'Data - Monthly Metrics'!D:D,"Goal - New Members (#)"))</f>
        <v/>
      </c>
      <c r="L41" s="93">
        <f>IF(COUNTIFS('Data - Monthly Metrics'!A:A,$B$4,'Data - Monthly Metrics'!B:B,"Jun",'Data - Monthly Metrics'!C:C,"Snohomish",'Data - Monthly Metrics'!D:D,"Goal - New Members (#)")=0,"-",SUMIFS('Data - Monthly Metrics'!E:E,'Data - Monthly Metrics'!A:A,$B$4,'Data - Monthly Metrics'!B:B,"Jun",'Data - Monthly Metrics'!C:C,"Snohomish",'Data - Monthly Metrics'!D:D,"Goal - New Members (#)"))</f>
        <v/>
      </c>
      <c r="M41" s="103">
        <f>SUM(J41,K41,L41)</f>
        <v/>
      </c>
      <c r="N41" s="93">
        <f>IF(COUNTIFS('Data - Monthly Metrics'!A:A,$B$4,'Data - Monthly Metrics'!B:B,"Jul",'Data - Monthly Metrics'!C:C,"Snohomish",'Data - Monthly Metrics'!D:D,"Goal - New Members (#)")=0,"-",SUMIFS('Data - Monthly Metrics'!E:E,'Data - Monthly Metrics'!A:A,$B$4,'Data - Monthly Metrics'!B:B,"Jul",'Data - Monthly Metrics'!C:C,"Snohomish",'Data - Monthly Metrics'!D:D,"Goal - New Members (#)"))</f>
        <v/>
      </c>
      <c r="O41" s="93">
        <f>IF(COUNTIFS('Data - Monthly Metrics'!A:A,$B$4,'Data - Monthly Metrics'!B:B,"Aug",'Data - Monthly Metrics'!C:C,"Snohomish",'Data - Monthly Metrics'!D:D,"Goal - New Members (#)")=0,"-",SUMIFS('Data - Monthly Metrics'!E:E,'Data - Monthly Metrics'!A:A,$B$4,'Data - Monthly Metrics'!B:B,"Aug",'Data - Monthly Metrics'!C:C,"Snohomish",'Data - Monthly Metrics'!D:D,"Goal - New Members (#)"))</f>
        <v/>
      </c>
      <c r="P41" s="93">
        <f>IF(COUNTIFS('Data - Monthly Metrics'!A:A,$B$4,'Data - Monthly Metrics'!B:B,"Sep",'Data - Monthly Metrics'!C:C,"Snohomish",'Data - Monthly Metrics'!D:D,"Goal - New Members (#)")=0,"-",SUMIFS('Data - Monthly Metrics'!E:E,'Data - Monthly Metrics'!A:A,$B$4,'Data - Monthly Metrics'!B:B,"Sep",'Data - Monthly Metrics'!C:C,"Snohomish",'Data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Metrics'!C:C,"Snohomish",'Data - Monthly Metrics'!D:D,"New Members - Target (#)")=0,"-",SUMIFS('Data - Monthly Metrics'!E:E,'Data - Monthly Metrics'!A:A,$B$4-1,'Data - Monthly Metrics'!B:B,"Oct",'Data - Monthly Metrics'!C:C,"Snohomish",'Data - Monthly Metrics'!D:D,"New Members - Target (#)"))</f>
        <v/>
      </c>
      <c r="C42" s="98">
        <f>IF(COUNTIFS('Data - Monthly Metrics'!A:A,$B$4-1,'Data - Monthly Metrics'!B:B,"Nov",'Data - Monthly Metrics'!C:C,"Snohomish",'Data - Monthly Metrics'!D:D,"New Members - Target (#)")=0,"-",SUMIFS('Data - Monthly Metrics'!E:E,'Data - Monthly Metrics'!A:A,$B$4-1,'Data - Monthly Metrics'!B:B,"Nov",'Data - Monthly Metrics'!C:C,"Snohomish",'Data - Monthly Metrics'!D:D,"New Members - Target (#)"))</f>
        <v/>
      </c>
      <c r="D42" s="98">
        <f>IF(COUNTIFS('Data - Monthly Metrics'!A:A,$B$4-1,'Data - Monthly Metrics'!B:B,"Dec",'Data - Monthly Metrics'!C:C,"Snohomish",'Data - Monthly Metrics'!D:D,"New Members - Target (#)")=0,"-",SUMIFS('Data - Monthly Metrics'!E:E,'Data - Monthly Metrics'!A:A,$B$4-1,'Data - Monthly Metrics'!B:B,"Dec",'Data - Monthly Metrics'!C:C,"Snohomish",'Data - Monthly Metrics'!D:D,"New Members - Target (#)"))</f>
        <v/>
      </c>
      <c r="E42" s="103">
        <f>SUM(B42,C42,D42)</f>
        <v/>
      </c>
      <c r="F42" s="123">
        <f>IF(COUNTIFS('Data - Monthly Metrics'!A:A,$B$4,'Data - Monthly Metrics'!B:B,"Jan",'Data - Monthly Metrics'!C:C,"Snohomish",'Data - Monthly Metrics'!D:D,"New Members - Target (#)")=0,"-",SUMIFS('Data - Monthly Metrics'!E:E,'Data - Monthly Metrics'!A:A,$B$4,'Data - Monthly Metrics'!B:B,"Jan",'Data - Monthly Metrics'!C:C,"Snohomish",'Data - Monthly Metrics'!D:D,"New Members - Target (#)"))</f>
        <v/>
      </c>
      <c r="G42" s="123">
        <f>IF(COUNTIFS('Data - Monthly Metrics'!A:A,$B$4,'Data - Monthly Metrics'!B:B,"Feb",'Data - Monthly Metrics'!C:C,"Snohomish",'Data - Monthly Metrics'!D:D,"New Members - Target (#)")=0,"-",SUMIFS('Data - Monthly Metrics'!E:E,'Data - Monthly Metrics'!A:A,$B$4,'Data - Monthly Metrics'!B:B,"Feb",'Data - Monthly Metrics'!C:C,"Snohomish",'Data - Monthly Metrics'!D:D,"New Members - Target (#)"))</f>
        <v/>
      </c>
      <c r="H42" s="123">
        <f>IF(COUNTIFS('Data - Monthly Metrics'!A:A,$B$4,'Data - Monthly Metrics'!B:B,"Mar",'Data - Monthly Metrics'!C:C,"Snohomish",'Data - Monthly Metrics'!D:D,"New Members - Target (#)")=0,"-",SUMIFS('Data - Monthly Metrics'!E:E,'Data - Monthly Metrics'!A:A,$B$4,'Data - Monthly Metrics'!B:B,"Mar",'Data - Monthly Metrics'!C:C,"Snohomish",'Data - Monthly Metrics'!D:D,"New Members - Target (#)"))</f>
        <v/>
      </c>
      <c r="I42" s="124">
        <f>SUM(F42,G42,H42)</f>
        <v/>
      </c>
      <c r="J42" s="98">
        <f>IF(COUNTIFS('Data - Monthly Metrics'!A:A,$B$4,'Data - Monthly Metrics'!B:B,"Apr",'Data - Monthly Metrics'!C:C,"Snohomish",'Data - Monthly Metrics'!D:D,"New Members - Target (#)")=0,"-",SUMIFS('Data - Monthly Metrics'!E:E,'Data - Monthly Metrics'!A:A,$B$4,'Data - Monthly Metrics'!B:B,"Apr",'Data - Monthly Metrics'!C:C,"Snohomish",'Data - Monthly Metrics'!D:D,"New Members - Target (#)"))</f>
        <v/>
      </c>
      <c r="K42" s="98">
        <f>IF(COUNTIFS('Data - Monthly Metrics'!A:A,$B$4,'Data - Monthly Metrics'!B:B,"May",'Data - Monthly Metrics'!C:C,"Snohomish",'Data - Monthly Metrics'!D:D,"New Members - Target (#)")=0,"-",SUMIFS('Data - Monthly Metrics'!E:E,'Data - Monthly Metrics'!A:A,$B$4,'Data - Monthly Metrics'!B:B,"May",'Data - Monthly Metrics'!C:C,"Snohomish",'Data - Monthly Metrics'!D:D,"New Members - Target (#)"))</f>
        <v/>
      </c>
      <c r="L42" s="98">
        <f>IF(COUNTIFS('Data - Monthly Metrics'!A:A,$B$4,'Data - Monthly Metrics'!B:B,"Jun",'Data - Monthly Metrics'!C:C,"Snohomish",'Data - Monthly Metrics'!D:D,"New Members - Target (#)")=0,"-",SUMIFS('Data - Monthly Metrics'!E:E,'Data - Monthly Metrics'!A:A,$B$4,'Data - Monthly Metrics'!B:B,"Jun",'Data - Monthly Metrics'!C:C,"Snohomish",'Data - Monthly Metrics'!D:D,"New Members - Target (#)"))</f>
        <v/>
      </c>
      <c r="M42" s="103">
        <f>SUM(J42,K42,L42)</f>
        <v/>
      </c>
      <c r="N42" s="98">
        <f>IF(COUNTIFS('Data - Monthly Metrics'!A:A,$B$4,'Data - Monthly Metrics'!B:B,"Jul",'Data - Monthly Metrics'!C:C,"Snohomish",'Data - Monthly Metrics'!D:D,"New Members - Target (#)")=0,"-",SUMIFS('Data - Monthly Metrics'!E:E,'Data - Monthly Metrics'!A:A,$B$4,'Data - Monthly Metrics'!B:B,"Jul",'Data - Monthly Metrics'!C:C,"Snohomish",'Data - Monthly Metrics'!D:D,"New Members - Target (#)"))</f>
        <v/>
      </c>
      <c r="O42" s="98">
        <f>IF(COUNTIFS('Data - Monthly Metrics'!A:A,$B$4,'Data - Monthly Metrics'!B:B,"Aug",'Data - Monthly Metrics'!C:C,"Snohomish",'Data - Monthly Metrics'!D:D,"New Members - Target (#)")=0,"-",SUMIFS('Data - Monthly Metrics'!E:E,'Data - Monthly Metrics'!A:A,$B$4,'Data - Monthly Metrics'!B:B,"Aug",'Data - Monthly Metrics'!C:C,"Snohomish",'Data - Monthly Metrics'!D:D,"New Members - Target (#)"))</f>
        <v/>
      </c>
      <c r="P42" s="98">
        <f>IF(COUNTIFS('Data - Monthly Metrics'!A:A,$B$4,'Data - Monthly Metrics'!B:B,"Sep",'Data - Monthly Metrics'!C:C,"Snohomish",'Data - Monthly Metrics'!D:D,"New Members - Target (#)")=0,"-",SUMIFS('Data - Monthly Metrics'!E:E,'Data - Monthly Metrics'!A:A,$B$4,'Data - Monthly Metrics'!B:B,"Sep",'Data - Monthly Metrics'!C:C,"Snohomish",'Data - Monthly Metrics'!D:D,"New Members - Target (#)"))</f>
        <v/>
      </c>
      <c r="Q42" s="103">
        <f>SUM(N42,O42,P42)</f>
        <v/>
      </c>
      <c r="R42" s="103">
        <f>E42+I42+M42+Q42</f>
        <v/>
      </c>
    </row>
    <row r="43" ht="14.25" customHeight="1" s="82">
      <c r="A43" s="125" t="inlineStr">
        <is>
          <t>% to Member Goal</t>
        </is>
      </c>
      <c r="B43" s="115">
        <f>IF(OR(NOT(ISNUMBER(B41)),B41=0),"-",B42/B41)</f>
        <v/>
      </c>
      <c r="C43" s="115">
        <f>IF(OR(NOT(ISNUMBER(C41)),C41=0),"-",C42/C41)</f>
        <v/>
      </c>
      <c r="D43" s="115">
        <f>IF(OR(NOT(ISNUMBER(D41)),D41=0),"-",D42/D41)</f>
        <v/>
      </c>
      <c r="E43" s="116">
        <f>IF(OR(NOT(ISNUMBER(E41)),E41=0),"-",E42/E41)</f>
        <v/>
      </c>
      <c r="F43" s="115">
        <f>IF(OR(NOT(ISNUMBER(F41)),F41=0),"-",F42/F41)</f>
        <v/>
      </c>
      <c r="G43" s="115">
        <f>IF(OR(NOT(ISNUMBER(G41)),G41=0),"-",G42/G41)</f>
        <v/>
      </c>
      <c r="H43" s="115">
        <f>IF(OR(NOT(ISNUMBER(H41)),H41=0),"-",H42/H41)</f>
        <v/>
      </c>
      <c r="I43" s="116">
        <f>IF(OR(NOT(ISNUMBER(I41)),I41=0),"-",I42/I41)</f>
        <v/>
      </c>
      <c r="J43" s="115">
        <f>IF(OR(NOT(ISNUMBER(J41)),J41=0),"-",J42/J41)</f>
        <v/>
      </c>
      <c r="K43" s="115">
        <f>IF(OR(NOT(ISNUMBER(K41)),K41=0),"-",K42/K41)</f>
        <v/>
      </c>
      <c r="L43" s="115">
        <f>IF(OR(NOT(ISNUMBER(L41)),L41=0),"-",L42/L41)</f>
        <v/>
      </c>
      <c r="M43" s="116">
        <f>IF(OR(NOT(ISNUMBER(M41)),M41=0),"-",M42/M41)</f>
        <v/>
      </c>
      <c r="N43" s="115">
        <f>IF(OR(NOT(ISNUMBER(N41)),N41=0),"-",N42/N41)</f>
        <v/>
      </c>
      <c r="O43" s="115">
        <f>IF(OR(NOT(ISNUMBER(O41)),O41=0),"-",O42/O41)</f>
        <v/>
      </c>
      <c r="P43" s="115">
        <f>IF(OR(NOT(ISNUMBER(P41)),P41=0),"-",P42/P41)</f>
        <v/>
      </c>
      <c r="Q43" s="116">
        <f>IF(OR(NOT(ISNUMBER(Q41)),Q41=0),"-",Q42/Q41)</f>
        <v/>
      </c>
      <c r="R43" s="116">
        <f>IF(OR(NOT(ISNUMBER(R41)),R41=0),"-",R42/R41)</f>
        <v/>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idden="1" ht="21.75" customHeight="1" s="82">
      <c r="A44" s="105" t="n"/>
    </row>
    <row r="45" hidden="1" ht="14.25" customHeight="1" s="82">
      <c r="A45" s="126" t="n"/>
      <c r="B45" s="126" t="n"/>
      <c r="C45" s="126" t="n"/>
      <c r="D45" s="126" t="n"/>
      <c r="E45" s="126" t="n"/>
      <c r="F45" s="126" t="n"/>
      <c r="G45" s="126" t="n"/>
      <c r="H45" s="126" t="n"/>
      <c r="I45" s="126" t="n"/>
      <c r="J45" s="126" t="n"/>
      <c r="K45" s="126" t="n"/>
      <c r="L45" s="126" t="n"/>
      <c r="M45" s="126" t="n"/>
      <c r="N45" s="126" t="n"/>
      <c r="O45" s="126" t="n"/>
      <c r="P45" s="126" t="n"/>
      <c r="Q45" s="126" t="n"/>
      <c r="R45" s="126" t="n"/>
    </row>
    <row r="46" hidden="1" ht="14.25" customHeight="1" s="82">
      <c r="A46" s="127" t="n"/>
      <c r="B46" s="128" t="n"/>
      <c r="C46" s="128" t="n"/>
      <c r="D46" s="128" t="n"/>
      <c r="E46" s="129" t="n"/>
      <c r="F46" s="128" t="n"/>
      <c r="G46" s="128" t="n"/>
      <c r="H46" s="128" t="n"/>
      <c r="I46" s="129" t="n"/>
      <c r="J46" s="128" t="n"/>
      <c r="K46" s="128" t="n"/>
      <c r="L46" s="128" t="n"/>
      <c r="M46" s="129" t="n"/>
      <c r="N46" s="128" t="n"/>
      <c r="O46" s="128" t="n"/>
      <c r="P46" s="128" t="n"/>
      <c r="Q46" s="129" t="n"/>
      <c r="R46" s="129" t="n"/>
    </row>
    <row r="47" hidden="1" ht="14.25" customHeight="1" s="82">
      <c r="A47" s="127" t="n"/>
      <c r="B47" s="128" t="n"/>
      <c r="C47" s="128" t="n"/>
      <c r="D47" s="128" t="n"/>
      <c r="E47" s="129" t="n"/>
      <c r="I47" s="129" t="n"/>
      <c r="J47" s="128" t="n"/>
      <c r="K47" s="128" t="n"/>
      <c r="L47" s="128" t="n"/>
      <c r="M47" s="129" t="n"/>
      <c r="N47" s="128" t="n"/>
      <c r="O47" s="128" t="n"/>
      <c r="P47" s="128" t="n"/>
      <c r="Q47" s="129" t="n"/>
      <c r="R47" s="129" t="n"/>
    </row>
    <row r="48" hidden="1" ht="14.25" customHeight="1" s="82">
      <c r="A48" s="127" t="n"/>
      <c r="B48" s="128" t="n"/>
      <c r="C48" s="128" t="n"/>
      <c r="D48" s="128" t="n"/>
      <c r="E48" s="129" t="n"/>
      <c r="F48" s="128" t="n"/>
      <c r="G48" s="128" t="n"/>
      <c r="H48" s="128" t="n"/>
      <c r="I48" s="129" t="n"/>
      <c r="J48" s="128" t="n"/>
      <c r="K48" s="128" t="n"/>
      <c r="L48" s="128" t="n"/>
      <c r="M48" s="129" t="n"/>
      <c r="N48" s="128" t="n"/>
      <c r="O48" s="128" t="n"/>
      <c r="P48" s="128" t="n"/>
      <c r="Q48" s="129" t="n"/>
      <c r="R48" s="129" t="n"/>
    </row>
    <row r="49"/>
    <row r="50" ht="21.75" customHeight="1" s="82">
      <c r="A50" s="87" t="inlineStr">
        <is>
          <t xml:space="preserve">  ▶   T2.  BILLABLES — Target</t>
        </is>
      </c>
    </row>
    <row r="51" ht="14.25" customHeight="1" s="82">
      <c r="A51" s="88" t="inlineStr">
        <is>
          <t>Metric</t>
        </is>
      </c>
      <c r="B51" s="88" t="inlineStr">
        <is>
          <t>Oct</t>
        </is>
      </c>
      <c r="C51" s="88" t="inlineStr">
        <is>
          <t>Nov</t>
        </is>
      </c>
      <c r="D51" s="88" t="inlineStr">
        <is>
          <t>Dec</t>
        </is>
      </c>
      <c r="E51" s="88" t="inlineStr">
        <is>
          <t>Q1</t>
        </is>
      </c>
      <c r="F51" s="88" t="inlineStr">
        <is>
          <t>Jan</t>
        </is>
      </c>
      <c r="G51" s="88" t="inlineStr">
        <is>
          <t>Feb</t>
        </is>
      </c>
      <c r="H51" s="88" t="inlineStr">
        <is>
          <t>Mar</t>
        </is>
      </c>
      <c r="I51" s="88" t="inlineStr">
        <is>
          <t>Q2</t>
        </is>
      </c>
      <c r="J51" s="88" t="inlineStr">
        <is>
          <t>Apr</t>
        </is>
      </c>
      <c r="K51" s="88" t="inlineStr">
        <is>
          <t>May</t>
        </is>
      </c>
      <c r="L51" s="88" t="inlineStr">
        <is>
          <t>Jun</t>
        </is>
      </c>
      <c r="M51" s="88" t="inlineStr">
        <is>
          <t>Q3</t>
        </is>
      </c>
      <c r="N51" s="88" t="inlineStr">
        <is>
          <t>Jul</t>
        </is>
      </c>
      <c r="O51" s="88" t="inlineStr">
        <is>
          <t>Aug</t>
        </is>
      </c>
      <c r="P51" s="88" t="inlineStr">
        <is>
          <t>Sep</t>
        </is>
      </c>
      <c r="Q51" s="88" t="inlineStr">
        <is>
          <t>Q4</t>
        </is>
      </c>
      <c r="R51" s="88" t="inlineStr">
        <is>
          <t>Avg</t>
        </is>
      </c>
    </row>
    <row r="52" ht="14.25" customHeight="1" s="82">
      <c r="A52" s="89" t="inlineStr">
        <is>
          <t>Target (#)</t>
        </is>
      </c>
      <c r="B52" s="93">
        <f>IF(COUNTIFS('Data - Monthly Metrics'!A:A,$B$4-1,'Data - Monthly Metrics'!B:B,"Oct",'Data - Monthly Metrics'!C:C,"Snohomish",'Data - Monthly Metrics'!D:D,"Billables - Hospitality Target (#)")=0,"-",SUMIFS('Data - Monthly Metrics'!E:E,'Data - Monthly Metrics'!A:A,$B$4-1,'Data - Monthly Metrics'!B:B,"Oct",'Data - Monthly Metrics'!C:C,"Snohomish",'Data - Monthly Metrics'!D:D,"Billables - Hospitality Target (#)"))</f>
        <v/>
      </c>
      <c r="C52" s="93">
        <f>IF(COUNTIFS('Data - Monthly Metrics'!A:A,$B$4-1,'Data - Monthly Metrics'!B:B,"Nov",'Data - Monthly Metrics'!C:C,"Snohomish",'Data - Monthly Metrics'!D:D,"Billables - Hospitality Target (#)")=0,"-",SUMIFS('Data - Monthly Metrics'!E:E,'Data - Monthly Metrics'!A:A,$B$4-1,'Data - Monthly Metrics'!B:B,"Nov",'Data - Monthly Metrics'!C:C,"Snohomish",'Data - Monthly Metrics'!D:D,"Billables - Hospitality Target (#)"))</f>
        <v/>
      </c>
      <c r="D52" s="93">
        <f>IF(COUNTIFS('Data - Monthly Metrics'!A:A,$B$4-1,'Data - Monthly Metrics'!B:B,"Dec",'Data - Monthly Metrics'!C:C,"Snohomish",'Data - Monthly Metrics'!D:D,"Billables - Hospitality Target (#)")=0,"-",SUMIFS('Data - Monthly Metrics'!E:E,'Data - Monthly Metrics'!A:A,$B$4-1,'Data - Monthly Metrics'!B:B,"Dec",'Data - Monthly Metrics'!C:C,"Snohomish",'Data - Monthly Metrics'!D:D,"Billables - Hospitality Target (#)"))</f>
        <v/>
      </c>
      <c r="E52" s="103">
        <f>IF(ISNUMBER(D52),D52,IF(ISNUMBER(C52),C52,IF(ISNUMBER(B52),B52,"-")))</f>
        <v/>
      </c>
      <c r="F52" s="93">
        <f>IF(COUNTIFS('Data - Monthly Metrics'!A:A,$B$4,'Data - Monthly Metrics'!B:B,"Jan",'Data - Monthly Metrics'!C:C,"Snohomish",'Data - Monthly Metrics'!D:D,"Billables - Hospitality Target (#)")=0,"-",SUMIFS('Data - Monthly Metrics'!E:E,'Data - Monthly Metrics'!A:A,$B$4,'Data - Monthly Metrics'!B:B,"Jan",'Data - Monthly Metrics'!C:C,"Snohomish",'Data - Monthly Metrics'!D:D,"Billables - Hospitality Target (#)"))</f>
        <v/>
      </c>
      <c r="G52" s="93">
        <f>IF(COUNTIFS('Data - Monthly Metrics'!A:A,$B$4,'Data - Monthly Metrics'!B:B,"Feb",'Data - Monthly Metrics'!C:C,"Snohomish",'Data - Monthly Metrics'!D:D,"Billables - Hospitality Target (#)")=0,"-",SUMIFS('Data - Monthly Metrics'!E:E,'Data - Monthly Metrics'!A:A,$B$4,'Data - Monthly Metrics'!B:B,"Feb",'Data - Monthly Metrics'!C:C,"Snohomish",'Data - Monthly Metrics'!D:D,"Billables - Hospitality Target (#)"))</f>
        <v/>
      </c>
      <c r="H52" s="93">
        <f>IF(COUNTIFS('Data - Monthly Metrics'!A:A,$B$4,'Data - Monthly Metrics'!B:B,"Mar",'Data - Monthly Metrics'!C:C,"Snohomish",'Data - Monthly Metrics'!D:D,"Billables - Hospitality Target (#)")=0,"-",SUMIFS('Data - Monthly Metrics'!E:E,'Data - Monthly Metrics'!A:A,$B$4,'Data - Monthly Metrics'!B:B,"Mar",'Data - Monthly Metrics'!C:C,"Snohomish",'Data - Monthly Metrics'!D:D,"Billables - Hospitality Target (#)"))</f>
        <v/>
      </c>
      <c r="I52" s="103">
        <f>IF(ISNUMBER(H52),H52,IF(ISNUMBER(G52),G52,IF(ISNUMBER(F52),F52,"-")))</f>
        <v/>
      </c>
      <c r="J52" s="93">
        <f>IF(COUNTIFS('Data - Monthly Metrics'!A:A,$B$4,'Data - Monthly Metrics'!B:B,"Apr",'Data - Monthly Metrics'!C:C,"Snohomish",'Data - Monthly Metrics'!D:D,"Billables - Hospitality Target (#)")=0,"-",SUMIFS('Data - Monthly Metrics'!E:E,'Data - Monthly Metrics'!A:A,$B$4,'Data - Monthly Metrics'!B:B,"Apr",'Data - Monthly Metrics'!C:C,"Snohomish",'Data - Monthly Metrics'!D:D,"Billables - Hospitality Target (#)"))</f>
        <v/>
      </c>
      <c r="K52" s="93">
        <f>IF(COUNTIFS('Data - Monthly Metrics'!A:A,$B$4,'Data - Monthly Metrics'!B:B,"May",'Data - Monthly Metrics'!C:C,"Snohomish",'Data - Monthly Metrics'!D:D,"Billables - Hospitality Target (#)")=0,"-",SUMIFS('Data - Monthly Metrics'!E:E,'Data - Monthly Metrics'!A:A,$B$4,'Data - Monthly Metrics'!B:B,"May",'Data - Monthly Metrics'!C:C,"Snohomish",'Data - Monthly Metrics'!D:D,"Billables - Hospitality Target (#)"))</f>
        <v/>
      </c>
      <c r="L52" s="93">
        <f>IF(COUNTIFS('Data - Monthly Metrics'!A:A,$B$4,'Data - Monthly Metrics'!B:B,"Jun",'Data - Monthly Metrics'!C:C,"Snohomish",'Data - Monthly Metrics'!D:D,"Billables - Hospitality Target (#)")=0,"-",SUMIFS('Data - Monthly Metrics'!E:E,'Data - Monthly Metrics'!A:A,$B$4,'Data - Monthly Metrics'!B:B,"Jun",'Data - Monthly Metrics'!C:C,"Snohomish",'Data - Monthly Metrics'!D:D,"Billables - Hospitality Target (#)"))</f>
        <v/>
      </c>
      <c r="M52" s="103">
        <f>IF(ISNUMBER(L52),L52,IF(ISNUMBER(K52),K52,IF(ISNUMBER(J52),J52,"-")))</f>
        <v/>
      </c>
      <c r="N52" s="93">
        <f>IF(COUNTIFS('Data - Monthly Metrics'!A:A,$B$4,'Data - Monthly Metrics'!B:B,"Jul",'Data - Monthly Metrics'!C:C,"Snohomish",'Data - Monthly Metrics'!D:D,"Billables - Hospitality Target (#)")=0,"-",SUMIFS('Data - Monthly Metrics'!E:E,'Data - Monthly Metrics'!A:A,$B$4,'Data - Monthly Metrics'!B:B,"Jul",'Data - Monthly Metrics'!C:C,"Snohomish",'Data - Monthly Metrics'!D:D,"Billables - Hospitality Target (#)"))</f>
        <v/>
      </c>
      <c r="O52" s="93">
        <f>IF(COUNTIFS('Data - Monthly Metrics'!A:A,$B$4,'Data - Monthly Metrics'!B:B,"Aug",'Data - Monthly Metrics'!C:C,"Snohomish",'Data - Monthly Metrics'!D:D,"Billables - Hospitality Target (#)")=0,"-",SUMIFS('Data - Monthly Metrics'!E:E,'Data - Monthly Metrics'!A:A,$B$4,'Data - Monthly Metrics'!B:B,"Aug",'Data - Monthly Metrics'!C:C,"Snohomish",'Data - Monthly Metrics'!D:D,"Billables - Hospitality Target (#)"))</f>
        <v/>
      </c>
      <c r="P52" s="93">
        <f>IF(COUNTIFS('Data - Monthly Metrics'!A:A,$B$4,'Data - Monthly Metrics'!B:B,"Sep",'Data - Monthly Metrics'!C:C,"Snohomish",'Data - Monthly Metrics'!D:D,"Billables - Hospitality Target (#)")=0,"-",SUMIFS('Data - Monthly Metrics'!E:E,'Data - Monthly Metrics'!A:A,$B$4,'Data - Monthly Metrics'!B:B,"Sep",'Data - Monthly Metrics'!C:C,"Snohomish",'Data - Monthly Metrics'!D:D,"Billables - Hospitality Target (#)"))</f>
        <v/>
      </c>
      <c r="Q52" s="103">
        <f>IF(ISNUMBER(P52),P52,IF(ISNUMBER(O52),O52,IF(ISNUMBER(N52),N52,"-")))</f>
        <v/>
      </c>
      <c r="R52" s="103">
        <f>IF(ISNUMBER(Q52),Q52,IF(ISNUMBER(M52),M52,IF(ISNUMBER(I52),I52,IF(ISNUMBER(E52),E52,"-"))))</f>
        <v/>
      </c>
    </row>
    <row r="53" ht="14.25" customHeight="1" s="82">
      <c r="A53" s="89" t="inlineStr">
        <is>
          <t>Member Locations (#)</t>
        </is>
      </c>
      <c r="B53" s="93">
        <f>IF(COUNTIFS('Data - Monthly Metrics'!A:A,$B$4-1,'Data - Monthly Metrics'!B:B,"Oct",'Data - Monthly Metrics'!C:C,"Snohomish",'Data - Monthly Metrics'!D:D,"Member Locations - Target (#)")=0,"-",SUMIFS('Data - Monthly Metrics'!E:E,'Data - Monthly Metrics'!A:A,$B$4-1,'Data - Monthly Metrics'!B:B,"Oct",'Data - Monthly Metrics'!C:C,"Snohomish",'Data - Monthly Metrics'!D:D,"Member Locations - Target (#)"))</f>
        <v/>
      </c>
      <c r="C53" s="93">
        <f>IF(COUNTIFS('Data - Monthly Metrics'!A:A,$B$4-1,'Data - Monthly Metrics'!B:B,"Nov",'Data - Monthly Metrics'!C:C,"Snohomish",'Data - Monthly Metrics'!D:D,"Member Locations - Target (#)")=0,"-",SUMIFS('Data - Monthly Metrics'!E:E,'Data - Monthly Metrics'!A:A,$B$4-1,'Data - Monthly Metrics'!B:B,"Nov",'Data - Monthly Metrics'!C:C,"Snohomish",'Data - Monthly Metrics'!D:D,"Member Locations - Target (#)"))</f>
        <v/>
      </c>
      <c r="D53" s="93">
        <f>IF(COUNTIFS('Data - Monthly Metrics'!A:A,$B$4-1,'Data - Monthly Metrics'!B:B,"Dec",'Data - Monthly Metrics'!C:C,"Snohomish",'Data - Monthly Metrics'!D:D,"Member Locations - Target (#)")=0,"-",SUMIFS('Data - Monthly Metrics'!E:E,'Data - Monthly Metrics'!A:A,$B$4-1,'Data - Monthly Metrics'!B:B,"Dec",'Data - Monthly Metrics'!C:C,"Snohomish",'Data - Monthly Metrics'!D:D,"Member Locations - Target (#)"))</f>
        <v/>
      </c>
      <c r="E53" s="103">
        <f>IF(ISNUMBER(D53),D53,IF(ISNUMBER(C53),C53,IF(ISNUMBER(B53),B53,"-")))</f>
        <v/>
      </c>
      <c r="F53" s="93">
        <f>IF(COUNTIFS('Data - Monthly Metrics'!A:A,$B$4,'Data - Monthly Metrics'!B:B,"Jan",'Data - Monthly Metrics'!C:C,"Snohomish",'Data - Monthly Metrics'!D:D,"Member Locations - Target (#)")=0,"-",SUMIFS('Data - Monthly Metrics'!E:E,'Data - Monthly Metrics'!A:A,$B$4,'Data - Monthly Metrics'!B:B,"Jan",'Data - Monthly Metrics'!C:C,"Snohomish",'Data - Monthly Metrics'!D:D,"Member Locations - Target (#)"))</f>
        <v/>
      </c>
      <c r="G53" s="93">
        <f>IF(COUNTIFS('Data - Monthly Metrics'!A:A,$B$4,'Data - Monthly Metrics'!B:B,"Feb",'Data - Monthly Metrics'!C:C,"Snohomish",'Data - Monthly Metrics'!D:D,"Member Locations - Target (#)")=0,"-",SUMIFS('Data - Monthly Metrics'!E:E,'Data - Monthly Metrics'!A:A,$B$4,'Data - Monthly Metrics'!B:B,"Feb",'Data - Monthly Metrics'!C:C,"Snohomish",'Data - Monthly Metrics'!D:D,"Member Locations - Target (#)"))</f>
        <v/>
      </c>
      <c r="H53" s="93">
        <f>IF(COUNTIFS('Data - Monthly Metrics'!A:A,$B$4,'Data - Monthly Metrics'!B:B,"Mar",'Data - Monthly Metrics'!C:C,"Snohomish",'Data - Monthly Metrics'!D:D,"Member Locations - Target (#)")=0,"-",SUMIFS('Data - Monthly Metrics'!E:E,'Data - Monthly Metrics'!A:A,$B$4,'Data - Monthly Metrics'!B:B,"Mar",'Data - Monthly Metrics'!C:C,"Snohomish",'Data - Monthly Metrics'!D:D,"Member Locations - Target (#)"))</f>
        <v/>
      </c>
      <c r="I53" s="103">
        <f>IF(ISNUMBER(H53),H53,IF(ISNUMBER(G53),G53,IF(ISNUMBER(F53),F53,"-")))</f>
        <v/>
      </c>
      <c r="J53" s="93">
        <f>IF(COUNTIFS('Data - Monthly Metrics'!A:A,$B$4,'Data - Monthly Metrics'!B:B,"Apr",'Data - Monthly Metrics'!C:C,"Snohomish",'Data - Monthly Metrics'!D:D,"Member Locations - Target (#)")=0,"-",SUMIFS('Data - Monthly Metrics'!E:E,'Data - Monthly Metrics'!A:A,$B$4,'Data - Monthly Metrics'!B:B,"Apr",'Data - Monthly Metrics'!C:C,"Snohomish",'Data - Monthly Metrics'!D:D,"Member Locations - Target (#)"))</f>
        <v/>
      </c>
      <c r="K53" s="93">
        <f>IF(COUNTIFS('Data - Monthly Metrics'!A:A,$B$4,'Data - Monthly Metrics'!B:B,"May",'Data - Monthly Metrics'!C:C,"Snohomish",'Data - Monthly Metrics'!D:D,"Member Locations - Target (#)")=0,"-",SUMIFS('Data - Monthly Metrics'!E:E,'Data - Monthly Metrics'!A:A,$B$4,'Data - Monthly Metrics'!B:B,"May",'Data - Monthly Metrics'!C:C,"Snohomish",'Data - Monthly Metrics'!D:D,"Member Locations - Target (#)"))</f>
        <v/>
      </c>
      <c r="L53" s="93">
        <f>IF(COUNTIFS('Data - Monthly Metrics'!A:A,$B$4,'Data - Monthly Metrics'!B:B,"Jun",'Data - Monthly Metrics'!C:C,"Snohomish",'Data - Monthly Metrics'!D:D,"Member Locations - Target (#)")=0,"-",SUMIFS('Data - Monthly Metrics'!E:E,'Data - Monthly Metrics'!A:A,$B$4,'Data - Monthly Metrics'!B:B,"Jun",'Data - Monthly Metrics'!C:C,"Snohomish",'Data - Monthly Metrics'!D:D,"Member Locations - Target (#)"))</f>
        <v/>
      </c>
      <c r="M53" s="103">
        <f>IF(ISNUMBER(L53),L53,IF(ISNUMBER(K53),K53,IF(ISNUMBER(J53),J53,"-")))</f>
        <v/>
      </c>
      <c r="N53" s="93">
        <f>IF(COUNTIFS('Data - Monthly Metrics'!A:A,$B$4,'Data - Monthly Metrics'!B:B,"Jul",'Data - Monthly Metrics'!C:C,"Snohomish",'Data - Monthly Metrics'!D:D,"Member Locations - Target (#)")=0,"-",SUMIFS('Data - Monthly Metrics'!E:E,'Data - Monthly Metrics'!A:A,$B$4,'Data - Monthly Metrics'!B:B,"Jul",'Data - Monthly Metrics'!C:C,"Snohomish",'Data - Monthly Metrics'!D:D,"Member Locations - Target (#)"))</f>
        <v/>
      </c>
      <c r="O53" s="93">
        <f>IF(COUNTIFS('Data - Monthly Metrics'!A:A,$B$4,'Data - Monthly Metrics'!B:B,"Aug",'Data - Monthly Metrics'!C:C,"Snohomish",'Data - Monthly Metrics'!D:D,"Member Locations - Target (#)")=0,"-",SUMIFS('Data - Monthly Metrics'!E:E,'Data - Monthly Metrics'!A:A,$B$4,'Data - Monthly Metrics'!B:B,"Aug",'Data - Monthly Metrics'!C:C,"Snohomish",'Data - Monthly Metrics'!D:D,"Member Locations - Target (#)"))</f>
        <v/>
      </c>
      <c r="P53" s="93">
        <f>IF(COUNTIFS('Data - Monthly Metrics'!A:A,$B$4,'Data - Monthly Metrics'!B:B,"Sep",'Data - Monthly Metrics'!C:C,"Snohomish",'Data - Monthly Metrics'!D:D,"Member Locations - Target (#)")=0,"-",SUMIFS('Data - Monthly Metrics'!E:E,'Data - Monthly Metrics'!A:A,$B$4,'Data - Monthly Metrics'!B:B,"Sep",'Data - Monthly Metrics'!C:C,"Snohomish",'Data - Monthly Metrics'!D:D,"Member Locations - Target (#)"))</f>
        <v/>
      </c>
      <c r="Q53" s="103">
        <f>IF(ISNUMBER(P53),P53,IF(ISNUMBER(O53),O53,IF(ISNUMBER(N53),N53,"-")))</f>
        <v/>
      </c>
      <c r="R53" s="103">
        <f>IF(ISNUMBER(Q53),Q53,IF(ISNUMBER(M53),M53,IF(ISNUMBER(I53),I53,IF(ISNUMBER(E53),E53,"-"))))</f>
        <v/>
      </c>
    </row>
    <row r="54"/>
    <row r="55" ht="21.75" customHeight="1" s="82">
      <c r="A55" s="87" t="inlineStr">
        <is>
          <t xml:space="preserve">  ▶   T3.  RETENTION — Target</t>
        </is>
      </c>
    </row>
    <row r="56" ht="14.25" customHeight="1" s="82">
      <c r="A56" s="88" t="inlineStr">
        <is>
          <t>Metric</t>
        </is>
      </c>
      <c r="B56" s="88" t="inlineStr">
        <is>
          <t>Oct</t>
        </is>
      </c>
      <c r="C56" s="88" t="inlineStr">
        <is>
          <t>Nov</t>
        </is>
      </c>
      <c r="D56" s="88" t="inlineStr">
        <is>
          <t>Dec</t>
        </is>
      </c>
      <c r="E56" s="88" t="inlineStr">
        <is>
          <t>Q1</t>
        </is>
      </c>
      <c r="F56" s="88" t="inlineStr">
        <is>
          <t>Jan</t>
        </is>
      </c>
      <c r="G56" s="88" t="inlineStr">
        <is>
          <t>Feb</t>
        </is>
      </c>
      <c r="H56" s="88" t="inlineStr">
        <is>
          <t>Mar</t>
        </is>
      </c>
      <c r="I56" s="88" t="inlineStr">
        <is>
          <t>Q2</t>
        </is>
      </c>
      <c r="J56" s="88" t="inlineStr">
        <is>
          <t>Apr</t>
        </is>
      </c>
      <c r="K56" s="88" t="inlineStr">
        <is>
          <t>May</t>
        </is>
      </c>
      <c r="L56" s="88" t="inlineStr">
        <is>
          <t>Jun</t>
        </is>
      </c>
      <c r="M56" s="88" t="inlineStr">
        <is>
          <t>Q3</t>
        </is>
      </c>
      <c r="N56" s="88" t="inlineStr">
        <is>
          <t>Jul</t>
        </is>
      </c>
      <c r="O56" s="88" t="inlineStr">
        <is>
          <t>Aug</t>
        </is>
      </c>
      <c r="P56" s="88" t="inlineStr">
        <is>
          <t>Sep</t>
        </is>
      </c>
      <c r="Q56" s="88" t="inlineStr">
        <is>
          <t>Q4</t>
        </is>
      </c>
      <c r="R56" s="88" t="inlineStr">
        <is>
          <t>YTD</t>
        </is>
      </c>
    </row>
    <row r="57" ht="14.25" customHeight="1" s="82">
      <c r="A57" s="89" t="inlineStr">
        <is>
          <t>Up for Renewal - Target (#)</t>
        </is>
      </c>
      <c r="B57" s="93">
        <f>IF(COUNTIFS('Data - Monthly Metrics'!A:A,$B$4-1,'Data - Monthly Metrics'!B:B,"Oct",'Data - Monthly Metrics'!C:C,"Snohomish",'Data - Monthly Metrics'!D:D,"Members Up for Renewal - Target (#)")=0,"-",SUMIFS('Data - Monthly Metrics'!E:E,'Data - Monthly Metrics'!A:A,$B$4-1,'Data - Monthly Metrics'!B:B,"Oct",'Data - Monthly Metrics'!C:C,"Snohomish",'Data - Monthly Metrics'!D:D,"Members Up for Renewal - Target (#)"))</f>
        <v/>
      </c>
      <c r="C57" s="93">
        <f>IF(COUNTIFS('Data - Monthly Metrics'!A:A,$B$4-1,'Data - Monthly Metrics'!B:B,"Nov",'Data - Monthly Metrics'!C:C,"Snohomish",'Data - Monthly Metrics'!D:D,"Members Up for Renewal - Target (#)")=0,"-",SUMIFS('Data - Monthly Metrics'!E:E,'Data - Monthly Metrics'!A:A,$B$4-1,'Data - Monthly Metrics'!B:B,"Nov",'Data - Monthly Metrics'!C:C,"Snohomish",'Data - Monthly Metrics'!D:D,"Members Up for Renewal - Target (#)"))</f>
        <v/>
      </c>
      <c r="D57" s="93">
        <f>IF(COUNTIFS('Data - Monthly Metrics'!A:A,$B$4-1,'Data - Monthly Metrics'!B:B,"Dec",'Data - Monthly Metrics'!C:C,"Snohomish",'Data - Monthly Metrics'!D:D,"Members Up for Renewal - Target (#)")=0,"-",SUMIFS('Data - Monthly Metrics'!E:E,'Data - Monthly Metrics'!A:A,$B$4-1,'Data - Monthly Metrics'!B:B,"Dec",'Data - Monthly Metrics'!C:C,"Snohomish",'Data - Monthly Metrics'!D:D,"Members Up for Renewal - Target (#)"))</f>
        <v/>
      </c>
      <c r="E57" s="103">
        <f>SUM(B57,C57,D57)</f>
        <v/>
      </c>
      <c r="F57" s="93">
        <f>IF(COUNTIFS('Data - Monthly Metrics'!A:A,$B$4,'Data - Monthly Metrics'!B:B,"Jan",'Data - Monthly Metrics'!C:C,"Snohomish",'Data - Monthly Metrics'!D:D,"Members Up for Renewal - Target (#)")=0,"-",SUMIFS('Data - Monthly Metrics'!E:E,'Data - Monthly Metrics'!A:A,$B$4,'Data - Monthly Metrics'!B:B,"Jan",'Data - Monthly Metrics'!C:C,"Snohomish",'Data - Monthly Metrics'!D:D,"Members Up for Renewal - Target (#)"))</f>
        <v/>
      </c>
      <c r="G57" s="93">
        <f>IF(COUNTIFS('Data - Monthly Metrics'!A:A,$B$4,'Data - Monthly Metrics'!B:B,"Feb",'Data - Monthly Metrics'!C:C,"Snohomish",'Data - Monthly Metrics'!D:D,"Members Up for Renewal - Target (#)")=0,"-",SUMIFS('Data - Monthly Metrics'!E:E,'Data - Monthly Metrics'!A:A,$B$4,'Data - Monthly Metrics'!B:B,"Feb",'Data - Monthly Metrics'!C:C,"Snohomish",'Data - Monthly Metrics'!D:D,"Members Up for Renewal - Target (#)"))</f>
        <v/>
      </c>
      <c r="H57" s="93">
        <f>IF(COUNTIFS('Data - Monthly Metrics'!A:A,$B$4,'Data - Monthly Metrics'!B:B,"Mar",'Data - Monthly Metrics'!C:C,"Snohomish",'Data - Monthly Metrics'!D:D,"Members Up for Renewal - Target (#)")=0,"-",SUMIFS('Data - Monthly Metrics'!E:E,'Data - Monthly Metrics'!A:A,$B$4,'Data - Monthly Metrics'!B:B,"Mar",'Data - Monthly Metrics'!C:C,"Snohomish",'Data - Monthly Metrics'!D:D,"Members Up for Renewal - Target (#)"))</f>
        <v/>
      </c>
      <c r="I57" s="103">
        <f>SUM(F57,G57,H57)</f>
        <v/>
      </c>
      <c r="J57" s="93">
        <f>IF(COUNTIFS('Data - Monthly Metrics'!A:A,$B$4,'Data - Monthly Metrics'!B:B,"Apr",'Data - Monthly Metrics'!C:C,"Snohomish",'Data - Monthly Metrics'!D:D,"Members Up for Renewal - Target (#)")=0,"-",SUMIFS('Data - Monthly Metrics'!E:E,'Data - Monthly Metrics'!A:A,$B$4,'Data - Monthly Metrics'!B:B,"Apr",'Data - Monthly Metrics'!C:C,"Snohomish",'Data - Monthly Metrics'!D:D,"Members Up for Renewal - Target (#)"))</f>
        <v/>
      </c>
      <c r="K57" s="93">
        <f>IF(COUNTIFS('Data - Monthly Metrics'!A:A,$B$4,'Data - Monthly Metrics'!B:B,"May",'Data - Monthly Metrics'!C:C,"Snohomish",'Data - Monthly Metrics'!D:D,"Members Up for Renewal - Target (#)")=0,"-",SUMIFS('Data - Monthly Metrics'!E:E,'Data - Monthly Metrics'!A:A,$B$4,'Data - Monthly Metrics'!B:B,"May",'Data - Monthly Metrics'!C:C,"Snohomish",'Data - Monthly Metrics'!D:D,"Members Up for Renewal - Target (#)"))</f>
        <v/>
      </c>
      <c r="L57" s="93">
        <f>IF(COUNTIFS('Data - Monthly Metrics'!A:A,$B$4,'Data - Monthly Metrics'!B:B,"Jun",'Data - Monthly Metrics'!C:C,"Snohomish",'Data - Monthly Metrics'!D:D,"Members Up for Renewal - Target (#)")=0,"-",SUMIFS('Data - Monthly Metrics'!E:E,'Data - Monthly Metrics'!A:A,$B$4,'Data - Monthly Metrics'!B:B,"Jun",'Data - Monthly Metrics'!C:C,"Snohomish",'Data - Monthly Metrics'!D:D,"Members Up for Renewal - Target (#)"))</f>
        <v/>
      </c>
      <c r="M57" s="103">
        <f>SUM(J57,K57,L57)</f>
        <v/>
      </c>
      <c r="N57" s="93">
        <f>IF(COUNTIFS('Data - Monthly Metrics'!A:A,$B$4,'Data - Monthly Metrics'!B:B,"Jul",'Data - Monthly Metrics'!C:C,"Snohomish",'Data - Monthly Metrics'!D:D,"Members Up for Renewal - Target (#)")=0,"-",SUMIFS('Data - Monthly Metrics'!E:E,'Data - Monthly Metrics'!A:A,$B$4,'Data - Monthly Metrics'!B:B,"Jul",'Data - Monthly Metrics'!C:C,"Snohomish",'Data - Monthly Metrics'!D:D,"Members Up for Renewal - Target (#)"))</f>
        <v/>
      </c>
      <c r="O57" s="93">
        <f>IF(COUNTIFS('Data - Monthly Metrics'!A:A,$B$4,'Data - Monthly Metrics'!B:B,"Aug",'Data - Monthly Metrics'!C:C,"Snohomish",'Data - Monthly Metrics'!D:D,"Members Up for Renewal - Target (#)")=0,"-",SUMIFS('Data - Monthly Metrics'!E:E,'Data - Monthly Metrics'!A:A,$B$4,'Data - Monthly Metrics'!B:B,"Aug",'Data - Monthly Metrics'!C:C,"Snohomish",'Data - Monthly Metrics'!D:D,"Members Up for Renewal - Target (#)"))</f>
        <v/>
      </c>
      <c r="P57" s="93">
        <f>IF(COUNTIFS('Data - Monthly Metrics'!A:A,$B$4,'Data - Monthly Metrics'!B:B,"Sep",'Data - Monthly Metrics'!C:C,"Snohomish",'Data - Monthly Metrics'!D:D,"Members Up for Renewal - Target (#)")=0,"-",SUMIFS('Data - Monthly Metrics'!E:E,'Data - Monthly Metrics'!A:A,$B$4,'Data - Monthly Metrics'!B:B,"Sep",'Data - Monthly Metrics'!C:C,"Snohomish",'Data - Monthly Metrics'!D:D,"Members Up for Renewal - Target (#)"))</f>
        <v/>
      </c>
      <c r="Q57" s="103">
        <f>SUM(N57,O57,P57)</f>
        <v/>
      </c>
      <c r="R57" s="103">
        <f>E57+I57+M57+Q57</f>
        <v/>
      </c>
    </row>
    <row r="58" ht="14.25" customHeight="1" s="82">
      <c r="A58" s="94" t="inlineStr">
        <is>
          <t>Retained - Target (#)</t>
        </is>
      </c>
      <c r="B58" s="98">
        <f>IF(COUNTIFS('Data - Monthly Metrics'!A:A,$B$4-1,'Data - Monthly Metrics'!B:B,"Oct",'Data - Monthly Metrics'!C:C,"Snohomish",'Data - Monthly Metrics'!D:D,"Members Retained - Target (#)")=0,"-",SUMIFS('Data - Monthly Metrics'!E:E,'Data - Monthly Metrics'!A:A,$B$4-1,'Data - Monthly Metrics'!B:B,"Oct",'Data - Monthly Metrics'!C:C,"Snohomish",'Data - Monthly Metrics'!D:D,"Members Retained - Target (#)"))</f>
        <v/>
      </c>
      <c r="C58" s="98">
        <f>IF(COUNTIFS('Data - Monthly Metrics'!A:A,$B$4-1,'Data - Monthly Metrics'!B:B,"Nov",'Data - Monthly Metrics'!C:C,"Snohomish",'Data - Monthly Metrics'!D:D,"Members Retained - Target (#)")=0,"-",SUMIFS('Data - Monthly Metrics'!E:E,'Data - Monthly Metrics'!A:A,$B$4-1,'Data - Monthly Metrics'!B:B,"Nov",'Data - Monthly Metrics'!C:C,"Snohomish",'Data - Monthly Metrics'!D:D,"Members Retained - Target (#)"))</f>
        <v/>
      </c>
      <c r="D58" s="98">
        <f>IF(COUNTIFS('Data - Monthly Metrics'!A:A,$B$4-1,'Data - Monthly Metrics'!B:B,"Dec",'Data - Monthly Metrics'!C:C,"Snohomish",'Data - Monthly Metrics'!D:D,"Members Retained - Target (#)")=0,"-",SUMIFS('Data - Monthly Metrics'!E:E,'Data - Monthly Metrics'!A:A,$B$4-1,'Data - Monthly Metrics'!B:B,"Dec",'Data - Monthly Metrics'!C:C,"Snohomish",'Data - Monthly Metrics'!D:D,"Members Retained - Target (#)"))</f>
        <v/>
      </c>
      <c r="E58" s="103">
        <f>SUM(B58,C58,D58)</f>
        <v/>
      </c>
      <c r="F58" s="98">
        <f>IF(COUNTIFS('Data - Monthly Metrics'!A:A,$B$4,'Data - Monthly Metrics'!B:B,"Jan",'Data - Monthly Metrics'!C:C,"Snohomish",'Data - Monthly Metrics'!D:D,"Members Retained - Target (#)")=0,"-",SUMIFS('Data - Monthly Metrics'!E:E,'Data - Monthly Metrics'!A:A,$B$4,'Data - Monthly Metrics'!B:B,"Jan",'Data - Monthly Metrics'!C:C,"Snohomish",'Data - Monthly Metrics'!D:D,"Members Retained - Target (#)"))</f>
        <v/>
      </c>
      <c r="G58" s="98">
        <f>IF(COUNTIFS('Data - Monthly Metrics'!A:A,$B$4,'Data - Monthly Metrics'!B:B,"Feb",'Data - Monthly Metrics'!C:C,"Snohomish",'Data - Monthly Metrics'!D:D,"Members Retained - Target (#)")=0,"-",SUMIFS('Data - Monthly Metrics'!E:E,'Data - Monthly Metrics'!A:A,$B$4,'Data - Monthly Metrics'!B:B,"Feb",'Data - Monthly Metrics'!C:C,"Snohomish",'Data - Monthly Metrics'!D:D,"Members Retained - Target (#)"))</f>
        <v/>
      </c>
      <c r="H58" s="98">
        <f>IF(COUNTIFS('Data - Monthly Metrics'!A:A,$B$4,'Data - Monthly Metrics'!B:B,"Mar",'Data - Monthly Metrics'!C:C,"Snohomish",'Data - Monthly Metrics'!D:D,"Members Retained - Target (#)")=0,"-",SUMIFS('Data - Monthly Metrics'!E:E,'Data - Monthly Metrics'!A:A,$B$4,'Data - Monthly Metrics'!B:B,"Mar",'Data - Monthly Metrics'!C:C,"Snohomish",'Data - Monthly Metrics'!D:D,"Members Retained - Target (#)"))</f>
        <v/>
      </c>
      <c r="I58" s="103">
        <f>SUM(F58,G58,H58)</f>
        <v/>
      </c>
      <c r="J58" s="98">
        <f>IF(COUNTIFS('Data - Monthly Metrics'!A:A,$B$4,'Data - Monthly Metrics'!B:B,"Apr",'Data - Monthly Metrics'!C:C,"Snohomish",'Data - Monthly Metrics'!D:D,"Members Retained - Target (#)")=0,"-",SUMIFS('Data - Monthly Metrics'!E:E,'Data - Monthly Metrics'!A:A,$B$4,'Data - Monthly Metrics'!B:B,"Apr",'Data - Monthly Metrics'!C:C,"Snohomish",'Data - Monthly Metrics'!D:D,"Members Retained - Target (#)"))</f>
        <v/>
      </c>
      <c r="K58" s="98">
        <f>IF(COUNTIFS('Data - Monthly Metrics'!A:A,$B$4,'Data - Monthly Metrics'!B:B,"May",'Data - Monthly Metrics'!C:C,"Snohomish",'Data - Monthly Metrics'!D:D,"Members Retained - Target (#)")=0,"-",SUMIFS('Data - Monthly Metrics'!E:E,'Data - Monthly Metrics'!A:A,$B$4,'Data - Monthly Metrics'!B:B,"May",'Data - Monthly Metrics'!C:C,"Snohomish",'Data - Monthly Metrics'!D:D,"Members Retained - Target (#)"))</f>
        <v/>
      </c>
      <c r="L58" s="98">
        <f>IF(COUNTIFS('Data - Monthly Metrics'!A:A,$B$4,'Data - Monthly Metrics'!B:B,"Jun",'Data - Monthly Metrics'!C:C,"Snohomish",'Data - Monthly Metrics'!D:D,"Members Retained - Target (#)")=0,"-",SUMIFS('Data - Monthly Metrics'!E:E,'Data - Monthly Metrics'!A:A,$B$4,'Data - Monthly Metrics'!B:B,"Jun",'Data - Monthly Metrics'!C:C,"Snohomish",'Data - Monthly Metrics'!D:D,"Members Retained - Target (#)"))</f>
        <v/>
      </c>
      <c r="M58" s="103">
        <f>SUM(J58,K58,L58)</f>
        <v/>
      </c>
      <c r="N58" s="98">
        <f>IF(COUNTIFS('Data - Monthly Metrics'!A:A,$B$4,'Data - Monthly Metrics'!B:B,"Jul",'Data - Monthly Metrics'!C:C,"Snohomish",'Data - Monthly Metrics'!D:D,"Members Retained - Target (#)")=0,"-",SUMIFS('Data - Monthly Metrics'!E:E,'Data - Monthly Metrics'!A:A,$B$4,'Data - Monthly Metrics'!B:B,"Jul",'Data - Monthly Metrics'!C:C,"Snohomish",'Data - Monthly Metrics'!D:D,"Members Retained - Target (#)"))</f>
        <v/>
      </c>
      <c r="O58" s="98">
        <f>IF(COUNTIFS('Data - Monthly Metrics'!A:A,$B$4,'Data - Monthly Metrics'!B:B,"Aug",'Data - Monthly Metrics'!C:C,"Snohomish",'Data - Monthly Metrics'!D:D,"Members Retained - Target (#)")=0,"-",SUMIFS('Data - Monthly Metrics'!E:E,'Data - Monthly Metrics'!A:A,$B$4,'Data - Monthly Metrics'!B:B,"Aug",'Data - Monthly Metrics'!C:C,"Snohomish",'Data - Monthly Metrics'!D:D,"Members Retained - Target (#)"))</f>
        <v/>
      </c>
      <c r="P58" s="98">
        <f>IF(COUNTIFS('Data - Monthly Metrics'!A:A,$B$4,'Data - Monthly Metrics'!B:B,"Sep",'Data - Monthly Metrics'!C:C,"Snohomish",'Data - Monthly Metrics'!D:D,"Members Retained - Target (#)")=0,"-",SUMIFS('Data - Monthly Metrics'!E:E,'Data - Monthly Metrics'!A:A,$B$4,'Data - Monthly Metrics'!B:B,"Sep",'Data - Monthly Metrics'!C:C,"Snohomish",'Data - Monthly Metrics'!D:D,"Members Retained - Target (#)"))</f>
        <v/>
      </c>
      <c r="Q58" s="103">
        <f>SUM(N58,O58,P58)</f>
        <v/>
      </c>
      <c r="R58" s="103">
        <f>E58+I58+M58+Q58</f>
        <v/>
      </c>
    </row>
    <row r="59" ht="14.25" customHeight="1" s="82">
      <c r="A59" s="89" t="inlineStr">
        <is>
          <t>Account Retention % - Target</t>
        </is>
      </c>
      <c r="B59" s="92">
        <f>IF(B57=0,0,B58/B57)</f>
        <v/>
      </c>
      <c r="C59" s="92">
        <f>IF(C57=0,0,C58/C57)</f>
        <v/>
      </c>
      <c r="D59" s="92">
        <f>IF(D57=0,0,D58/D57)</f>
        <v/>
      </c>
      <c r="E59" s="102">
        <f>IF(E57=0,0,E58/E57)</f>
        <v/>
      </c>
      <c r="F59" s="92">
        <f>IF(F57=0,0,F58/F57)</f>
        <v/>
      </c>
      <c r="G59" s="130">
        <f>IF(G57=0,0,G58/G57)</f>
        <v/>
      </c>
      <c r="H59" s="92">
        <f>IF(H57=0,0,H58/H57)</f>
        <v/>
      </c>
      <c r="I59" s="102">
        <f>IF(I57=0,0,I58/I57)</f>
        <v/>
      </c>
      <c r="J59" s="92">
        <f>IF(J57=0,0,J58/J57)</f>
        <v/>
      </c>
      <c r="K59" s="92">
        <f>IF(K57=0,0,K58/K57)</f>
        <v/>
      </c>
      <c r="L59" s="92">
        <f>IF(L57=0,0,L58/L57)</f>
        <v/>
      </c>
      <c r="M59" s="102">
        <f>IF(M57=0,0,M58/M57)</f>
        <v/>
      </c>
      <c r="N59" s="92">
        <f>IF(N57=0,0,N58/N57)</f>
        <v/>
      </c>
      <c r="O59" s="92">
        <f>IF(O57=0,0,O58/O57)</f>
        <v/>
      </c>
      <c r="P59" s="92">
        <f>IF(P57=0,0,P58/P57)</f>
        <v/>
      </c>
      <c r="Q59" s="102">
        <f>IF(Q57=0,0,Q58/Q57)</f>
        <v/>
      </c>
      <c r="R59" s="102">
        <f>IF(R57=0,0,R58/R57)</f>
        <v/>
      </c>
    </row>
    <row r="60" ht="14.25" customHeight="1" s="82">
      <c r="A60" s="94" t="inlineStr">
        <is>
          <t>Status</t>
        </is>
      </c>
      <c r="B60" s="120">
        <f>IF(OR(NOT(ISNUMBER(B59)),B59=0,COUNTIFS('Data - Monthly Metrics'!$A:$A,$B$4-1,'Data - Monthly Metrics'!$B:$B,B$8,'Data - Monthly Metrics'!$C:$C,"Snohomish",'Data - Monthly Metrics'!$D:$D,"Goal - Retention %")=0),"—",IF(B59&gt;=SUMIFS('Data - Monthly Metrics'!$E:$E,'Data - Monthly Metrics'!$A:$A,$B$4-1,'Data - Monthly Metrics'!$B:$B,B$8,'Data - Monthly Metrics'!$C:$C,"Snohomish",'Data - Monthly Metrics'!$D:$D,"Goal - Retention %"),"On Track",IF(B59&gt;=SUMIFS('Data - Monthly Metrics'!$E:$E,'Data - Monthly Metrics'!$A:$A,$B$4-1,'Data - Monthly Metrics'!$B:$B,B$8,'Data - Monthly Metrics'!$C:$C,"Snohomish",'Data - Monthly Metrics'!$D:$D,"Goal - Retention %")-0.05,"Watch","At Risk")))</f>
        <v/>
      </c>
      <c r="C60" s="120">
        <f>IF(OR(NOT(ISNUMBER(C59)),C59=0,COUNTIFS('Data - Monthly Metrics'!$A:$A,$B$4-1,'Data - Monthly Metrics'!$B:$B,C$8,'Data - Monthly Metrics'!$C:$C,"Snohomish",'Data - Monthly Metrics'!$D:$D,"Goal - Retention %")=0),"—",IF(C59&gt;=SUMIFS('Data - Monthly Metrics'!$E:$E,'Data - Monthly Metrics'!$A:$A,$B$4-1,'Data - Monthly Metrics'!$B:$B,C$8,'Data - Monthly Metrics'!$C:$C,"Snohomish",'Data - Monthly Metrics'!$D:$D,"Goal - Retention %"),"On Track",IF(C59&gt;=SUMIFS('Data - Monthly Metrics'!$E:$E,'Data - Monthly Metrics'!$A:$A,$B$4-1,'Data - Monthly Metrics'!$B:$B,C$8,'Data - Monthly Metrics'!$C:$C,"Snohomish",'Data - Monthly Metrics'!$D:$D,"Goal - Retention %")-0.05,"Watch","At Risk")))</f>
        <v/>
      </c>
      <c r="D60" s="120">
        <f>IF(OR(NOT(ISNUMBER(D59)),D59=0,COUNTIFS('Data - Monthly Metrics'!$A:$A,$B$4-1,'Data - Monthly Metrics'!$B:$B,D$8,'Data - Monthly Metrics'!$C:$C,"Snohomish",'Data - Monthly Metrics'!$D:$D,"Goal - Retention %")=0),"—",IF(D59&gt;=SUMIFS('Data - Monthly Metrics'!$E:$E,'Data - Monthly Metrics'!$A:$A,$B$4-1,'Data - Monthly Metrics'!$B:$B,D$8,'Data - Monthly Metrics'!$C:$C,"Snohomish",'Data - Monthly Metrics'!$D:$D,"Goal - Retention %"),"On Track",IF(D59&gt;=SUMIFS('Data - Monthly Metrics'!$E:$E,'Data - Monthly Metrics'!$A:$A,$B$4-1,'Data - Monthly Metrics'!$B:$B,D$8,'Data - Monthly Metrics'!$C:$C,"Snohomish",'Data - Monthly Metrics'!$D:$D,"Goal - Retention %")-0.05,"Watch","At Risk")))</f>
        <v/>
      </c>
      <c r="E60" s="121">
        <f>"—"</f>
        <v/>
      </c>
      <c r="F60" s="120">
        <f>IF(OR(NOT(ISNUMBER(F59)),F59=0,COUNTIFS('Data - Monthly Metrics'!$A:$A,$B$4,'Data - Monthly Metrics'!$B:$B,F$8,'Data - Monthly Metrics'!$C:$C,"Snohomish",'Data - Monthly Metrics'!$D:$D,"Goal - Retention %")=0),"—",IF(F59&gt;=SUMIFS('Data - Monthly Metrics'!$E:$E,'Data - Monthly Metrics'!$A:$A,$B$4,'Data - Monthly Metrics'!$B:$B,F$8,'Data - Monthly Metrics'!$C:$C,"Snohomish",'Data - Monthly Metrics'!$D:$D,"Goal - Retention %"),"On Track",IF(F59&gt;=SUMIFS('Data - Monthly Metrics'!$E:$E,'Data - Monthly Metrics'!$A:$A,$B$4,'Data - Monthly Metrics'!$B:$B,F$8,'Data - Monthly Metrics'!$C:$C,"Snohomish",'Data - Monthly Metrics'!$D:$D,"Goal - Retention %")-0.05,"Watch","At Risk")))</f>
        <v/>
      </c>
      <c r="G60" s="120">
        <f>IF(OR(NOT(ISNUMBER(G59)),G59=0,COUNTIFS('Data - Monthly Metrics'!$A:$A,$B$4,'Data - Monthly Metrics'!$B:$B,G$8,'Data - Monthly Metrics'!$C:$C,"Snohomish",'Data - Monthly Metrics'!$D:$D,"Goal - Retention %")=0),"—",IF(G59&gt;=SUMIFS('Data - Monthly Metrics'!$E:$E,'Data - Monthly Metrics'!$A:$A,$B$4,'Data - Monthly Metrics'!$B:$B,G$8,'Data - Monthly Metrics'!$C:$C,"Snohomish",'Data - Monthly Metrics'!$D:$D,"Goal - Retention %"),"On Track",IF(G59&gt;=SUMIFS('Data - Monthly Metrics'!$E:$E,'Data - Monthly Metrics'!$A:$A,$B$4,'Data - Monthly Metrics'!$B:$B,G$8,'Data - Monthly Metrics'!$C:$C,"Snohomish",'Data - Monthly Metrics'!$D:$D,"Goal - Retention %")-0.05,"Watch","At Risk")))</f>
        <v/>
      </c>
      <c r="H60" s="120">
        <f>IF(OR(NOT(ISNUMBER(H59)),H59=0,COUNTIFS('Data - Monthly Metrics'!$A:$A,$B$4,'Data - Monthly Metrics'!$B:$B,H$8,'Data - Monthly Metrics'!$C:$C,"Snohomish",'Data - Monthly Metrics'!$D:$D,"Goal - Retention %")=0),"—",IF(H59&gt;=SUMIFS('Data - Monthly Metrics'!$E:$E,'Data - Monthly Metrics'!$A:$A,$B$4,'Data - Monthly Metrics'!$B:$B,H$8,'Data - Monthly Metrics'!$C:$C,"Snohomish",'Data - Monthly Metrics'!$D:$D,"Goal - Retention %"),"On Track",IF(H59&gt;=SUMIFS('Data - Monthly Metrics'!$E:$E,'Data - Monthly Metrics'!$A:$A,$B$4,'Data - Monthly Metrics'!$B:$B,H$8,'Data - Monthly Metrics'!$C:$C,"Snohomish",'Data - Monthly Metrics'!$D:$D,"Goal - Retention %")-0.05,"Watch","At Risk")))</f>
        <v/>
      </c>
      <c r="I60" s="131">
        <f>"—"</f>
        <v/>
      </c>
      <c r="J60" s="120">
        <f>IF(OR(NOT(ISNUMBER(J59)),J59=0,COUNTIFS('Data - Monthly Metrics'!$A:$A,$B$4,'Data - Monthly Metrics'!$B:$B,J$8,'Data - Monthly Metrics'!$C:$C,"Snohomish",'Data - Monthly Metrics'!$D:$D,"Goal - Retention %")=0),"—",IF(J59&gt;=SUMIFS('Data - Monthly Metrics'!$E:$E,'Data - Monthly Metrics'!$A:$A,$B$4,'Data - Monthly Metrics'!$B:$B,J$8,'Data - Monthly Metrics'!$C:$C,"Snohomish",'Data - Monthly Metrics'!$D:$D,"Goal - Retention %"),"On Track",IF(J59&gt;=SUMIFS('Data - Monthly Metrics'!$E:$E,'Data - Monthly Metrics'!$A:$A,$B$4,'Data - Monthly Metrics'!$B:$B,J$8,'Data - Monthly Metrics'!$C:$C,"Snohomish",'Data - Monthly Metrics'!$D:$D,"Goal - Retention %")-0.05,"Watch","At Risk")))</f>
        <v/>
      </c>
      <c r="K60" s="120">
        <f>IF(OR(NOT(ISNUMBER(K59)),K59=0,COUNTIFS('Data - Monthly Metrics'!$A:$A,$B$4,'Data - Monthly Metrics'!$B:$B,K$8,'Data - Monthly Metrics'!$C:$C,"Snohomish",'Data - Monthly Metrics'!$D:$D,"Goal - Retention %")=0),"—",IF(K59&gt;=SUMIFS('Data - Monthly Metrics'!$E:$E,'Data - Monthly Metrics'!$A:$A,$B$4,'Data - Monthly Metrics'!$B:$B,K$8,'Data - Monthly Metrics'!$C:$C,"Snohomish",'Data - Monthly Metrics'!$D:$D,"Goal - Retention %"),"On Track",IF(K59&gt;=SUMIFS('Data - Monthly Metrics'!$E:$E,'Data - Monthly Metrics'!$A:$A,$B$4,'Data - Monthly Metrics'!$B:$B,K$8,'Data - Monthly Metrics'!$C:$C,"Snohomish",'Data - Monthly Metrics'!$D:$D,"Goal - Retention %")-0.05,"Watch","At Risk")))</f>
        <v/>
      </c>
      <c r="L60" s="120">
        <f>IF(OR(NOT(ISNUMBER(L59)),L59=0,COUNTIFS('Data - Monthly Metrics'!$A:$A,$B$4,'Data - Monthly Metrics'!$B:$B,L$8,'Data - Monthly Metrics'!$C:$C,"Snohomish",'Data - Monthly Metrics'!$D:$D,"Goal - Retention %")=0),"—",IF(L59&gt;=SUMIFS('Data - Monthly Metrics'!$E:$E,'Data - Monthly Metrics'!$A:$A,$B$4,'Data - Monthly Metrics'!$B:$B,L$8,'Data - Monthly Metrics'!$C:$C,"Snohomish",'Data - Monthly Metrics'!$D:$D,"Goal - Retention %"),"On Track",IF(L59&gt;=SUMIFS('Data - Monthly Metrics'!$E:$E,'Data - Monthly Metrics'!$A:$A,$B$4,'Data - Monthly Metrics'!$B:$B,L$8,'Data - Monthly Metrics'!$C:$C,"Snohomish",'Data - Monthly Metrics'!$D:$D,"Goal - Retention %")-0.05,"Watch","At Risk")))</f>
        <v/>
      </c>
      <c r="M60" s="121">
        <f>"—"</f>
        <v/>
      </c>
      <c r="N60" s="120">
        <f>IF(OR(NOT(ISNUMBER(N59)),N59=0,COUNTIFS('Data - Monthly Metrics'!$A:$A,$B$4,'Data - Monthly Metrics'!$B:$B,N$8,'Data - Monthly Metrics'!$C:$C,"Snohomish",'Data - Monthly Metrics'!$D:$D,"Goal - Retention %")=0),"—",IF(N59&gt;=SUMIFS('Data - Monthly Metrics'!$E:$E,'Data - Monthly Metrics'!$A:$A,$B$4,'Data - Monthly Metrics'!$B:$B,N$8,'Data - Monthly Metrics'!$C:$C,"Snohomish",'Data - Monthly Metrics'!$D:$D,"Goal - Retention %"),"On Track",IF(N59&gt;=SUMIFS('Data - Monthly Metrics'!$E:$E,'Data - Monthly Metrics'!$A:$A,$B$4,'Data - Monthly Metrics'!$B:$B,N$8,'Data - Monthly Metrics'!$C:$C,"Snohomish",'Data - Monthly Metrics'!$D:$D,"Goal - Retention %")-0.05,"Watch","At Risk")))</f>
        <v/>
      </c>
      <c r="O60" s="120">
        <f>IF(OR(NOT(ISNUMBER(O59)),O59=0,COUNTIFS('Data - Monthly Metrics'!$A:$A,$B$4,'Data - Monthly Metrics'!$B:$B,O$8,'Data - Monthly Metrics'!$C:$C,"Snohomish",'Data - Monthly Metrics'!$D:$D,"Goal - Retention %")=0),"—",IF(O59&gt;=SUMIFS('Data - Monthly Metrics'!$E:$E,'Data - Monthly Metrics'!$A:$A,$B$4,'Data - Monthly Metrics'!$B:$B,O$8,'Data - Monthly Metrics'!$C:$C,"Snohomish",'Data - Monthly Metrics'!$D:$D,"Goal - Retention %"),"On Track",IF(O59&gt;=SUMIFS('Data - Monthly Metrics'!$E:$E,'Data - Monthly Metrics'!$A:$A,$B$4,'Data - Monthly Metrics'!$B:$B,O$8,'Data - Monthly Metrics'!$C:$C,"Snohomish",'Data - Monthly Metrics'!$D:$D,"Goal - Retention %")-0.05,"Watch","At Risk")))</f>
        <v/>
      </c>
      <c r="P60" s="120">
        <f>IF(OR(NOT(ISNUMBER(P59)),P59=0,COUNTIFS('Data - Monthly Metrics'!$A:$A,$B$4,'Data - Monthly Metrics'!$B:$B,P$8,'Data - Monthly Metrics'!$C:$C,"Snohomish",'Data - Monthly Metrics'!$D:$D,"Goal - Retention %")=0),"—",IF(P59&gt;=SUMIFS('Data - Monthly Metrics'!$E:$E,'Data - Monthly Metrics'!$A:$A,$B$4,'Data - Monthly Metrics'!$B:$B,P$8,'Data - Monthly Metrics'!$C:$C,"Snohomish",'Data - Monthly Metrics'!$D:$D,"Goal - Retention %"),"On Track",IF(P59&gt;=SUMIFS('Data - Monthly Metrics'!$E:$E,'Data - Monthly Metrics'!$A:$A,$B$4,'Data - Monthly Metrics'!$B:$B,P$8,'Data - Monthly Metrics'!$C:$C,"Snohomish",'Data - Monthly Metrics'!$D:$D,"Goal - Retention %")-0.05,"Watch","At Risk")))</f>
        <v/>
      </c>
      <c r="Q60" s="121">
        <f>"—"</f>
        <v/>
      </c>
      <c r="R60" s="121">
        <f>"—"</f>
        <v/>
      </c>
    </row>
    <row r="61" ht="14.25" customHeight="1" s="82">
      <c r="A61" s="89" t="inlineStr">
        <is>
          <t>Revenue Up for Renewal - Target ($)</t>
        </is>
      </c>
      <c r="B61" s="91">
        <f>IF(COUNTIFS('Data - Monthly Metrics'!A:A,$B$4-1,'Data - Monthly Metrics'!B:B,"Oct",'Data - Monthly Metrics'!C:C,"Snohomish",'Data - Monthly Metrics'!D:D,"Revenue Up for Renewal - Target ($)")=0,"-",SUMIFS('Data - Monthly Metrics'!E:E,'Data - Monthly Metrics'!A:A,$B$4-1,'Data - Monthly Metrics'!B:B,"Oct",'Data - Monthly Metrics'!C:C,"Snohomish",'Data - Monthly Metrics'!D:D,"Revenue Up for Renewal - Target ($)"))</f>
        <v/>
      </c>
      <c r="C61" s="91">
        <f>IF(COUNTIFS('Data - Monthly Metrics'!A:A,$B$4-1,'Data - Monthly Metrics'!B:B,"Nov",'Data - Monthly Metrics'!C:C,"Snohomish",'Data - Monthly Metrics'!D:D,"Revenue Up for Renewal - Target ($)")=0,"-",SUMIFS('Data - Monthly Metrics'!E:E,'Data - Monthly Metrics'!A:A,$B$4-1,'Data - Monthly Metrics'!B:B,"Nov",'Data - Monthly Metrics'!C:C,"Snohomish",'Data - Monthly Metrics'!D:D,"Revenue Up for Renewal - Target ($)"))</f>
        <v/>
      </c>
      <c r="D61" s="91">
        <f>IF(COUNTIFS('Data - Monthly Metrics'!A:A,$B$4-1,'Data - Monthly Metrics'!B:B,"Dec",'Data - Monthly Metrics'!C:C,"Snohomish",'Data - Monthly Metrics'!D:D,"Revenue Up for Renewal - Target ($)")=0,"-",SUMIFS('Data - Monthly Metrics'!E:E,'Data - Monthly Metrics'!A:A,$B$4-1,'Data - Monthly Metrics'!B:B,"Dec",'Data - Monthly Metrics'!C:C,"Snohomish",'Data - Monthly Metrics'!D:D,"Revenue Up for Renewal - Target ($)"))</f>
        <v/>
      </c>
      <c r="E61" s="101">
        <f>SUM(B61,C61,D61)</f>
        <v/>
      </c>
      <c r="F61" s="91">
        <f>IF(COUNTIFS('Data - Monthly Metrics'!A:A,$B$4,'Data - Monthly Metrics'!B:B,"Jan",'Data - Monthly Metrics'!C:C,"Snohomish",'Data - Monthly Metrics'!D:D,"Revenue Up for Renewal - Target ($)")=0,"-",SUMIFS('Data - Monthly Metrics'!E:E,'Data - Monthly Metrics'!A:A,$B$4,'Data - Monthly Metrics'!B:B,"Jan",'Data - Monthly Metrics'!C:C,"Snohomish",'Data - Monthly Metrics'!D:D,"Revenue Up for Renewal - Target ($)"))</f>
        <v/>
      </c>
      <c r="G61" s="91">
        <f>IF(COUNTIFS('Data - Monthly Metrics'!A:A,$B$4,'Data - Monthly Metrics'!B:B,"Feb",'Data - Monthly Metrics'!C:C,"Snohomish",'Data - Monthly Metrics'!D:D,"Revenue Up for Renewal - Target ($)")=0,"-",SUMIFS('Data - Monthly Metrics'!E:E,'Data - Monthly Metrics'!A:A,$B$4,'Data - Monthly Metrics'!B:B,"Feb",'Data - Monthly Metrics'!C:C,"Snohomish",'Data - Monthly Metrics'!D:D,"Revenue Up for Renewal - Target ($)"))</f>
        <v/>
      </c>
      <c r="H61" s="91">
        <f>IF(COUNTIFS('Data - Monthly Metrics'!A:A,$B$4,'Data - Monthly Metrics'!B:B,"Mar",'Data - Monthly Metrics'!C:C,"Snohomish",'Data - Monthly Metrics'!D:D,"Revenue Up for Renewal - Target ($)")=0,"-",SUMIFS('Data - Monthly Metrics'!E:E,'Data - Monthly Metrics'!A:A,$B$4,'Data - Monthly Metrics'!B:B,"Mar",'Data - Monthly Metrics'!C:C,"Snohomish",'Data - Monthly Metrics'!D:D,"Revenue Up for Renewal - Target ($)"))</f>
        <v/>
      </c>
      <c r="I61" s="101">
        <f>SUM(F61,G61,H61)</f>
        <v/>
      </c>
      <c r="J61" s="91">
        <f>IF(COUNTIFS('Data - Monthly Metrics'!A:A,$B$4,'Data - Monthly Metrics'!B:B,"Apr",'Data - Monthly Metrics'!C:C,"Snohomish",'Data - Monthly Metrics'!D:D,"Revenue Up for Renewal - Target ($)")=0,"-",SUMIFS('Data - Monthly Metrics'!E:E,'Data - Monthly Metrics'!A:A,$B$4,'Data - Monthly Metrics'!B:B,"Apr",'Data - Monthly Metrics'!C:C,"Snohomish",'Data - Monthly Metrics'!D:D,"Revenue Up for Renewal - Target ($)"))</f>
        <v/>
      </c>
      <c r="K61" s="91">
        <f>IF(COUNTIFS('Data - Monthly Metrics'!A:A,$B$4,'Data - Monthly Metrics'!B:B,"May",'Data - Monthly Metrics'!C:C,"Snohomish",'Data - Monthly Metrics'!D:D,"Revenue Up for Renewal - Target ($)")=0,"-",SUMIFS('Data - Monthly Metrics'!E:E,'Data - Monthly Metrics'!A:A,$B$4,'Data - Monthly Metrics'!B:B,"May",'Data - Monthly Metrics'!C:C,"Snohomish",'Data - Monthly Metrics'!D:D,"Revenue Up for Renewal - Target ($)"))</f>
        <v/>
      </c>
      <c r="L61" s="91">
        <f>IF(COUNTIFS('Data - Monthly Metrics'!A:A,$B$4,'Data - Monthly Metrics'!B:B,"Jun",'Data - Monthly Metrics'!C:C,"Snohomish",'Data - Monthly Metrics'!D:D,"Revenue Up for Renewal - Target ($)")=0,"-",SUMIFS('Data - Monthly Metrics'!E:E,'Data - Monthly Metrics'!A:A,$B$4,'Data - Monthly Metrics'!B:B,"Jun",'Data - Monthly Metrics'!C:C,"Snohomish",'Data - Monthly Metrics'!D:D,"Revenue Up for Renewal - Target ($)"))</f>
        <v/>
      </c>
      <c r="M61" s="101">
        <f>SUM(J61,K61,L61)</f>
        <v/>
      </c>
      <c r="N61" s="91">
        <f>IF(COUNTIFS('Data - Monthly Metrics'!A:A,$B$4,'Data - Monthly Metrics'!B:B,"Jul",'Data - Monthly Metrics'!C:C,"Snohomish",'Data - Monthly Metrics'!D:D,"Revenue Up for Renewal - Target ($)")=0,"-",SUMIFS('Data - Monthly Metrics'!E:E,'Data - Monthly Metrics'!A:A,$B$4,'Data - Monthly Metrics'!B:B,"Jul",'Data - Monthly Metrics'!C:C,"Snohomish",'Data - Monthly Metrics'!D:D,"Revenue Up for Renewal - Target ($)"))</f>
        <v/>
      </c>
      <c r="O61" s="91">
        <f>IF(COUNTIFS('Data - Monthly Metrics'!A:A,$B$4,'Data - Monthly Metrics'!B:B,"Aug",'Data - Monthly Metrics'!C:C,"Snohomish",'Data - Monthly Metrics'!D:D,"Revenue Up for Renewal - Target ($)")=0,"-",SUMIFS('Data - Monthly Metrics'!E:E,'Data - Monthly Metrics'!A:A,$B$4,'Data - Monthly Metrics'!B:B,"Aug",'Data - Monthly Metrics'!C:C,"Snohomish",'Data - Monthly Metrics'!D:D,"Revenue Up for Renewal - Target ($)"))</f>
        <v/>
      </c>
      <c r="P61" s="91">
        <f>IF(COUNTIFS('Data - Monthly Metrics'!A:A,$B$4,'Data - Monthly Metrics'!B:B,"Sep",'Data - Monthly Metrics'!C:C,"Snohomish",'Data - Monthly Metrics'!D:D,"Revenue Up for Renewal - Target ($)")=0,"-",SUMIFS('Data - Monthly Metrics'!E:E,'Data - Monthly Metrics'!A:A,$B$4,'Data - Monthly Metrics'!B:B,"Sep",'Data - Monthly Metrics'!C:C,"Snohomish",'Data - Monthly Metrics'!D:D,"Revenue Up for Renewal - Target ($)"))</f>
        <v/>
      </c>
      <c r="Q61" s="101">
        <f>SUM(N61,O61,P61)</f>
        <v/>
      </c>
      <c r="R61" s="101">
        <f>E61+I61+M61+Q61</f>
        <v/>
      </c>
    </row>
    <row r="62" ht="14.25" customHeight="1" s="82">
      <c r="A62" s="94" t="inlineStr">
        <is>
          <t>Revenue Retained - Target ($)</t>
        </is>
      </c>
      <c r="B62" s="96">
        <f>IF(COUNTIFS('Data - Monthly Metrics'!A:A,$B$4-1,'Data - Monthly Metrics'!B:B,"Oct",'Data - Monthly Metrics'!C:C,"Snohomish",'Data - Monthly Metrics'!D:D,"Revenue Retained - Target ($)")=0,"-",SUMIFS('Data - Monthly Metrics'!E:E,'Data - Monthly Metrics'!A:A,$B$4-1,'Data - Monthly Metrics'!B:B,"Oct",'Data - Monthly Metrics'!C:C,"Snohomish",'Data - Monthly Metrics'!D:D,"Revenue Retained - Target ($)"))</f>
        <v/>
      </c>
      <c r="C62" s="96">
        <f>IF(COUNTIFS('Data - Monthly Metrics'!A:A,$B$4-1,'Data - Monthly Metrics'!B:B,"Nov",'Data - Monthly Metrics'!C:C,"Snohomish",'Data - Monthly Metrics'!D:D,"Revenue Retained - Target ($)")=0,"-",SUMIFS('Data - Monthly Metrics'!E:E,'Data - Monthly Metrics'!A:A,$B$4-1,'Data - Monthly Metrics'!B:B,"Nov",'Data - Monthly Metrics'!C:C,"Snohomish",'Data - Monthly Metrics'!D:D,"Revenue Retained - Target ($)"))</f>
        <v/>
      </c>
      <c r="D62" s="96">
        <f>IF(COUNTIFS('Data - Monthly Metrics'!A:A,$B$4-1,'Data - Monthly Metrics'!B:B,"Dec",'Data - Monthly Metrics'!C:C,"Snohomish",'Data - Monthly Metrics'!D:D,"Revenue Retained - Target ($)")=0,"-",SUMIFS('Data - Monthly Metrics'!E:E,'Data - Monthly Metrics'!A:A,$B$4-1,'Data - Monthly Metrics'!B:B,"Dec",'Data - Monthly Metrics'!C:C,"Snohomish",'Data - Monthly Metrics'!D:D,"Revenue Retained - Target ($)"))</f>
        <v/>
      </c>
      <c r="E62" s="101">
        <f>SUM(B62,C62,D62)</f>
        <v/>
      </c>
      <c r="F62" s="96">
        <f>IF(COUNTIFS('Data - Monthly Metrics'!A:A,$B$4,'Data - Monthly Metrics'!B:B,"Jan",'Data - Monthly Metrics'!C:C,"Snohomish",'Data - Monthly Metrics'!D:D,"Revenue Retained - Target ($)")=0,"-",SUMIFS('Data - Monthly Metrics'!E:E,'Data - Monthly Metrics'!A:A,$B$4,'Data - Monthly Metrics'!B:B,"Jan",'Data - Monthly Metrics'!C:C,"Snohomish",'Data - Monthly Metrics'!D:D,"Revenue Retained - Target ($)"))</f>
        <v/>
      </c>
      <c r="G62" s="96">
        <f>IF(COUNTIFS('Data - Monthly Metrics'!A:A,$B$4,'Data - Monthly Metrics'!B:B,"Feb",'Data - Monthly Metrics'!C:C,"Snohomish",'Data - Monthly Metrics'!D:D,"Revenue Retained - Target ($)")=0,"-",SUMIFS('Data - Monthly Metrics'!E:E,'Data - Monthly Metrics'!A:A,$B$4,'Data - Monthly Metrics'!B:B,"Feb",'Data - Monthly Metrics'!C:C,"Snohomish",'Data - Monthly Metrics'!D:D,"Revenue Retained - Target ($)"))</f>
        <v/>
      </c>
      <c r="H62" s="96">
        <f>IF(COUNTIFS('Data - Monthly Metrics'!A:A,$B$4,'Data - Monthly Metrics'!B:B,"Mar",'Data - Monthly Metrics'!C:C,"Snohomish",'Data - Monthly Metrics'!D:D,"Revenue Retained - Target ($)")=0,"-",SUMIFS('Data - Monthly Metrics'!E:E,'Data - Monthly Metrics'!A:A,$B$4,'Data - Monthly Metrics'!B:B,"Mar",'Data - Monthly Metrics'!C:C,"Snohomish",'Data - Monthly Metrics'!D:D,"Revenue Retained - Target ($)"))</f>
        <v/>
      </c>
      <c r="I62" s="101">
        <f>SUM(F62,G62,H62)</f>
        <v/>
      </c>
      <c r="J62" s="96">
        <f>IF(COUNTIFS('Data - Monthly Metrics'!A:A,$B$4,'Data - Monthly Metrics'!B:B,"Apr",'Data - Monthly Metrics'!C:C,"Snohomish",'Data - Monthly Metrics'!D:D,"Revenue Retained - Target ($)")=0,"-",SUMIFS('Data - Monthly Metrics'!E:E,'Data - Monthly Metrics'!A:A,$B$4,'Data - Monthly Metrics'!B:B,"Apr",'Data - Monthly Metrics'!C:C,"Snohomish",'Data - Monthly Metrics'!D:D,"Revenue Retained - Target ($)"))</f>
        <v/>
      </c>
      <c r="K62" s="96">
        <f>IF(COUNTIFS('Data - Monthly Metrics'!A:A,$B$4,'Data - Monthly Metrics'!B:B,"May",'Data - Monthly Metrics'!C:C,"Snohomish",'Data - Monthly Metrics'!D:D,"Revenue Retained - Target ($)")=0,"-",SUMIFS('Data - Monthly Metrics'!E:E,'Data - Monthly Metrics'!A:A,$B$4,'Data - Monthly Metrics'!B:B,"May",'Data - Monthly Metrics'!C:C,"Snohomish",'Data - Monthly Metrics'!D:D,"Revenue Retained - Target ($)"))</f>
        <v/>
      </c>
      <c r="L62" s="96">
        <f>IF(COUNTIFS('Data - Monthly Metrics'!A:A,$B$4,'Data - Monthly Metrics'!B:B,"Jun",'Data - Monthly Metrics'!C:C,"Snohomish",'Data - Monthly Metrics'!D:D,"Revenue Retained - Target ($)")=0,"-",SUMIFS('Data - Monthly Metrics'!E:E,'Data - Monthly Metrics'!A:A,$B$4,'Data - Monthly Metrics'!B:B,"Jun",'Data - Monthly Metrics'!C:C,"Snohomish",'Data - Monthly Metrics'!D:D,"Revenue Retained - Target ($)"))</f>
        <v/>
      </c>
      <c r="M62" s="101">
        <f>SUM(J62,K62,L62)</f>
        <v/>
      </c>
      <c r="N62" s="96">
        <f>IF(COUNTIFS('Data - Monthly Metrics'!A:A,$B$4,'Data - Monthly Metrics'!B:B,"Jul",'Data - Monthly Metrics'!C:C,"Snohomish",'Data - Monthly Metrics'!D:D,"Revenue Retained - Target ($)")=0,"-",SUMIFS('Data - Monthly Metrics'!E:E,'Data - Monthly Metrics'!A:A,$B$4,'Data - Monthly Metrics'!B:B,"Jul",'Data - Monthly Metrics'!C:C,"Snohomish",'Data - Monthly Metrics'!D:D,"Revenue Retained - Target ($)"))</f>
        <v/>
      </c>
      <c r="O62" s="96">
        <f>IF(COUNTIFS('Data - Monthly Metrics'!A:A,$B$4,'Data - Monthly Metrics'!B:B,"Aug",'Data - Monthly Metrics'!C:C,"Snohomish",'Data - Monthly Metrics'!D:D,"Revenue Retained - Target ($)")=0,"-",SUMIFS('Data - Monthly Metrics'!E:E,'Data - Monthly Metrics'!A:A,$B$4,'Data - Monthly Metrics'!B:B,"Aug",'Data - Monthly Metrics'!C:C,"Snohomish",'Data - Monthly Metrics'!D:D,"Revenue Retained - Target ($)"))</f>
        <v/>
      </c>
      <c r="P62" s="96">
        <f>IF(COUNTIFS('Data - Monthly Metrics'!A:A,$B$4,'Data - Monthly Metrics'!B:B,"Sep",'Data - Monthly Metrics'!C:C,"Snohomish",'Data - Monthly Metrics'!D:D,"Revenue Retained - Target ($)")=0,"-",SUMIFS('Data - Monthly Metrics'!E:E,'Data - Monthly Metrics'!A:A,$B$4,'Data - Monthly Metrics'!B:B,"Sep",'Data - Monthly Metrics'!C:C,"Snohomish",'Data - Monthly Metrics'!D:D,"Revenue Retained - Target ($)"))</f>
        <v/>
      </c>
      <c r="Q62" s="101">
        <f>SUM(N62,O62,P62)</f>
        <v/>
      </c>
      <c r="R62" s="101">
        <f>E62+I62+M62+Q62</f>
        <v/>
      </c>
    </row>
    <row r="63" ht="14.25" customHeight="1" s="82">
      <c r="A63" s="94" t="inlineStr">
        <is>
          <t xml:space="preserve">   Comped (#)</t>
        </is>
      </c>
      <c r="B63" s="98">
        <f>IF(COUNTIFS('Data - Monthly Metrics'!A:A,$B$4-1,'Data - Monthly Metrics'!B:B,"Oct",'Data - Monthly Metrics'!C:C,"Snohomish",'Data - Monthly Metrics'!D:D,"Retention - Comped Target (#)")=0,"-",SUMIFS('Data - Monthly Metrics'!E:E,'Data - Monthly Metrics'!A:A,$B$4-1,'Data - Monthly Metrics'!B:B,"Oct",'Data - Monthly Metrics'!C:C,"Snohomish",'Data - Monthly Metrics'!D:D,"Retention - Comped Target (#)"))</f>
        <v/>
      </c>
      <c r="C63" s="98">
        <f>IF(COUNTIFS('Data - Monthly Metrics'!A:A,$B$4-1,'Data - Monthly Metrics'!B:B,"Nov",'Data - Monthly Metrics'!C:C,"Snohomish",'Data - Monthly Metrics'!D:D,"Retention - Comped Target (#)")=0,"-",SUMIFS('Data - Monthly Metrics'!E:E,'Data - Monthly Metrics'!A:A,$B$4-1,'Data - Monthly Metrics'!B:B,"Nov",'Data - Monthly Metrics'!C:C,"Snohomish",'Data - Monthly Metrics'!D:D,"Retention - Comped Target (#)"))</f>
        <v/>
      </c>
      <c r="D63" s="98">
        <f>IF(COUNTIFS('Data - Monthly Metrics'!A:A,$B$4-1,'Data - Monthly Metrics'!B:B,"Dec",'Data - Monthly Metrics'!C:C,"Snohomish",'Data - Monthly Metrics'!D:D,"Retention - Comped Target (#)")=0,"-",SUMIFS('Data - Monthly Metrics'!E:E,'Data - Monthly Metrics'!A:A,$B$4-1,'Data - Monthly Metrics'!B:B,"Dec",'Data - Monthly Metrics'!C:C,"Snohomish",'Data - Monthly Metrics'!D:D,"Retention - Comped Target (#)"))</f>
        <v/>
      </c>
      <c r="E63" s="103">
        <f>SUM(B63,C63,D63)</f>
        <v/>
      </c>
      <c r="F63" s="98">
        <f>IF(COUNTIFS('Data - Monthly Metrics'!A:A,$B$4,'Data - Monthly Metrics'!B:B,"Jan",'Data - Monthly Metrics'!C:C,"Snohomish",'Data - Monthly Metrics'!D:D,"Retention - Comped Target (#)")=0,"-",SUMIFS('Data - Monthly Metrics'!E:E,'Data - Monthly Metrics'!A:A,$B$4,'Data - Monthly Metrics'!B:B,"Jan",'Data - Monthly Metrics'!C:C,"Snohomish",'Data - Monthly Metrics'!D:D,"Retention - Comped Target (#)"))</f>
        <v/>
      </c>
      <c r="G63" s="98">
        <f>IF(COUNTIFS('Data - Monthly Metrics'!A:A,$B$4,'Data - Monthly Metrics'!B:B,"Feb",'Data - Monthly Metrics'!C:C,"Snohomish",'Data - Monthly Metrics'!D:D,"Retention - Comped Target (#)")=0,"-",SUMIFS('Data - Monthly Metrics'!E:E,'Data - Monthly Metrics'!A:A,$B$4,'Data - Monthly Metrics'!B:B,"Feb",'Data - Monthly Metrics'!C:C,"Snohomish",'Data - Monthly Metrics'!D:D,"Retention - Comped Target (#)"))</f>
        <v/>
      </c>
      <c r="H63" s="98">
        <f>IF(COUNTIFS('Data - Monthly Metrics'!A:A,$B$4,'Data - Monthly Metrics'!B:B,"Mar",'Data - Monthly Metrics'!C:C,"Snohomish",'Data - Monthly Metrics'!D:D,"Retention - Comped Target (#)")=0,"-",SUMIFS('Data - Monthly Metrics'!E:E,'Data - Monthly Metrics'!A:A,$B$4,'Data - Monthly Metrics'!B:B,"Mar",'Data - Monthly Metrics'!C:C,"Snohomish",'Data - Monthly Metrics'!D:D,"Retention - Comped Target (#)"))</f>
        <v/>
      </c>
      <c r="I63" s="103">
        <f>SUM(F63,G63,H63)</f>
        <v/>
      </c>
      <c r="J63" s="98">
        <f>IF(COUNTIFS('Data - Monthly Metrics'!A:A,$B$4,'Data - Monthly Metrics'!B:B,"Apr",'Data - Monthly Metrics'!C:C,"Snohomish",'Data - Monthly Metrics'!D:D,"Retention - Comped Target (#)")=0,"-",SUMIFS('Data - Monthly Metrics'!E:E,'Data - Monthly Metrics'!A:A,$B$4,'Data - Monthly Metrics'!B:B,"Apr",'Data - Monthly Metrics'!C:C,"Snohomish",'Data - Monthly Metrics'!D:D,"Retention - Comped Target (#)"))</f>
        <v/>
      </c>
      <c r="K63" s="98">
        <f>IF(COUNTIFS('Data - Monthly Metrics'!A:A,$B$4,'Data - Monthly Metrics'!B:B,"May",'Data - Monthly Metrics'!C:C,"Snohomish",'Data - Monthly Metrics'!D:D,"Retention - Comped Target (#)")=0,"-",SUMIFS('Data - Monthly Metrics'!E:E,'Data - Monthly Metrics'!A:A,$B$4,'Data - Monthly Metrics'!B:B,"May",'Data - Monthly Metrics'!C:C,"Snohomish",'Data - Monthly Metrics'!D:D,"Retention - Comped Target (#)"))</f>
        <v/>
      </c>
      <c r="L63" s="98">
        <f>IF(COUNTIFS('Data - Monthly Metrics'!A:A,$B$4,'Data - Monthly Metrics'!B:B,"Jun",'Data - Monthly Metrics'!C:C,"Snohomish",'Data - Monthly Metrics'!D:D,"Retention - Comped Target (#)")=0,"-",SUMIFS('Data - Monthly Metrics'!E:E,'Data - Monthly Metrics'!A:A,$B$4,'Data - Monthly Metrics'!B:B,"Jun",'Data - Monthly Metrics'!C:C,"Snohomish",'Data - Monthly Metrics'!D:D,"Retention - Comped Target (#)"))</f>
        <v/>
      </c>
      <c r="M63" s="103">
        <f>SUM(J63,K63,L63)</f>
        <v/>
      </c>
      <c r="N63" s="98">
        <f>IF(COUNTIFS('Data - Monthly Metrics'!A:A,$B$4,'Data - Monthly Metrics'!B:B,"Jul",'Data - Monthly Metrics'!C:C,"Snohomish",'Data - Monthly Metrics'!D:D,"Retention - Comped Target (#)")=0,"-",SUMIFS('Data - Monthly Metrics'!E:E,'Data - Monthly Metrics'!A:A,$B$4,'Data - Monthly Metrics'!B:B,"Jul",'Data - Monthly Metrics'!C:C,"Snohomish",'Data - Monthly Metrics'!D:D,"Retention - Comped Target (#)"))</f>
        <v/>
      </c>
      <c r="O63" s="98">
        <f>IF(COUNTIFS('Data - Monthly Metrics'!A:A,$B$4,'Data - Monthly Metrics'!B:B,"Aug",'Data - Monthly Metrics'!C:C,"Snohomish",'Data - Monthly Metrics'!D:D,"Retention - Comped Target (#)")=0,"-",SUMIFS('Data - Monthly Metrics'!E:E,'Data - Monthly Metrics'!A:A,$B$4,'Data - Monthly Metrics'!B:B,"Aug",'Data - Monthly Metrics'!C:C,"Snohomish",'Data - Monthly Metrics'!D:D,"Retention - Comped Target (#)"))</f>
        <v/>
      </c>
      <c r="P63" s="98">
        <f>IF(COUNTIFS('Data - Monthly Metrics'!A:A,$B$4,'Data - Monthly Metrics'!B:B,"Sep",'Data - Monthly Metrics'!C:C,"Snohomish",'Data - Monthly Metrics'!D:D,"Retention - Comped Target (#)")=0,"-",SUMIFS('Data - Monthly Metrics'!E:E,'Data - Monthly Metrics'!A:A,$B$4,'Data - Monthly Metrics'!B:B,"Sep",'Data - Monthly Metrics'!C:C,"Snohomish",'Data - Monthly Metrics'!D:D,"Retention - Comped Target (#)"))</f>
        <v/>
      </c>
      <c r="Q63" s="103">
        <f>SUM(N63,O63,P63)</f>
        <v/>
      </c>
      <c r="R63" s="103">
        <f>E63+I63+M63+Q63</f>
        <v/>
      </c>
    </row>
    <row r="64" ht="14.25" customHeight="1" s="82">
      <c r="A64" s="94" t="inlineStr">
        <is>
          <t xml:space="preserve">   Comped ($) — not counted in retention</t>
        </is>
      </c>
      <c r="B64" s="96">
        <f>IF(COUNTIFS('Data - Monthly Metrics'!A:A,$B$4-1,'Data - Monthly Metrics'!B:B,"Oct",'Data - Monthly Metrics'!C:C,"Snohomish",'Data - Monthly Metrics'!D:D,"Retention - Comped Target ($)")=0,"-",SUMIFS('Data - Monthly Metrics'!E:E,'Data - Monthly Metrics'!A:A,$B$4-1,'Data - Monthly Metrics'!B:B,"Oct",'Data - Monthly Metrics'!C:C,"Snohomish",'Data - Monthly Metrics'!D:D,"Retention - Comped Target ($)"))</f>
        <v/>
      </c>
      <c r="C64" s="96">
        <f>IF(COUNTIFS('Data - Monthly Metrics'!A:A,$B$4-1,'Data - Monthly Metrics'!B:B,"Nov",'Data - Monthly Metrics'!C:C,"Snohomish",'Data - Monthly Metrics'!D:D,"Retention - Comped Target ($)")=0,"-",SUMIFS('Data - Monthly Metrics'!E:E,'Data - Monthly Metrics'!A:A,$B$4-1,'Data - Monthly Metrics'!B:B,"Nov",'Data - Monthly Metrics'!C:C,"Snohomish",'Data - Monthly Metrics'!D:D,"Retention - Comped Target ($)"))</f>
        <v/>
      </c>
      <c r="D64" s="96">
        <f>IF(COUNTIFS('Data - Monthly Metrics'!A:A,$B$4-1,'Data - Monthly Metrics'!B:B,"Dec",'Data - Monthly Metrics'!C:C,"Snohomish",'Data - Monthly Metrics'!D:D,"Retention - Comped Target ($)")=0,"-",SUMIFS('Data - Monthly Metrics'!E:E,'Data - Monthly Metrics'!A:A,$B$4-1,'Data - Monthly Metrics'!B:B,"Dec",'Data - Monthly Metrics'!C:C,"Snohomish",'Data - Monthly Metrics'!D:D,"Retention - Comped Target ($)"))</f>
        <v/>
      </c>
      <c r="E64" s="101">
        <f>SUM(B64,C64,D64)</f>
        <v/>
      </c>
      <c r="F64" s="96">
        <f>IF(COUNTIFS('Data - Monthly Metrics'!A:A,$B$4,'Data - Monthly Metrics'!B:B,"Jan",'Data - Monthly Metrics'!C:C,"Snohomish",'Data - Monthly Metrics'!D:D,"Retention - Comped Target ($)")=0,"-",SUMIFS('Data - Monthly Metrics'!E:E,'Data - Monthly Metrics'!A:A,$B$4,'Data - Monthly Metrics'!B:B,"Jan",'Data - Monthly Metrics'!C:C,"Snohomish",'Data - Monthly Metrics'!D:D,"Retention - Comped Target ($)"))</f>
        <v/>
      </c>
      <c r="G64" s="96">
        <f>IF(COUNTIFS('Data - Monthly Metrics'!A:A,$B$4,'Data - Monthly Metrics'!B:B,"Feb",'Data - Monthly Metrics'!C:C,"Snohomish",'Data - Monthly Metrics'!D:D,"Retention - Comped Target ($)")=0,"-",SUMIFS('Data - Monthly Metrics'!E:E,'Data - Monthly Metrics'!A:A,$B$4,'Data - Monthly Metrics'!B:B,"Feb",'Data - Monthly Metrics'!C:C,"Snohomish",'Data - Monthly Metrics'!D:D,"Retention - Comped Target ($)"))</f>
        <v/>
      </c>
      <c r="H64" s="96">
        <f>IF(COUNTIFS('Data - Monthly Metrics'!A:A,$B$4,'Data - Monthly Metrics'!B:B,"Mar",'Data - Monthly Metrics'!C:C,"Snohomish",'Data - Monthly Metrics'!D:D,"Retention - Comped Target ($)")=0,"-",SUMIFS('Data - Monthly Metrics'!E:E,'Data - Monthly Metrics'!A:A,$B$4,'Data - Monthly Metrics'!B:B,"Mar",'Data - Monthly Metrics'!C:C,"Snohomish",'Data - Monthly Metrics'!D:D,"Retention - Comped Target ($)"))</f>
        <v/>
      </c>
      <c r="I64" s="101">
        <f>SUM(F64,G64,H64)</f>
        <v/>
      </c>
      <c r="J64" s="96">
        <f>IF(COUNTIFS('Data - Monthly Metrics'!A:A,$B$4,'Data - Monthly Metrics'!B:B,"Apr",'Data - Monthly Metrics'!C:C,"Snohomish",'Data - Monthly Metrics'!D:D,"Retention - Comped Target ($)")=0,"-",SUMIFS('Data - Monthly Metrics'!E:E,'Data - Monthly Metrics'!A:A,$B$4,'Data - Monthly Metrics'!B:B,"Apr",'Data - Monthly Metrics'!C:C,"Snohomish",'Data - Monthly Metrics'!D:D,"Retention - Comped Target ($)"))</f>
        <v/>
      </c>
      <c r="K64" s="96">
        <f>IF(COUNTIFS('Data - Monthly Metrics'!A:A,$B$4,'Data - Monthly Metrics'!B:B,"May",'Data - Monthly Metrics'!C:C,"Snohomish",'Data - Monthly Metrics'!D:D,"Retention - Comped Target ($)")=0,"-",SUMIFS('Data - Monthly Metrics'!E:E,'Data - Monthly Metrics'!A:A,$B$4,'Data - Monthly Metrics'!B:B,"May",'Data - Monthly Metrics'!C:C,"Snohomish",'Data - Monthly Metrics'!D:D,"Retention - Comped Target ($)"))</f>
        <v/>
      </c>
      <c r="L64" s="96">
        <f>IF(COUNTIFS('Data - Monthly Metrics'!A:A,$B$4,'Data - Monthly Metrics'!B:B,"Jun",'Data - Monthly Metrics'!C:C,"Snohomish",'Data - Monthly Metrics'!D:D,"Retention - Comped Target ($)")=0,"-",SUMIFS('Data - Monthly Metrics'!E:E,'Data - Monthly Metrics'!A:A,$B$4,'Data - Monthly Metrics'!B:B,"Jun",'Data - Monthly Metrics'!C:C,"Snohomish",'Data - Monthly Metrics'!D:D,"Retention - Comped Target ($)"))</f>
        <v/>
      </c>
      <c r="M64" s="101">
        <f>SUM(J64,K64,L64)</f>
        <v/>
      </c>
      <c r="N64" s="96">
        <f>IF(COUNTIFS('Data - Monthly Metrics'!A:A,$B$4,'Data - Monthly Metrics'!B:B,"Jul",'Data - Monthly Metrics'!C:C,"Snohomish",'Data - Monthly Metrics'!D:D,"Retention - Comped Target ($)")=0,"-",SUMIFS('Data - Monthly Metrics'!E:E,'Data - Monthly Metrics'!A:A,$B$4,'Data - Monthly Metrics'!B:B,"Jul",'Data - Monthly Metrics'!C:C,"Snohomish",'Data - Monthly Metrics'!D:D,"Retention - Comped Target ($)"))</f>
        <v/>
      </c>
      <c r="O64" s="96">
        <f>IF(COUNTIFS('Data - Monthly Metrics'!A:A,$B$4,'Data - Monthly Metrics'!B:B,"Aug",'Data - Monthly Metrics'!C:C,"Snohomish",'Data - Monthly Metrics'!D:D,"Retention - Comped Target ($)")=0,"-",SUMIFS('Data - Monthly Metrics'!E:E,'Data - Monthly Metrics'!A:A,$B$4,'Data - Monthly Metrics'!B:B,"Aug",'Data - Monthly Metrics'!C:C,"Snohomish",'Data - Monthly Metrics'!D:D,"Retention - Comped Target ($)"))</f>
        <v/>
      </c>
      <c r="P64" s="96">
        <f>IF(COUNTIFS('Data - Monthly Metrics'!A:A,$B$4,'Data - Monthly Metrics'!B:B,"Sep",'Data - Monthly Metrics'!C:C,"Snohomish",'Data - Monthly Metrics'!D:D,"Retention - Comped Target ($)")=0,"-",SUMIFS('Data - Monthly Metrics'!E:E,'Data - Monthly Metrics'!A:A,$B$4,'Data - Monthly Metrics'!B:B,"Sep",'Data - Monthly Metrics'!C:C,"Snohomish",'Data - Monthly Metrics'!D:D,"Retention - Comped Target ($)"))</f>
        <v/>
      </c>
      <c r="Q64" s="101">
        <f>SUM(N64,O64,P64)</f>
        <v/>
      </c>
      <c r="R64" s="101">
        <f>E64+I64+M64+Q64</f>
        <v/>
      </c>
    </row>
    <row r="65" ht="14.25" customHeight="1" s="82">
      <c r="A65" s="89" t="inlineStr">
        <is>
          <t>Revenue Retention % - Target</t>
        </is>
      </c>
      <c r="B65" s="92">
        <f>IF(B61=0,0,B62/B61)</f>
        <v/>
      </c>
      <c r="C65" s="92">
        <f>IF(C61=0,0,C62/C61)</f>
        <v/>
      </c>
      <c r="D65" s="92">
        <f>IF(D61=0,0,D62/D61)</f>
        <v/>
      </c>
      <c r="E65" s="102">
        <f>IF(E61=0,0,E62/E61)</f>
        <v/>
      </c>
      <c r="F65" s="92">
        <f>IF(F61=0,0,F62/F61)</f>
        <v/>
      </c>
      <c r="G65" s="92">
        <f>IF(G61=0,0,G62/G61)</f>
        <v/>
      </c>
      <c r="H65" s="92">
        <f>IF(H61=0,0,H62/H61)</f>
        <v/>
      </c>
      <c r="I65" s="102">
        <f>IF(I61=0,0,I62/I61)</f>
        <v/>
      </c>
      <c r="J65" s="92">
        <f>IF(J61=0,0,J62/J61)</f>
        <v/>
      </c>
      <c r="K65" s="92">
        <f>IF(K61=0,0,K62/K61)</f>
        <v/>
      </c>
      <c r="L65" s="92">
        <f>IF(L61=0,0,L62/L61)</f>
        <v/>
      </c>
      <c r="M65" s="102">
        <f>IF(M61=0,0,M62/M61)</f>
        <v/>
      </c>
      <c r="N65" s="92">
        <f>IF(N61=0,0,N62/N61)</f>
        <v/>
      </c>
      <c r="O65" s="92">
        <f>IF(O61=0,0,O62/O61)</f>
        <v/>
      </c>
      <c r="P65" s="92">
        <f>IF(P61=0,0,P62/P61)</f>
        <v/>
      </c>
      <c r="Q65" s="102">
        <f>IF(Q61=0,0,Q62/Q61)</f>
        <v/>
      </c>
      <c r="R65" s="102">
        <f>IF(R61=0,0,R62/R61)</f>
        <v/>
      </c>
    </row>
    <row r="66" hidden="1" ht="14.25" customHeight="1" s="82">
      <c r="A66" s="127" t="n"/>
      <c r="B66" s="162" t="n"/>
      <c r="C66" s="162" t="n"/>
      <c r="D66" s="162" t="n"/>
      <c r="E66" s="162" t="n"/>
      <c r="F66" s="162" t="n"/>
      <c r="G66" s="162" t="n"/>
      <c r="H66" s="162" t="n"/>
      <c r="I66" s="162" t="n"/>
      <c r="J66" s="162" t="n"/>
      <c r="K66" s="162" t="n"/>
      <c r="L66" s="162" t="n"/>
      <c r="M66" s="162" t="n"/>
      <c r="N66" s="162" t="n"/>
      <c r="O66" s="162" t="n"/>
      <c r="P66" s="162" t="n"/>
      <c r="Q66" s="162" t="n"/>
      <c r="R66" s="163" t="n"/>
    </row>
    <row r="67" ht="21.75" customHeight="1" s="82">
      <c r="A67" s="87" t="inlineStr">
        <is>
          <t xml:space="preserve">  ▶   T4.  DROPS — Target</t>
        </is>
      </c>
    </row>
    <row r="68" ht="14.25" customHeight="1" s="82">
      <c r="A68" s="88" t="inlineStr">
        <is>
          <t>Metric</t>
        </is>
      </c>
      <c r="B68" s="88" t="inlineStr">
        <is>
          <t>Oct</t>
        </is>
      </c>
      <c r="C68" s="88" t="inlineStr">
        <is>
          <t>Nov</t>
        </is>
      </c>
      <c r="D68" s="88" t="inlineStr">
        <is>
          <t>Dec</t>
        </is>
      </c>
      <c r="E68" s="88" t="inlineStr">
        <is>
          <t>Q1</t>
        </is>
      </c>
      <c r="F68" s="88" t="inlineStr">
        <is>
          <t>Jan</t>
        </is>
      </c>
      <c r="G68" s="88" t="inlineStr">
        <is>
          <t>Feb</t>
        </is>
      </c>
      <c r="H68" s="88" t="inlineStr">
        <is>
          <t>Mar</t>
        </is>
      </c>
      <c r="I68" s="88" t="inlineStr">
        <is>
          <t>Q2</t>
        </is>
      </c>
      <c r="J68" s="88" t="inlineStr">
        <is>
          <t>Apr</t>
        </is>
      </c>
      <c r="K68" s="88" t="inlineStr">
        <is>
          <t>May</t>
        </is>
      </c>
      <c r="L68" s="88" t="inlineStr">
        <is>
          <t>Jun</t>
        </is>
      </c>
      <c r="M68" s="88" t="inlineStr">
        <is>
          <t>Q3</t>
        </is>
      </c>
      <c r="N68" s="88" t="inlineStr">
        <is>
          <t>Jul</t>
        </is>
      </c>
      <c r="O68" s="88" t="inlineStr">
        <is>
          <t>Aug</t>
        </is>
      </c>
      <c r="P68" s="88" t="inlineStr">
        <is>
          <t>Sep</t>
        </is>
      </c>
      <c r="Q68" s="88" t="inlineStr">
        <is>
          <t>Q4</t>
        </is>
      </c>
      <c r="R68" s="88" t="inlineStr">
        <is>
          <t>YTD</t>
        </is>
      </c>
    </row>
    <row r="69" ht="14.25" customHeight="1" s="82">
      <c r="A69" s="89" t="inlineStr">
        <is>
          <t>Drops - Target (#)</t>
        </is>
      </c>
      <c r="B69" s="93">
        <f>IF(COUNTIFS('Data - Monthly Metrics'!A:A,$B$4-1,'Data - Monthly Metrics'!B:B,"Oct",'Data - Monthly Metrics'!C:C,"Snohomish",'Data - Monthly Metrics'!D:D,"Drops - Target (#)")=0,"-",SUMIFS('Data - Monthly Metrics'!E:E,'Data - Monthly Metrics'!A:A,$B$4-1,'Data - Monthly Metrics'!B:B,"Oct",'Data - Monthly Metrics'!C:C,"Snohomish",'Data - Monthly Metrics'!D:D,"Drops - Target (#)"))</f>
        <v/>
      </c>
      <c r="C69" s="93">
        <f>IF(COUNTIFS('Data - Monthly Metrics'!A:A,$B$4-1,'Data - Monthly Metrics'!B:B,"Nov",'Data - Monthly Metrics'!C:C,"Snohomish",'Data - Monthly Metrics'!D:D,"Drops - Target (#)")=0,"-",SUMIFS('Data - Monthly Metrics'!E:E,'Data - Monthly Metrics'!A:A,$B$4-1,'Data - Monthly Metrics'!B:B,"Nov",'Data - Monthly Metrics'!C:C,"Snohomish",'Data - Monthly Metrics'!D:D,"Drops - Target (#)"))</f>
        <v/>
      </c>
      <c r="D69" s="93">
        <f>IF(COUNTIFS('Data - Monthly Metrics'!A:A,$B$4-1,'Data - Monthly Metrics'!B:B,"Dec",'Data - Monthly Metrics'!C:C,"Snohomish",'Data - Monthly Metrics'!D:D,"Drops - Target (#)")=0,"-",SUMIFS('Data - Monthly Metrics'!E:E,'Data - Monthly Metrics'!A:A,$B$4-1,'Data - Monthly Metrics'!B:B,"Dec",'Data - Monthly Metrics'!C:C,"Snohomish",'Data - Monthly Metrics'!D:D,"Drops - Target (#)"))</f>
        <v/>
      </c>
      <c r="E69" s="103">
        <f>SUM(B69,C69,D69)</f>
        <v/>
      </c>
      <c r="F69" s="93">
        <f>IF(COUNTIFS('Data - Monthly Metrics'!A:A,$B$4,'Data - Monthly Metrics'!B:B,"Jan",'Data - Monthly Metrics'!C:C,"Snohomish",'Data - Monthly Metrics'!D:D,"Drops - Target (#)")=0,"-",SUMIFS('Data - Monthly Metrics'!E:E,'Data - Monthly Metrics'!A:A,$B$4,'Data - Monthly Metrics'!B:B,"Jan",'Data - Monthly Metrics'!C:C,"Snohomish",'Data - Monthly Metrics'!D:D,"Drops - Target (#)"))</f>
        <v/>
      </c>
      <c r="G69" s="93">
        <f>IF(COUNTIFS('Data - Monthly Metrics'!A:A,$B$4,'Data - Monthly Metrics'!B:B,"Feb",'Data - Monthly Metrics'!C:C,"Snohomish",'Data - Monthly Metrics'!D:D,"Drops - Target (#)")=0,"-",SUMIFS('Data - Monthly Metrics'!E:E,'Data - Monthly Metrics'!A:A,$B$4,'Data - Monthly Metrics'!B:B,"Feb",'Data - Monthly Metrics'!C:C,"Snohomish",'Data - Monthly Metrics'!D:D,"Drops - Target (#)"))</f>
        <v/>
      </c>
      <c r="H69" s="93">
        <f>IF(COUNTIFS('Data - Monthly Metrics'!A:A,$B$4,'Data - Monthly Metrics'!B:B,"Mar",'Data - Monthly Metrics'!C:C,"Snohomish",'Data - Monthly Metrics'!D:D,"Drops - Target (#)")=0,"-",SUMIFS('Data - Monthly Metrics'!E:E,'Data - Monthly Metrics'!A:A,$B$4,'Data - Monthly Metrics'!B:B,"Mar",'Data - Monthly Metrics'!C:C,"Snohomish",'Data - Monthly Metrics'!D:D,"Drops - Target (#)"))</f>
        <v/>
      </c>
      <c r="I69" s="103">
        <f>SUM(F69,G69,H69)</f>
        <v/>
      </c>
      <c r="J69" s="93">
        <f>IF(COUNTIFS('Data - Monthly Metrics'!A:A,$B$4,'Data - Monthly Metrics'!B:B,"Apr",'Data - Monthly Metrics'!C:C,"Snohomish",'Data - Monthly Metrics'!D:D,"Drops - Target (#)")=0,"-",SUMIFS('Data - Monthly Metrics'!E:E,'Data - Monthly Metrics'!A:A,$B$4,'Data - Monthly Metrics'!B:B,"Apr",'Data - Monthly Metrics'!C:C,"Snohomish",'Data - Monthly Metrics'!D:D,"Drops - Target (#)"))</f>
        <v/>
      </c>
      <c r="K69" s="93">
        <f>IF(COUNTIFS('Data - Monthly Metrics'!A:A,$B$4,'Data - Monthly Metrics'!B:B,"May",'Data - Monthly Metrics'!C:C,"Snohomish",'Data - Monthly Metrics'!D:D,"Drops - Target (#)")=0,"-",SUMIFS('Data - Monthly Metrics'!E:E,'Data - Monthly Metrics'!A:A,$B$4,'Data - Monthly Metrics'!B:B,"May",'Data - Monthly Metrics'!C:C,"Snohomish",'Data - Monthly Metrics'!D:D,"Drops - Target (#)"))</f>
        <v/>
      </c>
      <c r="L69" s="93">
        <f>IF(COUNTIFS('Data - Monthly Metrics'!A:A,$B$4,'Data - Monthly Metrics'!B:B,"Jun",'Data - Monthly Metrics'!C:C,"Snohomish",'Data - Monthly Metrics'!D:D,"Drops - Target (#)")=0,"-",SUMIFS('Data - Monthly Metrics'!E:E,'Data - Monthly Metrics'!A:A,$B$4,'Data - Monthly Metrics'!B:B,"Jun",'Data - Monthly Metrics'!C:C,"Snohomish",'Data - Monthly Metrics'!D:D,"Drops - Target (#)"))</f>
        <v/>
      </c>
      <c r="M69" s="103">
        <f>SUM(J69,K69,L69)</f>
        <v/>
      </c>
      <c r="N69" s="93">
        <f>IF(COUNTIFS('Data - Monthly Metrics'!A:A,$B$4,'Data - Monthly Metrics'!B:B,"Jul",'Data - Monthly Metrics'!C:C,"Snohomish",'Data - Monthly Metrics'!D:D,"Drops - Target (#)")=0,"-",SUMIFS('Data - Monthly Metrics'!E:E,'Data - Monthly Metrics'!A:A,$B$4,'Data - Monthly Metrics'!B:B,"Jul",'Data - Monthly Metrics'!C:C,"Snohomish",'Data - Monthly Metrics'!D:D,"Drops - Target (#)"))</f>
        <v/>
      </c>
      <c r="O69" s="93">
        <f>IF(COUNTIFS('Data - Monthly Metrics'!A:A,$B$4,'Data - Monthly Metrics'!B:B,"Aug",'Data - Monthly Metrics'!C:C,"Snohomish",'Data - Monthly Metrics'!D:D,"Drops - Target (#)")=0,"-",SUMIFS('Data - Monthly Metrics'!E:E,'Data - Monthly Metrics'!A:A,$B$4,'Data - Monthly Metrics'!B:B,"Aug",'Data - Monthly Metrics'!C:C,"Snohomish",'Data - Monthly Metrics'!D:D,"Drops - Target (#)"))</f>
        <v/>
      </c>
      <c r="P69" s="93">
        <f>IF(COUNTIFS('Data - Monthly Metrics'!A:A,$B$4,'Data - Monthly Metrics'!B:B,"Sep",'Data - Monthly Metrics'!C:C,"Snohomish",'Data - Monthly Metrics'!D:D,"Drops - Target (#)")=0,"-",SUMIFS('Data - Monthly Metrics'!E:E,'Data - Monthly Metrics'!A:A,$B$4,'Data - Monthly Metrics'!B:B,"Sep",'Data - Monthly Metrics'!C:C,"Snohomish",'Data - Monthly Metrics'!D:D,"Drops - Target (#)"))</f>
        <v/>
      </c>
      <c r="Q69" s="103">
        <f>SUM(N69,O69,P69)</f>
        <v/>
      </c>
      <c r="R69" s="103">
        <f>E69+I69+M69+Q69</f>
        <v/>
      </c>
    </row>
    <row r="70" ht="14.25" customHeight="1" s="82">
      <c r="A70" s="94" t="inlineStr">
        <is>
          <t>Dropped Revenue - Target ($)</t>
        </is>
      </c>
      <c r="B70" s="96">
        <f>IF(COUNTIFS('Data - Monthly Metrics'!A:A,$B$4-1,'Data - Monthly Metrics'!B:B,"Oct",'Data - Monthly Metrics'!C:C,"Snohomish",'Data - Monthly Metrics'!D:D,"Dropped Revenue - Target ($)")=0,"-",SUMIFS('Data - Monthly Metrics'!E:E,'Data - Monthly Metrics'!A:A,$B$4-1,'Data - Monthly Metrics'!B:B,"Oct",'Data - Monthly Metrics'!C:C,"Snohomish",'Data - Monthly Metrics'!D:D,"Dropped Revenue - Target ($)"))</f>
        <v/>
      </c>
      <c r="C70" s="96">
        <f>IF(COUNTIFS('Data - Monthly Metrics'!A:A,$B$4-1,'Data - Monthly Metrics'!B:B,"Nov",'Data - Monthly Metrics'!C:C,"Snohomish",'Data - Monthly Metrics'!D:D,"Dropped Revenue - Target ($)")=0,"-",SUMIFS('Data - Monthly Metrics'!E:E,'Data - Monthly Metrics'!A:A,$B$4-1,'Data - Monthly Metrics'!B:B,"Nov",'Data - Monthly Metrics'!C:C,"Snohomish",'Data - Monthly Metrics'!D:D,"Dropped Revenue - Target ($)"))</f>
        <v/>
      </c>
      <c r="D70" s="96">
        <f>IF(COUNTIFS('Data - Monthly Metrics'!A:A,$B$4-1,'Data - Monthly Metrics'!B:B,"Dec",'Data - Monthly Metrics'!C:C,"Snohomish",'Data - Monthly Metrics'!D:D,"Dropped Revenue - Target ($)")=0,"-",SUMIFS('Data - Monthly Metrics'!E:E,'Data - Monthly Metrics'!A:A,$B$4-1,'Data - Monthly Metrics'!B:B,"Dec",'Data - Monthly Metrics'!C:C,"Snohomish",'Data - Monthly Metrics'!D:D,"Dropped Revenue - Target ($)"))</f>
        <v/>
      </c>
      <c r="E70" s="101">
        <f>SUM(B70,C70,D70)</f>
        <v/>
      </c>
      <c r="F70" s="137">
        <f>IF(COUNTIFS('Data - Monthly Metrics'!A:A,$B$4,'Data - Monthly Metrics'!B:B,"Jan",'Data - Monthly Metrics'!C:C,"Snohomish",'Data - Monthly Metrics'!D:D,"Dropped Revenue - Target ($)")=0,"-",SUMIFS('Data - Monthly Metrics'!E:E,'Data - Monthly Metrics'!A:A,$B$4,'Data - Monthly Metrics'!B:B,"Jan",'Data - Monthly Metrics'!C:C,"Snohomish",'Data - Monthly Metrics'!D:D,"Dropped Revenue - Target ($)"))</f>
        <v/>
      </c>
      <c r="G70" s="137">
        <f>IF(COUNTIFS('Data - Monthly Metrics'!A:A,$B$4,'Data - Monthly Metrics'!B:B,"Feb",'Data - Monthly Metrics'!C:C,"Snohomish",'Data - Monthly Metrics'!D:D,"Dropped Revenue - Target ($)")=0,"-",SUMIFS('Data - Monthly Metrics'!E:E,'Data - Monthly Metrics'!A:A,$B$4,'Data - Monthly Metrics'!B:B,"Feb",'Data - Monthly Metrics'!C:C,"Snohomish",'Data - Monthly Metrics'!D:D,"Dropped Revenue - Target ($)"))</f>
        <v/>
      </c>
      <c r="H70" s="137">
        <f>IF(COUNTIFS('Data - Monthly Metrics'!A:A,$B$4,'Data - Monthly Metrics'!B:B,"Mar",'Data - Monthly Metrics'!C:C,"Snohomish",'Data - Monthly Metrics'!D:D,"Dropped Revenue - Target ($)")=0,"-",SUMIFS('Data - Monthly Metrics'!E:E,'Data - Monthly Metrics'!A:A,$B$4,'Data - Monthly Metrics'!B:B,"Mar",'Data - Monthly Metrics'!C:C,"Snohomish",'Data - Monthly Metrics'!D:D,"Dropped Revenue - Target ($)"))</f>
        <v/>
      </c>
      <c r="I70" s="101">
        <f>SUM(F70,G70,H70)</f>
        <v/>
      </c>
      <c r="J70" s="96">
        <f>IF(COUNTIFS('Data - Monthly Metrics'!A:A,$B$4,'Data - Monthly Metrics'!B:B,"Apr",'Data - Monthly Metrics'!C:C,"Snohomish",'Data - Monthly Metrics'!D:D,"Dropped Revenue - Target ($)")=0,"-",SUMIFS('Data - Monthly Metrics'!E:E,'Data - Monthly Metrics'!A:A,$B$4,'Data - Monthly Metrics'!B:B,"Apr",'Data - Monthly Metrics'!C:C,"Snohomish",'Data - Monthly Metrics'!D:D,"Dropped Revenue - Target ($)"))</f>
        <v/>
      </c>
      <c r="K70" s="96">
        <f>IF(COUNTIFS('Data - Monthly Metrics'!A:A,$B$4,'Data - Monthly Metrics'!B:B,"May",'Data - Monthly Metrics'!C:C,"Snohomish",'Data - Monthly Metrics'!D:D,"Dropped Revenue - Target ($)")=0,"-",SUMIFS('Data - Monthly Metrics'!E:E,'Data - Monthly Metrics'!A:A,$B$4,'Data - Monthly Metrics'!B:B,"May",'Data - Monthly Metrics'!C:C,"Snohomish",'Data - Monthly Metrics'!D:D,"Dropped Revenue - Target ($)"))</f>
        <v/>
      </c>
      <c r="L70" s="96">
        <f>IF(COUNTIFS('Data - Monthly Metrics'!A:A,$B$4,'Data - Monthly Metrics'!B:B,"Jun",'Data - Monthly Metrics'!C:C,"Snohomish",'Data - Monthly Metrics'!D:D,"Dropped Revenue - Target ($)")=0,"-",SUMIFS('Data - Monthly Metrics'!E:E,'Data - Monthly Metrics'!A:A,$B$4,'Data - Monthly Metrics'!B:B,"Jun",'Data - Monthly Metrics'!C:C,"Snohomish",'Data - Monthly Metrics'!D:D,"Dropped Revenue - Target ($)"))</f>
        <v/>
      </c>
      <c r="M70" s="101">
        <f>SUM(J70,K70,L70)</f>
        <v/>
      </c>
      <c r="N70" s="96">
        <f>IF(COUNTIFS('Data - Monthly Metrics'!A:A,$B$4,'Data - Monthly Metrics'!B:B,"Jul",'Data - Monthly Metrics'!C:C,"Snohomish",'Data - Monthly Metrics'!D:D,"Dropped Revenue - Target ($)")=0,"-",SUMIFS('Data - Monthly Metrics'!E:E,'Data - Monthly Metrics'!A:A,$B$4,'Data - Monthly Metrics'!B:B,"Jul",'Data - Monthly Metrics'!C:C,"Snohomish",'Data - Monthly Metrics'!D:D,"Dropped Revenue - Target ($)"))</f>
        <v/>
      </c>
      <c r="O70" s="96">
        <f>IF(COUNTIFS('Data - Monthly Metrics'!A:A,$B$4,'Data - Monthly Metrics'!B:B,"Aug",'Data - Monthly Metrics'!C:C,"Snohomish",'Data - Monthly Metrics'!D:D,"Dropped Revenue - Target ($)")=0,"-",SUMIFS('Data - Monthly Metrics'!E:E,'Data - Monthly Metrics'!A:A,$B$4,'Data - Monthly Metrics'!B:B,"Aug",'Data - Monthly Metrics'!C:C,"Snohomish",'Data - Monthly Metrics'!D:D,"Dropped Revenue - Target ($)"))</f>
        <v/>
      </c>
      <c r="P70" s="96">
        <f>IF(COUNTIFS('Data - Monthly Metrics'!A:A,$B$4,'Data - Monthly Metrics'!B:B,"Sep",'Data - Monthly Metrics'!C:C,"Snohomish",'Data - Monthly Metrics'!D:D,"Dropped Revenue - Target ($)")=0,"-",SUMIFS('Data - Monthly Metrics'!E:E,'Data - Monthly Metrics'!A:A,$B$4,'Data - Monthly Metrics'!B:B,"Sep",'Data - Monthly Metrics'!C:C,"Snohomish",'Data - Monthly Metrics'!D:D,"Dropped Revenue - Target ($)"))</f>
        <v/>
      </c>
      <c r="Q70" s="101">
        <f>SUM(N70,O70,P70)</f>
        <v/>
      </c>
      <c r="R70" s="101">
        <f>E70+I70+M70+Q70</f>
        <v/>
      </c>
    </row>
    <row r="71" hidden="1" ht="14.25" customHeight="1" s="82">
      <c r="A71" s="127" t="n"/>
    </row>
    <row r="72" hidden="1" ht="14.25" customHeight="1" s="82">
      <c r="A72" s="127" t="n"/>
      <c r="B72" s="128" t="n"/>
      <c r="C72" s="128" t="n"/>
      <c r="D72" s="128" t="n"/>
      <c r="E72" s="129" t="n"/>
      <c r="F72" s="138" t="n"/>
      <c r="G72" s="128" t="n"/>
      <c r="H72" s="138" t="n"/>
      <c r="I72" s="129" t="n"/>
      <c r="J72" s="128" t="n"/>
      <c r="K72" s="128" t="n"/>
      <c r="L72" s="128" t="n"/>
      <c r="M72" s="129" t="n"/>
      <c r="N72" s="128" t="n"/>
      <c r="O72" s="128" t="n"/>
      <c r="P72" s="128" t="n"/>
      <c r="Q72" s="129" t="n"/>
      <c r="R72" s="129" t="n"/>
    </row>
    <row r="73" ht="14.25" customHeight="1" s="82">
      <c r="F73" s="139" t="n"/>
      <c r="H73" s="139" t="n"/>
    </row>
    <row r="74" hidden="1" ht="14.25" customHeight="1" s="82">
      <c r="A74" s="127" t="n"/>
      <c r="B74" s="128" t="n"/>
      <c r="C74" s="128" t="n"/>
      <c r="D74" s="128" t="n"/>
      <c r="E74" s="129" t="n"/>
      <c r="F74" s="138" t="n"/>
      <c r="G74" s="128" t="n"/>
      <c r="H74" s="138" t="n"/>
      <c r="I74" s="129" t="n"/>
      <c r="J74" s="128" t="n"/>
      <c r="K74" s="128" t="n"/>
      <c r="L74" s="128" t="n"/>
      <c r="M74" s="129" t="n"/>
      <c r="N74" s="128" t="n"/>
      <c r="O74" s="128" t="n"/>
      <c r="P74" s="128" t="n"/>
      <c r="Q74" s="129" t="n"/>
      <c r="R74" s="129" t="n"/>
    </row>
    <row r="75" ht="14.25" customHeight="1" s="82"/>
    <row r="76" ht="21.75" customHeight="1" s="82">
      <c r="A76" s="87" t="inlineStr">
        <is>
          <t xml:space="preserve">  ▶   T5.  PENETRATION — Restaurant / Lodging / Combined</t>
        </is>
      </c>
    </row>
    <row r="77" ht="14.25" customHeight="1" s="82">
      <c r="A77" s="88" t="inlineStr">
        <is>
          <t>Metric</t>
        </is>
      </c>
      <c r="B77" s="88" t="inlineStr">
        <is>
          <t>Oct</t>
        </is>
      </c>
      <c r="C77" s="88" t="inlineStr">
        <is>
          <t>Nov</t>
        </is>
      </c>
      <c r="D77" s="88" t="inlineStr">
        <is>
          <t>Dec</t>
        </is>
      </c>
      <c r="E77" s="88" t="inlineStr">
        <is>
          <t>Q1</t>
        </is>
      </c>
      <c r="F77" s="88" t="inlineStr">
        <is>
          <t>Jan</t>
        </is>
      </c>
      <c r="G77" s="88" t="inlineStr">
        <is>
          <t>Feb</t>
        </is>
      </c>
      <c r="H77" s="88" t="inlineStr">
        <is>
          <t>Mar</t>
        </is>
      </c>
      <c r="I77" s="88" t="inlineStr">
        <is>
          <t>Q2</t>
        </is>
      </c>
      <c r="J77" s="88" t="inlineStr">
        <is>
          <t>Apr</t>
        </is>
      </c>
      <c r="K77" s="88" t="inlineStr">
        <is>
          <t>May</t>
        </is>
      </c>
      <c r="L77" s="88" t="inlineStr">
        <is>
          <t>Jun</t>
        </is>
      </c>
      <c r="M77" s="88" t="inlineStr">
        <is>
          <t>Q3</t>
        </is>
      </c>
      <c r="N77" s="88" t="inlineStr">
        <is>
          <t>Jul</t>
        </is>
      </c>
      <c r="O77" s="88" t="inlineStr">
        <is>
          <t>Aug</t>
        </is>
      </c>
      <c r="P77" s="88" t="inlineStr">
        <is>
          <t>Sep</t>
        </is>
      </c>
      <c r="Q77" s="88" t="inlineStr">
        <is>
          <t>Q4</t>
        </is>
      </c>
      <c r="R77" s="88" t="inlineStr">
        <is>
          <t>Avg</t>
        </is>
      </c>
    </row>
    <row r="78" ht="14.25" customHeight="1" s="82">
      <c r="A78" s="89" t="inlineStr">
        <is>
          <t>Penetration - Restaurant</t>
        </is>
      </c>
      <c r="B78" s="92">
        <f>IF(COUNTIFS('Data - Monthly Metrics'!A:A,$B$4-1,'Data - Monthly Metrics'!B:B,"Oct",'Data - Monthly Metrics'!C:C,"Snohomish",'Data - Monthly Metrics'!D:D,"Penetration - Restaurant %")=0,"-",SUMIFS('Data - Monthly Metrics'!E:E,'Data - Monthly Metrics'!A:A,$B$4-1,'Data - Monthly Metrics'!B:B,"Oct",'Data - Monthly Metrics'!C:C,"Snohomish",'Data - Monthly Metrics'!D:D,"Penetration - Restaurant %"))</f>
        <v/>
      </c>
      <c r="C78" s="92">
        <f>IF(COUNTIFS('Data - Monthly Metrics'!A:A,$B$4-1,'Data - Monthly Metrics'!B:B,"Nov",'Data - Monthly Metrics'!C:C,"Snohomish",'Data - Monthly Metrics'!D:D,"Penetration - Restaurant %")=0,"-",SUMIFS('Data - Monthly Metrics'!E:E,'Data - Monthly Metrics'!A:A,$B$4-1,'Data - Monthly Metrics'!B:B,"Nov",'Data - Monthly Metrics'!C:C,"Snohomish",'Data - Monthly Metrics'!D:D,"Penetration - Restaurant %"))</f>
        <v/>
      </c>
      <c r="D78" s="92">
        <f>IF(COUNTIFS('Data - Monthly Metrics'!A:A,$B$4-1,'Data - Monthly Metrics'!B:B,"Dec",'Data - Monthly Metrics'!C:C,"Snohomish",'Data - Monthly Metrics'!D:D,"Penetration - Restaurant %")=0,"-",SUMIFS('Data - Monthly Metrics'!E:E,'Data - Monthly Metrics'!A:A,$B$4-1,'Data - Monthly Metrics'!B:B,"Dec",'Data - Monthly Metrics'!C:C,"Snohomish",'Data - Monthly Metrics'!D:D,"Penetration - Restaurant %"))</f>
        <v/>
      </c>
      <c r="E78" s="102">
        <f>IF(ISNUMBER(D78),D78,IF(ISNUMBER(C78),C78,IF(ISNUMBER(B78),B78,"-")))</f>
        <v/>
      </c>
      <c r="F78" s="92">
        <f>IF(COUNTIFS('Data - Monthly Metrics'!A:A,$B$4,'Data - Monthly Metrics'!B:B,"Jan",'Data - Monthly Metrics'!C:C,"Snohomish",'Data - Monthly Metrics'!D:D,"Penetration - Restaurant %")=0,"-",SUMIFS('Data - Monthly Metrics'!E:E,'Data - Monthly Metrics'!A:A,$B$4,'Data - Monthly Metrics'!B:B,"Jan",'Data - Monthly Metrics'!C:C,"Snohomish",'Data - Monthly Metrics'!D:D,"Penetration - Restaurant %"))</f>
        <v/>
      </c>
      <c r="G78" s="92">
        <f>IF(COUNTIFS('Data - Monthly Metrics'!A:A,$B$4,'Data - Monthly Metrics'!B:B,"Feb",'Data - Monthly Metrics'!C:C,"Snohomish",'Data - Monthly Metrics'!D:D,"Penetration - Restaurant %")=0,"-",SUMIFS('Data - Monthly Metrics'!E:E,'Data - Monthly Metrics'!A:A,$B$4,'Data - Monthly Metrics'!B:B,"Feb",'Data - Monthly Metrics'!C:C,"Snohomish",'Data - Monthly Metrics'!D:D,"Penetration - Restaurant %"))</f>
        <v/>
      </c>
      <c r="H78" s="92">
        <f>IF(COUNTIFS('Data - Monthly Metrics'!A:A,$B$4,'Data - Monthly Metrics'!B:B,"Mar",'Data - Monthly Metrics'!C:C,"Snohomish",'Data - Monthly Metrics'!D:D,"Penetration - Restaurant %")=0,"-",SUMIFS('Data - Monthly Metrics'!E:E,'Data - Monthly Metrics'!A:A,$B$4,'Data - Monthly Metrics'!B:B,"Mar",'Data - Monthly Metrics'!C:C,"Snohomish",'Data - Monthly Metrics'!D:D,"Penetration - Restaurant %"))</f>
        <v/>
      </c>
      <c r="I78" s="102">
        <f>IF(ISNUMBER(H78),H78,IF(ISNUMBER(G78),G78,IF(ISNUMBER(F78),F78,"-")))</f>
        <v/>
      </c>
      <c r="J78" s="92">
        <f>IF(COUNTIFS('Data - Monthly Metrics'!A:A,$B$4,'Data - Monthly Metrics'!B:B,"Apr",'Data - Monthly Metrics'!C:C,"Snohomish",'Data - Monthly Metrics'!D:D,"Penetration - Restaurant %")=0,"-",SUMIFS('Data - Monthly Metrics'!E:E,'Data - Monthly Metrics'!A:A,$B$4,'Data - Monthly Metrics'!B:B,"Apr",'Data - Monthly Metrics'!C:C,"Snohomish",'Data - Monthly Metrics'!D:D,"Penetration - Restaurant %"))</f>
        <v/>
      </c>
      <c r="K78" s="92">
        <f>IF(COUNTIFS('Data - Monthly Metrics'!A:A,$B$4,'Data - Monthly Metrics'!B:B,"May",'Data - Monthly Metrics'!C:C,"Snohomish",'Data - Monthly Metrics'!D:D,"Penetration - Restaurant %")=0,"-",SUMIFS('Data - Monthly Metrics'!E:E,'Data - Monthly Metrics'!A:A,$B$4,'Data - Monthly Metrics'!B:B,"May",'Data - Monthly Metrics'!C:C,"Snohomish",'Data - Monthly Metrics'!D:D,"Penetration - Restaurant %"))</f>
        <v/>
      </c>
      <c r="L78" s="92">
        <f>IF(COUNTIFS('Data - Monthly Metrics'!A:A,$B$4,'Data - Monthly Metrics'!B:B,"Jun",'Data - Monthly Metrics'!C:C,"Snohomish",'Data - Monthly Metrics'!D:D,"Penetration - Restaurant %")=0,"-",SUMIFS('Data - Monthly Metrics'!E:E,'Data - Monthly Metrics'!A:A,$B$4,'Data - Monthly Metrics'!B:B,"Jun",'Data - Monthly Metrics'!C:C,"Snohomish",'Data - Monthly Metrics'!D:D,"Penetration - Restaurant %"))</f>
        <v/>
      </c>
      <c r="M78" s="102">
        <f>IF(ISNUMBER(L78),L78,IF(ISNUMBER(K78),K78,IF(ISNUMBER(J78),J78,"-")))</f>
        <v/>
      </c>
      <c r="N78" s="92">
        <f>IF(COUNTIFS('Data - Monthly Metrics'!A:A,$B$4,'Data - Monthly Metrics'!B:B,"Jul",'Data - Monthly Metrics'!C:C,"Snohomish",'Data - Monthly Metrics'!D:D,"Penetration - Restaurant %")=0,"-",SUMIFS('Data - Monthly Metrics'!E:E,'Data - Monthly Metrics'!A:A,$B$4,'Data - Monthly Metrics'!B:B,"Jul",'Data - Monthly Metrics'!C:C,"Snohomish",'Data - Monthly Metrics'!D:D,"Penetration - Restaurant %"))</f>
        <v/>
      </c>
      <c r="O78" s="92">
        <f>IF(COUNTIFS('Data - Monthly Metrics'!A:A,$B$4,'Data - Monthly Metrics'!B:B,"Aug",'Data - Monthly Metrics'!C:C,"Snohomish",'Data - Monthly Metrics'!D:D,"Penetration - Restaurant %")=0,"-",SUMIFS('Data - Monthly Metrics'!E:E,'Data - Monthly Metrics'!A:A,$B$4,'Data - Monthly Metrics'!B:B,"Aug",'Data - Monthly Metrics'!C:C,"Snohomish",'Data - Monthly Metrics'!D:D,"Penetration - Restaurant %"))</f>
        <v/>
      </c>
      <c r="P78" s="92">
        <f>IF(COUNTIFS('Data - Monthly Metrics'!A:A,$B$4,'Data - Monthly Metrics'!B:B,"Sep",'Data - Monthly Metrics'!C:C,"Snohomish",'Data - Monthly Metrics'!D:D,"Penetration - Restaurant %")=0,"-",SUMIFS('Data - Monthly Metrics'!E:E,'Data - Monthly Metrics'!A:A,$B$4,'Data - Monthly Metrics'!B:B,"Sep",'Data - Monthly Metrics'!C:C,"Snohomish",'Data - Monthly Metrics'!D:D,"Penetration - Restaurant %"))</f>
        <v/>
      </c>
      <c r="Q78" s="102">
        <f>IF(ISNUMBER(P78),P78,IF(ISNUMBER(O78),O78,IF(ISNUMBER(N78),N78,"-")))</f>
        <v/>
      </c>
      <c r="R78" s="102">
        <f>IF(ISNUMBER(Q78),Q78,IF(ISNUMBER(M78),M78,IF(ISNUMBER(I78),I78,IF(ISNUMBER(E78),E78,"-"))))</f>
        <v/>
      </c>
    </row>
    <row r="79" ht="14.25" customHeight="1" s="82">
      <c r="A79" s="94" t="inlineStr">
        <is>
          <t>Penetration - Lodging</t>
        </is>
      </c>
      <c r="B79" s="97">
        <f>IF(COUNTIFS('Data - Monthly Metrics'!A:A,$B$4-1,'Data - Monthly Metrics'!B:B,"Oct",'Data - Monthly Metrics'!C:C,"Snohomish",'Data - Monthly Metrics'!D:D,"Penetration - Lodging %")=0,"-",SUMIFS('Data - Monthly Metrics'!E:E,'Data - Monthly Metrics'!A:A,$B$4-1,'Data - Monthly Metrics'!B:B,"Oct",'Data - Monthly Metrics'!C:C,"Snohomish",'Data - Monthly Metrics'!D:D,"Penetration - Lodging %"))</f>
        <v/>
      </c>
      <c r="C79" s="97">
        <f>IF(COUNTIFS('Data - Monthly Metrics'!A:A,$B$4-1,'Data - Monthly Metrics'!B:B,"Nov",'Data - Monthly Metrics'!C:C,"Snohomish",'Data - Monthly Metrics'!D:D,"Penetration - Lodging %")=0,"-",SUMIFS('Data - Monthly Metrics'!E:E,'Data - Monthly Metrics'!A:A,$B$4-1,'Data - Monthly Metrics'!B:B,"Nov",'Data - Monthly Metrics'!C:C,"Snohomish",'Data - Monthly Metrics'!D:D,"Penetration - Lodging %"))</f>
        <v/>
      </c>
      <c r="D79" s="97">
        <f>IF(COUNTIFS('Data - Monthly Metrics'!A:A,$B$4-1,'Data - Monthly Metrics'!B:B,"Dec",'Data - Monthly Metrics'!C:C,"Snohomish",'Data - Monthly Metrics'!D:D,"Penetration - Lodging %")=0,"-",SUMIFS('Data - Monthly Metrics'!E:E,'Data - Monthly Metrics'!A:A,$B$4-1,'Data - Monthly Metrics'!B:B,"Dec",'Data - Monthly Metrics'!C:C,"Snohomish",'Data - Monthly Metrics'!D:D,"Penetration - Lodging %"))</f>
        <v/>
      </c>
      <c r="E79" s="102">
        <f>IF(ISNUMBER(D79),D79,IF(ISNUMBER(C79),C79,IF(ISNUMBER(B79),B79,"-")))</f>
        <v/>
      </c>
      <c r="F79" s="97">
        <f>IF(COUNTIFS('Data - Monthly Metrics'!A:A,$B$4,'Data - Monthly Metrics'!B:B,"Jan",'Data - Monthly Metrics'!C:C,"Snohomish",'Data - Monthly Metrics'!D:D,"Penetration - Lodging %")=0,"-",SUMIFS('Data - Monthly Metrics'!E:E,'Data - Monthly Metrics'!A:A,$B$4,'Data - Monthly Metrics'!B:B,"Jan",'Data - Monthly Metrics'!C:C,"Snohomish",'Data - Monthly Metrics'!D:D,"Penetration - Lodging %"))</f>
        <v/>
      </c>
      <c r="G79" s="97">
        <f>IF(COUNTIFS('Data - Monthly Metrics'!A:A,$B$4,'Data - Monthly Metrics'!B:B,"Feb",'Data - Monthly Metrics'!C:C,"Snohomish",'Data - Monthly Metrics'!D:D,"Penetration - Lodging %")=0,"-",SUMIFS('Data - Monthly Metrics'!E:E,'Data - Monthly Metrics'!A:A,$B$4,'Data - Monthly Metrics'!B:B,"Feb",'Data - Monthly Metrics'!C:C,"Snohomish",'Data - Monthly Metrics'!D:D,"Penetration - Lodging %"))</f>
        <v/>
      </c>
      <c r="H79" s="97">
        <f>IF(COUNTIFS('Data - Monthly Metrics'!A:A,$B$4,'Data - Monthly Metrics'!B:B,"Mar",'Data - Monthly Metrics'!C:C,"Snohomish",'Data - Monthly Metrics'!D:D,"Penetration - Lodging %")=0,"-",SUMIFS('Data - Monthly Metrics'!E:E,'Data - Monthly Metrics'!A:A,$B$4,'Data - Monthly Metrics'!B:B,"Mar",'Data - Monthly Metrics'!C:C,"Snohomish",'Data - Monthly Metrics'!D:D,"Penetration - Lodging %"))</f>
        <v/>
      </c>
      <c r="I79" s="102">
        <f>IF(ISNUMBER(H79),H79,IF(ISNUMBER(G79),G79,IF(ISNUMBER(F79),F79,"-")))</f>
        <v/>
      </c>
      <c r="J79" s="97">
        <f>IF(COUNTIFS('Data - Monthly Metrics'!A:A,$B$4,'Data - Monthly Metrics'!B:B,"Apr",'Data - Monthly Metrics'!C:C,"Snohomish",'Data - Monthly Metrics'!D:D,"Penetration - Lodging %")=0,"-",SUMIFS('Data - Monthly Metrics'!E:E,'Data - Monthly Metrics'!A:A,$B$4,'Data - Monthly Metrics'!B:B,"Apr",'Data - Monthly Metrics'!C:C,"Snohomish",'Data - Monthly Metrics'!D:D,"Penetration - Lodging %"))</f>
        <v/>
      </c>
      <c r="K79" s="97">
        <f>IF(COUNTIFS('Data - Monthly Metrics'!A:A,$B$4,'Data - Monthly Metrics'!B:B,"May",'Data - Monthly Metrics'!C:C,"Snohomish",'Data - Monthly Metrics'!D:D,"Penetration - Lodging %")=0,"-",SUMIFS('Data - Monthly Metrics'!E:E,'Data - Monthly Metrics'!A:A,$B$4,'Data - Monthly Metrics'!B:B,"May",'Data - Monthly Metrics'!C:C,"Snohomish",'Data - Monthly Metrics'!D:D,"Penetration - Lodging %"))</f>
        <v/>
      </c>
      <c r="L79" s="97">
        <f>IF(COUNTIFS('Data - Monthly Metrics'!A:A,$B$4,'Data - Monthly Metrics'!B:B,"Jun",'Data - Monthly Metrics'!C:C,"Snohomish",'Data - Monthly Metrics'!D:D,"Penetration - Lodging %")=0,"-",SUMIFS('Data - Monthly Metrics'!E:E,'Data - Monthly Metrics'!A:A,$B$4,'Data - Monthly Metrics'!B:B,"Jun",'Data - Monthly Metrics'!C:C,"Snohomish",'Data - Monthly Metrics'!D:D,"Penetration - Lodging %"))</f>
        <v/>
      </c>
      <c r="M79" s="102">
        <f>IF(ISNUMBER(L79),L79,IF(ISNUMBER(K79),K79,IF(ISNUMBER(J79),J79,"-")))</f>
        <v/>
      </c>
      <c r="N79" s="97">
        <f>IF(COUNTIFS('Data - Monthly Metrics'!A:A,$B$4,'Data - Monthly Metrics'!B:B,"Jul",'Data - Monthly Metrics'!C:C,"Snohomish",'Data - Monthly Metrics'!D:D,"Penetration - Lodging %")=0,"-",SUMIFS('Data - Monthly Metrics'!E:E,'Data - Monthly Metrics'!A:A,$B$4,'Data - Monthly Metrics'!B:B,"Jul",'Data - Monthly Metrics'!C:C,"Snohomish",'Data - Monthly Metrics'!D:D,"Penetration - Lodging %"))</f>
        <v/>
      </c>
      <c r="O79" s="97">
        <f>IF(COUNTIFS('Data - Monthly Metrics'!A:A,$B$4,'Data - Monthly Metrics'!B:B,"Aug",'Data - Monthly Metrics'!C:C,"Snohomish",'Data - Monthly Metrics'!D:D,"Penetration - Lodging %")=0,"-",SUMIFS('Data - Monthly Metrics'!E:E,'Data - Monthly Metrics'!A:A,$B$4,'Data - Monthly Metrics'!B:B,"Aug",'Data - Monthly Metrics'!C:C,"Snohomish",'Data - Monthly Metrics'!D:D,"Penetration - Lodging %"))</f>
        <v/>
      </c>
      <c r="P79" s="97">
        <f>IF(COUNTIFS('Data - Monthly Metrics'!A:A,$B$4,'Data - Monthly Metrics'!B:B,"Sep",'Data - Monthly Metrics'!C:C,"Snohomish",'Data - Monthly Metrics'!D:D,"Penetration - Lodging %")=0,"-",SUMIFS('Data - Monthly Metrics'!E:E,'Data - Monthly Metrics'!A:A,$B$4,'Data - Monthly Metrics'!B:B,"Sep",'Data - Monthly Metrics'!C:C,"Snohomish",'Data - Monthly Metrics'!D:D,"Penetration - Lodging %"))</f>
        <v/>
      </c>
      <c r="Q79" s="102">
        <f>IF(ISNUMBER(P79),P79,IF(ISNUMBER(O79),O79,IF(ISNUMBER(N79),N79,"-")))</f>
        <v/>
      </c>
      <c r="R79" s="102">
        <f>IF(ISNUMBER(Q79),Q79,IF(ISNUMBER(M79),M79,IF(ISNUMBER(I79),I79,IF(ISNUMBER(E79),E79,"-"))))</f>
        <v/>
      </c>
    </row>
    <row r="80" ht="14.25" customHeight="1" s="82">
      <c r="A80" s="89" t="inlineStr">
        <is>
          <t>Penetration - Combined</t>
        </is>
      </c>
      <c r="B80" s="92">
        <f>IF(COUNTIFS('Data - Monthly Metrics'!A:A,$B$4-1,'Data - Monthly Metrics'!B:B,"Oct",'Data - Monthly Metrics'!C:C,"Snohomish",'Data - Monthly Metrics'!D:D,"Penetration - Combined %")=0,"-",SUMIFS('Data - Monthly Metrics'!E:E,'Data - Monthly Metrics'!A:A,$B$4-1,'Data - Monthly Metrics'!B:B,"Oct",'Data - Monthly Metrics'!C:C,"Snohomish",'Data - Monthly Metrics'!D:D,"Penetration - Combined %"))</f>
        <v/>
      </c>
      <c r="C80" s="92">
        <f>IF(COUNTIFS('Data - Monthly Metrics'!A:A,$B$4-1,'Data - Monthly Metrics'!B:B,"Nov",'Data - Monthly Metrics'!C:C,"Snohomish",'Data - Monthly Metrics'!D:D,"Penetration - Combined %")=0,"-",SUMIFS('Data - Monthly Metrics'!E:E,'Data - Monthly Metrics'!A:A,$B$4-1,'Data - Monthly Metrics'!B:B,"Nov",'Data - Monthly Metrics'!C:C,"Snohomish",'Data - Monthly Metrics'!D:D,"Penetration - Combined %"))</f>
        <v/>
      </c>
      <c r="D80" s="92">
        <f>IF(COUNTIFS('Data - Monthly Metrics'!A:A,$B$4-1,'Data - Monthly Metrics'!B:B,"Dec",'Data - Monthly Metrics'!C:C,"Snohomish",'Data - Monthly Metrics'!D:D,"Penetration - Combined %")=0,"-",SUMIFS('Data - Monthly Metrics'!E:E,'Data - Monthly Metrics'!A:A,$B$4-1,'Data - Monthly Metrics'!B:B,"Dec",'Data - Monthly Metrics'!C:C,"Snohomish",'Data - Monthly Metrics'!D:D,"Penetration - Combined %"))</f>
        <v/>
      </c>
      <c r="E80" s="102">
        <f>IF(ISNUMBER(D80),D80,IF(ISNUMBER(C80),C80,IF(ISNUMBER(B80),B80,"-")))</f>
        <v/>
      </c>
      <c r="F80" s="92">
        <f>IF(COUNTIFS('Data - Monthly Metrics'!A:A,$B$4,'Data - Monthly Metrics'!B:B,"Jan",'Data - Monthly Metrics'!C:C,"Snohomish",'Data - Monthly Metrics'!D:D,"Penetration - Combined %")=0,"-",SUMIFS('Data - Monthly Metrics'!E:E,'Data - Monthly Metrics'!A:A,$B$4,'Data - Monthly Metrics'!B:B,"Jan",'Data - Monthly Metrics'!C:C,"Snohomish",'Data - Monthly Metrics'!D:D,"Penetration - Combined %"))</f>
        <v/>
      </c>
      <c r="G80" s="92">
        <f>IF(COUNTIFS('Data - Monthly Metrics'!A:A,$B$4,'Data - Monthly Metrics'!B:B,"Feb",'Data - Monthly Metrics'!C:C,"Snohomish",'Data - Monthly Metrics'!D:D,"Penetration - Combined %")=0,"-",SUMIFS('Data - Monthly Metrics'!E:E,'Data - Monthly Metrics'!A:A,$B$4,'Data - Monthly Metrics'!B:B,"Feb",'Data - Monthly Metrics'!C:C,"Snohomish",'Data - Monthly Metrics'!D:D,"Penetration - Combined %"))</f>
        <v/>
      </c>
      <c r="H80" s="92">
        <f>IF(COUNTIFS('Data - Monthly Metrics'!A:A,$B$4,'Data - Monthly Metrics'!B:B,"Mar",'Data - Monthly Metrics'!C:C,"Snohomish",'Data - Monthly Metrics'!D:D,"Penetration - Combined %")=0,"-",SUMIFS('Data - Monthly Metrics'!E:E,'Data - Monthly Metrics'!A:A,$B$4,'Data - Monthly Metrics'!B:B,"Mar",'Data - Monthly Metrics'!C:C,"Snohomish",'Data - Monthly Metrics'!D:D,"Penetration - Combined %"))</f>
        <v/>
      </c>
      <c r="I80" s="102">
        <f>IF(ISNUMBER(H80),H80,IF(ISNUMBER(G80),G80,IF(ISNUMBER(F80),F80,"-")))</f>
        <v/>
      </c>
      <c r="J80" s="92">
        <f>IF(COUNTIFS('Data - Monthly Metrics'!A:A,$B$4,'Data - Monthly Metrics'!B:B,"Apr",'Data - Monthly Metrics'!C:C,"Snohomish",'Data - Monthly Metrics'!D:D,"Penetration - Combined %")=0,"-",SUMIFS('Data - Monthly Metrics'!E:E,'Data - Monthly Metrics'!A:A,$B$4,'Data - Monthly Metrics'!B:B,"Apr",'Data - Monthly Metrics'!C:C,"Snohomish",'Data - Monthly Metrics'!D:D,"Penetration - Combined %"))</f>
        <v/>
      </c>
      <c r="K80" s="92">
        <f>IF(COUNTIFS('Data - Monthly Metrics'!A:A,$B$4,'Data - Monthly Metrics'!B:B,"May",'Data - Monthly Metrics'!C:C,"Snohomish",'Data - Monthly Metrics'!D:D,"Penetration - Combined %")=0,"-",SUMIFS('Data - Monthly Metrics'!E:E,'Data - Monthly Metrics'!A:A,$B$4,'Data - Monthly Metrics'!B:B,"May",'Data - Monthly Metrics'!C:C,"Snohomish",'Data - Monthly Metrics'!D:D,"Penetration - Combined %"))</f>
        <v/>
      </c>
      <c r="L80" s="92">
        <f>IF(COUNTIFS('Data - Monthly Metrics'!A:A,$B$4,'Data - Monthly Metrics'!B:B,"Jun",'Data - Monthly Metrics'!C:C,"Snohomish",'Data - Monthly Metrics'!D:D,"Penetration - Combined %")=0,"-",SUMIFS('Data - Monthly Metrics'!E:E,'Data - Monthly Metrics'!A:A,$B$4,'Data - Monthly Metrics'!B:B,"Jun",'Data - Monthly Metrics'!C:C,"Snohomish",'Data - Monthly Metrics'!D:D,"Penetration - Combined %"))</f>
        <v/>
      </c>
      <c r="M80" s="102">
        <f>IF(ISNUMBER(L80),L80,IF(ISNUMBER(K80),K80,IF(ISNUMBER(J80),J80,"-")))</f>
        <v/>
      </c>
      <c r="N80" s="92">
        <f>IF(COUNTIFS('Data - Monthly Metrics'!A:A,$B$4,'Data - Monthly Metrics'!B:B,"Jul",'Data - Monthly Metrics'!C:C,"Snohomish",'Data - Monthly Metrics'!D:D,"Penetration - Combined %")=0,"-",SUMIFS('Data - Monthly Metrics'!E:E,'Data - Monthly Metrics'!A:A,$B$4,'Data - Monthly Metrics'!B:B,"Jul",'Data - Monthly Metrics'!C:C,"Snohomish",'Data - Monthly Metrics'!D:D,"Penetration - Combined %"))</f>
        <v/>
      </c>
      <c r="O80" s="92">
        <f>IF(COUNTIFS('Data - Monthly Metrics'!A:A,$B$4,'Data - Monthly Metrics'!B:B,"Aug",'Data - Monthly Metrics'!C:C,"Snohomish",'Data - Monthly Metrics'!D:D,"Penetration - Combined %")=0,"-",SUMIFS('Data - Monthly Metrics'!E:E,'Data - Monthly Metrics'!A:A,$B$4,'Data - Monthly Metrics'!B:B,"Aug",'Data - Monthly Metrics'!C:C,"Snohomish",'Data - Monthly Metrics'!D:D,"Penetration - Combined %"))</f>
        <v/>
      </c>
      <c r="P80" s="92">
        <f>IF(COUNTIFS('Data - Monthly Metrics'!A:A,$B$4,'Data - Monthly Metrics'!B:B,"Sep",'Data - Monthly Metrics'!C:C,"Snohomish",'Data - Monthly Metrics'!D:D,"Penetration - Combined %")=0,"-",SUMIFS('Data - Monthly Metrics'!E:E,'Data - Monthly Metrics'!A:A,$B$4,'Data - Monthly Metrics'!B:B,"Sep",'Data - Monthly Metrics'!C:C,"Snohomish",'Data - Monthly Metrics'!D:D,"Penetration - Combined %"))</f>
        <v/>
      </c>
      <c r="Q80" s="102">
        <f>IF(ISNUMBER(P80),P80,IF(ISNUMBER(O80),O80,IF(ISNUMBER(N80),N80,"-")))</f>
        <v/>
      </c>
      <c r="R80" s="102">
        <f>IF(ISNUMBER(Q80),Q80,IF(ISNUMBER(M80),M80,IF(ISNUMBER(I80),I80,IF(ISNUMBER(E80),E80,"-"))))</f>
        <v/>
      </c>
    </row>
    <row r="81" hidden="1" ht="17.25" customHeight="1" s="82">
      <c r="A81" s="127" t="n"/>
      <c r="B81" s="140" t="n"/>
      <c r="C81" s="140" t="n"/>
      <c r="D81" s="140" t="n"/>
      <c r="E81" s="140" t="n"/>
      <c r="F81" s="141" t="n"/>
      <c r="G81" s="141" t="n"/>
      <c r="H81" s="141" t="n"/>
      <c r="I81" s="140" t="n"/>
      <c r="J81" s="140" t="n"/>
      <c r="K81" s="140" t="n"/>
      <c r="L81" s="140" t="n"/>
      <c r="M81" s="140" t="n"/>
      <c r="N81" s="140" t="n"/>
      <c r="O81" s="140" t="n"/>
      <c r="P81" s="140" t="n"/>
      <c r="Q81" s="140" t="n"/>
      <c r="R81" s="140" t="n"/>
    </row>
    <row r="82" hidden="1" ht="14.25" customHeight="1" s="82">
      <c r="A82" s="142" t="n"/>
      <c r="B82" s="143" t="n"/>
      <c r="C82" s="143" t="n"/>
      <c r="D82" s="143" t="n"/>
      <c r="E82" s="143" t="n"/>
      <c r="F82" s="144" t="n"/>
      <c r="G82" s="144" t="n"/>
      <c r="H82" s="144" t="n"/>
      <c r="I82" s="143" t="n"/>
      <c r="J82" s="143" t="n"/>
      <c r="K82" s="143" t="n"/>
      <c r="L82" s="143" t="n"/>
      <c r="M82" s="143" t="n"/>
      <c r="N82" s="143" t="n"/>
      <c r="O82" s="143" t="n"/>
      <c r="P82" s="143" t="n"/>
      <c r="Q82" s="143" t="n"/>
      <c r="R82" s="143" t="n"/>
    </row>
    <row r="83" hidden="1" ht="14.25" customHeight="1" s="82">
      <c r="A83" s="127" t="n"/>
      <c r="B83" s="162" t="n"/>
      <c r="C83" s="162" t="n"/>
      <c r="D83" s="162" t="n"/>
      <c r="E83" s="162" t="n"/>
      <c r="F83" s="162" t="n"/>
      <c r="G83" s="162" t="n"/>
      <c r="H83" s="162" t="n"/>
      <c r="I83" s="162" t="n"/>
      <c r="J83" s="162" t="n"/>
      <c r="K83" s="162" t="n"/>
      <c r="L83" s="162" t="n"/>
      <c r="M83" s="162" t="n"/>
      <c r="N83" s="162" t="n"/>
      <c r="O83" s="162" t="n"/>
      <c r="P83" s="162" t="n"/>
      <c r="Q83" s="162" t="n"/>
      <c r="R83" s="163" t="n"/>
    </row>
    <row r="84" ht="25.5" customHeight="1" s="82">
      <c r="A84" s="146" t="inlineStr">
        <is>
          <t>▼  NON-TARGET MEMBERS  ▼</t>
        </is>
      </c>
    </row>
    <row r="85"/>
    <row r="86" ht="21.75" customHeight="1" s="82">
      <c r="A86" s="147" t="inlineStr">
        <is>
          <t xml:space="preserve">  ▶   N1.  SALES — Non-Target</t>
        </is>
      </c>
    </row>
    <row r="87" ht="14.25" customHeight="1" s="82">
      <c r="A87" s="148" t="inlineStr">
        <is>
          <t>Metric</t>
        </is>
      </c>
      <c r="B87" s="148" t="inlineStr">
        <is>
          <t>Oct</t>
        </is>
      </c>
      <c r="C87" s="148" t="inlineStr">
        <is>
          <t>Nov</t>
        </is>
      </c>
      <c r="D87" s="148" t="inlineStr">
        <is>
          <t>Dec</t>
        </is>
      </c>
      <c r="E87" s="148" t="inlineStr">
        <is>
          <t>Q1</t>
        </is>
      </c>
      <c r="F87" s="148" t="inlineStr">
        <is>
          <t>Jan</t>
        </is>
      </c>
      <c r="G87" s="148" t="inlineStr">
        <is>
          <t>Feb</t>
        </is>
      </c>
      <c r="H87" s="148" t="inlineStr">
        <is>
          <t>Mar</t>
        </is>
      </c>
      <c r="I87" s="148" t="inlineStr">
        <is>
          <t>Q2</t>
        </is>
      </c>
      <c r="J87" s="148" t="inlineStr">
        <is>
          <t>Apr</t>
        </is>
      </c>
      <c r="K87" s="148" t="inlineStr">
        <is>
          <t>May</t>
        </is>
      </c>
      <c r="L87" s="148" t="inlineStr">
        <is>
          <t>Jun</t>
        </is>
      </c>
      <c r="M87" s="148" t="inlineStr">
        <is>
          <t>Q3</t>
        </is>
      </c>
      <c r="N87" s="148" t="inlineStr">
        <is>
          <t>Jul</t>
        </is>
      </c>
      <c r="O87" s="148" t="inlineStr">
        <is>
          <t>Aug</t>
        </is>
      </c>
      <c r="P87" s="148" t="inlineStr">
        <is>
          <t>Sep</t>
        </is>
      </c>
      <c r="Q87" s="148" t="inlineStr">
        <is>
          <t>Q4</t>
        </is>
      </c>
      <c r="R87" s="148" t="inlineStr">
        <is>
          <t>YTD</t>
        </is>
      </c>
    </row>
    <row r="88" ht="14.25" customHeight="1" s="82">
      <c r="A88" s="89" t="inlineStr">
        <is>
          <t>New Sales Revenue - Non-Target ($)</t>
        </is>
      </c>
      <c r="B88" s="91">
        <f>IF(COUNTIFS('Data - Monthly Metrics'!A:A,$B$4-1,'Data - Monthly Metrics'!B:B,"Oct",'Data - Monthly Metrics'!C:C,"Snohomish",'Data - Monthly Metrics'!D:D,"New Sales Revenue - Non-Target ($)")=0,"-",SUMIFS('Data - Monthly Metrics'!E:E,'Data - Monthly Metrics'!A:A,$B$4-1,'Data - Monthly Metrics'!B:B,"Oct",'Data - Monthly Metrics'!C:C,"Snohomish",'Data - Monthly Metrics'!D:D,"New Sales Revenue - Non-Target ($)"))</f>
        <v/>
      </c>
      <c r="C88" s="91">
        <f>IF(COUNTIFS('Data - Monthly Metrics'!A:A,$B$4-1,'Data - Monthly Metrics'!B:B,"Nov",'Data - Monthly Metrics'!C:C,"Snohomish",'Data - Monthly Metrics'!D:D,"New Sales Revenue - Non-Target ($)")=0,"-",SUMIFS('Data - Monthly Metrics'!E:E,'Data - Monthly Metrics'!A:A,$B$4-1,'Data - Monthly Metrics'!B:B,"Nov",'Data - Monthly Metrics'!C:C,"Snohomish",'Data - Monthly Metrics'!D:D,"New Sales Revenue - Non-Target ($)"))</f>
        <v/>
      </c>
      <c r="D88" s="91">
        <f>IF(COUNTIFS('Data - Monthly Metrics'!A:A,$B$4-1,'Data - Monthly Metrics'!B:B,"Dec",'Data - Monthly Metrics'!C:C,"Snohomish",'Data - Monthly Metrics'!D:D,"New Sales Revenue - Non-Target ($)")=0,"-",SUMIFS('Data - Monthly Metrics'!E:E,'Data - Monthly Metrics'!A:A,$B$4-1,'Data - Monthly Metrics'!B:B,"Dec",'Data - Monthly Metrics'!C:C,"Snohomish",'Data - Monthly Metrics'!D:D,"New Sales Revenue - Non-Target ($)"))</f>
        <v/>
      </c>
      <c r="E88" s="101">
        <f>SUM(B88,C88,D88)</f>
        <v/>
      </c>
      <c r="F88" s="91">
        <f>IF(COUNTIFS('Data - Monthly Metrics'!A:A,$B$4,'Data - Monthly Metrics'!B:B,"Jan",'Data - Monthly Metrics'!C:C,"Snohomish",'Data - Monthly Metrics'!D:D,"New Sales Revenue - Non-Target ($)")=0,"-",SUMIFS('Data - Monthly Metrics'!E:E,'Data - Monthly Metrics'!A:A,$B$4,'Data - Monthly Metrics'!B:B,"Jan",'Data - Monthly Metrics'!C:C,"Snohomish",'Data - Monthly Metrics'!D:D,"New Sales Revenue - Non-Target ($)"))</f>
        <v/>
      </c>
      <c r="G88" s="91">
        <f>IF(COUNTIFS('Data - Monthly Metrics'!A:A,$B$4,'Data - Monthly Metrics'!B:B,"Feb",'Data - Monthly Metrics'!C:C,"Snohomish",'Data - Monthly Metrics'!D:D,"New Sales Revenue - Non-Target ($)")=0,"-",SUMIFS('Data - Monthly Metrics'!E:E,'Data - Monthly Metrics'!A:A,$B$4,'Data - Monthly Metrics'!B:B,"Feb",'Data - Monthly Metrics'!C:C,"Snohomish",'Data - Monthly Metrics'!D:D,"New Sales Revenue - Non-Target ($)"))</f>
        <v/>
      </c>
      <c r="H88" s="91">
        <f>IF(COUNTIFS('Data - Monthly Metrics'!A:A,$B$4,'Data - Monthly Metrics'!B:B,"Mar",'Data - Monthly Metrics'!C:C,"Snohomish",'Data - Monthly Metrics'!D:D,"New Sales Revenue - Non-Target ($)")=0,"-",SUMIFS('Data - Monthly Metrics'!E:E,'Data - Monthly Metrics'!A:A,$B$4,'Data - Monthly Metrics'!B:B,"Mar",'Data - Monthly Metrics'!C:C,"Snohomish",'Data - Monthly Metrics'!D:D,"New Sales Revenue - Non-Target ($)"))</f>
        <v/>
      </c>
      <c r="I88" s="101">
        <f>SUM(F88,G88,H88)</f>
        <v/>
      </c>
      <c r="J88" s="91">
        <f>IF(COUNTIFS('Data - Monthly Metrics'!A:A,$B$4,'Data - Monthly Metrics'!B:B,"Apr",'Data - Monthly Metrics'!C:C,"Snohomish",'Data - Monthly Metrics'!D:D,"New Sales Revenue - Non-Target ($)")=0,"-",SUMIFS('Data - Monthly Metrics'!E:E,'Data - Monthly Metrics'!A:A,$B$4,'Data - Monthly Metrics'!B:B,"Apr",'Data - Monthly Metrics'!C:C,"Snohomish",'Data - Monthly Metrics'!D:D,"New Sales Revenue - Non-Target ($)"))</f>
        <v/>
      </c>
      <c r="K88" s="91">
        <f>IF(COUNTIFS('Data - Monthly Metrics'!A:A,$B$4,'Data - Monthly Metrics'!B:B,"May",'Data - Monthly Metrics'!C:C,"Snohomish",'Data - Monthly Metrics'!D:D,"New Sales Revenue - Non-Target ($)")=0,"-",SUMIFS('Data - Monthly Metrics'!E:E,'Data - Monthly Metrics'!A:A,$B$4,'Data - Monthly Metrics'!B:B,"May",'Data - Monthly Metrics'!C:C,"Snohomish",'Data - Monthly Metrics'!D:D,"New Sales Revenue - Non-Target ($)"))</f>
        <v/>
      </c>
      <c r="L88" s="91">
        <f>IF(COUNTIFS('Data - Monthly Metrics'!A:A,$B$4,'Data - Monthly Metrics'!B:B,"Jun",'Data - Monthly Metrics'!C:C,"Snohomish",'Data - Monthly Metrics'!D:D,"New Sales Revenue - Non-Target ($)")=0,"-",SUMIFS('Data - Monthly Metrics'!E:E,'Data - Monthly Metrics'!A:A,$B$4,'Data - Monthly Metrics'!B:B,"Jun",'Data - Monthly Metrics'!C:C,"Snohomish",'Data - Monthly Metrics'!D:D,"New Sales Revenue - Non-Target ($)"))</f>
        <v/>
      </c>
      <c r="M88" s="101">
        <f>SUM(J88,K88,L88)</f>
        <v/>
      </c>
      <c r="N88" s="91">
        <f>IF(COUNTIFS('Data - Monthly Metrics'!A:A,$B$4,'Data - Monthly Metrics'!B:B,"Jul",'Data - Monthly Metrics'!C:C,"Snohomish",'Data - Monthly Metrics'!D:D,"New Sales Revenue - Non-Target ($)")=0,"-",SUMIFS('Data - Monthly Metrics'!E:E,'Data - Monthly Metrics'!A:A,$B$4,'Data - Monthly Metrics'!B:B,"Jul",'Data - Monthly Metrics'!C:C,"Snohomish",'Data - Monthly Metrics'!D:D,"New Sales Revenue - Non-Target ($)"))</f>
        <v/>
      </c>
      <c r="O88" s="91">
        <f>IF(COUNTIFS('Data - Monthly Metrics'!A:A,$B$4,'Data - Monthly Metrics'!B:B,"Aug",'Data - Monthly Metrics'!C:C,"Snohomish",'Data - Monthly Metrics'!D:D,"New Sales Revenue - Non-Target ($)")=0,"-",SUMIFS('Data - Monthly Metrics'!E:E,'Data - Monthly Metrics'!A:A,$B$4,'Data - Monthly Metrics'!B:B,"Aug",'Data - Monthly Metrics'!C:C,"Snohomish",'Data - Monthly Metrics'!D:D,"New Sales Revenue - Non-Target ($)"))</f>
        <v/>
      </c>
      <c r="P88" s="91">
        <f>IF(COUNTIFS('Data - Monthly Metrics'!A:A,$B$4,'Data - Monthly Metrics'!B:B,"Sep",'Data - Monthly Metrics'!C:C,"Snohomish",'Data - Monthly Metrics'!D:D,"New Sales Revenue - Non-Target ($)")=0,"-",SUMIFS('Data - Monthly Metrics'!E:E,'Data - Monthly Metrics'!A:A,$B$4,'Data - Monthly Metrics'!B:B,"Sep",'Data - Monthly Metrics'!C:C,"Snohomish",'Data - Monthly Metrics'!D:D,"New Sales Revenue - Non-Target ($)"))</f>
        <v/>
      </c>
      <c r="Q88" s="101">
        <f>SUM(N88,O88,P88)</f>
        <v/>
      </c>
      <c r="R88" s="101">
        <f>E88+I88+M88+Q88</f>
        <v/>
      </c>
    </row>
    <row r="89" ht="14.25" customHeight="1" s="82">
      <c r="A89" s="94" t="inlineStr">
        <is>
          <t>New Members - Non-Target (#)</t>
        </is>
      </c>
      <c r="B89" s="98">
        <f>IF(COUNTIFS('Data - Monthly Metrics'!A:A,$B$4-1,'Data - Monthly Metrics'!B:B,"Oct",'Data - Monthly Metrics'!C:C,"Snohomish",'Data - Monthly Metrics'!D:D,"New Members - Non-Target (#)")=0,"-",SUMIFS('Data - Monthly Metrics'!E:E,'Data - Monthly Metrics'!A:A,$B$4-1,'Data - Monthly Metrics'!B:B,"Oct",'Data - Monthly Metrics'!C:C,"Snohomish",'Data - Monthly Metrics'!D:D,"New Members - Non-Target (#)"))</f>
        <v/>
      </c>
      <c r="C89" s="98">
        <f>IF(COUNTIFS('Data - Monthly Metrics'!A:A,$B$4-1,'Data - Monthly Metrics'!B:B,"Nov",'Data - Monthly Metrics'!C:C,"Snohomish",'Data - Monthly Metrics'!D:D,"New Members - Non-Target (#)")=0,"-",SUMIFS('Data - Monthly Metrics'!E:E,'Data - Monthly Metrics'!A:A,$B$4-1,'Data - Monthly Metrics'!B:B,"Nov",'Data - Monthly Metrics'!C:C,"Snohomish",'Data - Monthly Metrics'!D:D,"New Members - Non-Target (#)"))</f>
        <v/>
      </c>
      <c r="D89" s="98">
        <f>IF(COUNTIFS('Data - Monthly Metrics'!A:A,$B$4-1,'Data - Monthly Metrics'!B:B,"Dec",'Data - Monthly Metrics'!C:C,"Snohomish",'Data - Monthly Metrics'!D:D,"New Members - Non-Target (#)")=0,"-",SUMIFS('Data - Monthly Metrics'!E:E,'Data - Monthly Metrics'!A:A,$B$4-1,'Data - Monthly Metrics'!B:B,"Dec",'Data - Monthly Metrics'!C:C,"Snohomish",'Data - Monthly Metrics'!D:D,"New Members - Non-Target (#)"))</f>
        <v/>
      </c>
      <c r="E89" s="103">
        <f>SUM(B89,C89,D89)</f>
        <v/>
      </c>
      <c r="F89" s="98">
        <f>IF(COUNTIFS('Data - Monthly Metrics'!A:A,$B$4,'Data - Monthly Metrics'!B:B,"Jan",'Data - Monthly Metrics'!C:C,"Snohomish",'Data - Monthly Metrics'!D:D,"New Members - Non-Target (#)")=0,"-",SUMIFS('Data - Monthly Metrics'!E:E,'Data - Monthly Metrics'!A:A,$B$4,'Data - Monthly Metrics'!B:B,"Jan",'Data - Monthly Metrics'!C:C,"Snohomish",'Data - Monthly Metrics'!D:D,"New Members - Non-Target (#)"))</f>
        <v/>
      </c>
      <c r="G89" s="98">
        <f>IF(COUNTIFS('Data - Monthly Metrics'!A:A,$B$4,'Data - Monthly Metrics'!B:B,"Feb",'Data - Monthly Metrics'!C:C,"Snohomish",'Data - Monthly Metrics'!D:D,"New Members - Non-Target (#)")=0,"-",SUMIFS('Data - Monthly Metrics'!E:E,'Data - Monthly Metrics'!A:A,$B$4,'Data - Monthly Metrics'!B:B,"Feb",'Data - Monthly Metrics'!C:C,"Snohomish",'Data - Monthly Metrics'!D:D,"New Members - Non-Target (#)"))</f>
        <v/>
      </c>
      <c r="H89" s="98">
        <f>IF(COUNTIFS('Data - Monthly Metrics'!A:A,$B$4,'Data - Monthly Metrics'!B:B,"Mar",'Data - Monthly Metrics'!C:C,"Snohomish",'Data - Monthly Metrics'!D:D,"New Members - Non-Target (#)")=0,"-",SUMIFS('Data - Monthly Metrics'!E:E,'Data - Monthly Metrics'!A:A,$B$4,'Data - Monthly Metrics'!B:B,"Mar",'Data - Monthly Metrics'!C:C,"Snohomish",'Data - Monthly Metrics'!D:D,"New Members - Non-Target (#)"))</f>
        <v/>
      </c>
      <c r="I89" s="103">
        <f>SUM(F89,G89,H89)</f>
        <v/>
      </c>
      <c r="J89" s="98">
        <f>IF(COUNTIFS('Data - Monthly Metrics'!A:A,$B$4,'Data - Monthly Metrics'!B:B,"Apr",'Data - Monthly Metrics'!C:C,"Snohomish",'Data - Monthly Metrics'!D:D,"New Members - Non-Target (#)")=0,"-",SUMIFS('Data - Monthly Metrics'!E:E,'Data - Monthly Metrics'!A:A,$B$4,'Data - Monthly Metrics'!B:B,"Apr",'Data - Monthly Metrics'!C:C,"Snohomish",'Data - Monthly Metrics'!D:D,"New Members - Non-Target (#)"))</f>
        <v/>
      </c>
      <c r="K89" s="98">
        <f>IF(COUNTIFS('Data - Monthly Metrics'!A:A,$B$4,'Data - Monthly Metrics'!B:B,"May",'Data - Monthly Metrics'!C:C,"Snohomish",'Data - Monthly Metrics'!D:D,"New Members - Non-Target (#)")=0,"-",SUMIFS('Data - Monthly Metrics'!E:E,'Data - Monthly Metrics'!A:A,$B$4,'Data - Monthly Metrics'!B:B,"May",'Data - Monthly Metrics'!C:C,"Snohomish",'Data - Monthly Metrics'!D:D,"New Members - Non-Target (#)"))</f>
        <v/>
      </c>
      <c r="L89" s="98">
        <f>IF(COUNTIFS('Data - Monthly Metrics'!A:A,$B$4,'Data - Monthly Metrics'!B:B,"Jun",'Data - Monthly Metrics'!C:C,"Snohomish",'Data - Monthly Metrics'!D:D,"New Members - Non-Target (#)")=0,"-",SUMIFS('Data - Monthly Metrics'!E:E,'Data - Monthly Metrics'!A:A,$B$4,'Data - Monthly Metrics'!B:B,"Jun",'Data - Monthly Metrics'!C:C,"Snohomish",'Data - Monthly Metrics'!D:D,"New Members - Non-Target (#)"))</f>
        <v/>
      </c>
      <c r="M89" s="103">
        <f>SUM(J89,K89,L89)</f>
        <v/>
      </c>
      <c r="N89" s="98">
        <f>IF(COUNTIFS('Data - Monthly Metrics'!A:A,$B$4,'Data - Monthly Metrics'!B:B,"Jul",'Data - Monthly Metrics'!C:C,"Snohomish",'Data - Monthly Metrics'!D:D,"New Members - Non-Target (#)")=0,"-",SUMIFS('Data - Monthly Metrics'!E:E,'Data - Monthly Metrics'!A:A,$B$4,'Data - Monthly Metrics'!B:B,"Jul",'Data - Monthly Metrics'!C:C,"Snohomish",'Data - Monthly Metrics'!D:D,"New Members - Non-Target (#)"))</f>
        <v/>
      </c>
      <c r="O89" s="98">
        <f>IF(COUNTIFS('Data - Monthly Metrics'!A:A,$B$4,'Data - Monthly Metrics'!B:B,"Aug",'Data - Monthly Metrics'!C:C,"Snohomish",'Data - Monthly Metrics'!D:D,"New Members - Non-Target (#)")=0,"-",SUMIFS('Data - Monthly Metrics'!E:E,'Data - Monthly Metrics'!A:A,$B$4,'Data - Monthly Metrics'!B:B,"Aug",'Data - Monthly Metrics'!C:C,"Snohomish",'Data - Monthly Metrics'!D:D,"New Members - Non-Target (#)"))</f>
        <v/>
      </c>
      <c r="P89" s="98">
        <f>IF(COUNTIFS('Data - Monthly Metrics'!A:A,$B$4,'Data - Monthly Metrics'!B:B,"Sep",'Data - Monthly Metrics'!C:C,"Snohomish",'Data - Monthly Metrics'!D:D,"New Members - Non-Target (#)")=0,"-",SUMIFS('Data - Monthly Metrics'!E:E,'Data - Monthly Metrics'!A:A,$B$4,'Data - Monthly Metrics'!B:B,"Sep",'Data - Monthly Metrics'!C:C,"Snohomish",'Data - Monthly Metrics'!D:D,"New Members - Non-Target (#)"))</f>
        <v/>
      </c>
      <c r="Q89" s="103">
        <f>SUM(N89,O89,P89)</f>
        <v/>
      </c>
      <c r="R89" s="103">
        <f>E89+I89+M89+Q89</f>
        <v/>
      </c>
    </row>
    <row r="90"/>
    <row r="91" ht="21.75" customHeight="1" s="82">
      <c r="A91" s="147" t="inlineStr">
        <is>
          <t xml:space="preserve">  ▶   N2.  BILLABLES — Non-Target + Allied</t>
        </is>
      </c>
    </row>
    <row r="92" ht="14.25" customHeight="1" s="82">
      <c r="A92" s="106" t="inlineStr">
        <is>
          <t>Metric</t>
        </is>
      </c>
      <c r="B92" s="106" t="inlineStr">
        <is>
          <t>Oct</t>
        </is>
      </c>
      <c r="C92" s="106" t="inlineStr">
        <is>
          <t>Nov</t>
        </is>
      </c>
      <c r="D92" s="106" t="inlineStr">
        <is>
          <t>Dec</t>
        </is>
      </c>
      <c r="E92" s="106" t="inlineStr">
        <is>
          <t>Q1</t>
        </is>
      </c>
      <c r="F92" s="106" t="inlineStr">
        <is>
          <t>Jan</t>
        </is>
      </c>
      <c r="G92" s="106" t="inlineStr">
        <is>
          <t>Feb</t>
        </is>
      </c>
      <c r="H92" s="106" t="inlineStr">
        <is>
          <t>Mar</t>
        </is>
      </c>
      <c r="I92" s="106" t="inlineStr">
        <is>
          <t>Q2</t>
        </is>
      </c>
      <c r="J92" s="106" t="inlineStr">
        <is>
          <t>Apr</t>
        </is>
      </c>
      <c r="K92" s="106" t="inlineStr">
        <is>
          <t>May</t>
        </is>
      </c>
      <c r="L92" s="106" t="inlineStr">
        <is>
          <t>Jun</t>
        </is>
      </c>
      <c r="M92" s="106" t="inlineStr">
        <is>
          <t>Q3</t>
        </is>
      </c>
      <c r="N92" s="106" t="inlineStr">
        <is>
          <t>Jul</t>
        </is>
      </c>
      <c r="O92" s="106" t="inlineStr">
        <is>
          <t>Aug</t>
        </is>
      </c>
      <c r="P92" s="106" t="inlineStr">
        <is>
          <t>Sep</t>
        </is>
      </c>
      <c r="Q92" s="106" t="inlineStr">
        <is>
          <t>Q4</t>
        </is>
      </c>
      <c r="R92" s="106" t="inlineStr">
        <is>
          <t>Avg</t>
        </is>
      </c>
    </row>
    <row r="93" ht="14.25" customHeight="1" s="82">
      <c r="A93" s="89" t="inlineStr">
        <is>
          <t>Non-Target (#)</t>
        </is>
      </c>
      <c r="B93" s="93">
        <f>IF(COUNTIFS('Data - Monthly Metrics'!A:A,$B$4-1,'Data - Monthly Metrics'!B:B,"Oct",'Data - Monthly Metrics'!C:C,"Snohomish",'Data - Monthly Metrics'!D:D,"Billables - Hospitality Non-Target (#)")=0,"-",SUMIFS('Data - Monthly Metrics'!E:E,'Data - Monthly Metrics'!A:A,$B$4-1,'Data - Monthly Metrics'!B:B,"Oct",'Data - Monthly Metrics'!C:C,"Snohomish",'Data - Monthly Metrics'!D:D,"Billables - Hospitality Non-Target (#)"))</f>
        <v/>
      </c>
      <c r="C93" s="93">
        <f>IF(COUNTIFS('Data - Monthly Metrics'!A:A,$B$4-1,'Data - Monthly Metrics'!B:B,"Nov",'Data - Monthly Metrics'!C:C,"Snohomish",'Data - Monthly Metrics'!D:D,"Billables - Hospitality Non-Target (#)")=0,"-",SUMIFS('Data - Monthly Metrics'!E:E,'Data - Monthly Metrics'!A:A,$B$4-1,'Data - Monthly Metrics'!B:B,"Nov",'Data - Monthly Metrics'!C:C,"Snohomish",'Data - Monthly Metrics'!D:D,"Billables - Hospitality Non-Target (#)"))</f>
        <v/>
      </c>
      <c r="D93" s="93">
        <f>IF(COUNTIFS('Data - Monthly Metrics'!A:A,$B$4-1,'Data - Monthly Metrics'!B:B,"Dec",'Data - Monthly Metrics'!C:C,"Snohomish",'Data - Monthly Metrics'!D:D,"Billables - Hospitality Non-Target (#)")=0,"-",SUMIFS('Data - Monthly Metrics'!E:E,'Data - Monthly Metrics'!A:A,$B$4-1,'Data - Monthly Metrics'!B:B,"Dec",'Data - Monthly Metrics'!C:C,"Snohomish",'Data - Monthly Metrics'!D:D,"Billables - Hospitality Non-Target (#)"))</f>
        <v/>
      </c>
      <c r="E93" s="103">
        <f>IF(ISNUMBER(D93),D93,IF(ISNUMBER(C93),C93,IF(ISNUMBER(B93),B93,"-")))</f>
        <v/>
      </c>
      <c r="F93" s="93">
        <f>IF(COUNTIFS('Data - Monthly Metrics'!A:A,$B$4,'Data - Monthly Metrics'!B:B,"Jan",'Data - Monthly Metrics'!C:C,"Snohomish",'Data - Monthly Metrics'!D:D,"Billables - Hospitality Non-Target (#)")=0,"-",SUMIFS('Data - Monthly Metrics'!E:E,'Data - Monthly Metrics'!A:A,$B$4,'Data - Monthly Metrics'!B:B,"Jan",'Data - Monthly Metrics'!C:C,"Snohomish",'Data - Monthly Metrics'!D:D,"Billables - Hospitality Non-Target (#)"))</f>
        <v/>
      </c>
      <c r="G93" s="93">
        <f>IF(COUNTIFS('Data - Monthly Metrics'!A:A,$B$4,'Data - Monthly Metrics'!B:B,"Feb",'Data - Monthly Metrics'!C:C,"Snohomish",'Data - Monthly Metrics'!D:D,"Billables - Hospitality Non-Target (#)")=0,"-",SUMIFS('Data - Monthly Metrics'!E:E,'Data - Monthly Metrics'!A:A,$B$4,'Data - Monthly Metrics'!B:B,"Feb",'Data - Monthly Metrics'!C:C,"Snohomish",'Data - Monthly Metrics'!D:D,"Billables - Hospitality Non-Target (#)"))</f>
        <v/>
      </c>
      <c r="H93" s="93">
        <f>IF(COUNTIFS('Data - Monthly Metrics'!A:A,$B$4,'Data - Monthly Metrics'!B:B,"Mar",'Data - Monthly Metrics'!C:C,"Snohomish",'Data - Monthly Metrics'!D:D,"Billables - Hospitality Non-Target (#)")=0,"-",SUMIFS('Data - Monthly Metrics'!E:E,'Data - Monthly Metrics'!A:A,$B$4,'Data - Monthly Metrics'!B:B,"Mar",'Data - Monthly Metrics'!C:C,"Snohomish",'Data - Monthly Metrics'!D:D,"Billables - Hospitality Non-Target (#)"))</f>
        <v/>
      </c>
      <c r="I93" s="103">
        <f>IF(ISNUMBER(H93),H93,IF(ISNUMBER(G93),G93,IF(ISNUMBER(F93),F93,"-")))</f>
        <v/>
      </c>
      <c r="J93" s="93">
        <f>IF(COUNTIFS('Data - Monthly Metrics'!A:A,$B$4,'Data - Monthly Metrics'!B:B,"Apr",'Data - Monthly Metrics'!C:C,"Snohomish",'Data - Monthly Metrics'!D:D,"Billables - Hospitality Non-Target (#)")=0,"-",SUMIFS('Data - Monthly Metrics'!E:E,'Data - Monthly Metrics'!A:A,$B$4,'Data - Monthly Metrics'!B:B,"Apr",'Data - Monthly Metrics'!C:C,"Snohomish",'Data - Monthly Metrics'!D:D,"Billables - Hospitality Non-Target (#)"))</f>
        <v/>
      </c>
      <c r="K93" s="93">
        <f>IF(COUNTIFS('Data - Monthly Metrics'!A:A,$B$4,'Data - Monthly Metrics'!B:B,"May",'Data - Monthly Metrics'!C:C,"Snohomish",'Data - Monthly Metrics'!D:D,"Billables - Hospitality Non-Target (#)")=0,"-",SUMIFS('Data - Monthly Metrics'!E:E,'Data - Monthly Metrics'!A:A,$B$4,'Data - Monthly Metrics'!B:B,"May",'Data - Monthly Metrics'!C:C,"Snohomish",'Data - Monthly Metrics'!D:D,"Billables - Hospitality Non-Target (#)"))</f>
        <v/>
      </c>
      <c r="L93" s="93">
        <f>IF(COUNTIFS('Data - Monthly Metrics'!A:A,$B$4,'Data - Monthly Metrics'!B:B,"Jun",'Data - Monthly Metrics'!C:C,"Snohomish",'Data - Monthly Metrics'!D:D,"Billables - Hospitality Non-Target (#)")=0,"-",SUMIFS('Data - Monthly Metrics'!E:E,'Data - Monthly Metrics'!A:A,$B$4,'Data - Monthly Metrics'!B:B,"Jun",'Data - Monthly Metrics'!C:C,"Snohomish",'Data - Monthly Metrics'!D:D,"Billables - Hospitality Non-Target (#)"))</f>
        <v/>
      </c>
      <c r="M93" s="103">
        <f>IF(ISNUMBER(L93),L93,IF(ISNUMBER(K93),K93,IF(ISNUMBER(J93),J93,"-")))</f>
        <v/>
      </c>
      <c r="N93" s="93">
        <f>IF(COUNTIFS('Data - Monthly Metrics'!A:A,$B$4,'Data - Monthly Metrics'!B:B,"Jul",'Data - Monthly Metrics'!C:C,"Snohomish",'Data - Monthly Metrics'!D:D,"Billables - Hospitality Non-Target (#)")=0,"-",SUMIFS('Data - Monthly Metrics'!E:E,'Data - Monthly Metrics'!A:A,$B$4,'Data - Monthly Metrics'!B:B,"Jul",'Data - Monthly Metrics'!C:C,"Snohomish",'Data - Monthly Metrics'!D:D,"Billables - Hospitality Non-Target (#)"))</f>
        <v/>
      </c>
      <c r="O93" s="93">
        <f>IF(COUNTIFS('Data - Monthly Metrics'!A:A,$B$4,'Data - Monthly Metrics'!B:B,"Aug",'Data - Monthly Metrics'!C:C,"Snohomish",'Data - Monthly Metrics'!D:D,"Billables - Hospitality Non-Target (#)")=0,"-",SUMIFS('Data - Monthly Metrics'!E:E,'Data - Monthly Metrics'!A:A,$B$4,'Data - Monthly Metrics'!B:B,"Aug",'Data - Monthly Metrics'!C:C,"Snohomish",'Data - Monthly Metrics'!D:D,"Billables - Hospitality Non-Target (#)"))</f>
        <v/>
      </c>
      <c r="P93" s="93">
        <f>IF(COUNTIFS('Data - Monthly Metrics'!A:A,$B$4,'Data - Monthly Metrics'!B:B,"Sep",'Data - Monthly Metrics'!C:C,"Snohomish",'Data - Monthly Metrics'!D:D,"Billables - Hospitality Non-Target (#)")=0,"-",SUMIFS('Data - Monthly Metrics'!E:E,'Data - Monthly Metrics'!A:A,$B$4,'Data - Monthly Metrics'!B:B,"Sep",'Data - Monthly Metrics'!C:C,"Snohomish",'Data - Monthly Metrics'!D:D,"Billables - Hospitality Non-Target (#)"))</f>
        <v/>
      </c>
      <c r="Q93" s="103">
        <f>IF(ISNUMBER(P93),P93,IF(ISNUMBER(O93),O93,IF(ISNUMBER(N93),N93,"-")))</f>
        <v/>
      </c>
      <c r="R93" s="103">
        <f>IF(ISNUMBER(Q93),Q93,IF(ISNUMBER(M93),M93,IF(ISNUMBER(I93),I93,IF(ISNUMBER(E93),E93,"-"))))</f>
        <v/>
      </c>
    </row>
    <row r="94" ht="14.25" customHeight="1" s="82">
      <c r="A94" s="89" t="inlineStr">
        <is>
          <t>Member Locations (#)</t>
        </is>
      </c>
      <c r="B94" s="93">
        <f>IF(COUNTIFS('Data - Monthly Metrics'!A:A,$B$4-1,'Data - Monthly Metrics'!B:B,"Oct",'Data - Monthly Metrics'!C:C,"Snohomish",'Data - Monthly Metrics'!D:D,"Member Locations - Non-Target (#)")=0,"-",SUMIFS('Data - Monthly Metrics'!E:E,'Data - Monthly Metrics'!A:A,$B$4-1,'Data - Monthly Metrics'!B:B,"Oct",'Data - Monthly Metrics'!C:C,"Snohomish",'Data - Monthly Metrics'!D:D,"Member Locations - Non-Target (#)"))</f>
        <v/>
      </c>
      <c r="C94" s="93">
        <f>IF(COUNTIFS('Data - Monthly Metrics'!A:A,$B$4-1,'Data - Monthly Metrics'!B:B,"Nov",'Data - Monthly Metrics'!C:C,"Snohomish",'Data - Monthly Metrics'!D:D,"Member Locations - Non-Target (#)")=0,"-",SUMIFS('Data - Monthly Metrics'!E:E,'Data - Monthly Metrics'!A:A,$B$4-1,'Data - Monthly Metrics'!B:B,"Nov",'Data - Monthly Metrics'!C:C,"Snohomish",'Data - Monthly Metrics'!D:D,"Member Locations - Non-Target (#)"))</f>
        <v/>
      </c>
      <c r="D94" s="93">
        <f>IF(COUNTIFS('Data - Monthly Metrics'!A:A,$B$4-1,'Data - Monthly Metrics'!B:B,"Dec",'Data - Monthly Metrics'!C:C,"Snohomish",'Data - Monthly Metrics'!D:D,"Member Locations - Non-Target (#)")=0,"-",SUMIFS('Data - Monthly Metrics'!E:E,'Data - Monthly Metrics'!A:A,$B$4-1,'Data - Monthly Metrics'!B:B,"Dec",'Data - Monthly Metrics'!C:C,"Snohomish",'Data - Monthly Metrics'!D:D,"Member Locations - Non-Target (#)"))</f>
        <v/>
      </c>
      <c r="E94" s="103">
        <f>IF(ISNUMBER(D94),D94,IF(ISNUMBER(C94),C94,IF(ISNUMBER(B94),B94,"-")))</f>
        <v/>
      </c>
      <c r="F94" s="93">
        <f>IF(COUNTIFS('Data - Monthly Metrics'!A:A,$B$4,'Data - Monthly Metrics'!B:B,"Jan",'Data - Monthly Metrics'!C:C,"Snohomish",'Data - Monthly Metrics'!D:D,"Member Locations - Non-Target (#)")=0,"-",SUMIFS('Data - Monthly Metrics'!E:E,'Data - Monthly Metrics'!A:A,$B$4,'Data - Monthly Metrics'!B:B,"Jan",'Data - Monthly Metrics'!C:C,"Snohomish",'Data - Monthly Metrics'!D:D,"Member Locations - Non-Target (#)"))</f>
        <v/>
      </c>
      <c r="G94" s="93">
        <f>IF(COUNTIFS('Data - Monthly Metrics'!A:A,$B$4,'Data - Monthly Metrics'!B:B,"Feb",'Data - Monthly Metrics'!C:C,"Snohomish",'Data - Monthly Metrics'!D:D,"Member Locations - Non-Target (#)")=0,"-",SUMIFS('Data - Monthly Metrics'!E:E,'Data - Monthly Metrics'!A:A,$B$4,'Data - Monthly Metrics'!B:B,"Feb",'Data - Monthly Metrics'!C:C,"Snohomish",'Data - Monthly Metrics'!D:D,"Member Locations - Non-Target (#)"))</f>
        <v/>
      </c>
      <c r="H94" s="93">
        <f>IF(COUNTIFS('Data - Monthly Metrics'!A:A,$B$4,'Data - Monthly Metrics'!B:B,"Mar",'Data - Monthly Metrics'!C:C,"Snohomish",'Data - Monthly Metrics'!D:D,"Member Locations - Non-Target (#)")=0,"-",SUMIFS('Data - Monthly Metrics'!E:E,'Data - Monthly Metrics'!A:A,$B$4,'Data - Monthly Metrics'!B:B,"Mar",'Data - Monthly Metrics'!C:C,"Snohomish",'Data - Monthly Metrics'!D:D,"Member Locations - Non-Target (#)"))</f>
        <v/>
      </c>
      <c r="I94" s="103">
        <f>IF(ISNUMBER(H94),H94,IF(ISNUMBER(G94),G94,IF(ISNUMBER(F94),F94,"-")))</f>
        <v/>
      </c>
      <c r="J94" s="93">
        <f>IF(COUNTIFS('Data - Monthly Metrics'!A:A,$B$4,'Data - Monthly Metrics'!B:B,"Apr",'Data - Monthly Metrics'!C:C,"Snohomish",'Data - Monthly Metrics'!D:D,"Member Locations - Non-Target (#)")=0,"-",SUMIFS('Data - Monthly Metrics'!E:E,'Data - Monthly Metrics'!A:A,$B$4,'Data - Monthly Metrics'!B:B,"Apr",'Data - Monthly Metrics'!C:C,"Snohomish",'Data - Monthly Metrics'!D:D,"Member Locations - Non-Target (#)"))</f>
        <v/>
      </c>
      <c r="K94" s="93">
        <f>IF(COUNTIFS('Data - Monthly Metrics'!A:A,$B$4,'Data - Monthly Metrics'!B:B,"May",'Data - Monthly Metrics'!C:C,"Snohomish",'Data - Monthly Metrics'!D:D,"Member Locations - Non-Target (#)")=0,"-",SUMIFS('Data - Monthly Metrics'!E:E,'Data - Monthly Metrics'!A:A,$B$4,'Data - Monthly Metrics'!B:B,"May",'Data - Monthly Metrics'!C:C,"Snohomish",'Data - Monthly Metrics'!D:D,"Member Locations - Non-Target (#)"))</f>
        <v/>
      </c>
      <c r="L94" s="93">
        <f>IF(COUNTIFS('Data - Monthly Metrics'!A:A,$B$4,'Data - Monthly Metrics'!B:B,"Jun",'Data - Monthly Metrics'!C:C,"Snohomish",'Data - Monthly Metrics'!D:D,"Member Locations - Non-Target (#)")=0,"-",SUMIFS('Data - Monthly Metrics'!E:E,'Data - Monthly Metrics'!A:A,$B$4,'Data - Monthly Metrics'!B:B,"Jun",'Data - Monthly Metrics'!C:C,"Snohomish",'Data - Monthly Metrics'!D:D,"Member Locations - Non-Target (#)"))</f>
        <v/>
      </c>
      <c r="M94" s="103">
        <f>IF(ISNUMBER(L94),L94,IF(ISNUMBER(K94),K94,IF(ISNUMBER(J94),J94,"-")))</f>
        <v/>
      </c>
      <c r="N94" s="93">
        <f>IF(COUNTIFS('Data - Monthly Metrics'!A:A,$B$4,'Data - Monthly Metrics'!B:B,"Jul",'Data - Monthly Metrics'!C:C,"Snohomish",'Data - Monthly Metrics'!D:D,"Member Locations - Non-Target (#)")=0,"-",SUMIFS('Data - Monthly Metrics'!E:E,'Data - Monthly Metrics'!A:A,$B$4,'Data - Monthly Metrics'!B:B,"Jul",'Data - Monthly Metrics'!C:C,"Snohomish",'Data - Monthly Metrics'!D:D,"Member Locations - Non-Target (#)"))</f>
        <v/>
      </c>
      <c r="O94" s="93">
        <f>IF(COUNTIFS('Data - Monthly Metrics'!A:A,$B$4,'Data - Monthly Metrics'!B:B,"Aug",'Data - Monthly Metrics'!C:C,"Snohomish",'Data - Monthly Metrics'!D:D,"Member Locations - Non-Target (#)")=0,"-",SUMIFS('Data - Monthly Metrics'!E:E,'Data - Monthly Metrics'!A:A,$B$4,'Data - Monthly Metrics'!B:B,"Aug",'Data - Monthly Metrics'!C:C,"Snohomish",'Data - Monthly Metrics'!D:D,"Member Locations - Non-Target (#)"))</f>
        <v/>
      </c>
      <c r="P94" s="93">
        <f>IF(COUNTIFS('Data - Monthly Metrics'!A:A,$B$4,'Data - Monthly Metrics'!B:B,"Sep",'Data - Monthly Metrics'!C:C,"Snohomish",'Data - Monthly Metrics'!D:D,"Member Locations - Non-Target (#)")=0,"-",SUMIFS('Data - Monthly Metrics'!E:E,'Data - Monthly Metrics'!A:A,$B$4,'Data - Monthly Metrics'!B:B,"Sep",'Data - Monthly Metrics'!C:C,"Snohomish",'Data - Monthly Metrics'!D:D,"Member Locations - Non-Target (#)"))</f>
        <v/>
      </c>
      <c r="Q94" s="103">
        <f>IF(ISNUMBER(P94),P94,IF(ISNUMBER(O94),O94,IF(ISNUMBER(N94),N94,"-")))</f>
        <v/>
      </c>
      <c r="R94" s="103">
        <f>IF(ISNUMBER(Q94),Q94,IF(ISNUMBER(M94),M94,IF(ISNUMBER(I94),I94,IF(ISNUMBER(E94),E94,"-"))))</f>
        <v/>
      </c>
    </row>
    <row r="95" ht="14.25" customHeight="1" s="82">
      <c r="A95" s="94" t="inlineStr">
        <is>
          <t>Allied (#)</t>
        </is>
      </c>
      <c r="B95" s="98">
        <f>IF(COUNTIFS('Data - Monthly Metrics'!A:A,$B$4-1,'Data - Monthly Metrics'!B:B,"Oct",'Data - Monthly Metrics'!C:C,"Snohomish",'Data - Monthly Metrics'!D:D,"Billables - Allied (#)")=0,"-",SUMIFS('Data - Monthly Metrics'!E:E,'Data - Monthly Metrics'!A:A,$B$4-1,'Data - Monthly Metrics'!B:B,"Oct",'Data - Monthly Metrics'!C:C,"Snohomish",'Data - Monthly Metrics'!D:D,"Billables - Allied (#)"))</f>
        <v/>
      </c>
      <c r="C95" s="98">
        <f>IF(COUNTIFS('Data - Monthly Metrics'!A:A,$B$4-1,'Data - Monthly Metrics'!B:B,"Nov",'Data - Monthly Metrics'!C:C,"Snohomish",'Data - Monthly Metrics'!D:D,"Billables - Allied (#)")=0,"-",SUMIFS('Data - Monthly Metrics'!E:E,'Data - Monthly Metrics'!A:A,$B$4-1,'Data - Monthly Metrics'!B:B,"Nov",'Data - Monthly Metrics'!C:C,"Snohomish",'Data - Monthly Metrics'!D:D,"Billables - Allied (#)"))</f>
        <v/>
      </c>
      <c r="D95" s="98">
        <f>IF(COUNTIFS('Data - Monthly Metrics'!A:A,$B$4-1,'Data - Monthly Metrics'!B:B,"Dec",'Data - Monthly Metrics'!C:C,"Snohomish",'Data - Monthly Metrics'!D:D,"Billables - Allied (#)")=0,"-",SUMIFS('Data - Monthly Metrics'!E:E,'Data - Monthly Metrics'!A:A,$B$4-1,'Data - Monthly Metrics'!B:B,"Dec",'Data - Monthly Metrics'!C:C,"Snohomish",'Data - Monthly Metrics'!D:D,"Billables - Allied (#)"))</f>
        <v/>
      </c>
      <c r="E95" s="103">
        <f>IF(ISNUMBER(D95),D95,IF(ISNUMBER(C95),C95,IF(ISNUMBER(B95),B95,"-")))</f>
        <v/>
      </c>
      <c r="F95" s="98">
        <f>IF(COUNTIFS('Data - Monthly Metrics'!A:A,$B$4,'Data - Monthly Metrics'!B:B,"Jan",'Data - Monthly Metrics'!C:C,"Snohomish",'Data - Monthly Metrics'!D:D,"Billables - Allied (#)")=0,"-",SUMIFS('Data - Monthly Metrics'!E:E,'Data - Monthly Metrics'!A:A,$B$4,'Data - Monthly Metrics'!B:B,"Jan",'Data - Monthly Metrics'!C:C,"Snohomish",'Data - Monthly Metrics'!D:D,"Billables - Allied (#)"))</f>
        <v/>
      </c>
      <c r="G95" s="98">
        <f>IF(COUNTIFS('Data - Monthly Metrics'!A:A,$B$4,'Data - Monthly Metrics'!B:B,"Feb",'Data - Monthly Metrics'!C:C,"Snohomish",'Data - Monthly Metrics'!D:D,"Billables - Allied (#)")=0,"-",SUMIFS('Data - Monthly Metrics'!E:E,'Data - Monthly Metrics'!A:A,$B$4,'Data - Monthly Metrics'!B:B,"Feb",'Data - Monthly Metrics'!C:C,"Snohomish",'Data - Monthly Metrics'!D:D,"Billables - Allied (#)"))</f>
        <v/>
      </c>
      <c r="H95" s="98">
        <f>IF(COUNTIFS('Data - Monthly Metrics'!A:A,$B$4,'Data - Monthly Metrics'!B:B,"Mar",'Data - Monthly Metrics'!C:C,"Snohomish",'Data - Monthly Metrics'!D:D,"Billables - Allied (#)")=0,"-",SUMIFS('Data - Monthly Metrics'!E:E,'Data - Monthly Metrics'!A:A,$B$4,'Data - Monthly Metrics'!B:B,"Mar",'Data - Monthly Metrics'!C:C,"Snohomish",'Data - Monthly Metrics'!D:D,"Billables - Allied (#)"))</f>
        <v/>
      </c>
      <c r="I95" s="103">
        <f>IF(ISNUMBER(H95),H95,IF(ISNUMBER(G95),G95,IF(ISNUMBER(F95),F95,"-")))</f>
        <v/>
      </c>
      <c r="J95" s="98">
        <f>IF(COUNTIFS('Data - Monthly Metrics'!A:A,$B$4,'Data - Monthly Metrics'!B:B,"Apr",'Data - Monthly Metrics'!C:C,"Snohomish",'Data - Monthly Metrics'!D:D,"Billables - Allied (#)")=0,"-",SUMIFS('Data - Monthly Metrics'!E:E,'Data - Monthly Metrics'!A:A,$B$4,'Data - Monthly Metrics'!B:B,"Apr",'Data - Monthly Metrics'!C:C,"Snohomish",'Data - Monthly Metrics'!D:D,"Billables - Allied (#)"))</f>
        <v/>
      </c>
      <c r="K95" s="98">
        <f>IF(COUNTIFS('Data - Monthly Metrics'!A:A,$B$4,'Data - Monthly Metrics'!B:B,"May",'Data - Monthly Metrics'!C:C,"Snohomish",'Data - Monthly Metrics'!D:D,"Billables - Allied (#)")=0,"-",SUMIFS('Data - Monthly Metrics'!E:E,'Data - Monthly Metrics'!A:A,$B$4,'Data - Monthly Metrics'!B:B,"May",'Data - Monthly Metrics'!C:C,"Snohomish",'Data - Monthly Metrics'!D:D,"Billables - Allied (#)"))</f>
        <v/>
      </c>
      <c r="L95" s="98">
        <f>IF(COUNTIFS('Data - Monthly Metrics'!A:A,$B$4,'Data - Monthly Metrics'!B:B,"Jun",'Data - Monthly Metrics'!C:C,"Snohomish",'Data - Monthly Metrics'!D:D,"Billables - Allied (#)")=0,"-",SUMIFS('Data - Monthly Metrics'!E:E,'Data - Monthly Metrics'!A:A,$B$4,'Data - Monthly Metrics'!B:B,"Jun",'Data - Monthly Metrics'!C:C,"Snohomish",'Data - Monthly Metrics'!D:D,"Billables - Allied (#)"))</f>
        <v/>
      </c>
      <c r="M95" s="103">
        <f>IF(ISNUMBER(L95),L95,IF(ISNUMBER(K95),K95,IF(ISNUMBER(J95),J95,"-")))</f>
        <v/>
      </c>
      <c r="N95" s="98">
        <f>IF(COUNTIFS('Data - Monthly Metrics'!A:A,$B$4,'Data - Monthly Metrics'!B:B,"Jul",'Data - Monthly Metrics'!C:C,"Snohomish",'Data - Monthly Metrics'!D:D,"Billables - Allied (#)")=0,"-",SUMIFS('Data - Monthly Metrics'!E:E,'Data - Monthly Metrics'!A:A,$B$4,'Data - Monthly Metrics'!B:B,"Jul",'Data - Monthly Metrics'!C:C,"Snohomish",'Data - Monthly Metrics'!D:D,"Billables - Allied (#)"))</f>
        <v/>
      </c>
      <c r="O95" s="98">
        <f>IF(COUNTIFS('Data - Monthly Metrics'!A:A,$B$4,'Data - Monthly Metrics'!B:B,"Aug",'Data - Monthly Metrics'!C:C,"Snohomish",'Data - Monthly Metrics'!D:D,"Billables - Allied (#)")=0,"-",SUMIFS('Data - Monthly Metrics'!E:E,'Data - Monthly Metrics'!A:A,$B$4,'Data - Monthly Metrics'!B:B,"Aug",'Data - Monthly Metrics'!C:C,"Snohomish",'Data - Monthly Metrics'!D:D,"Billables - Allied (#)"))</f>
        <v/>
      </c>
      <c r="P95" s="98">
        <f>IF(COUNTIFS('Data - Monthly Metrics'!A:A,$B$4,'Data - Monthly Metrics'!B:B,"Sep",'Data - Monthly Metrics'!C:C,"Snohomish",'Data - Monthly Metrics'!D:D,"Billables - Allied (#)")=0,"-",SUMIFS('Data - Monthly Metrics'!E:E,'Data - Monthly Metrics'!A:A,$B$4,'Data - Monthly Metrics'!B:B,"Sep",'Data - Monthly Metrics'!C:C,"Snohomish",'Data - Monthly Metrics'!D:D,"Billables - Allied (#)"))</f>
        <v/>
      </c>
      <c r="Q95" s="103">
        <f>IF(ISNUMBER(P95),P95,IF(ISNUMBER(O95),O95,IF(ISNUMBER(N95),N95,"-")))</f>
        <v/>
      </c>
      <c r="R95" s="103">
        <f>IF(ISNUMBER(Q95),Q95,IF(ISNUMBER(M95),M95,IF(ISNUMBER(I95),I95,IF(ISNUMBER(E95),E95,"-"))))</f>
        <v/>
      </c>
    </row>
    <row r="96" ht="14.25" customHeight="1" s="82">
      <c r="A96" s="89" t="inlineStr">
        <is>
          <t>TOTAL Non-Target + Allied</t>
        </is>
      </c>
      <c r="B96" s="93">
        <f>IF(OR(ISNUMBER(B93),ISNUMBER(B95)),N(B93)+N(B95),"-")</f>
        <v/>
      </c>
      <c r="C96" s="93">
        <f>IF(OR(ISNUMBER(C93),ISNUMBER(C95)),N(C93)+N(C95),"-")</f>
        <v/>
      </c>
      <c r="D96" s="93">
        <f>IF(OR(ISNUMBER(D93),ISNUMBER(D95)),N(D93)+N(D95),"-")</f>
        <v/>
      </c>
      <c r="E96" s="103">
        <f>IF(ISNUMBER(D96),D96,IF(ISNUMBER(C96),C96,IF(ISNUMBER(B96),B96,"-")))</f>
        <v/>
      </c>
      <c r="F96" s="93">
        <f>IF(OR(ISNUMBER(F93),ISNUMBER(F95)),N(F93)+N(F95),"-")</f>
        <v/>
      </c>
      <c r="G96" s="93">
        <f>IF(OR(ISNUMBER(G93),ISNUMBER(G95)),N(G93)+N(G95),"-")</f>
        <v/>
      </c>
      <c r="H96" s="93">
        <f>IF(OR(ISNUMBER(H93),ISNUMBER(H95)),N(H93)+N(H95),"-")</f>
        <v/>
      </c>
      <c r="I96" s="103">
        <f>IF(ISNUMBER(H96),H96,IF(ISNUMBER(G96),G96,IF(ISNUMBER(F96),F96,"-")))</f>
        <v/>
      </c>
      <c r="J96" s="93">
        <f>IF(OR(ISNUMBER(J93),ISNUMBER(J95)),N(J93)+N(J95),"-")</f>
        <v/>
      </c>
      <c r="K96" s="93">
        <f>IF(OR(ISNUMBER(K93),ISNUMBER(K95)),N(K93)+N(K95),"-")</f>
        <v/>
      </c>
      <c r="L96" s="93">
        <f>IF(OR(ISNUMBER(L93),ISNUMBER(L95)),N(L93)+N(L95),"-")</f>
        <v/>
      </c>
      <c r="M96" s="103">
        <f>IF(ISNUMBER(L96),L96,IF(ISNUMBER(K96),K96,IF(ISNUMBER(J96),J96,"-")))</f>
        <v/>
      </c>
      <c r="N96" s="93">
        <f>IF(OR(ISNUMBER(N93),ISNUMBER(N95)),N(N93)+N(N95),"-")</f>
        <v/>
      </c>
      <c r="O96" s="93">
        <f>IF(OR(ISNUMBER(O93),ISNUMBER(O95)),N(O93)+N(O95),"-")</f>
        <v/>
      </c>
      <c r="P96" s="93">
        <f>IF(OR(ISNUMBER(P93),ISNUMBER(P95)),N(P93)+N(P95),"-")</f>
        <v/>
      </c>
      <c r="Q96" s="103">
        <f>IF(ISNUMBER(P96),P96,IF(ISNUMBER(O96),O96,IF(ISNUMBER(N96),N96,"-")))</f>
        <v/>
      </c>
      <c r="R96" s="103">
        <f>IF(ISNUMBER(Q96),Q96,IF(ISNUMBER(M96),M96,IF(ISNUMBER(I96),I96,IF(ISNUMBER(E96),E96,"-"))))</f>
        <v/>
      </c>
    </row>
    <row r="97"/>
    <row r="98" ht="21.75" customHeight="1" s="82">
      <c r="A98" s="147" t="inlineStr">
        <is>
          <t xml:space="preserve">  ▶   N3.  RETENTION — Non-Target</t>
        </is>
      </c>
    </row>
    <row r="99" ht="14.25" customHeight="1" s="82">
      <c r="A99" s="106" t="inlineStr">
        <is>
          <t>Metric</t>
        </is>
      </c>
      <c r="B99" s="106" t="inlineStr">
        <is>
          <t>Oct</t>
        </is>
      </c>
      <c r="C99" s="106" t="inlineStr">
        <is>
          <t>Nov</t>
        </is>
      </c>
      <c r="D99" s="106" t="inlineStr">
        <is>
          <t>Dec</t>
        </is>
      </c>
      <c r="E99" s="106" t="inlineStr">
        <is>
          <t>Q1</t>
        </is>
      </c>
      <c r="F99" s="106" t="inlineStr">
        <is>
          <t>Jan</t>
        </is>
      </c>
      <c r="G99" s="106" t="inlineStr">
        <is>
          <t>Feb</t>
        </is>
      </c>
      <c r="H99" s="106" t="inlineStr">
        <is>
          <t>Mar</t>
        </is>
      </c>
      <c r="I99" s="106" t="inlineStr">
        <is>
          <t>Q2</t>
        </is>
      </c>
      <c r="J99" s="106" t="inlineStr">
        <is>
          <t>Apr</t>
        </is>
      </c>
      <c r="K99" s="106" t="inlineStr">
        <is>
          <t>May</t>
        </is>
      </c>
      <c r="L99" s="106" t="inlineStr">
        <is>
          <t>Jun</t>
        </is>
      </c>
      <c r="M99" s="106" t="inlineStr">
        <is>
          <t>Q3</t>
        </is>
      </c>
      <c r="N99" s="106" t="inlineStr">
        <is>
          <t>Jul</t>
        </is>
      </c>
      <c r="O99" s="106" t="inlineStr">
        <is>
          <t>Aug</t>
        </is>
      </c>
      <c r="P99" s="106" t="inlineStr">
        <is>
          <t>Sep</t>
        </is>
      </c>
      <c r="Q99" s="106" t="inlineStr">
        <is>
          <t>Q4</t>
        </is>
      </c>
      <c r="R99" s="106" t="inlineStr">
        <is>
          <t>YTD</t>
        </is>
      </c>
    </row>
    <row r="100" ht="14.25" customHeight="1" s="82">
      <c r="A100" s="89" t="inlineStr">
        <is>
          <t>Up for Renewal - Non-Target (#)</t>
        </is>
      </c>
      <c r="B100" s="93">
        <f>IF(COUNTIFS('Data - Monthly Metrics'!A:A,$B$4-1,'Data - Monthly Metrics'!B:B,"Oct",'Data - Monthly Metrics'!C:C,"Snohomish",'Data - Monthly Metrics'!D:D,"Members Up for Renewal - Non-Target (#)")=0,"-",SUMIFS('Data - Monthly Metrics'!E:E,'Data - Monthly Metrics'!A:A,$B$4-1,'Data - Monthly Metrics'!B:B,"Oct",'Data - Monthly Metrics'!C:C,"Snohomish",'Data - Monthly Metrics'!D:D,"Members Up for Renewal - Non-Target (#)"))</f>
        <v/>
      </c>
      <c r="C100" s="93">
        <f>IF(COUNTIFS('Data - Monthly Metrics'!A:A,$B$4-1,'Data - Monthly Metrics'!B:B,"Nov",'Data - Monthly Metrics'!C:C,"Snohomish",'Data - Monthly Metrics'!D:D,"Members Up for Renewal - Non-Target (#)")=0,"-",SUMIFS('Data - Monthly Metrics'!E:E,'Data - Monthly Metrics'!A:A,$B$4-1,'Data - Monthly Metrics'!B:B,"Nov",'Data - Monthly Metrics'!C:C,"Snohomish",'Data - Monthly Metrics'!D:D,"Members Up for Renewal - Non-Target (#)"))</f>
        <v/>
      </c>
      <c r="D100" s="93">
        <f>IF(COUNTIFS('Data - Monthly Metrics'!A:A,$B$4-1,'Data - Monthly Metrics'!B:B,"Dec",'Data - Monthly Metrics'!C:C,"Snohomish",'Data - Monthly Metrics'!D:D,"Members Up for Renewal - Non-Target (#)")=0,"-",SUMIFS('Data - Monthly Metrics'!E:E,'Data - Monthly Metrics'!A:A,$B$4-1,'Data - Monthly Metrics'!B:B,"Dec",'Data - Monthly Metrics'!C:C,"Snohomish",'Data - Monthly Metrics'!D:D,"Members Up for Renewal - Non-Target (#)"))</f>
        <v/>
      </c>
      <c r="E100" s="103">
        <f>SUM(B100,C100,D100)</f>
        <v/>
      </c>
      <c r="F100" s="93">
        <f>IF(COUNTIFS('Data - Monthly Metrics'!A:A,$B$4,'Data - Monthly Metrics'!B:B,"Jan",'Data - Monthly Metrics'!C:C,"Snohomish",'Data - Monthly Metrics'!D:D,"Members Up for Renewal - Non-Target (#)")=0,"-",SUMIFS('Data - Monthly Metrics'!E:E,'Data - Monthly Metrics'!A:A,$B$4,'Data - Monthly Metrics'!B:B,"Jan",'Data - Monthly Metrics'!C:C,"Snohomish",'Data - Monthly Metrics'!D:D,"Members Up for Renewal - Non-Target (#)"))</f>
        <v/>
      </c>
      <c r="G100" s="93">
        <f>IF(COUNTIFS('Data - Monthly Metrics'!A:A,$B$4,'Data - Monthly Metrics'!B:B,"Feb",'Data - Monthly Metrics'!C:C,"Snohomish",'Data - Monthly Metrics'!D:D,"Members Up for Renewal - Non-Target (#)")=0,"-",SUMIFS('Data - Monthly Metrics'!E:E,'Data - Monthly Metrics'!A:A,$B$4,'Data - Monthly Metrics'!B:B,"Feb",'Data - Monthly Metrics'!C:C,"Snohomish",'Data - Monthly Metrics'!D:D,"Members Up for Renewal - Non-Target (#)"))</f>
        <v/>
      </c>
      <c r="H100" s="93">
        <f>IF(COUNTIFS('Data - Monthly Metrics'!A:A,$B$4,'Data - Monthly Metrics'!B:B,"Mar",'Data - Monthly Metrics'!C:C,"Snohomish",'Data - Monthly Metrics'!D:D,"Members Up for Renewal - Non-Target (#)")=0,"-",SUMIFS('Data - Monthly Metrics'!E:E,'Data - Monthly Metrics'!A:A,$B$4,'Data - Monthly Metrics'!B:B,"Mar",'Data - Monthly Metrics'!C:C,"Snohomish",'Data - Monthly Metrics'!D:D,"Members Up for Renewal - Non-Target (#)"))</f>
        <v/>
      </c>
      <c r="I100" s="103">
        <f>SUM(F100,G100,H100)</f>
        <v/>
      </c>
      <c r="J100" s="93">
        <f>IF(COUNTIFS('Data - Monthly Metrics'!A:A,$B$4,'Data - Monthly Metrics'!B:B,"Apr",'Data - Monthly Metrics'!C:C,"Snohomish",'Data - Monthly Metrics'!D:D,"Members Up for Renewal - Non-Target (#)")=0,"-",SUMIFS('Data - Monthly Metrics'!E:E,'Data - Monthly Metrics'!A:A,$B$4,'Data - Monthly Metrics'!B:B,"Apr",'Data - Monthly Metrics'!C:C,"Snohomish",'Data - Monthly Metrics'!D:D,"Members Up for Renewal - Non-Target (#)"))</f>
        <v/>
      </c>
      <c r="K100" s="93">
        <f>IF(COUNTIFS('Data - Monthly Metrics'!A:A,$B$4,'Data - Monthly Metrics'!B:B,"May",'Data - Monthly Metrics'!C:C,"Snohomish",'Data - Monthly Metrics'!D:D,"Members Up for Renewal - Non-Target (#)")=0,"-",SUMIFS('Data - Monthly Metrics'!E:E,'Data - Monthly Metrics'!A:A,$B$4,'Data - Monthly Metrics'!B:B,"May",'Data - Monthly Metrics'!C:C,"Snohomish",'Data - Monthly Metrics'!D:D,"Members Up for Renewal - Non-Target (#)"))</f>
        <v/>
      </c>
      <c r="L100" s="93">
        <f>IF(COUNTIFS('Data - Monthly Metrics'!A:A,$B$4,'Data - Monthly Metrics'!B:B,"Jun",'Data - Monthly Metrics'!C:C,"Snohomish",'Data - Monthly Metrics'!D:D,"Members Up for Renewal - Non-Target (#)")=0,"-",SUMIFS('Data - Monthly Metrics'!E:E,'Data - Monthly Metrics'!A:A,$B$4,'Data - Monthly Metrics'!B:B,"Jun",'Data - Monthly Metrics'!C:C,"Snohomish",'Data - Monthly Metrics'!D:D,"Members Up for Renewal - Non-Target (#)"))</f>
        <v/>
      </c>
      <c r="M100" s="103">
        <f>SUM(J100,K100,L100)</f>
        <v/>
      </c>
      <c r="N100" s="93">
        <f>IF(COUNTIFS('Data - Monthly Metrics'!A:A,$B$4,'Data - Monthly Metrics'!B:B,"Jul",'Data - Monthly Metrics'!C:C,"Snohomish",'Data - Monthly Metrics'!D:D,"Members Up for Renewal - Non-Target (#)")=0,"-",SUMIFS('Data - Monthly Metrics'!E:E,'Data - Monthly Metrics'!A:A,$B$4,'Data - Monthly Metrics'!B:B,"Jul",'Data - Monthly Metrics'!C:C,"Snohomish",'Data - Monthly Metrics'!D:D,"Members Up for Renewal - Non-Target (#)"))</f>
        <v/>
      </c>
      <c r="O100" s="93">
        <f>IF(COUNTIFS('Data - Monthly Metrics'!A:A,$B$4,'Data - Monthly Metrics'!B:B,"Aug",'Data - Monthly Metrics'!C:C,"Snohomish",'Data - Monthly Metrics'!D:D,"Members Up for Renewal - Non-Target (#)")=0,"-",SUMIFS('Data - Monthly Metrics'!E:E,'Data - Monthly Metrics'!A:A,$B$4,'Data - Monthly Metrics'!B:B,"Aug",'Data - Monthly Metrics'!C:C,"Snohomish",'Data - Monthly Metrics'!D:D,"Members Up for Renewal - Non-Target (#)"))</f>
        <v/>
      </c>
      <c r="P100" s="93">
        <f>IF(COUNTIFS('Data - Monthly Metrics'!A:A,$B$4,'Data - Monthly Metrics'!B:B,"Sep",'Data - Monthly Metrics'!C:C,"Snohomish",'Data - Monthly Metrics'!D:D,"Members Up for Renewal - Non-Target (#)")=0,"-",SUMIFS('Data - Monthly Metrics'!E:E,'Data - Monthly Metrics'!A:A,$B$4,'Data - Monthly Metrics'!B:B,"Sep",'Data - Monthly Metrics'!C:C,"Snohomish",'Data - Monthly Metrics'!D:D,"Members Up for Renewal - Non-Target (#)"))</f>
        <v/>
      </c>
      <c r="Q100" s="103">
        <f>SUM(N100,O100,P100)</f>
        <v/>
      </c>
      <c r="R100" s="103">
        <f>E100+I100+M100+Q100</f>
        <v/>
      </c>
    </row>
    <row r="101" ht="14.25" customHeight="1" s="82">
      <c r="A101" s="94" t="inlineStr">
        <is>
          <t>Retained - Non-Target (#)</t>
        </is>
      </c>
      <c r="B101" s="98">
        <f>IF(COUNTIFS('Data - Monthly Metrics'!A:A,$B$4-1,'Data - Monthly Metrics'!B:B,"Oct",'Data - Monthly Metrics'!C:C,"Snohomish",'Data - Monthly Metrics'!D:D,"Members Retained - Non-Target (#)")=0,"-",SUMIFS('Data - Monthly Metrics'!E:E,'Data - Monthly Metrics'!A:A,$B$4-1,'Data - Monthly Metrics'!B:B,"Oct",'Data - Monthly Metrics'!C:C,"Snohomish",'Data - Monthly Metrics'!D:D,"Members Retained - Non-Target (#)"))</f>
        <v/>
      </c>
      <c r="C101" s="98">
        <f>IF(COUNTIFS('Data - Monthly Metrics'!A:A,$B$4-1,'Data - Monthly Metrics'!B:B,"Nov",'Data - Monthly Metrics'!C:C,"Snohomish",'Data - Monthly Metrics'!D:D,"Members Retained - Non-Target (#)")=0,"-",SUMIFS('Data - Monthly Metrics'!E:E,'Data - Monthly Metrics'!A:A,$B$4-1,'Data - Monthly Metrics'!B:B,"Nov",'Data - Monthly Metrics'!C:C,"Snohomish",'Data - Monthly Metrics'!D:D,"Members Retained - Non-Target (#)"))</f>
        <v/>
      </c>
      <c r="D101" s="98">
        <f>IF(COUNTIFS('Data - Monthly Metrics'!A:A,$B$4-1,'Data - Monthly Metrics'!B:B,"Dec",'Data - Monthly Metrics'!C:C,"Snohomish",'Data - Monthly Metrics'!D:D,"Members Retained - Non-Target (#)")=0,"-",SUMIFS('Data - Monthly Metrics'!E:E,'Data - Monthly Metrics'!A:A,$B$4-1,'Data - Monthly Metrics'!B:B,"Dec",'Data - Monthly Metrics'!C:C,"Snohomish",'Data - Monthly Metrics'!D:D,"Members Retained - Non-Target (#)"))</f>
        <v/>
      </c>
      <c r="E101" s="103">
        <f>SUM(B101,C101,D101)</f>
        <v/>
      </c>
      <c r="F101" s="98">
        <f>IF(COUNTIFS('Data - Monthly Metrics'!A:A,$B$4,'Data - Monthly Metrics'!B:B,"Jan",'Data - Monthly Metrics'!C:C,"Snohomish",'Data - Monthly Metrics'!D:D,"Members Retained - Non-Target (#)")=0,"-",SUMIFS('Data - Monthly Metrics'!E:E,'Data - Monthly Metrics'!A:A,$B$4,'Data - Monthly Metrics'!B:B,"Jan",'Data - Monthly Metrics'!C:C,"Snohomish",'Data - Monthly Metrics'!D:D,"Members Retained - Non-Target (#)"))</f>
        <v/>
      </c>
      <c r="G101" s="98">
        <f>IF(COUNTIFS('Data - Monthly Metrics'!A:A,$B$4,'Data - Monthly Metrics'!B:B,"Feb",'Data - Monthly Metrics'!C:C,"Snohomish",'Data - Monthly Metrics'!D:D,"Members Retained - Non-Target (#)")=0,"-",SUMIFS('Data - Monthly Metrics'!E:E,'Data - Monthly Metrics'!A:A,$B$4,'Data - Monthly Metrics'!B:B,"Feb",'Data - Monthly Metrics'!C:C,"Snohomish",'Data - Monthly Metrics'!D:D,"Members Retained - Non-Target (#)"))</f>
        <v/>
      </c>
      <c r="H101" s="98">
        <f>IF(COUNTIFS('Data - Monthly Metrics'!A:A,$B$4,'Data - Monthly Metrics'!B:B,"Mar",'Data - Monthly Metrics'!C:C,"Snohomish",'Data - Monthly Metrics'!D:D,"Members Retained - Non-Target (#)")=0,"-",SUMIFS('Data - Monthly Metrics'!E:E,'Data - Monthly Metrics'!A:A,$B$4,'Data - Monthly Metrics'!B:B,"Mar",'Data - Monthly Metrics'!C:C,"Snohomish",'Data - Monthly Metrics'!D:D,"Members Retained - Non-Target (#)"))</f>
        <v/>
      </c>
      <c r="I101" s="103">
        <f>SUM(F101,G101,H101)</f>
        <v/>
      </c>
      <c r="J101" s="98">
        <f>IF(COUNTIFS('Data - Monthly Metrics'!A:A,$B$4,'Data - Monthly Metrics'!B:B,"Apr",'Data - Monthly Metrics'!C:C,"Snohomish",'Data - Monthly Metrics'!D:D,"Members Retained - Non-Target (#)")=0,"-",SUMIFS('Data - Monthly Metrics'!E:E,'Data - Monthly Metrics'!A:A,$B$4,'Data - Monthly Metrics'!B:B,"Apr",'Data - Monthly Metrics'!C:C,"Snohomish",'Data - Monthly Metrics'!D:D,"Members Retained - Non-Target (#)"))</f>
        <v/>
      </c>
      <c r="K101" s="98">
        <f>IF(COUNTIFS('Data - Monthly Metrics'!A:A,$B$4,'Data - Monthly Metrics'!B:B,"May",'Data - Monthly Metrics'!C:C,"Snohomish",'Data - Monthly Metrics'!D:D,"Members Retained - Non-Target (#)")=0,"-",SUMIFS('Data - Monthly Metrics'!E:E,'Data - Monthly Metrics'!A:A,$B$4,'Data - Monthly Metrics'!B:B,"May",'Data - Monthly Metrics'!C:C,"Snohomish",'Data - Monthly Metrics'!D:D,"Members Retained - Non-Target (#)"))</f>
        <v/>
      </c>
      <c r="L101" s="98">
        <f>IF(COUNTIFS('Data - Monthly Metrics'!A:A,$B$4,'Data - Monthly Metrics'!B:B,"Jun",'Data - Monthly Metrics'!C:C,"Snohomish",'Data - Monthly Metrics'!D:D,"Members Retained - Non-Target (#)")=0,"-",SUMIFS('Data - Monthly Metrics'!E:E,'Data - Monthly Metrics'!A:A,$B$4,'Data - Monthly Metrics'!B:B,"Jun",'Data - Monthly Metrics'!C:C,"Snohomish",'Data - Monthly Metrics'!D:D,"Members Retained - Non-Target (#)"))</f>
        <v/>
      </c>
      <c r="M101" s="103">
        <f>SUM(J101,K101,L101)</f>
        <v/>
      </c>
      <c r="N101" s="98">
        <f>IF(COUNTIFS('Data - Monthly Metrics'!A:A,$B$4,'Data - Monthly Metrics'!B:B,"Jul",'Data - Monthly Metrics'!C:C,"Snohomish",'Data - Monthly Metrics'!D:D,"Members Retained - Non-Target (#)")=0,"-",SUMIFS('Data - Monthly Metrics'!E:E,'Data - Monthly Metrics'!A:A,$B$4,'Data - Monthly Metrics'!B:B,"Jul",'Data - Monthly Metrics'!C:C,"Snohomish",'Data - Monthly Metrics'!D:D,"Members Retained - Non-Target (#)"))</f>
        <v/>
      </c>
      <c r="O101" s="98">
        <f>IF(COUNTIFS('Data - Monthly Metrics'!A:A,$B$4,'Data - Monthly Metrics'!B:B,"Aug",'Data - Monthly Metrics'!C:C,"Snohomish",'Data - Monthly Metrics'!D:D,"Members Retained - Non-Target (#)")=0,"-",SUMIFS('Data - Monthly Metrics'!E:E,'Data - Monthly Metrics'!A:A,$B$4,'Data - Monthly Metrics'!B:B,"Aug",'Data - Monthly Metrics'!C:C,"Snohomish",'Data - Monthly Metrics'!D:D,"Members Retained - Non-Target (#)"))</f>
        <v/>
      </c>
      <c r="P101" s="98">
        <f>IF(COUNTIFS('Data - Monthly Metrics'!A:A,$B$4,'Data - Monthly Metrics'!B:B,"Sep",'Data - Monthly Metrics'!C:C,"Snohomish",'Data - Monthly Metrics'!D:D,"Members Retained - Non-Target (#)")=0,"-",SUMIFS('Data - Monthly Metrics'!E:E,'Data - Monthly Metrics'!A:A,$B$4,'Data - Monthly Metrics'!B:B,"Sep",'Data - Monthly Metrics'!C:C,"Snohomish",'Data - Monthly Metrics'!D:D,"Members Retained - Non-Target (#)"))</f>
        <v/>
      </c>
      <c r="Q101" s="103">
        <f>SUM(N101,O101,P101)</f>
        <v/>
      </c>
      <c r="R101" s="103">
        <f>E101+I101+M101+Q101</f>
        <v/>
      </c>
    </row>
    <row r="102" ht="14.25" customHeight="1" s="82">
      <c r="A102" s="89" t="inlineStr">
        <is>
          <t>Account Retention % - Non-Target</t>
        </is>
      </c>
      <c r="B102" s="92">
        <f>IF(B100=0,0,B101/B100)</f>
        <v/>
      </c>
      <c r="C102" s="92">
        <f>IF(C100=0,0,C101/C100)</f>
        <v/>
      </c>
      <c r="D102" s="92">
        <f>IF(D100=0,0,D101/D100)</f>
        <v/>
      </c>
      <c r="E102" s="102">
        <f>IF(E100=0,0,E101/E100)</f>
        <v/>
      </c>
      <c r="F102" s="92">
        <f>IF(F100=0,0,F101/F100)</f>
        <v/>
      </c>
      <c r="G102" s="92">
        <f>IF(G100=0,0,G101/G100)</f>
        <v/>
      </c>
      <c r="H102" s="92">
        <f>IF(H100=0,0,H101/H100)</f>
        <v/>
      </c>
      <c r="I102" s="102">
        <f>IF(I100=0,0,I101/I100)</f>
        <v/>
      </c>
      <c r="J102" s="92">
        <f>IF(J100=0,0,J101/J100)</f>
        <v/>
      </c>
      <c r="K102" s="92">
        <f>IF(K100=0,0,K101/K100)</f>
        <v/>
      </c>
      <c r="L102" s="92">
        <f>IF(L100=0,0,L101/L100)</f>
        <v/>
      </c>
      <c r="M102" s="102">
        <f>IF(M100=0,0,M101/M100)</f>
        <v/>
      </c>
      <c r="N102" s="92">
        <f>IF(N100=0,0,N101/N100)</f>
        <v/>
      </c>
      <c r="O102" s="92">
        <f>IF(O100=0,0,O101/O100)</f>
        <v/>
      </c>
      <c r="P102" s="92">
        <f>IF(P100=0,0,P101/P100)</f>
        <v/>
      </c>
      <c r="Q102" s="102">
        <f>IF(Q100=0,0,Q101/Q100)</f>
        <v/>
      </c>
      <c r="R102" s="102">
        <f>IF(R100=0,0,R101/R100)</f>
        <v/>
      </c>
    </row>
    <row r="103" ht="14.25" customHeight="1" s="82">
      <c r="A103" s="94" t="inlineStr">
        <is>
          <t>Status</t>
        </is>
      </c>
      <c r="B103" s="120">
        <f>IF(OR(NOT(ISNUMBER(B102)),B102=0,COUNTIFS('Data - Monthly Metrics'!$A:$A,$B$4-1,'Data - Monthly Metrics'!$B:$B,B$8,'Data - Monthly Metrics'!$C:$C,"Snohomish",'Data - Monthly Metrics'!$D:$D,"Goal - Retention %")=0),"—",IF(B102&gt;=SUMIFS('Data - Monthly Metrics'!$E:$E,'Data - Monthly Metrics'!$A:$A,$B$4-1,'Data - Monthly Metrics'!$B:$B,B$8,'Data - Monthly Metrics'!$C:$C,"Snohomish",'Data - Monthly Metrics'!$D:$D,"Goal - Retention %"),"On Track",IF(B102&gt;=SUMIFS('Data - Monthly Metrics'!$E:$E,'Data - Monthly Metrics'!$A:$A,$B$4-1,'Data - Monthly Metrics'!$B:$B,B$8,'Data - Monthly Metrics'!$C:$C,"Snohomish",'Data - Monthly Metrics'!$D:$D,"Goal - Retention %")-0.05,"Watch","At Risk")))</f>
        <v/>
      </c>
      <c r="C103" s="120">
        <f>IF(OR(NOT(ISNUMBER(C102)),C102=0,COUNTIFS('Data - Monthly Metrics'!$A:$A,$B$4-1,'Data - Monthly Metrics'!$B:$B,C$8,'Data - Monthly Metrics'!$C:$C,"Snohomish",'Data - Monthly Metrics'!$D:$D,"Goal - Retention %")=0),"—",IF(C102&gt;=SUMIFS('Data - Monthly Metrics'!$E:$E,'Data - Monthly Metrics'!$A:$A,$B$4-1,'Data - Monthly Metrics'!$B:$B,C$8,'Data - Monthly Metrics'!$C:$C,"Snohomish",'Data - Monthly Metrics'!$D:$D,"Goal - Retention %"),"On Track",IF(C102&gt;=SUMIFS('Data - Monthly Metrics'!$E:$E,'Data - Monthly Metrics'!$A:$A,$B$4-1,'Data - Monthly Metrics'!$B:$B,C$8,'Data - Monthly Metrics'!$C:$C,"Snohomish",'Data - Monthly Metrics'!$D:$D,"Goal - Retention %")-0.05,"Watch","At Risk")))</f>
        <v/>
      </c>
      <c r="D103" s="120">
        <f>IF(OR(NOT(ISNUMBER(D102)),D102=0,COUNTIFS('Data - Monthly Metrics'!$A:$A,$B$4-1,'Data - Monthly Metrics'!$B:$B,D$8,'Data - Monthly Metrics'!$C:$C,"Snohomish",'Data - Monthly Metrics'!$D:$D,"Goal - Retention %")=0),"—",IF(D102&gt;=SUMIFS('Data - Monthly Metrics'!$E:$E,'Data - Monthly Metrics'!$A:$A,$B$4-1,'Data - Monthly Metrics'!$B:$B,D$8,'Data - Monthly Metrics'!$C:$C,"Snohomish",'Data - Monthly Metrics'!$D:$D,"Goal - Retention %"),"On Track",IF(D102&gt;=SUMIFS('Data - Monthly Metrics'!$E:$E,'Data - Monthly Metrics'!$A:$A,$B$4-1,'Data - Monthly Metrics'!$B:$B,D$8,'Data - Monthly Metrics'!$C:$C,"Snohomish",'Data - Monthly Metrics'!$D:$D,"Goal - Retention %")-0.05,"Watch","At Risk")))</f>
        <v/>
      </c>
      <c r="E103" s="121">
        <f>"—"</f>
        <v/>
      </c>
      <c r="F103" s="120">
        <f>IF(OR(NOT(ISNUMBER(F102)),F102=0,COUNTIFS('Data - Monthly Metrics'!$A:$A,$B$4,'Data - Monthly Metrics'!$B:$B,F$8,'Data - Monthly Metrics'!$C:$C,"Snohomish",'Data - Monthly Metrics'!$D:$D,"Goal - Retention %")=0),"—",IF(F102&gt;=SUMIFS('Data - Monthly Metrics'!$E:$E,'Data - Monthly Metrics'!$A:$A,$B$4,'Data - Monthly Metrics'!$B:$B,F$8,'Data - Monthly Metrics'!$C:$C,"Snohomish",'Data - Monthly Metrics'!$D:$D,"Goal - Retention %"),"On Track",IF(F102&gt;=SUMIFS('Data - Monthly Metrics'!$E:$E,'Data - Monthly Metrics'!$A:$A,$B$4,'Data - Monthly Metrics'!$B:$B,F$8,'Data - Monthly Metrics'!$C:$C,"Snohomish",'Data - Monthly Metrics'!$D:$D,"Goal - Retention %")-0.05,"Watch","At Risk")))</f>
        <v/>
      </c>
      <c r="G103" s="120">
        <f>IF(OR(NOT(ISNUMBER(G102)),G102=0,COUNTIFS('Data - Monthly Metrics'!$A:$A,$B$4,'Data - Monthly Metrics'!$B:$B,G$8,'Data - Monthly Metrics'!$C:$C,"Snohomish",'Data - Monthly Metrics'!$D:$D,"Goal - Retention %")=0),"—",IF(G102&gt;=SUMIFS('Data - Monthly Metrics'!$E:$E,'Data - Monthly Metrics'!$A:$A,$B$4,'Data - Monthly Metrics'!$B:$B,G$8,'Data - Monthly Metrics'!$C:$C,"Snohomish",'Data - Monthly Metrics'!$D:$D,"Goal - Retention %"),"On Track",IF(G102&gt;=SUMIFS('Data - Monthly Metrics'!$E:$E,'Data - Monthly Metrics'!$A:$A,$B$4,'Data - Monthly Metrics'!$B:$B,G$8,'Data - Monthly Metrics'!$C:$C,"Snohomish",'Data - Monthly Metrics'!$D:$D,"Goal - Retention %")-0.05,"Watch","At Risk")))</f>
        <v/>
      </c>
      <c r="H103" s="120">
        <f>IF(OR(NOT(ISNUMBER(H102)),H102=0,COUNTIFS('Data - Monthly Metrics'!$A:$A,$B$4,'Data - Monthly Metrics'!$B:$B,H$8,'Data - Monthly Metrics'!$C:$C,"Snohomish",'Data - Monthly Metrics'!$D:$D,"Goal - Retention %")=0),"—",IF(H102&gt;=SUMIFS('Data - Monthly Metrics'!$E:$E,'Data - Monthly Metrics'!$A:$A,$B$4,'Data - Monthly Metrics'!$B:$B,H$8,'Data - Monthly Metrics'!$C:$C,"Snohomish",'Data - Monthly Metrics'!$D:$D,"Goal - Retention %"),"On Track",IF(H102&gt;=SUMIFS('Data - Monthly Metrics'!$E:$E,'Data - Monthly Metrics'!$A:$A,$B$4,'Data - Monthly Metrics'!$B:$B,H$8,'Data - Monthly Metrics'!$C:$C,"Snohomish",'Data - Monthly Metrics'!$D:$D,"Goal - Retention %")-0.05,"Watch","At Risk")))</f>
        <v/>
      </c>
      <c r="I103" s="121">
        <f>"—"</f>
        <v/>
      </c>
      <c r="J103" s="120">
        <f>IF(OR(NOT(ISNUMBER(J102)),J102=0,COUNTIFS('Data - Monthly Metrics'!$A:$A,$B$4,'Data - Monthly Metrics'!$B:$B,J$8,'Data - Monthly Metrics'!$C:$C,"Snohomish",'Data - Monthly Metrics'!$D:$D,"Goal - Retention %")=0),"—",IF(J102&gt;=SUMIFS('Data - Monthly Metrics'!$E:$E,'Data - Monthly Metrics'!$A:$A,$B$4,'Data - Monthly Metrics'!$B:$B,J$8,'Data - Monthly Metrics'!$C:$C,"Snohomish",'Data - Monthly Metrics'!$D:$D,"Goal - Retention %"),"On Track",IF(J102&gt;=SUMIFS('Data - Monthly Metrics'!$E:$E,'Data - Monthly Metrics'!$A:$A,$B$4,'Data - Monthly Metrics'!$B:$B,J$8,'Data - Monthly Metrics'!$C:$C,"Snohomish",'Data - Monthly Metrics'!$D:$D,"Goal - Retention %")-0.05,"Watch","At Risk")))</f>
        <v/>
      </c>
      <c r="K103" s="120">
        <f>IF(OR(NOT(ISNUMBER(K102)),K102=0,COUNTIFS('Data - Monthly Metrics'!$A:$A,$B$4,'Data - Monthly Metrics'!$B:$B,K$8,'Data - Monthly Metrics'!$C:$C,"Snohomish",'Data - Monthly Metrics'!$D:$D,"Goal - Retention %")=0),"—",IF(K102&gt;=SUMIFS('Data - Monthly Metrics'!$E:$E,'Data - Monthly Metrics'!$A:$A,$B$4,'Data - Monthly Metrics'!$B:$B,K$8,'Data - Monthly Metrics'!$C:$C,"Snohomish",'Data - Monthly Metrics'!$D:$D,"Goal - Retention %"),"On Track",IF(K102&gt;=SUMIFS('Data - Monthly Metrics'!$E:$E,'Data - Monthly Metrics'!$A:$A,$B$4,'Data - Monthly Metrics'!$B:$B,K$8,'Data - Monthly Metrics'!$C:$C,"Snohomish",'Data - Monthly Metrics'!$D:$D,"Goal - Retention %")-0.05,"Watch","At Risk")))</f>
        <v/>
      </c>
      <c r="L103" s="120">
        <f>IF(OR(NOT(ISNUMBER(L102)),L102=0,COUNTIFS('Data - Monthly Metrics'!$A:$A,$B$4,'Data - Monthly Metrics'!$B:$B,L$8,'Data - Monthly Metrics'!$C:$C,"Snohomish",'Data - Monthly Metrics'!$D:$D,"Goal - Retention %")=0),"—",IF(L102&gt;=SUMIFS('Data - Monthly Metrics'!$E:$E,'Data - Monthly Metrics'!$A:$A,$B$4,'Data - Monthly Metrics'!$B:$B,L$8,'Data - Monthly Metrics'!$C:$C,"Snohomish",'Data - Monthly Metrics'!$D:$D,"Goal - Retention %"),"On Track",IF(L102&gt;=SUMIFS('Data - Monthly Metrics'!$E:$E,'Data - Monthly Metrics'!$A:$A,$B$4,'Data - Monthly Metrics'!$B:$B,L$8,'Data - Monthly Metrics'!$C:$C,"Snohomish",'Data - Monthly Metrics'!$D:$D,"Goal - Retention %")-0.05,"Watch","At Risk")))</f>
        <v/>
      </c>
      <c r="M103" s="121">
        <f>"—"</f>
        <v/>
      </c>
      <c r="N103" s="120">
        <f>IF(OR(NOT(ISNUMBER(N102)),N102=0,COUNTIFS('Data - Monthly Metrics'!$A:$A,$B$4,'Data - Monthly Metrics'!$B:$B,N$8,'Data - Monthly Metrics'!$C:$C,"Snohomish",'Data - Monthly Metrics'!$D:$D,"Goal - Retention %")=0),"—",IF(N102&gt;=SUMIFS('Data - Monthly Metrics'!$E:$E,'Data - Monthly Metrics'!$A:$A,$B$4,'Data - Monthly Metrics'!$B:$B,N$8,'Data - Monthly Metrics'!$C:$C,"Snohomish",'Data - Monthly Metrics'!$D:$D,"Goal - Retention %"),"On Track",IF(N102&gt;=SUMIFS('Data - Monthly Metrics'!$E:$E,'Data - Monthly Metrics'!$A:$A,$B$4,'Data - Monthly Metrics'!$B:$B,N$8,'Data - Monthly Metrics'!$C:$C,"Snohomish",'Data - Monthly Metrics'!$D:$D,"Goal - Retention %")-0.05,"Watch","At Risk")))</f>
        <v/>
      </c>
      <c r="O103" s="120">
        <f>IF(OR(NOT(ISNUMBER(O102)),O102=0,COUNTIFS('Data - Monthly Metrics'!$A:$A,$B$4,'Data - Monthly Metrics'!$B:$B,O$8,'Data - Monthly Metrics'!$C:$C,"Snohomish",'Data - Monthly Metrics'!$D:$D,"Goal - Retention %")=0),"—",IF(O102&gt;=SUMIFS('Data - Monthly Metrics'!$E:$E,'Data - Monthly Metrics'!$A:$A,$B$4,'Data - Monthly Metrics'!$B:$B,O$8,'Data - Monthly Metrics'!$C:$C,"Snohomish",'Data - Monthly Metrics'!$D:$D,"Goal - Retention %"),"On Track",IF(O102&gt;=SUMIFS('Data - Monthly Metrics'!$E:$E,'Data - Monthly Metrics'!$A:$A,$B$4,'Data - Monthly Metrics'!$B:$B,O$8,'Data - Monthly Metrics'!$C:$C,"Snohomish",'Data - Monthly Metrics'!$D:$D,"Goal - Retention %")-0.05,"Watch","At Risk")))</f>
        <v/>
      </c>
      <c r="P103" s="120">
        <f>IF(OR(NOT(ISNUMBER(P102)),P102=0,COUNTIFS('Data - Monthly Metrics'!$A:$A,$B$4,'Data - Monthly Metrics'!$B:$B,P$8,'Data - Monthly Metrics'!$C:$C,"Snohomish",'Data - Monthly Metrics'!$D:$D,"Goal - Retention %")=0),"—",IF(P102&gt;=SUMIFS('Data - Monthly Metrics'!$E:$E,'Data - Monthly Metrics'!$A:$A,$B$4,'Data - Monthly Metrics'!$B:$B,P$8,'Data - Monthly Metrics'!$C:$C,"Snohomish",'Data - Monthly Metrics'!$D:$D,"Goal - Retention %"),"On Track",IF(P102&gt;=SUMIFS('Data - Monthly Metrics'!$E:$E,'Data - Monthly Metrics'!$A:$A,$B$4,'Data - Monthly Metrics'!$B:$B,P$8,'Data - Monthly Metrics'!$C:$C,"Snohomish",'Data - Monthly Metrics'!$D:$D,"Goal - Retention %")-0.05,"Watch","At Risk")))</f>
        <v/>
      </c>
      <c r="Q103" s="121">
        <f>"—"</f>
        <v/>
      </c>
      <c r="R103" s="121">
        <f>"—"</f>
        <v/>
      </c>
    </row>
    <row r="104" ht="14.25" customHeight="1" s="82">
      <c r="A104" s="94" t="inlineStr">
        <is>
          <t xml:space="preserve">   Comped (#)</t>
        </is>
      </c>
      <c r="B104" s="98">
        <f>IF(COUNTIFS('Data - Monthly Metrics'!A:A,$B$4-1,'Data - Monthly Metrics'!B:B,"Oct",'Data - Monthly Metrics'!C:C,"Snohomish",'Data - Monthly Metrics'!D:D,"Retention - Comped Non-Target (#)")=0,"-",SUMIFS('Data - Monthly Metrics'!E:E,'Data - Monthly Metrics'!A:A,$B$4-1,'Data - Monthly Metrics'!B:B,"Oct",'Data - Monthly Metrics'!C:C,"Snohomish",'Data - Monthly Metrics'!D:D,"Retention - Comped Non-Target (#)"))</f>
        <v/>
      </c>
      <c r="C104" s="98">
        <f>IF(COUNTIFS('Data - Monthly Metrics'!A:A,$B$4-1,'Data - Monthly Metrics'!B:B,"Nov",'Data - Monthly Metrics'!C:C,"Snohomish",'Data - Monthly Metrics'!D:D,"Retention - Comped Non-Target (#)")=0,"-",SUMIFS('Data - Monthly Metrics'!E:E,'Data - Monthly Metrics'!A:A,$B$4-1,'Data - Monthly Metrics'!B:B,"Nov",'Data - Monthly Metrics'!C:C,"Snohomish",'Data - Monthly Metrics'!D:D,"Retention - Comped Non-Target (#)"))</f>
        <v/>
      </c>
      <c r="D104" s="98">
        <f>IF(COUNTIFS('Data - Monthly Metrics'!A:A,$B$4-1,'Data - Monthly Metrics'!B:B,"Dec",'Data - Monthly Metrics'!C:C,"Snohomish",'Data - Monthly Metrics'!D:D,"Retention - Comped Non-Target (#)")=0,"-",SUMIFS('Data - Monthly Metrics'!E:E,'Data - Monthly Metrics'!A:A,$B$4-1,'Data - Monthly Metrics'!B:B,"Dec",'Data - Monthly Metrics'!C:C,"Snohomish",'Data - Monthly Metrics'!D:D,"Retention - Comped Non-Target (#)"))</f>
        <v/>
      </c>
      <c r="E104" s="103">
        <f>SUM(B104,C104,D104)</f>
        <v/>
      </c>
      <c r="F104" s="98">
        <f>IF(COUNTIFS('Data - Monthly Metrics'!A:A,$B$4,'Data - Monthly Metrics'!B:B,"Jan",'Data - Monthly Metrics'!C:C,"Snohomish",'Data - Monthly Metrics'!D:D,"Retention - Comped Non-Target (#)")=0,"-",SUMIFS('Data - Monthly Metrics'!E:E,'Data - Monthly Metrics'!A:A,$B$4,'Data - Monthly Metrics'!B:B,"Jan",'Data - Monthly Metrics'!C:C,"Snohomish",'Data - Monthly Metrics'!D:D,"Retention - Comped Non-Target (#)"))</f>
        <v/>
      </c>
      <c r="G104" s="98">
        <f>IF(COUNTIFS('Data - Monthly Metrics'!A:A,$B$4,'Data - Monthly Metrics'!B:B,"Feb",'Data - Monthly Metrics'!C:C,"Snohomish",'Data - Monthly Metrics'!D:D,"Retention - Comped Non-Target (#)")=0,"-",SUMIFS('Data - Monthly Metrics'!E:E,'Data - Monthly Metrics'!A:A,$B$4,'Data - Monthly Metrics'!B:B,"Feb",'Data - Monthly Metrics'!C:C,"Snohomish",'Data - Monthly Metrics'!D:D,"Retention - Comped Non-Target (#)"))</f>
        <v/>
      </c>
      <c r="H104" s="98">
        <f>IF(COUNTIFS('Data - Monthly Metrics'!A:A,$B$4,'Data - Monthly Metrics'!B:B,"Mar",'Data - Monthly Metrics'!C:C,"Snohomish",'Data - Monthly Metrics'!D:D,"Retention - Comped Non-Target (#)")=0,"-",SUMIFS('Data - Monthly Metrics'!E:E,'Data - Monthly Metrics'!A:A,$B$4,'Data - Monthly Metrics'!B:B,"Mar",'Data - Monthly Metrics'!C:C,"Snohomish",'Data - Monthly Metrics'!D:D,"Retention - Comped Non-Target (#)"))</f>
        <v/>
      </c>
      <c r="I104" s="103">
        <f>SUM(F104,G104,H104)</f>
        <v/>
      </c>
      <c r="J104" s="98">
        <f>IF(COUNTIFS('Data - Monthly Metrics'!A:A,$B$4,'Data - Monthly Metrics'!B:B,"Apr",'Data - Monthly Metrics'!C:C,"Snohomish",'Data - Monthly Metrics'!D:D,"Retention - Comped Non-Target (#)")=0,"-",SUMIFS('Data - Monthly Metrics'!E:E,'Data - Monthly Metrics'!A:A,$B$4,'Data - Monthly Metrics'!B:B,"Apr",'Data - Monthly Metrics'!C:C,"Snohomish",'Data - Monthly Metrics'!D:D,"Retention - Comped Non-Target (#)"))</f>
        <v/>
      </c>
      <c r="K104" s="98">
        <f>IF(COUNTIFS('Data - Monthly Metrics'!A:A,$B$4,'Data - Monthly Metrics'!B:B,"May",'Data - Monthly Metrics'!C:C,"Snohomish",'Data - Monthly Metrics'!D:D,"Retention - Comped Non-Target (#)")=0,"-",SUMIFS('Data - Monthly Metrics'!E:E,'Data - Monthly Metrics'!A:A,$B$4,'Data - Monthly Metrics'!B:B,"May",'Data - Monthly Metrics'!C:C,"Snohomish",'Data - Monthly Metrics'!D:D,"Retention - Comped Non-Target (#)"))</f>
        <v/>
      </c>
      <c r="L104" s="98">
        <f>IF(COUNTIFS('Data - Monthly Metrics'!A:A,$B$4,'Data - Monthly Metrics'!B:B,"Jun",'Data - Monthly Metrics'!C:C,"Snohomish",'Data - Monthly Metrics'!D:D,"Retention - Comped Non-Target (#)")=0,"-",SUMIFS('Data - Monthly Metrics'!E:E,'Data - Monthly Metrics'!A:A,$B$4,'Data - Monthly Metrics'!B:B,"Jun",'Data - Monthly Metrics'!C:C,"Snohomish",'Data - Monthly Metrics'!D:D,"Retention - Comped Non-Target (#)"))</f>
        <v/>
      </c>
      <c r="M104" s="103">
        <f>SUM(J104,K104,L104)</f>
        <v/>
      </c>
      <c r="N104" s="98">
        <f>IF(COUNTIFS('Data - Monthly Metrics'!A:A,$B$4,'Data - Monthly Metrics'!B:B,"Jul",'Data - Monthly Metrics'!C:C,"Snohomish",'Data - Monthly Metrics'!D:D,"Retention - Comped Non-Target (#)")=0,"-",SUMIFS('Data - Monthly Metrics'!E:E,'Data - Monthly Metrics'!A:A,$B$4,'Data - Monthly Metrics'!B:B,"Jul",'Data - Monthly Metrics'!C:C,"Snohomish",'Data - Monthly Metrics'!D:D,"Retention - Comped Non-Target (#)"))</f>
        <v/>
      </c>
      <c r="O104" s="98">
        <f>IF(COUNTIFS('Data - Monthly Metrics'!A:A,$B$4,'Data - Monthly Metrics'!B:B,"Aug",'Data - Monthly Metrics'!C:C,"Snohomish",'Data - Monthly Metrics'!D:D,"Retention - Comped Non-Target (#)")=0,"-",SUMIFS('Data - Monthly Metrics'!E:E,'Data - Monthly Metrics'!A:A,$B$4,'Data - Monthly Metrics'!B:B,"Aug",'Data - Monthly Metrics'!C:C,"Snohomish",'Data - Monthly Metrics'!D:D,"Retention - Comped Non-Target (#)"))</f>
        <v/>
      </c>
      <c r="P104" s="98">
        <f>IF(COUNTIFS('Data - Monthly Metrics'!A:A,$B$4,'Data - Monthly Metrics'!B:B,"Sep",'Data - Monthly Metrics'!C:C,"Snohomish",'Data - Monthly Metrics'!D:D,"Retention - Comped Non-Target (#)")=0,"-",SUMIFS('Data - Monthly Metrics'!E:E,'Data - Monthly Metrics'!A:A,$B$4,'Data - Monthly Metrics'!B:B,"Sep",'Data - Monthly Metrics'!C:C,"Snohomish",'Data - Monthly Metrics'!D:D,"Retention - Comped Non-Target (#)"))</f>
        <v/>
      </c>
      <c r="Q104" s="103">
        <f>SUM(N104,O104,P104)</f>
        <v/>
      </c>
      <c r="R104" s="103">
        <f>E104+I104+M104+Q104</f>
        <v/>
      </c>
    </row>
    <row r="105" ht="14.25" customHeight="1" s="82">
      <c r="A105" s="94" t="inlineStr">
        <is>
          <t xml:space="preserve">   Comped ($) — not counted in retention</t>
        </is>
      </c>
      <c r="B105" s="96">
        <f>IF(COUNTIFS('Data - Monthly Metrics'!A:A,$B$4-1,'Data - Monthly Metrics'!B:B,"Oct",'Data - Monthly Metrics'!C:C,"Snohomish",'Data - Monthly Metrics'!D:D,"Retention - Comped Non-Target ($)")=0,"-",SUMIFS('Data - Monthly Metrics'!E:E,'Data - Monthly Metrics'!A:A,$B$4-1,'Data - Monthly Metrics'!B:B,"Oct",'Data - Monthly Metrics'!C:C,"Snohomish",'Data - Monthly Metrics'!D:D,"Retention - Comped Non-Target ($)"))</f>
        <v/>
      </c>
      <c r="C105" s="96">
        <f>IF(COUNTIFS('Data - Monthly Metrics'!A:A,$B$4-1,'Data - Monthly Metrics'!B:B,"Nov",'Data - Monthly Metrics'!C:C,"Snohomish",'Data - Monthly Metrics'!D:D,"Retention - Comped Non-Target ($)")=0,"-",SUMIFS('Data - Monthly Metrics'!E:E,'Data - Monthly Metrics'!A:A,$B$4-1,'Data - Monthly Metrics'!B:B,"Nov",'Data - Monthly Metrics'!C:C,"Snohomish",'Data - Monthly Metrics'!D:D,"Retention - Comped Non-Target ($)"))</f>
        <v/>
      </c>
      <c r="D105" s="96">
        <f>IF(COUNTIFS('Data - Monthly Metrics'!A:A,$B$4-1,'Data - Monthly Metrics'!B:B,"Dec",'Data - Monthly Metrics'!C:C,"Snohomish",'Data - Monthly Metrics'!D:D,"Retention - Comped Non-Target ($)")=0,"-",SUMIFS('Data - Monthly Metrics'!E:E,'Data - Monthly Metrics'!A:A,$B$4-1,'Data - Monthly Metrics'!B:B,"Dec",'Data - Monthly Metrics'!C:C,"Snohomish",'Data - Monthly Metrics'!D:D,"Retention - Comped Non-Target ($)"))</f>
        <v/>
      </c>
      <c r="E105" s="101">
        <f>SUM(B105,C105,D105)</f>
        <v/>
      </c>
      <c r="F105" s="96">
        <f>IF(COUNTIFS('Data - Monthly Metrics'!A:A,$B$4,'Data - Monthly Metrics'!B:B,"Jan",'Data - Monthly Metrics'!C:C,"Snohomish",'Data - Monthly Metrics'!D:D,"Retention - Comped Non-Target ($)")=0,"-",SUMIFS('Data - Monthly Metrics'!E:E,'Data - Monthly Metrics'!A:A,$B$4,'Data - Monthly Metrics'!B:B,"Jan",'Data - Monthly Metrics'!C:C,"Snohomish",'Data - Monthly Metrics'!D:D,"Retention - Comped Non-Target ($)"))</f>
        <v/>
      </c>
      <c r="G105" s="96">
        <f>IF(COUNTIFS('Data - Monthly Metrics'!A:A,$B$4,'Data - Monthly Metrics'!B:B,"Feb",'Data - Monthly Metrics'!C:C,"Snohomish",'Data - Monthly Metrics'!D:D,"Retention - Comped Non-Target ($)")=0,"-",SUMIFS('Data - Monthly Metrics'!E:E,'Data - Monthly Metrics'!A:A,$B$4,'Data - Monthly Metrics'!B:B,"Feb",'Data - Monthly Metrics'!C:C,"Snohomish",'Data - Monthly Metrics'!D:D,"Retention - Comped Non-Target ($)"))</f>
        <v/>
      </c>
      <c r="H105" s="96">
        <f>IF(COUNTIFS('Data - Monthly Metrics'!A:A,$B$4,'Data - Monthly Metrics'!B:B,"Mar",'Data - Monthly Metrics'!C:C,"Snohomish",'Data - Monthly Metrics'!D:D,"Retention - Comped Non-Target ($)")=0,"-",SUMIFS('Data - Monthly Metrics'!E:E,'Data - Monthly Metrics'!A:A,$B$4,'Data - Monthly Metrics'!B:B,"Mar",'Data - Monthly Metrics'!C:C,"Snohomish",'Data - Monthly Metrics'!D:D,"Retention - Comped Non-Target ($)"))</f>
        <v/>
      </c>
      <c r="I105" s="101">
        <f>SUM(F105,G105,H105)</f>
        <v/>
      </c>
      <c r="J105" s="96">
        <f>IF(COUNTIFS('Data - Monthly Metrics'!A:A,$B$4,'Data - Monthly Metrics'!B:B,"Apr",'Data - Monthly Metrics'!C:C,"Snohomish",'Data - Monthly Metrics'!D:D,"Retention - Comped Non-Target ($)")=0,"-",SUMIFS('Data - Monthly Metrics'!E:E,'Data - Monthly Metrics'!A:A,$B$4,'Data - Monthly Metrics'!B:B,"Apr",'Data - Monthly Metrics'!C:C,"Snohomish",'Data - Monthly Metrics'!D:D,"Retention - Comped Non-Target ($)"))</f>
        <v/>
      </c>
      <c r="K105" s="96">
        <f>IF(COUNTIFS('Data - Monthly Metrics'!A:A,$B$4,'Data - Monthly Metrics'!B:B,"May",'Data - Monthly Metrics'!C:C,"Snohomish",'Data - Monthly Metrics'!D:D,"Retention - Comped Non-Target ($)")=0,"-",SUMIFS('Data - Monthly Metrics'!E:E,'Data - Monthly Metrics'!A:A,$B$4,'Data - Monthly Metrics'!B:B,"May",'Data - Monthly Metrics'!C:C,"Snohomish",'Data - Monthly Metrics'!D:D,"Retention - Comped Non-Target ($)"))</f>
        <v/>
      </c>
      <c r="L105" s="96">
        <f>IF(COUNTIFS('Data - Monthly Metrics'!A:A,$B$4,'Data - Monthly Metrics'!B:B,"Jun",'Data - Monthly Metrics'!C:C,"Snohomish",'Data - Monthly Metrics'!D:D,"Retention - Comped Non-Target ($)")=0,"-",SUMIFS('Data - Monthly Metrics'!E:E,'Data - Monthly Metrics'!A:A,$B$4,'Data - Monthly Metrics'!B:B,"Jun",'Data - Monthly Metrics'!C:C,"Snohomish",'Data - Monthly Metrics'!D:D,"Retention - Comped Non-Target ($)"))</f>
        <v/>
      </c>
      <c r="M105" s="101">
        <f>SUM(J105,K105,L105)</f>
        <v/>
      </c>
      <c r="N105" s="96">
        <f>IF(COUNTIFS('Data - Monthly Metrics'!A:A,$B$4,'Data - Monthly Metrics'!B:B,"Jul",'Data - Monthly Metrics'!C:C,"Snohomish",'Data - Monthly Metrics'!D:D,"Retention - Comped Non-Target ($)")=0,"-",SUMIFS('Data - Monthly Metrics'!E:E,'Data - Monthly Metrics'!A:A,$B$4,'Data - Monthly Metrics'!B:B,"Jul",'Data - Monthly Metrics'!C:C,"Snohomish",'Data - Monthly Metrics'!D:D,"Retention - Comped Non-Target ($)"))</f>
        <v/>
      </c>
      <c r="O105" s="96">
        <f>IF(COUNTIFS('Data - Monthly Metrics'!A:A,$B$4,'Data - Monthly Metrics'!B:B,"Aug",'Data - Monthly Metrics'!C:C,"Snohomish",'Data - Monthly Metrics'!D:D,"Retention - Comped Non-Target ($)")=0,"-",SUMIFS('Data - Monthly Metrics'!E:E,'Data - Monthly Metrics'!A:A,$B$4,'Data - Monthly Metrics'!B:B,"Aug",'Data - Monthly Metrics'!C:C,"Snohomish",'Data - Monthly Metrics'!D:D,"Retention - Comped Non-Target ($)"))</f>
        <v/>
      </c>
      <c r="P105" s="96">
        <f>IF(COUNTIFS('Data - Monthly Metrics'!A:A,$B$4,'Data - Monthly Metrics'!B:B,"Sep",'Data - Monthly Metrics'!C:C,"Snohomish",'Data - Monthly Metrics'!D:D,"Retention - Comped Non-Target ($)")=0,"-",SUMIFS('Data - Monthly Metrics'!E:E,'Data - Monthly Metrics'!A:A,$B$4,'Data - Monthly Metrics'!B:B,"Sep",'Data - Monthly Metrics'!C:C,"Snohomish",'Data - Monthly Metrics'!D:D,"Retention - Comped Non-Target ($)"))</f>
        <v/>
      </c>
      <c r="Q105" s="101">
        <f>SUM(N105,O105,P105)</f>
        <v/>
      </c>
      <c r="R105" s="101">
        <f>E105+I105+M105+Q105</f>
        <v/>
      </c>
    </row>
    <row r="106"/>
    <row r="107" ht="21.75" customHeight="1" s="82">
      <c r="A107" s="147" t="inlineStr">
        <is>
          <t xml:space="preserve">  ▶   N4.  DROPS — Non-Target</t>
        </is>
      </c>
    </row>
    <row r="108" ht="14.25" customHeight="1" s="82">
      <c r="A108" s="106" t="inlineStr">
        <is>
          <t>Metric</t>
        </is>
      </c>
      <c r="B108" s="106" t="inlineStr">
        <is>
          <t>Oct</t>
        </is>
      </c>
      <c r="C108" s="106" t="inlineStr">
        <is>
          <t>Nov</t>
        </is>
      </c>
      <c r="D108" s="106" t="inlineStr">
        <is>
          <t>Dec</t>
        </is>
      </c>
      <c r="E108" s="106" t="inlineStr">
        <is>
          <t>Q1</t>
        </is>
      </c>
      <c r="F108" s="106" t="inlineStr">
        <is>
          <t>Jan</t>
        </is>
      </c>
      <c r="G108" s="106" t="inlineStr">
        <is>
          <t>Feb</t>
        </is>
      </c>
      <c r="H108" s="106" t="inlineStr">
        <is>
          <t>Mar</t>
        </is>
      </c>
      <c r="I108" s="106" t="inlineStr">
        <is>
          <t>Q2</t>
        </is>
      </c>
      <c r="J108" s="106" t="inlineStr">
        <is>
          <t>Apr</t>
        </is>
      </c>
      <c r="K108" s="106" t="inlineStr">
        <is>
          <t>May</t>
        </is>
      </c>
      <c r="L108" s="106" t="inlineStr">
        <is>
          <t>Jun</t>
        </is>
      </c>
      <c r="M108" s="106" t="inlineStr">
        <is>
          <t>Q3</t>
        </is>
      </c>
      <c r="N108" s="106" t="inlineStr">
        <is>
          <t>Jul</t>
        </is>
      </c>
      <c r="O108" s="106" t="inlineStr">
        <is>
          <t>Aug</t>
        </is>
      </c>
      <c r="P108" s="106" t="inlineStr">
        <is>
          <t>Sep</t>
        </is>
      </c>
      <c r="Q108" s="106" t="inlineStr">
        <is>
          <t>Q4</t>
        </is>
      </c>
      <c r="R108" s="106" t="inlineStr">
        <is>
          <t>YTD</t>
        </is>
      </c>
    </row>
    <row r="109" ht="14.25" customHeight="1" s="82">
      <c r="A109" s="89" t="inlineStr">
        <is>
          <t>Drops - Non-Target (#)</t>
        </is>
      </c>
      <c r="B109" s="93">
        <f>IF(COUNTIFS('Data - Monthly Metrics'!A:A,$B$4-1,'Data - Monthly Metrics'!B:B,"Oct",'Data - Monthly Metrics'!C:C,"Snohomish",'Data - Monthly Metrics'!D:D,"Drops - Non-Target (#)")=0,"-",SUMIFS('Data - Monthly Metrics'!E:E,'Data - Monthly Metrics'!A:A,$B$4-1,'Data - Monthly Metrics'!B:B,"Oct",'Data - Monthly Metrics'!C:C,"Snohomish",'Data - Monthly Metrics'!D:D,"Drops - Non-Target (#)"))</f>
        <v/>
      </c>
      <c r="C109" s="93">
        <f>IF(COUNTIFS('Data - Monthly Metrics'!A:A,$B$4-1,'Data - Monthly Metrics'!B:B,"Nov",'Data - Monthly Metrics'!C:C,"Snohomish",'Data - Monthly Metrics'!D:D,"Drops - Non-Target (#)")=0,"-",SUMIFS('Data - Monthly Metrics'!E:E,'Data - Monthly Metrics'!A:A,$B$4-1,'Data - Monthly Metrics'!B:B,"Nov",'Data - Monthly Metrics'!C:C,"Snohomish",'Data - Monthly Metrics'!D:D,"Drops - Non-Target (#)"))</f>
        <v/>
      </c>
      <c r="D109" s="93">
        <f>IF(COUNTIFS('Data - Monthly Metrics'!A:A,$B$4-1,'Data - Monthly Metrics'!B:B,"Dec",'Data - Monthly Metrics'!C:C,"Snohomish",'Data - Monthly Metrics'!D:D,"Drops - Non-Target (#)")=0,"-",SUMIFS('Data - Monthly Metrics'!E:E,'Data - Monthly Metrics'!A:A,$B$4-1,'Data - Monthly Metrics'!B:B,"Dec",'Data - Monthly Metrics'!C:C,"Snohomish",'Data - Monthly Metrics'!D:D,"Drops - Non-Target (#)"))</f>
        <v/>
      </c>
      <c r="E109" s="103">
        <f>SUM(B109,C109,D109)</f>
        <v/>
      </c>
      <c r="F109" s="93">
        <f>IF(COUNTIFS('Data - Monthly Metrics'!A:A,$B$4,'Data - Monthly Metrics'!B:B,"Jan",'Data - Monthly Metrics'!C:C,"Snohomish",'Data - Monthly Metrics'!D:D,"Drops - Non-Target (#)")=0,"-",SUMIFS('Data - Monthly Metrics'!E:E,'Data - Monthly Metrics'!A:A,$B$4,'Data - Monthly Metrics'!B:B,"Jan",'Data - Monthly Metrics'!C:C,"Snohomish",'Data - Monthly Metrics'!D:D,"Drops - Non-Target (#)"))</f>
        <v/>
      </c>
      <c r="G109" s="93">
        <f>IF(COUNTIFS('Data - Monthly Metrics'!A:A,$B$4,'Data - Monthly Metrics'!B:B,"Feb",'Data - Monthly Metrics'!C:C,"Snohomish",'Data - Monthly Metrics'!D:D,"Drops - Non-Target (#)")=0,"-",SUMIFS('Data - Monthly Metrics'!E:E,'Data - Monthly Metrics'!A:A,$B$4,'Data - Monthly Metrics'!B:B,"Feb",'Data - Monthly Metrics'!C:C,"Snohomish",'Data - Monthly Metrics'!D:D,"Drops - Non-Target (#)"))</f>
        <v/>
      </c>
      <c r="H109" s="93">
        <f>IF(COUNTIFS('Data - Monthly Metrics'!A:A,$B$4,'Data - Monthly Metrics'!B:B,"Mar",'Data - Monthly Metrics'!C:C,"Snohomish",'Data - Monthly Metrics'!D:D,"Drops - Non-Target (#)")=0,"-",SUMIFS('Data - Monthly Metrics'!E:E,'Data - Monthly Metrics'!A:A,$B$4,'Data - Monthly Metrics'!B:B,"Mar",'Data - Monthly Metrics'!C:C,"Snohomish",'Data - Monthly Metrics'!D:D,"Drops - Non-Target (#)"))</f>
        <v/>
      </c>
      <c r="I109" s="103">
        <f>SUM(F109,G109,H109)</f>
        <v/>
      </c>
      <c r="J109" s="93">
        <f>IF(COUNTIFS('Data - Monthly Metrics'!A:A,$B$4,'Data - Monthly Metrics'!B:B,"Apr",'Data - Monthly Metrics'!C:C,"Snohomish",'Data - Monthly Metrics'!D:D,"Drops - Non-Target (#)")=0,"-",SUMIFS('Data - Monthly Metrics'!E:E,'Data - Monthly Metrics'!A:A,$B$4,'Data - Monthly Metrics'!B:B,"Apr",'Data - Monthly Metrics'!C:C,"Snohomish",'Data - Monthly Metrics'!D:D,"Drops - Non-Target (#)"))</f>
        <v/>
      </c>
      <c r="K109" s="93">
        <f>IF(COUNTIFS('Data - Monthly Metrics'!A:A,$B$4,'Data - Monthly Metrics'!B:B,"May",'Data - Monthly Metrics'!C:C,"Snohomish",'Data - Monthly Metrics'!D:D,"Drops - Non-Target (#)")=0,"-",SUMIFS('Data - Monthly Metrics'!E:E,'Data - Monthly Metrics'!A:A,$B$4,'Data - Monthly Metrics'!B:B,"May",'Data - Monthly Metrics'!C:C,"Snohomish",'Data - Monthly Metrics'!D:D,"Drops - Non-Target (#)"))</f>
        <v/>
      </c>
      <c r="L109" s="93">
        <f>IF(COUNTIFS('Data - Monthly Metrics'!A:A,$B$4,'Data - Monthly Metrics'!B:B,"Jun",'Data - Monthly Metrics'!C:C,"Snohomish",'Data - Monthly Metrics'!D:D,"Drops - Non-Target (#)")=0,"-",SUMIFS('Data - Monthly Metrics'!E:E,'Data - Monthly Metrics'!A:A,$B$4,'Data - Monthly Metrics'!B:B,"Jun",'Data - Monthly Metrics'!C:C,"Snohomish",'Data - Monthly Metrics'!D:D,"Drops - Non-Target (#)"))</f>
        <v/>
      </c>
      <c r="M109" s="103">
        <f>SUM(J109,K109,L109)</f>
        <v/>
      </c>
      <c r="N109" s="93">
        <f>IF(COUNTIFS('Data - Monthly Metrics'!A:A,$B$4,'Data - Monthly Metrics'!B:B,"Jul",'Data - Monthly Metrics'!C:C,"Snohomish",'Data - Monthly Metrics'!D:D,"Drops - Non-Target (#)")=0,"-",SUMIFS('Data - Monthly Metrics'!E:E,'Data - Monthly Metrics'!A:A,$B$4,'Data - Monthly Metrics'!B:B,"Jul",'Data - Monthly Metrics'!C:C,"Snohomish",'Data - Monthly Metrics'!D:D,"Drops - Non-Target (#)"))</f>
        <v/>
      </c>
      <c r="O109" s="93">
        <f>IF(COUNTIFS('Data - Monthly Metrics'!A:A,$B$4,'Data - Monthly Metrics'!B:B,"Aug",'Data - Monthly Metrics'!C:C,"Snohomish",'Data - Monthly Metrics'!D:D,"Drops - Non-Target (#)")=0,"-",SUMIFS('Data - Monthly Metrics'!E:E,'Data - Monthly Metrics'!A:A,$B$4,'Data - Monthly Metrics'!B:B,"Aug",'Data - Monthly Metrics'!C:C,"Snohomish",'Data - Monthly Metrics'!D:D,"Drops - Non-Target (#)"))</f>
        <v/>
      </c>
      <c r="P109" s="93">
        <f>IF(COUNTIFS('Data - Monthly Metrics'!A:A,$B$4,'Data - Monthly Metrics'!B:B,"Sep",'Data - Monthly Metrics'!C:C,"Snohomish",'Data - Monthly Metrics'!D:D,"Drops - Non-Target (#)")=0,"-",SUMIFS('Data - Monthly Metrics'!E:E,'Data - Monthly Metrics'!A:A,$B$4,'Data - Monthly Metrics'!B:B,"Sep",'Data - Monthly Metrics'!C:C,"Snohomish",'Data - Monthly Metrics'!D:D,"Drops - Non-Target (#)"))</f>
        <v/>
      </c>
      <c r="Q109" s="103">
        <f>SUM(N109,O109,P109)</f>
        <v/>
      </c>
      <c r="R109" s="103">
        <f>E109+I109+M109+Q109</f>
        <v/>
      </c>
    </row>
    <row r="110" ht="14.25" customHeight="1" s="82">
      <c r="A110" s="94" t="inlineStr">
        <is>
          <t>Dropped Revenue - Non-Target ($)</t>
        </is>
      </c>
      <c r="B110" s="96">
        <f>IF(COUNTIFS('Data - Monthly Metrics'!A:A,$B$4-1,'Data - Monthly Metrics'!B:B,"Oct",'Data - Monthly Metrics'!C:C,"Snohomish",'Data - Monthly Metrics'!D:D,"Dropped Revenue - Non-Target ($)")=0,"-",SUMIFS('Data - Monthly Metrics'!E:E,'Data - Monthly Metrics'!A:A,$B$4-1,'Data - Monthly Metrics'!B:B,"Oct",'Data - Monthly Metrics'!C:C,"Snohomish",'Data - Monthly Metrics'!D:D,"Dropped Revenue - Non-Target ($)"))</f>
        <v/>
      </c>
      <c r="C110" s="96">
        <f>IF(COUNTIFS('Data - Monthly Metrics'!A:A,$B$4-1,'Data - Monthly Metrics'!B:B,"Nov",'Data - Monthly Metrics'!C:C,"Snohomish",'Data - Monthly Metrics'!D:D,"Dropped Revenue - Non-Target ($)")=0,"-",SUMIFS('Data - Monthly Metrics'!E:E,'Data - Monthly Metrics'!A:A,$B$4-1,'Data - Monthly Metrics'!B:B,"Nov",'Data - Monthly Metrics'!C:C,"Snohomish",'Data - Monthly Metrics'!D:D,"Dropped Revenue - Non-Target ($)"))</f>
        <v/>
      </c>
      <c r="D110" s="96">
        <f>IF(COUNTIFS('Data - Monthly Metrics'!A:A,$B$4-1,'Data - Monthly Metrics'!B:B,"Dec",'Data - Monthly Metrics'!C:C,"Snohomish",'Data - Monthly Metrics'!D:D,"Dropped Revenue - Non-Target ($)")=0,"-",SUMIFS('Data - Monthly Metrics'!E:E,'Data - Monthly Metrics'!A:A,$B$4-1,'Data - Monthly Metrics'!B:B,"Dec",'Data - Monthly Metrics'!C:C,"Snohomish",'Data - Monthly Metrics'!D:D,"Dropped Revenue - Non-Target ($)"))</f>
        <v/>
      </c>
      <c r="E110" s="101">
        <f>SUM(B110,C110,D110)</f>
        <v/>
      </c>
      <c r="F110" s="96">
        <f>IF(COUNTIFS('Data - Monthly Metrics'!A:A,$B$4,'Data - Monthly Metrics'!B:B,"Jan",'Data - Monthly Metrics'!C:C,"Snohomish",'Data - Monthly Metrics'!D:D,"Dropped Revenue - Non-Target ($)")=0,"-",SUMIFS('Data - Monthly Metrics'!E:E,'Data - Monthly Metrics'!A:A,$B$4,'Data - Monthly Metrics'!B:B,"Jan",'Data - Monthly Metrics'!C:C,"Snohomish",'Data - Monthly Metrics'!D:D,"Dropped Revenue - Non-Target ($)"))</f>
        <v/>
      </c>
      <c r="G110" s="96">
        <f>IF(COUNTIFS('Data - Monthly Metrics'!A:A,$B$4,'Data - Monthly Metrics'!B:B,"Feb",'Data - Monthly Metrics'!C:C,"Snohomish",'Data - Monthly Metrics'!D:D,"Dropped Revenue - Non-Target ($)")=0,"-",SUMIFS('Data - Monthly Metrics'!E:E,'Data - Monthly Metrics'!A:A,$B$4,'Data - Monthly Metrics'!B:B,"Feb",'Data - Monthly Metrics'!C:C,"Snohomish",'Data - Monthly Metrics'!D:D,"Dropped Revenue - Non-Target ($)"))</f>
        <v/>
      </c>
      <c r="H110" s="96">
        <f>IF(COUNTIFS('Data - Monthly Metrics'!A:A,$B$4,'Data - Monthly Metrics'!B:B,"Mar",'Data - Monthly Metrics'!C:C,"Snohomish",'Data - Monthly Metrics'!D:D,"Dropped Revenue - Non-Target ($)")=0,"-",SUMIFS('Data - Monthly Metrics'!E:E,'Data - Monthly Metrics'!A:A,$B$4,'Data - Monthly Metrics'!B:B,"Mar",'Data - Monthly Metrics'!C:C,"Snohomish",'Data - Monthly Metrics'!D:D,"Dropped Revenue - Non-Target ($)"))</f>
        <v/>
      </c>
      <c r="I110" s="101">
        <f>SUM(F110,G110,H110)</f>
        <v/>
      </c>
      <c r="J110" s="96">
        <f>IF(COUNTIFS('Data - Monthly Metrics'!A:A,$B$4,'Data - Monthly Metrics'!B:B,"Apr",'Data - Monthly Metrics'!C:C,"Snohomish",'Data - Monthly Metrics'!D:D,"Dropped Revenue - Non-Target ($)")=0,"-",SUMIFS('Data - Monthly Metrics'!E:E,'Data - Monthly Metrics'!A:A,$B$4,'Data - Monthly Metrics'!B:B,"Apr",'Data - Monthly Metrics'!C:C,"Snohomish",'Data - Monthly Metrics'!D:D,"Dropped Revenue - Non-Target ($)"))</f>
        <v/>
      </c>
      <c r="K110" s="96">
        <f>IF(COUNTIFS('Data - Monthly Metrics'!A:A,$B$4,'Data - Monthly Metrics'!B:B,"May",'Data - Monthly Metrics'!C:C,"Snohomish",'Data - Monthly Metrics'!D:D,"Dropped Revenue - Non-Target ($)")=0,"-",SUMIFS('Data - Monthly Metrics'!E:E,'Data - Monthly Metrics'!A:A,$B$4,'Data - Monthly Metrics'!B:B,"May",'Data - Monthly Metrics'!C:C,"Snohomish",'Data - Monthly Metrics'!D:D,"Dropped Revenue - Non-Target ($)"))</f>
        <v/>
      </c>
      <c r="L110" s="96">
        <f>IF(COUNTIFS('Data - Monthly Metrics'!A:A,$B$4,'Data - Monthly Metrics'!B:B,"Jun",'Data - Monthly Metrics'!C:C,"Snohomish",'Data - Monthly Metrics'!D:D,"Dropped Revenue - Non-Target ($)")=0,"-",SUMIFS('Data - Monthly Metrics'!E:E,'Data - Monthly Metrics'!A:A,$B$4,'Data - Monthly Metrics'!B:B,"Jun",'Data - Monthly Metrics'!C:C,"Snohomish",'Data - Monthly Metrics'!D:D,"Dropped Revenue - Non-Target ($)"))</f>
        <v/>
      </c>
      <c r="M110" s="101">
        <f>SUM(J110,K110,L110)</f>
        <v/>
      </c>
      <c r="N110" s="96">
        <f>IF(COUNTIFS('Data - Monthly Metrics'!A:A,$B$4,'Data - Monthly Metrics'!B:B,"Jul",'Data - Monthly Metrics'!C:C,"Snohomish",'Data - Monthly Metrics'!D:D,"Dropped Revenue - Non-Target ($)")=0,"-",SUMIFS('Data - Monthly Metrics'!E:E,'Data - Monthly Metrics'!A:A,$B$4,'Data - Monthly Metrics'!B:B,"Jul",'Data - Monthly Metrics'!C:C,"Snohomish",'Data - Monthly Metrics'!D:D,"Dropped Revenue - Non-Target ($)"))</f>
        <v/>
      </c>
      <c r="O110" s="96">
        <f>IF(COUNTIFS('Data - Monthly Metrics'!A:A,$B$4,'Data - Monthly Metrics'!B:B,"Aug",'Data - Monthly Metrics'!C:C,"Snohomish",'Data - Monthly Metrics'!D:D,"Dropped Revenue - Non-Target ($)")=0,"-",SUMIFS('Data - Monthly Metrics'!E:E,'Data - Monthly Metrics'!A:A,$B$4,'Data - Monthly Metrics'!B:B,"Aug",'Data - Monthly Metrics'!C:C,"Snohomish",'Data - Monthly Metrics'!D:D,"Dropped Revenue - Non-Target ($)"))</f>
        <v/>
      </c>
      <c r="P110" s="96">
        <f>IF(COUNTIFS('Data - Monthly Metrics'!A:A,$B$4,'Data - Monthly Metrics'!B:B,"Sep",'Data - Monthly Metrics'!C:C,"Snohomish",'Data - Monthly Metrics'!D:D,"Dropped Revenue - Non-Target ($)")=0,"-",SUMIFS('Data - Monthly Metrics'!E:E,'Data - Monthly Metrics'!A:A,$B$4,'Data - Monthly Metrics'!B:B,"Sep",'Data - Monthly Metrics'!C:C,"Snohomish",'Data - Monthly Metrics'!D:D,"Dropped Revenue - Non-Target ($)"))</f>
        <v/>
      </c>
      <c r="Q110" s="101">
        <f>SUM(N110,O110,P110)</f>
        <v/>
      </c>
      <c r="R110" s="101">
        <f>E110+I110+M110+Q110</f>
        <v/>
      </c>
    </row>
    <row r="111"/>
    <row r="112" ht="21.75" customHeight="1" s="82">
      <c r="A112" s="147" t="inlineStr">
        <is>
          <t xml:space="preserve">  ▶   N5.  PENETRATION — Non-Target</t>
        </is>
      </c>
    </row>
    <row r="113" ht="14.25" customHeight="1" s="82">
      <c r="A113" s="149" t="inlineStr">
        <is>
          <t>Metric</t>
        </is>
      </c>
      <c r="B113" s="149" t="inlineStr">
        <is>
          <t>Oct</t>
        </is>
      </c>
      <c r="C113" s="149" t="inlineStr">
        <is>
          <t>Nov</t>
        </is>
      </c>
      <c r="D113" s="149" t="inlineStr">
        <is>
          <t>Dec</t>
        </is>
      </c>
      <c r="E113" s="149" t="inlineStr">
        <is>
          <t>Q1</t>
        </is>
      </c>
      <c r="F113" s="149" t="inlineStr">
        <is>
          <t>Jan</t>
        </is>
      </c>
      <c r="G113" s="149" t="inlineStr">
        <is>
          <t>Feb</t>
        </is>
      </c>
      <c r="H113" s="149" t="inlineStr">
        <is>
          <t>Mar</t>
        </is>
      </c>
      <c r="I113" s="149" t="inlineStr">
        <is>
          <t>Q2</t>
        </is>
      </c>
      <c r="J113" s="149" t="inlineStr">
        <is>
          <t>Apr</t>
        </is>
      </c>
      <c r="K113" s="149" t="inlineStr">
        <is>
          <t>May</t>
        </is>
      </c>
      <c r="L113" s="149" t="inlineStr">
        <is>
          <t>Jun</t>
        </is>
      </c>
      <c r="M113" s="149" t="inlineStr">
        <is>
          <t>Q3</t>
        </is>
      </c>
      <c r="N113" s="149" t="inlineStr">
        <is>
          <t>Jul</t>
        </is>
      </c>
      <c r="O113" s="149" t="inlineStr">
        <is>
          <t>Aug</t>
        </is>
      </c>
      <c r="P113" s="149" t="inlineStr">
        <is>
          <t>Sep</t>
        </is>
      </c>
      <c r="Q113" s="149" t="inlineStr">
        <is>
          <t>Q4</t>
        </is>
      </c>
      <c r="R113" s="149" t="inlineStr">
        <is>
          <t>Avg</t>
        </is>
      </c>
      <c r="S113" s="81" t="n"/>
      <c r="T113" s="81" t="n"/>
      <c r="U113" s="81" t="n"/>
      <c r="V113" s="81" t="n"/>
      <c r="W113" s="81" t="n"/>
      <c r="X113" s="81" t="n"/>
      <c r="Y113" s="81" t="n"/>
      <c r="Z113" s="81" t="n"/>
      <c r="AA113" s="81" t="n"/>
      <c r="AB113" s="81" t="n"/>
      <c r="AC113" s="81" t="n"/>
      <c r="AD113" s="81" t="n"/>
      <c r="AE113" s="81" t="n"/>
      <c r="AF113" s="81" t="n"/>
      <c r="AG113" s="81" t="n"/>
      <c r="AH113" s="81" t="n"/>
      <c r="AI113" s="81" t="n"/>
      <c r="AJ113" s="81" t="n"/>
      <c r="AK113" s="81" t="n"/>
      <c r="AL113" s="81" t="n"/>
      <c r="AM113" s="81" t="n"/>
      <c r="AN113" s="81" t="n"/>
      <c r="AO113" s="81" t="n"/>
      <c r="AP113" s="81" t="n"/>
      <c r="AQ113" s="81" t="n"/>
      <c r="AR113" s="81" t="n"/>
    </row>
    <row r="114" ht="14.25" customHeight="1" s="82">
      <c r="A114" s="125" t="inlineStr">
        <is>
          <t>Penetration - Restaurant %</t>
        </is>
      </c>
      <c r="B114" s="115">
        <f>IF(COUNTIFS('Data - Monthly Metrics'!A:A,$B$4-1,'Data - Monthly Metrics'!B:B,"Oct",'Data - Monthly Metrics'!C:C,"Snohomish",'Data - Monthly Metrics'!D:D,"Penetration - Restaurant Non-Target %")=0,"-",SUMIFS('Data - Monthly Metrics'!E:E,'Data - Monthly Metrics'!A:A,$B$4-1,'Data - Monthly Metrics'!B:B,"Oct",'Data - Monthly Metrics'!C:C,"Snohomish",'Data - Monthly Metrics'!D:D,"Penetration - Restaurant Non-Target %"))</f>
        <v/>
      </c>
      <c r="C114" s="115">
        <f>IF(COUNTIFS('Data - Monthly Metrics'!A:A,$B$4-1,'Data - Monthly Metrics'!B:B,"Nov",'Data - Monthly Metrics'!C:C,"Snohomish",'Data - Monthly Metrics'!D:D,"Penetration - Restaurant Non-Target %")=0,"-",SUMIFS('Data - Monthly Metrics'!E:E,'Data - Monthly Metrics'!A:A,$B$4-1,'Data - Monthly Metrics'!B:B,"Nov",'Data - Monthly Metrics'!C:C,"Snohomish",'Data - Monthly Metrics'!D:D,"Penetration - Restaurant Non-Target %"))</f>
        <v/>
      </c>
      <c r="D114" s="115">
        <f>IF(COUNTIFS('Data - Monthly Metrics'!A:A,$B$4-1,'Data - Monthly Metrics'!B:B,"Dec",'Data - Monthly Metrics'!C:C,"Snohomish",'Data - Monthly Metrics'!D:D,"Penetration - Restaurant Non-Target %")=0,"-",SUMIFS('Data - Monthly Metrics'!E:E,'Data - Monthly Metrics'!A:A,$B$4-1,'Data - Monthly Metrics'!B:B,"Dec",'Data - Monthly Metrics'!C:C,"Snohomish",'Data - Monthly Metrics'!D:D,"Penetration - Restaurant Non-Target %"))</f>
        <v/>
      </c>
      <c r="E114" s="116">
        <f>IF(ISNUMBER(D114),D114,IF(ISNUMBER(C114),C114,IF(ISNUMBER(B114),B114,"-")))</f>
        <v/>
      </c>
      <c r="F114" s="115">
        <f>IF(COUNTIFS('Data - Monthly Metrics'!A:A,$B$4,'Data - Monthly Metrics'!B:B,"Jan",'Data - Monthly Metrics'!C:C,"Snohomish",'Data - Monthly Metrics'!D:D,"Penetration - Restaurant Non-Target %")=0,"-",SUMIFS('Data - Monthly Metrics'!E:E,'Data - Monthly Metrics'!A:A,$B$4,'Data - Monthly Metrics'!B:B,"Jan",'Data - Monthly Metrics'!C:C,"Snohomish",'Data - Monthly Metrics'!D:D,"Penetration - Restaurant Non-Target %"))</f>
        <v/>
      </c>
      <c r="G114" s="115">
        <f>IF(COUNTIFS('Data - Monthly Metrics'!A:A,$B$4,'Data - Monthly Metrics'!B:B,"Feb",'Data - Monthly Metrics'!C:C,"Snohomish",'Data - Monthly Metrics'!D:D,"Penetration - Restaurant Non-Target %")=0,"-",SUMIFS('Data - Monthly Metrics'!E:E,'Data - Monthly Metrics'!A:A,$B$4,'Data - Monthly Metrics'!B:B,"Feb",'Data - Monthly Metrics'!C:C,"Snohomish",'Data - Monthly Metrics'!D:D,"Penetration - Restaurant Non-Target %"))</f>
        <v/>
      </c>
      <c r="H114" s="115">
        <f>IF(COUNTIFS('Data - Monthly Metrics'!A:A,$B$4,'Data - Monthly Metrics'!B:B,"Mar",'Data - Monthly Metrics'!C:C,"Snohomish",'Data - Monthly Metrics'!D:D,"Penetration - Restaurant Non-Target %")=0,"-",SUMIFS('Data - Monthly Metrics'!E:E,'Data - Monthly Metrics'!A:A,$B$4,'Data - Monthly Metrics'!B:B,"Mar",'Data - Monthly Metrics'!C:C,"Snohomish",'Data - Monthly Metrics'!D:D,"Penetration - Restaurant Non-Target %"))</f>
        <v/>
      </c>
      <c r="I114" s="116">
        <f>IF(ISNUMBER(H114),H114,IF(ISNUMBER(G114),G114,IF(ISNUMBER(F114),F114,"-")))</f>
        <v/>
      </c>
      <c r="J114" s="115">
        <f>IF(COUNTIFS('Data - Monthly Metrics'!A:A,$B$4,'Data - Monthly Metrics'!B:B,"Apr",'Data - Monthly Metrics'!C:C,"Snohomish",'Data - Monthly Metrics'!D:D,"Penetration - Restaurant Non-Target %")=0,"-",SUMIFS('Data - Monthly Metrics'!E:E,'Data - Monthly Metrics'!A:A,$B$4,'Data - Monthly Metrics'!B:B,"Apr",'Data - Monthly Metrics'!C:C,"Snohomish",'Data - Monthly Metrics'!D:D,"Penetration - Restaurant Non-Target %"))</f>
        <v/>
      </c>
      <c r="K114" s="115">
        <f>IF(COUNTIFS('Data - Monthly Metrics'!A:A,$B$4,'Data - Monthly Metrics'!B:B,"May",'Data - Monthly Metrics'!C:C,"Snohomish",'Data - Monthly Metrics'!D:D,"Penetration - Restaurant Non-Target %")=0,"-",SUMIFS('Data - Monthly Metrics'!E:E,'Data - Monthly Metrics'!A:A,$B$4,'Data - Monthly Metrics'!B:B,"May",'Data - Monthly Metrics'!C:C,"Snohomish",'Data - Monthly Metrics'!D:D,"Penetration - Restaurant Non-Target %"))</f>
        <v/>
      </c>
      <c r="L114" s="115">
        <f>IF(COUNTIFS('Data - Monthly Metrics'!A:A,$B$4,'Data - Monthly Metrics'!B:B,"Jun",'Data - Monthly Metrics'!C:C,"Snohomish",'Data - Monthly Metrics'!D:D,"Penetration - Restaurant Non-Target %")=0,"-",SUMIFS('Data - Monthly Metrics'!E:E,'Data - Monthly Metrics'!A:A,$B$4,'Data - Monthly Metrics'!B:B,"Jun",'Data - Monthly Metrics'!C:C,"Snohomish",'Data - Monthly Metrics'!D:D,"Penetration - Restaurant Non-Target %"))</f>
        <v/>
      </c>
      <c r="M114" s="116">
        <f>IF(ISNUMBER(L114),L114,IF(ISNUMBER(K114),K114,IF(ISNUMBER(J114),J114,"-")))</f>
        <v/>
      </c>
      <c r="N114" s="115">
        <f>IF(COUNTIFS('Data - Monthly Metrics'!A:A,$B$4,'Data - Monthly Metrics'!B:B,"Jul",'Data - Monthly Metrics'!C:C,"Snohomish",'Data - Monthly Metrics'!D:D,"Penetration - Restaurant Non-Target %")=0,"-",SUMIFS('Data - Monthly Metrics'!E:E,'Data - Monthly Metrics'!A:A,$B$4,'Data - Monthly Metrics'!B:B,"Jul",'Data - Monthly Metrics'!C:C,"Snohomish",'Data - Monthly Metrics'!D:D,"Penetration - Restaurant Non-Target %"))</f>
        <v/>
      </c>
      <c r="O114" s="115">
        <f>IF(COUNTIFS('Data - Monthly Metrics'!A:A,$B$4,'Data - Monthly Metrics'!B:B,"Aug",'Data - Monthly Metrics'!C:C,"Snohomish",'Data - Monthly Metrics'!D:D,"Penetration - Restaurant Non-Target %")=0,"-",SUMIFS('Data - Monthly Metrics'!E:E,'Data - Monthly Metrics'!A:A,$B$4,'Data - Monthly Metrics'!B:B,"Aug",'Data - Monthly Metrics'!C:C,"Snohomish",'Data - Monthly Metrics'!D:D,"Penetration - Restaurant Non-Target %"))</f>
        <v/>
      </c>
      <c r="P114" s="115">
        <f>IF(COUNTIFS('Data - Monthly Metrics'!A:A,$B$4,'Data - Monthly Metrics'!B:B,"Sep",'Data - Monthly Metrics'!C:C,"Snohomish",'Data - Monthly Metrics'!D:D,"Penetration - Restaurant Non-Target %")=0,"-",SUMIFS('Data - Monthly Metrics'!E:E,'Data - Monthly Metrics'!A:A,$B$4,'Data - Monthly Metrics'!B:B,"Sep",'Data - Monthly Metrics'!C:C,"Snohomish",'Data - Monthly Metrics'!D:D,"Penetration - Restaurant Non-Target %"))</f>
        <v/>
      </c>
      <c r="Q114" s="116">
        <f>IF(ISNUMBER(P114),P114,IF(ISNUMBER(O114),O114,IF(ISNUMBER(N114),N114,"-")))</f>
        <v/>
      </c>
      <c r="R114" s="116">
        <f>IF(ISNUMBER(Q114),Q114,IF(ISNUMBER(M114),M114,IF(ISNUMBER(I114),I114,IF(ISNUMBER(E114),E114,"-"))))</f>
        <v/>
      </c>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c r="AN114" s="81" t="n"/>
      <c r="AO114" s="81" t="n"/>
      <c r="AP114" s="81" t="n"/>
      <c r="AQ114" s="81" t="n"/>
      <c r="AR114" s="81" t="n"/>
    </row>
    <row r="115" ht="14.25" customHeight="1" s="82">
      <c r="A115" s="150" t="inlineStr">
        <is>
          <t>Penetration - Lodging %</t>
        </is>
      </c>
      <c r="B115" s="118">
        <f>IF(COUNTIFS('Data - Monthly Metrics'!A:A,$B$4-1,'Data - Monthly Metrics'!B:B,"Oct",'Data - Monthly Metrics'!C:C,"Snohomish",'Data - Monthly Metrics'!D:D,"Penetration - Lodging Non-Target %")=0,"-",SUMIFS('Data - Monthly Metrics'!E:E,'Data - Monthly Metrics'!A:A,$B$4-1,'Data - Monthly Metrics'!B:B,"Oct",'Data - Monthly Metrics'!C:C,"Snohomish",'Data - Monthly Metrics'!D:D,"Penetration - Lodging Non-Target %"))</f>
        <v/>
      </c>
      <c r="C115" s="118">
        <f>IF(COUNTIFS('Data - Monthly Metrics'!A:A,$B$4-1,'Data - Monthly Metrics'!B:B,"Nov",'Data - Monthly Metrics'!C:C,"Snohomish",'Data - Monthly Metrics'!D:D,"Penetration - Lodging Non-Target %")=0,"-",SUMIFS('Data - Monthly Metrics'!E:E,'Data - Monthly Metrics'!A:A,$B$4-1,'Data - Monthly Metrics'!B:B,"Nov",'Data - Monthly Metrics'!C:C,"Snohomish",'Data - Monthly Metrics'!D:D,"Penetration - Lodging Non-Target %"))</f>
        <v/>
      </c>
      <c r="D115" s="118">
        <f>IF(COUNTIFS('Data - Monthly Metrics'!A:A,$B$4-1,'Data - Monthly Metrics'!B:B,"Dec",'Data - Monthly Metrics'!C:C,"Snohomish",'Data - Monthly Metrics'!D:D,"Penetration - Lodging Non-Target %")=0,"-",SUMIFS('Data - Monthly Metrics'!E:E,'Data - Monthly Metrics'!A:A,$B$4-1,'Data - Monthly Metrics'!B:B,"Dec",'Data - Monthly Metrics'!C:C,"Snohomish",'Data - Monthly Metrics'!D:D,"Penetration - Lodging Non-Target %"))</f>
        <v/>
      </c>
      <c r="E115" s="116">
        <f>IF(ISNUMBER(D115),D115,IF(ISNUMBER(C115),C115,IF(ISNUMBER(B115),B115,"-")))</f>
        <v/>
      </c>
      <c r="F115" s="118">
        <f>IF(COUNTIFS('Data - Monthly Metrics'!A:A,$B$4,'Data - Monthly Metrics'!B:B,"Jan",'Data - Monthly Metrics'!C:C,"Snohomish",'Data - Monthly Metrics'!D:D,"Penetration - Lodging Non-Target %")=0,"-",SUMIFS('Data - Monthly Metrics'!E:E,'Data - Monthly Metrics'!A:A,$B$4,'Data - Monthly Metrics'!B:B,"Jan",'Data - Monthly Metrics'!C:C,"Snohomish",'Data - Monthly Metrics'!D:D,"Penetration - Lodging Non-Target %"))</f>
        <v/>
      </c>
      <c r="G115" s="118">
        <f>IF(COUNTIFS('Data - Monthly Metrics'!A:A,$B$4,'Data - Monthly Metrics'!B:B,"Feb",'Data - Monthly Metrics'!C:C,"Snohomish",'Data - Monthly Metrics'!D:D,"Penetration - Lodging Non-Target %")=0,"-",SUMIFS('Data - Monthly Metrics'!E:E,'Data - Monthly Metrics'!A:A,$B$4,'Data - Monthly Metrics'!B:B,"Feb",'Data - Monthly Metrics'!C:C,"Snohomish",'Data - Monthly Metrics'!D:D,"Penetration - Lodging Non-Target %"))</f>
        <v/>
      </c>
      <c r="H115" s="118">
        <f>IF(COUNTIFS('Data - Monthly Metrics'!A:A,$B$4,'Data - Monthly Metrics'!B:B,"Mar",'Data - Monthly Metrics'!C:C,"Snohomish",'Data - Monthly Metrics'!D:D,"Penetration - Lodging Non-Target %")=0,"-",SUMIFS('Data - Monthly Metrics'!E:E,'Data - Monthly Metrics'!A:A,$B$4,'Data - Monthly Metrics'!B:B,"Mar",'Data - Monthly Metrics'!C:C,"Snohomish",'Data - Monthly Metrics'!D:D,"Penetration - Lodging Non-Target %"))</f>
        <v/>
      </c>
      <c r="I115" s="116">
        <f>IF(ISNUMBER(H115),H115,IF(ISNUMBER(G115),G115,IF(ISNUMBER(F115),F115,"-")))</f>
        <v/>
      </c>
      <c r="J115" s="118">
        <f>IF(COUNTIFS('Data - Monthly Metrics'!A:A,$B$4,'Data - Monthly Metrics'!B:B,"Apr",'Data - Monthly Metrics'!C:C,"Snohomish",'Data - Monthly Metrics'!D:D,"Penetration - Lodging Non-Target %")=0,"-",SUMIFS('Data - Monthly Metrics'!E:E,'Data - Monthly Metrics'!A:A,$B$4,'Data - Monthly Metrics'!B:B,"Apr",'Data - Monthly Metrics'!C:C,"Snohomish",'Data - Monthly Metrics'!D:D,"Penetration - Lodging Non-Target %"))</f>
        <v/>
      </c>
      <c r="K115" s="118">
        <f>IF(COUNTIFS('Data - Monthly Metrics'!A:A,$B$4,'Data - Monthly Metrics'!B:B,"May",'Data - Monthly Metrics'!C:C,"Snohomish",'Data - Monthly Metrics'!D:D,"Penetration - Lodging Non-Target %")=0,"-",SUMIFS('Data - Monthly Metrics'!E:E,'Data - Monthly Metrics'!A:A,$B$4,'Data - Monthly Metrics'!B:B,"May",'Data - Monthly Metrics'!C:C,"Snohomish",'Data - Monthly Metrics'!D:D,"Penetration - Lodging Non-Target %"))</f>
        <v/>
      </c>
      <c r="L115" s="118">
        <f>IF(COUNTIFS('Data - Monthly Metrics'!A:A,$B$4,'Data - Monthly Metrics'!B:B,"Jun",'Data - Monthly Metrics'!C:C,"Snohomish",'Data - Monthly Metrics'!D:D,"Penetration - Lodging Non-Target %")=0,"-",SUMIFS('Data - Monthly Metrics'!E:E,'Data - Monthly Metrics'!A:A,$B$4,'Data - Monthly Metrics'!B:B,"Jun",'Data - Monthly Metrics'!C:C,"Snohomish",'Data - Monthly Metrics'!D:D,"Penetration - Lodging Non-Target %"))</f>
        <v/>
      </c>
      <c r="M115" s="116">
        <f>IF(ISNUMBER(L115),L115,IF(ISNUMBER(K115),K115,IF(ISNUMBER(J115),J115,"-")))</f>
        <v/>
      </c>
      <c r="N115" s="118">
        <f>IF(COUNTIFS('Data - Monthly Metrics'!A:A,$B$4,'Data - Monthly Metrics'!B:B,"Jul",'Data - Monthly Metrics'!C:C,"Snohomish",'Data - Monthly Metrics'!D:D,"Penetration - Lodging Non-Target %")=0,"-",SUMIFS('Data - Monthly Metrics'!E:E,'Data - Monthly Metrics'!A:A,$B$4,'Data - Monthly Metrics'!B:B,"Jul",'Data - Monthly Metrics'!C:C,"Snohomish",'Data - Monthly Metrics'!D:D,"Penetration - Lodging Non-Target %"))</f>
        <v/>
      </c>
      <c r="O115" s="118">
        <f>IF(COUNTIFS('Data - Monthly Metrics'!A:A,$B$4,'Data - Monthly Metrics'!B:B,"Aug",'Data - Monthly Metrics'!C:C,"Snohomish",'Data - Monthly Metrics'!D:D,"Penetration - Lodging Non-Target %")=0,"-",SUMIFS('Data - Monthly Metrics'!E:E,'Data - Monthly Metrics'!A:A,$B$4,'Data - Monthly Metrics'!B:B,"Aug",'Data - Monthly Metrics'!C:C,"Snohomish",'Data - Monthly Metrics'!D:D,"Penetration - Lodging Non-Target %"))</f>
        <v/>
      </c>
      <c r="P115" s="118">
        <f>IF(COUNTIFS('Data - Monthly Metrics'!A:A,$B$4,'Data - Monthly Metrics'!B:B,"Sep",'Data - Monthly Metrics'!C:C,"Snohomish",'Data - Monthly Metrics'!D:D,"Penetration - Lodging Non-Target %")=0,"-",SUMIFS('Data - Monthly Metrics'!E:E,'Data - Monthly Metrics'!A:A,$B$4,'Data - Monthly Metrics'!B:B,"Sep",'Data - Monthly Metrics'!C:C,"Snohomish",'Data - Monthly Metrics'!D:D,"Penetration - Lodging Non-Target %"))</f>
        <v/>
      </c>
      <c r="Q115" s="116">
        <f>IF(ISNUMBER(P115),P115,IF(ISNUMBER(O115),O115,IF(ISNUMBER(N115),N115,"-")))</f>
        <v/>
      </c>
      <c r="R115" s="116">
        <f>IF(ISNUMBER(Q115),Q115,IF(ISNUMBER(M115),M115,IF(ISNUMBER(I115),I115,IF(ISNUMBER(E115),E115,"-"))))</f>
        <v/>
      </c>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c r="AN115" s="81" t="n"/>
      <c r="AO115" s="81" t="n"/>
      <c r="AP115" s="81" t="n"/>
      <c r="AQ115" s="81" t="n"/>
      <c r="AR115" s="81" t="n"/>
    </row>
    <row r="116" ht="14.25" customHeight="1" s="82">
      <c r="A116" s="125" t="inlineStr">
        <is>
          <t>Penetration - Combined %</t>
        </is>
      </c>
      <c r="B116" s="115">
        <f>IF(COUNTIFS('Data - Monthly Metrics'!A:A,$B$4-1,'Data - Monthly Metrics'!B:B,"Oct",'Data - Monthly Metrics'!C:C,"Snohomish",'Data - Monthly Metrics'!D:D,"Penetration - Combined Non-Target %")=0,"-",SUMIFS('Data - Monthly Metrics'!E:E,'Data - Monthly Metrics'!A:A,$B$4-1,'Data - Monthly Metrics'!B:B,"Oct",'Data - Monthly Metrics'!C:C,"Snohomish",'Data - Monthly Metrics'!D:D,"Penetration - Combined Non-Target %"))</f>
        <v/>
      </c>
      <c r="C116" s="115">
        <f>IF(COUNTIFS('Data - Monthly Metrics'!A:A,$B$4-1,'Data - Monthly Metrics'!B:B,"Nov",'Data - Monthly Metrics'!C:C,"Snohomish",'Data - Monthly Metrics'!D:D,"Penetration - Combined Non-Target %")=0,"-",SUMIFS('Data - Monthly Metrics'!E:E,'Data - Monthly Metrics'!A:A,$B$4-1,'Data - Monthly Metrics'!B:B,"Nov",'Data - Monthly Metrics'!C:C,"Snohomish",'Data - Monthly Metrics'!D:D,"Penetration - Combined Non-Target %"))</f>
        <v/>
      </c>
      <c r="D116" s="115">
        <f>IF(COUNTIFS('Data - Monthly Metrics'!A:A,$B$4-1,'Data - Monthly Metrics'!B:B,"Dec",'Data - Monthly Metrics'!C:C,"Snohomish",'Data - Monthly Metrics'!D:D,"Penetration - Combined Non-Target %")=0,"-",SUMIFS('Data - Monthly Metrics'!E:E,'Data - Monthly Metrics'!A:A,$B$4-1,'Data - Monthly Metrics'!B:B,"Dec",'Data - Monthly Metrics'!C:C,"Snohomish",'Data - Monthly Metrics'!D:D,"Penetration - Combined Non-Target %"))</f>
        <v/>
      </c>
      <c r="E116" s="116">
        <f>IF(ISNUMBER(D116),D116,IF(ISNUMBER(C116),C116,IF(ISNUMBER(B116),B116,"-")))</f>
        <v/>
      </c>
      <c r="F116" s="115">
        <f>IF(COUNTIFS('Data - Monthly Metrics'!A:A,$B$4,'Data - Monthly Metrics'!B:B,"Jan",'Data - Monthly Metrics'!C:C,"Snohomish",'Data - Monthly Metrics'!D:D,"Penetration - Combined Non-Target %")=0,"-",SUMIFS('Data - Monthly Metrics'!E:E,'Data - Monthly Metrics'!A:A,$B$4,'Data - Monthly Metrics'!B:B,"Jan",'Data - Monthly Metrics'!C:C,"Snohomish",'Data - Monthly Metrics'!D:D,"Penetration - Combined Non-Target %"))</f>
        <v/>
      </c>
      <c r="G116" s="115">
        <f>IF(COUNTIFS('Data - Monthly Metrics'!A:A,$B$4,'Data - Monthly Metrics'!B:B,"Feb",'Data - Monthly Metrics'!C:C,"Snohomish",'Data - Monthly Metrics'!D:D,"Penetration - Combined Non-Target %")=0,"-",SUMIFS('Data - Monthly Metrics'!E:E,'Data - Monthly Metrics'!A:A,$B$4,'Data - Monthly Metrics'!B:B,"Feb",'Data - Monthly Metrics'!C:C,"Snohomish",'Data - Monthly Metrics'!D:D,"Penetration - Combined Non-Target %"))</f>
        <v/>
      </c>
      <c r="H116" s="115">
        <f>IF(COUNTIFS('Data - Monthly Metrics'!A:A,$B$4,'Data - Monthly Metrics'!B:B,"Mar",'Data - Monthly Metrics'!C:C,"Snohomish",'Data - Monthly Metrics'!D:D,"Penetration - Combined Non-Target %")=0,"-",SUMIFS('Data - Monthly Metrics'!E:E,'Data - Monthly Metrics'!A:A,$B$4,'Data - Monthly Metrics'!B:B,"Mar",'Data - Monthly Metrics'!C:C,"Snohomish",'Data - Monthly Metrics'!D:D,"Penetration - Combined Non-Target %"))</f>
        <v/>
      </c>
      <c r="I116" s="116">
        <f>IF(ISNUMBER(H116),H116,IF(ISNUMBER(G116),G116,IF(ISNUMBER(F116),F116,"-")))</f>
        <v/>
      </c>
      <c r="J116" s="115">
        <f>IF(COUNTIFS('Data - Monthly Metrics'!A:A,$B$4,'Data - Monthly Metrics'!B:B,"Apr",'Data - Monthly Metrics'!C:C,"Snohomish",'Data - Monthly Metrics'!D:D,"Penetration - Combined Non-Target %")=0,"-",SUMIFS('Data - Monthly Metrics'!E:E,'Data - Monthly Metrics'!A:A,$B$4,'Data - Monthly Metrics'!B:B,"Apr",'Data - Monthly Metrics'!C:C,"Snohomish",'Data - Monthly Metrics'!D:D,"Penetration - Combined Non-Target %"))</f>
        <v/>
      </c>
      <c r="K116" s="115">
        <f>IF(COUNTIFS('Data - Monthly Metrics'!A:A,$B$4,'Data - Monthly Metrics'!B:B,"May",'Data - Monthly Metrics'!C:C,"Snohomish",'Data - Monthly Metrics'!D:D,"Penetration - Combined Non-Target %")=0,"-",SUMIFS('Data - Monthly Metrics'!E:E,'Data - Monthly Metrics'!A:A,$B$4,'Data - Monthly Metrics'!B:B,"May",'Data - Monthly Metrics'!C:C,"Snohomish",'Data - Monthly Metrics'!D:D,"Penetration - Combined Non-Target %"))</f>
        <v/>
      </c>
      <c r="L116" s="115">
        <f>IF(COUNTIFS('Data - Monthly Metrics'!A:A,$B$4,'Data - Monthly Metrics'!B:B,"Jun",'Data - Monthly Metrics'!C:C,"Snohomish",'Data - Monthly Metrics'!D:D,"Penetration - Combined Non-Target %")=0,"-",SUMIFS('Data - Monthly Metrics'!E:E,'Data - Monthly Metrics'!A:A,$B$4,'Data - Monthly Metrics'!B:B,"Jun",'Data - Monthly Metrics'!C:C,"Snohomish",'Data - Monthly Metrics'!D:D,"Penetration - Combined Non-Target %"))</f>
        <v/>
      </c>
      <c r="M116" s="116">
        <f>IF(ISNUMBER(L116),L116,IF(ISNUMBER(K116),K116,IF(ISNUMBER(J116),J116,"-")))</f>
        <v/>
      </c>
      <c r="N116" s="115">
        <f>IF(COUNTIFS('Data - Monthly Metrics'!A:A,$B$4,'Data - Monthly Metrics'!B:B,"Jul",'Data - Monthly Metrics'!C:C,"Snohomish",'Data - Monthly Metrics'!D:D,"Penetration - Combined Non-Target %")=0,"-",SUMIFS('Data - Monthly Metrics'!E:E,'Data - Monthly Metrics'!A:A,$B$4,'Data - Monthly Metrics'!B:B,"Jul",'Data - Monthly Metrics'!C:C,"Snohomish",'Data - Monthly Metrics'!D:D,"Penetration - Combined Non-Target %"))</f>
        <v/>
      </c>
      <c r="O116" s="115">
        <f>IF(COUNTIFS('Data - Monthly Metrics'!A:A,$B$4,'Data - Monthly Metrics'!B:B,"Aug",'Data - Monthly Metrics'!C:C,"Snohomish",'Data - Monthly Metrics'!D:D,"Penetration - Combined Non-Target %")=0,"-",SUMIFS('Data - Monthly Metrics'!E:E,'Data - Monthly Metrics'!A:A,$B$4,'Data - Monthly Metrics'!B:B,"Aug",'Data - Monthly Metrics'!C:C,"Snohomish",'Data - Monthly Metrics'!D:D,"Penetration - Combined Non-Target %"))</f>
        <v/>
      </c>
      <c r="P116" s="115">
        <f>IF(COUNTIFS('Data - Monthly Metrics'!A:A,$B$4,'Data - Monthly Metrics'!B:B,"Sep",'Data - Monthly Metrics'!C:C,"Snohomish",'Data - Monthly Metrics'!D:D,"Penetration - Combined Non-Target %")=0,"-",SUMIFS('Data - Monthly Metrics'!E:E,'Data - Monthly Metrics'!A:A,$B$4,'Data - Monthly Metrics'!B:B,"Sep",'Data - Monthly Metrics'!C:C,"Snohomish",'Data - Monthly Metrics'!D:D,"Penetration - Combined Non-Target %"))</f>
        <v/>
      </c>
      <c r="Q116" s="116">
        <f>IF(ISNUMBER(P116),P116,IF(ISNUMBER(O116),O116,IF(ISNUMBER(N116),N116,"-")))</f>
        <v/>
      </c>
      <c r="R116" s="116">
        <f>IF(ISNUMBER(Q116),Q116,IF(ISNUMBER(M116),M116,IF(ISNUMBER(I116),I116,IF(ISNUMBER(E116),E116,"-"))))</f>
        <v/>
      </c>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c r="AN116" s="81" t="n"/>
      <c r="AO116" s="81" t="n"/>
      <c r="AP116" s="81" t="n"/>
      <c r="AQ116" s="81" t="n"/>
      <c r="AR116"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C4:F4"/>
    <mergeCell ref="A49:R49"/>
    <mergeCell ref="A2:R2"/>
    <mergeCell ref="A85:R85"/>
    <mergeCell ref="A54:R54"/>
    <mergeCell ref="A32:R32"/>
    <mergeCell ref="A90:R90"/>
    <mergeCell ref="A66:R66"/>
    <mergeCell ref="A34:R34"/>
    <mergeCell ref="A1:R1"/>
    <mergeCell ref="A75:R75"/>
    <mergeCell ref="A111:R111"/>
    <mergeCell ref="A106:R106"/>
    <mergeCell ref="A6:R6"/>
    <mergeCell ref="A97:R97"/>
    <mergeCell ref="A83:R83"/>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103:R105">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9">
    <cfRule type="expression" rank="0" priority="10" equalAverage="0" aboveAverage="0" dxfId="0" stopIfTrue="1" text="" percent="0" bottom="0">
      <formula>AND(ISNUMBER(B59),COUNTIFS('Data - Monthly Metrics'!$A:$A,$B$4-1,'Data - Monthly Metrics'!$B:$B,B$8,'Data - Monthly Metrics'!$C:$C,"Snohomish",'Data - Monthly Metrics'!$D:$D,"Goal - Retention %")&gt;0,B59&gt;=SUMIFS('Data - Monthly Metrics'!$E:$E,'Data - Monthly Metrics'!$A:$A,$B$4-1,'Data - Monthly Metrics'!$B:$B,B$8,'Data - Monthly Metrics'!$C:$C,"Snohomish",'Data - Monthly Metrics'!$D:$D,"Goal - Retention %"))</formula>
    </cfRule>
    <cfRule type="expression" rank="0" priority="11" equalAverage="0" aboveAverage="0" dxfId="2" stopIfTrue="1" text="" percent="0" bottom="0">
      <formula>AND(ISNUMBER(B59),COUNTIFS('Data - Monthly Metrics'!$A:$A,$B$4-1,'Data - Monthly Metrics'!$B:$B,B$8,'Data - Monthly Metrics'!$C:$C,"Snohomish",'Data - Monthly Metrics'!$D:$D,"Goal - Retention %")&gt;0,B59&gt;=SUMIFS('Data - Monthly Metrics'!$E:$E,'Data - Monthly Metrics'!$A:$A,$B$4-1,'Data - Monthly Metrics'!$B:$B,B$8,'Data - Monthly Metrics'!$C:$C,"Snohomish",'Data - Monthly Metrics'!$D:$D,"Goal - Retention %")-0.05)</formula>
    </cfRule>
    <cfRule type="expression" rank="0" priority="12" equalAverage="0" aboveAverage="0" dxfId="1" stopIfTrue="1" text="" percent="0" bottom="0">
      <formula>AND(ISNUMBER(B59),COUNTIFS('Data - Monthly Metrics'!$A:$A,$B$4-1,'Data - Monthly Metrics'!$B:$B,B$8,'Data - Monthly Metrics'!$C:$C,"Snohomish",'Data - Monthly Metrics'!$D:$D,"Goal - Retention %")&gt;0)</formula>
    </cfRule>
  </conditionalFormatting>
  <conditionalFormatting sqref="C59">
    <cfRule type="expression" rank="0" priority="13" equalAverage="0" aboveAverage="0" dxfId="0" stopIfTrue="1" text="" percent="0" bottom="0">
      <formula>AND(ISNUMBER(C59),COUNTIFS('Data - Monthly Metrics'!$A:$A,$B$4-1,'Data - Monthly Metrics'!$B:$B,C$8,'Data - Monthly Metrics'!$C:$C,"Snohomish",'Data - Monthly Metrics'!$D:$D,"Goal - Retention %")&gt;0,C59&gt;=SUMIFS('Data - Monthly Metrics'!$E:$E,'Data - Monthly Metrics'!$A:$A,$B$4-1,'Data - Monthly Metrics'!$B:$B,C$8,'Data - Monthly Metrics'!$C:$C,"Snohomish",'Data - Monthly Metrics'!$D:$D,"Goal - Retention %"))</formula>
    </cfRule>
    <cfRule type="expression" rank="0" priority="14" equalAverage="0" aboveAverage="0" dxfId="2" stopIfTrue="1" text="" percent="0" bottom="0">
      <formula>AND(ISNUMBER(C59),COUNTIFS('Data - Monthly Metrics'!$A:$A,$B$4-1,'Data - Monthly Metrics'!$B:$B,C$8,'Data - Monthly Metrics'!$C:$C,"Snohomish",'Data - Monthly Metrics'!$D:$D,"Goal - Retention %")&gt;0,C59&gt;=SUMIFS('Data - Monthly Metrics'!$E:$E,'Data - Monthly Metrics'!$A:$A,$B$4-1,'Data - Monthly Metrics'!$B:$B,C$8,'Data - Monthly Metrics'!$C:$C,"Snohomish",'Data - Monthly Metrics'!$D:$D,"Goal - Retention %")-0.05)</formula>
    </cfRule>
    <cfRule type="expression" rank="0" priority="15" equalAverage="0" aboveAverage="0" dxfId="1" stopIfTrue="1" text="" percent="0" bottom="0">
      <formula>AND(ISNUMBER(C59),COUNTIFS('Data - Monthly Metrics'!$A:$A,$B$4-1,'Data - Monthly Metrics'!$B:$B,C$8,'Data - Monthly Metrics'!$C:$C,"Snohomish",'Data - Monthly Metrics'!$D:$D,"Goal - Retention %")&gt;0)</formula>
    </cfRule>
  </conditionalFormatting>
  <conditionalFormatting sqref="D59">
    <cfRule type="expression" rank="0" priority="16" equalAverage="0" aboveAverage="0" dxfId="0" stopIfTrue="1" text="" percent="0" bottom="0">
      <formula>AND(ISNUMBER(D59),COUNTIFS('Data - Monthly Metrics'!$A:$A,$B$4-1,'Data - Monthly Metrics'!$B:$B,D$8,'Data - Monthly Metrics'!$C:$C,"Snohomish",'Data - Monthly Metrics'!$D:$D,"Goal - Retention %")&gt;0,D59&gt;=SUMIFS('Data - Monthly Metrics'!$E:$E,'Data - Monthly Metrics'!$A:$A,$B$4-1,'Data - Monthly Metrics'!$B:$B,D$8,'Data - Monthly Metrics'!$C:$C,"Snohomish",'Data - Monthly Metrics'!$D:$D,"Goal - Retention %"))</formula>
    </cfRule>
    <cfRule type="expression" rank="0" priority="17" equalAverage="0" aboveAverage="0" dxfId="2" stopIfTrue="1" text="" percent="0" bottom="0">
      <formula>AND(ISNUMBER(D59),COUNTIFS('Data - Monthly Metrics'!$A:$A,$B$4-1,'Data - Monthly Metrics'!$B:$B,D$8,'Data - Monthly Metrics'!$C:$C,"Snohomish",'Data - Monthly Metrics'!$D:$D,"Goal - Retention %")&gt;0,D59&gt;=SUMIFS('Data - Monthly Metrics'!$E:$E,'Data - Monthly Metrics'!$A:$A,$B$4-1,'Data - Monthly Metrics'!$B:$B,D$8,'Data - Monthly Metrics'!$C:$C,"Snohomish",'Data - Monthly Metrics'!$D:$D,"Goal - Retention %")-0.05)</formula>
    </cfRule>
    <cfRule type="expression" rank="0" priority="18" equalAverage="0" aboveAverage="0" dxfId="1" stopIfTrue="1" text="" percent="0" bottom="0">
      <formula>AND(ISNUMBER(D59),COUNTIFS('Data - Monthly Metrics'!$A:$A,$B$4-1,'Data - Monthly Metrics'!$B:$B,D$8,'Data - Monthly Metrics'!$C:$C,"Snohomish",'Data - Monthly Metrics'!$D:$D,"Goal - Retention %")&gt;0)</formula>
    </cfRule>
  </conditionalFormatting>
  <conditionalFormatting sqref="F59">
    <cfRule type="expression" rank="0" priority="19" equalAverage="0" aboveAverage="0" dxfId="0" stopIfTrue="1" text="" percent="0" bottom="0">
      <formula>AND(ISNUMBER(F59),COUNTIFS('Data - Monthly Metrics'!$A:$A,$B$4,'Data - Monthly Metrics'!$B:$B,F$8,'Data - Monthly Metrics'!$C:$C,"Snohomish",'Data - Monthly Metrics'!$D:$D,"Goal - Retention %")&gt;0,F59&gt;=SUMIFS('Data - Monthly Metrics'!$E:$E,'Data - Monthly Metrics'!$A:$A,$B$4,'Data - Monthly Metrics'!$B:$B,F$8,'Data - Monthly Metrics'!$C:$C,"Snohomish",'Data - Monthly Metrics'!$D:$D,"Goal - Retention %"))</formula>
    </cfRule>
    <cfRule type="expression" rank="0" priority="20" equalAverage="0" aboveAverage="0" dxfId="2" stopIfTrue="1" text="" percent="0" bottom="0">
      <formula>AND(ISNUMBER(F59),COUNTIFS('Data - Monthly Metrics'!$A:$A,$B$4,'Data - Monthly Metrics'!$B:$B,F$8,'Data - Monthly Metrics'!$C:$C,"Snohomish",'Data - Monthly Metrics'!$D:$D,"Goal - Retention %")&gt;0,F59&gt;=SUMIFS('Data - Monthly Metrics'!$E:$E,'Data - Monthly Metrics'!$A:$A,$B$4,'Data - Monthly Metrics'!$B:$B,F$8,'Data - Monthly Metrics'!$C:$C,"Snohomish",'Data - Monthly Metrics'!$D:$D,"Goal - Retention %")-0.05)</formula>
    </cfRule>
    <cfRule type="expression" rank="0" priority="21" equalAverage="0" aboveAverage="0" dxfId="1" stopIfTrue="1" text="" percent="0" bottom="0">
      <formula>AND(ISNUMBER(F59),COUNTIFS('Data - Monthly Metrics'!$A:$A,$B$4,'Data - Monthly Metrics'!$B:$B,F$8,'Data - Monthly Metrics'!$C:$C,"Snohomish",'Data - Monthly Metrics'!$D:$D,"Goal - Retention %")&gt;0)</formula>
    </cfRule>
  </conditionalFormatting>
  <conditionalFormatting sqref="G59">
    <cfRule type="expression" rank="0" priority="22" equalAverage="0" aboveAverage="0" dxfId="0" stopIfTrue="1" text="" percent="0" bottom="0">
      <formula>AND(ISNUMBER(G59),COUNTIFS('Data - Monthly Metrics'!$A:$A,$B$4,'Data - Monthly Metrics'!$B:$B,G$8,'Data - Monthly Metrics'!$C:$C,"Snohomish",'Data - Monthly Metrics'!$D:$D,"Goal - Retention %")&gt;0,G59&gt;=SUMIFS('Data - Monthly Metrics'!$E:$E,'Data - Monthly Metrics'!$A:$A,$B$4,'Data - Monthly Metrics'!$B:$B,G$8,'Data - Monthly Metrics'!$C:$C,"Snohomish",'Data - Monthly Metrics'!$D:$D,"Goal - Retention %"))</formula>
    </cfRule>
    <cfRule type="expression" rank="0" priority="23" equalAverage="0" aboveAverage="0" dxfId="2" stopIfTrue="1" text="" percent="0" bottom="0">
      <formula>AND(ISNUMBER(G59),COUNTIFS('Data - Monthly Metrics'!$A:$A,$B$4,'Data - Monthly Metrics'!$B:$B,G$8,'Data - Monthly Metrics'!$C:$C,"Snohomish",'Data - Monthly Metrics'!$D:$D,"Goal - Retention %")&gt;0,G59&gt;=SUMIFS('Data - Monthly Metrics'!$E:$E,'Data - Monthly Metrics'!$A:$A,$B$4,'Data - Monthly Metrics'!$B:$B,G$8,'Data - Monthly Metrics'!$C:$C,"Snohomish",'Data - Monthly Metrics'!$D:$D,"Goal - Retention %")-0.05)</formula>
    </cfRule>
    <cfRule type="expression" rank="0" priority="24" equalAverage="0" aboveAverage="0" dxfId="1" stopIfTrue="1" text="" percent="0" bottom="0">
      <formula>AND(ISNUMBER(G59),COUNTIFS('Data - Monthly Metrics'!$A:$A,$B$4,'Data - Monthly Metrics'!$B:$B,G$8,'Data - Monthly Metrics'!$C:$C,"Snohomish",'Data - Monthly Metrics'!$D:$D,"Goal - Retention %")&gt;0)</formula>
    </cfRule>
  </conditionalFormatting>
  <conditionalFormatting sqref="H59">
    <cfRule type="expression" rank="0" priority="25" equalAverage="0" aboveAverage="0" dxfId="0" stopIfTrue="1" text="" percent="0" bottom="0">
      <formula>AND(ISNUMBER(H59),COUNTIFS('Data - Monthly Metrics'!$A:$A,$B$4,'Data - Monthly Metrics'!$B:$B,H$8,'Data - Monthly Metrics'!$C:$C,"Snohomish",'Data - Monthly Metrics'!$D:$D,"Goal - Retention %")&gt;0,H59&gt;=SUMIFS('Data - Monthly Metrics'!$E:$E,'Data - Monthly Metrics'!$A:$A,$B$4,'Data - Monthly Metrics'!$B:$B,H$8,'Data - Monthly Metrics'!$C:$C,"Snohomish",'Data - Monthly Metrics'!$D:$D,"Goal - Retention %"))</formula>
    </cfRule>
    <cfRule type="expression" rank="0" priority="26" equalAverage="0" aboveAverage="0" dxfId="2" stopIfTrue="1" text="" percent="0" bottom="0">
      <formula>AND(ISNUMBER(H59),COUNTIFS('Data - Monthly Metrics'!$A:$A,$B$4,'Data - Monthly Metrics'!$B:$B,H$8,'Data - Monthly Metrics'!$C:$C,"Snohomish",'Data - Monthly Metrics'!$D:$D,"Goal - Retention %")&gt;0,H59&gt;=SUMIFS('Data - Monthly Metrics'!$E:$E,'Data - Monthly Metrics'!$A:$A,$B$4,'Data - Monthly Metrics'!$B:$B,H$8,'Data - Monthly Metrics'!$C:$C,"Snohomish",'Data - Monthly Metrics'!$D:$D,"Goal - Retention %")-0.05)</formula>
    </cfRule>
    <cfRule type="expression" rank="0" priority="27" equalAverage="0" aboveAverage="0" dxfId="1" stopIfTrue="1" text="" percent="0" bottom="0">
      <formula>AND(ISNUMBER(H59),COUNTIFS('Data - Monthly Metrics'!$A:$A,$B$4,'Data - Monthly Metrics'!$B:$B,H$8,'Data - Monthly Metrics'!$C:$C,"Snohomish",'Data - Monthly Metrics'!$D:$D,"Goal - Retention %")&gt;0)</formula>
    </cfRule>
  </conditionalFormatting>
  <conditionalFormatting sqref="J59">
    <cfRule type="expression" rank="0" priority="28" equalAverage="0" aboveAverage="0" dxfId="0" stopIfTrue="1" text="" percent="0" bottom="0">
      <formula>AND(ISNUMBER(J59),COUNTIFS('Data - Monthly Metrics'!$A:$A,$B$4,'Data - Monthly Metrics'!$B:$B,J$8,'Data - Monthly Metrics'!$C:$C,"Snohomish",'Data - Monthly Metrics'!$D:$D,"Goal - Retention %")&gt;0,J59&gt;=SUMIFS('Data - Monthly Metrics'!$E:$E,'Data - Monthly Metrics'!$A:$A,$B$4,'Data - Monthly Metrics'!$B:$B,J$8,'Data - Monthly Metrics'!$C:$C,"Snohomish",'Data - Monthly Metrics'!$D:$D,"Goal - Retention %"))</formula>
    </cfRule>
    <cfRule type="expression" rank="0" priority="29" equalAverage="0" aboveAverage="0" dxfId="2" stopIfTrue="1" text="" percent="0" bottom="0">
      <formula>AND(ISNUMBER(J59),COUNTIFS('Data - Monthly Metrics'!$A:$A,$B$4,'Data - Monthly Metrics'!$B:$B,J$8,'Data - Monthly Metrics'!$C:$C,"Snohomish",'Data - Monthly Metrics'!$D:$D,"Goal - Retention %")&gt;0,J59&gt;=SUMIFS('Data - Monthly Metrics'!$E:$E,'Data - Monthly Metrics'!$A:$A,$B$4,'Data - Monthly Metrics'!$B:$B,J$8,'Data - Monthly Metrics'!$C:$C,"Snohomish",'Data - Monthly Metrics'!$D:$D,"Goal - Retention %")-0.05)</formula>
    </cfRule>
    <cfRule type="expression" rank="0" priority="30" equalAverage="0" aboveAverage="0" dxfId="1" stopIfTrue="1" text="" percent="0" bottom="0">
      <formula>AND(ISNUMBER(J59),COUNTIFS('Data - Monthly Metrics'!$A:$A,$B$4,'Data - Monthly Metrics'!$B:$B,J$8,'Data - Monthly Metrics'!$C:$C,"Snohomish",'Data - Monthly Metrics'!$D:$D,"Goal - Retention %")&gt;0)</formula>
    </cfRule>
  </conditionalFormatting>
  <conditionalFormatting sqref="K59">
    <cfRule type="expression" rank="0" priority="31" equalAverage="0" aboveAverage="0" dxfId="0" stopIfTrue="1" text="" percent="0" bottom="0">
      <formula>AND(ISNUMBER(K59),COUNTIFS('Data - Monthly Metrics'!$A:$A,$B$4,'Data - Monthly Metrics'!$B:$B,K$8,'Data - Monthly Metrics'!$C:$C,"Snohomish",'Data - Monthly Metrics'!$D:$D,"Goal - Retention %")&gt;0,K59&gt;=SUMIFS('Data - Monthly Metrics'!$E:$E,'Data - Monthly Metrics'!$A:$A,$B$4,'Data - Monthly Metrics'!$B:$B,K$8,'Data - Monthly Metrics'!$C:$C,"Snohomish",'Data - Monthly Metrics'!$D:$D,"Goal - Retention %"))</formula>
    </cfRule>
    <cfRule type="expression" rank="0" priority="32" equalAverage="0" aboveAverage="0" dxfId="2" stopIfTrue="1" text="" percent="0" bottom="0">
      <formula>AND(ISNUMBER(K59),COUNTIFS('Data - Monthly Metrics'!$A:$A,$B$4,'Data - Monthly Metrics'!$B:$B,K$8,'Data - Monthly Metrics'!$C:$C,"Snohomish",'Data - Monthly Metrics'!$D:$D,"Goal - Retention %")&gt;0,K59&gt;=SUMIFS('Data - Monthly Metrics'!$E:$E,'Data - Monthly Metrics'!$A:$A,$B$4,'Data - Monthly Metrics'!$B:$B,K$8,'Data - Monthly Metrics'!$C:$C,"Snohomish",'Data - Monthly Metrics'!$D:$D,"Goal - Retention %")-0.05)</formula>
    </cfRule>
    <cfRule type="expression" rank="0" priority="33" equalAverage="0" aboveAverage="0" dxfId="1" stopIfTrue="1" text="" percent="0" bottom="0">
      <formula>AND(ISNUMBER(K59),COUNTIFS('Data - Monthly Metrics'!$A:$A,$B$4,'Data - Monthly Metrics'!$B:$B,K$8,'Data - Monthly Metrics'!$C:$C,"Snohomish",'Data - Monthly Metrics'!$D:$D,"Goal - Retention %")&gt;0)</formula>
    </cfRule>
  </conditionalFormatting>
  <conditionalFormatting sqref="L59">
    <cfRule type="expression" rank="0" priority="34" equalAverage="0" aboveAverage="0" dxfId="0" stopIfTrue="1" text="" percent="0" bottom="0">
      <formula>AND(ISNUMBER(L59),COUNTIFS('Data - Monthly Metrics'!$A:$A,$B$4,'Data - Monthly Metrics'!$B:$B,L$8,'Data - Monthly Metrics'!$C:$C,"Snohomish",'Data - Monthly Metrics'!$D:$D,"Goal - Retention %")&gt;0,L59&gt;=SUMIFS('Data - Monthly Metrics'!$E:$E,'Data - Monthly Metrics'!$A:$A,$B$4,'Data - Monthly Metrics'!$B:$B,L$8,'Data - Monthly Metrics'!$C:$C,"Snohomish",'Data - Monthly Metrics'!$D:$D,"Goal - Retention %"))</formula>
    </cfRule>
    <cfRule type="expression" rank="0" priority="35" equalAverage="0" aboveAverage="0" dxfId="2" stopIfTrue="1" text="" percent="0" bottom="0">
      <formula>AND(ISNUMBER(L59),COUNTIFS('Data - Monthly Metrics'!$A:$A,$B$4,'Data - Monthly Metrics'!$B:$B,L$8,'Data - Monthly Metrics'!$C:$C,"Snohomish",'Data - Monthly Metrics'!$D:$D,"Goal - Retention %")&gt;0,L59&gt;=SUMIFS('Data - Monthly Metrics'!$E:$E,'Data - Monthly Metrics'!$A:$A,$B$4,'Data - Monthly Metrics'!$B:$B,L$8,'Data - Monthly Metrics'!$C:$C,"Snohomish",'Data - Monthly Metrics'!$D:$D,"Goal - Retention %")-0.05)</formula>
    </cfRule>
    <cfRule type="expression" rank="0" priority="36" equalAverage="0" aboveAverage="0" dxfId="1" stopIfTrue="1" text="" percent="0" bottom="0">
      <formula>AND(ISNUMBER(L59),COUNTIFS('Data - Monthly Metrics'!$A:$A,$B$4,'Data - Monthly Metrics'!$B:$B,L$8,'Data - Monthly Metrics'!$C:$C,"Snohomish",'Data - Monthly Metrics'!$D:$D,"Goal - Retention %")&gt;0)</formula>
    </cfRule>
  </conditionalFormatting>
  <conditionalFormatting sqref="N59">
    <cfRule type="expression" rank="0" priority="37" equalAverage="0" aboveAverage="0" dxfId="0" stopIfTrue="1" text="" percent="0" bottom="0">
      <formula>AND(ISNUMBER(N59),COUNTIFS('Data - Monthly Metrics'!$A:$A,$B$4,'Data - Monthly Metrics'!$B:$B,N$8,'Data - Monthly Metrics'!$C:$C,"Snohomish",'Data - Monthly Metrics'!$D:$D,"Goal - Retention %")&gt;0,N59&gt;=SUMIFS('Data - Monthly Metrics'!$E:$E,'Data - Monthly Metrics'!$A:$A,$B$4,'Data - Monthly Metrics'!$B:$B,N$8,'Data - Monthly Metrics'!$C:$C,"Snohomish",'Data - Monthly Metrics'!$D:$D,"Goal - Retention %"))</formula>
    </cfRule>
    <cfRule type="expression" rank="0" priority="38" equalAverage="0" aboveAverage="0" dxfId="2" stopIfTrue="1" text="" percent="0" bottom="0">
      <formula>AND(ISNUMBER(N59),COUNTIFS('Data - Monthly Metrics'!$A:$A,$B$4,'Data - Monthly Metrics'!$B:$B,N$8,'Data - Monthly Metrics'!$C:$C,"Snohomish",'Data - Monthly Metrics'!$D:$D,"Goal - Retention %")&gt;0,N59&gt;=SUMIFS('Data - Monthly Metrics'!$E:$E,'Data - Monthly Metrics'!$A:$A,$B$4,'Data - Monthly Metrics'!$B:$B,N$8,'Data - Monthly Metrics'!$C:$C,"Snohomish",'Data - Monthly Metrics'!$D:$D,"Goal - Retention %")-0.05)</formula>
    </cfRule>
    <cfRule type="expression" rank="0" priority="39" equalAverage="0" aboveAverage="0" dxfId="1" stopIfTrue="1" text="" percent="0" bottom="0">
      <formula>AND(ISNUMBER(N59),COUNTIFS('Data - Monthly Metrics'!$A:$A,$B$4,'Data - Monthly Metrics'!$B:$B,N$8,'Data - Monthly Metrics'!$C:$C,"Snohomish",'Data - Monthly Metrics'!$D:$D,"Goal - Retention %")&gt;0)</formula>
    </cfRule>
  </conditionalFormatting>
  <conditionalFormatting sqref="O59">
    <cfRule type="expression" rank="0" priority="40" equalAverage="0" aboveAverage="0" dxfId="0" stopIfTrue="1" text="" percent="0" bottom="0">
      <formula>AND(ISNUMBER(O59),COUNTIFS('Data - Monthly Metrics'!$A:$A,$B$4,'Data - Monthly Metrics'!$B:$B,O$8,'Data - Monthly Metrics'!$C:$C,"Snohomish",'Data - Monthly Metrics'!$D:$D,"Goal - Retention %")&gt;0,O59&gt;=SUMIFS('Data - Monthly Metrics'!$E:$E,'Data - Monthly Metrics'!$A:$A,$B$4,'Data - Monthly Metrics'!$B:$B,O$8,'Data - Monthly Metrics'!$C:$C,"Snohomish",'Data - Monthly Metrics'!$D:$D,"Goal - Retention %"))</formula>
    </cfRule>
    <cfRule type="expression" rank="0" priority="41" equalAverage="0" aboveAverage="0" dxfId="2" stopIfTrue="1" text="" percent="0" bottom="0">
      <formula>AND(ISNUMBER(O59),COUNTIFS('Data - Monthly Metrics'!$A:$A,$B$4,'Data - Monthly Metrics'!$B:$B,O$8,'Data - Monthly Metrics'!$C:$C,"Snohomish",'Data - Monthly Metrics'!$D:$D,"Goal - Retention %")&gt;0,O59&gt;=SUMIFS('Data - Monthly Metrics'!$E:$E,'Data - Monthly Metrics'!$A:$A,$B$4,'Data - Monthly Metrics'!$B:$B,O$8,'Data - Monthly Metrics'!$C:$C,"Snohomish",'Data - Monthly Metrics'!$D:$D,"Goal - Retention %")-0.05)</formula>
    </cfRule>
    <cfRule type="expression" rank="0" priority="42" equalAverage="0" aboveAverage="0" dxfId="1" stopIfTrue="1" text="" percent="0" bottom="0">
      <formula>AND(ISNUMBER(O59),COUNTIFS('Data - Monthly Metrics'!$A:$A,$B$4,'Data - Monthly Metrics'!$B:$B,O$8,'Data - Monthly Metrics'!$C:$C,"Snohomish",'Data - Monthly Metrics'!$D:$D,"Goal - Retention %")&gt;0)</formula>
    </cfRule>
  </conditionalFormatting>
  <conditionalFormatting sqref="P59">
    <cfRule type="expression" rank="0" priority="43" equalAverage="0" aboveAverage="0" dxfId="0" stopIfTrue="1" text="" percent="0" bottom="0">
      <formula>AND(ISNUMBER(P59),COUNTIFS('Data - Monthly Metrics'!$A:$A,$B$4,'Data - Monthly Metrics'!$B:$B,P$8,'Data - Monthly Metrics'!$C:$C,"Snohomish",'Data - Monthly Metrics'!$D:$D,"Goal - Retention %")&gt;0,P59&gt;=SUMIFS('Data - Monthly Metrics'!$E:$E,'Data - Monthly Metrics'!$A:$A,$B$4,'Data - Monthly Metrics'!$B:$B,P$8,'Data - Monthly Metrics'!$C:$C,"Snohomish",'Data - Monthly Metrics'!$D:$D,"Goal - Retention %"))</formula>
    </cfRule>
    <cfRule type="expression" rank="0" priority="44" equalAverage="0" aboveAverage="0" dxfId="2" stopIfTrue="1" text="" percent="0" bottom="0">
      <formula>AND(ISNUMBER(P59),COUNTIFS('Data - Monthly Metrics'!$A:$A,$B$4,'Data - Monthly Metrics'!$B:$B,P$8,'Data - Monthly Metrics'!$C:$C,"Snohomish",'Data - Monthly Metrics'!$D:$D,"Goal - Retention %")&gt;0,P59&gt;=SUMIFS('Data - Monthly Metrics'!$E:$E,'Data - Monthly Metrics'!$A:$A,$B$4,'Data - Monthly Metrics'!$B:$B,P$8,'Data - Monthly Metrics'!$C:$C,"Snohomish",'Data - Monthly Metrics'!$D:$D,"Goal - Retention %")-0.05)</formula>
    </cfRule>
    <cfRule type="expression" rank="0" priority="45" equalAverage="0" aboveAverage="0" dxfId="1" stopIfTrue="1" text="" percent="0" bottom="0">
      <formula>AND(ISNUMBER(P59),COUNTIFS('Data - Monthly Metrics'!$A:$A,$B$4,'Data - Monthly Metrics'!$B:$B,P$8,'Data - Monthly Metrics'!$C:$C,"Snohomish",'Data - Monthly Metrics'!$D:$D,"Goal - Retention %")&gt;0)</formula>
    </cfRule>
  </conditionalFormatting>
  <conditionalFormatting sqref="B102">
    <cfRule type="expression" rank="0" priority="46" equalAverage="0" aboveAverage="0" dxfId="0" stopIfTrue="1" text="" percent="0" bottom="0">
      <formula>AND(ISNUMBER(B102),COUNTIFS('Data - Monthly Metrics'!$A:$A,$B$4-1,'Data - Monthly Metrics'!$B:$B,B$8,'Data - Monthly Metrics'!$C:$C,"Snohomish",'Data - Monthly Metrics'!$D:$D,"Goal - Retention %")&gt;0,B102&gt;=SUMIFS('Data - Monthly Metrics'!$E:$E,'Data - Monthly Metrics'!$A:$A,$B$4-1,'Data - Monthly Metrics'!$B:$B,B$8,'Data - Monthly Metrics'!$C:$C,"Snohomish",'Data - Monthly Metrics'!$D:$D,"Goal - Retention %"))</formula>
    </cfRule>
    <cfRule type="expression" rank="0" priority="47" equalAverage="0" aboveAverage="0" dxfId="2" stopIfTrue="1" text="" percent="0" bottom="0">
      <formula>AND(ISNUMBER(B102),COUNTIFS('Data - Monthly Metrics'!$A:$A,$B$4-1,'Data - Monthly Metrics'!$B:$B,B$8,'Data - Monthly Metrics'!$C:$C,"Snohomish",'Data - Monthly Metrics'!$D:$D,"Goal - Retention %")&gt;0,B102&gt;=SUMIFS('Data - Monthly Metrics'!$E:$E,'Data - Monthly Metrics'!$A:$A,$B$4-1,'Data - Monthly Metrics'!$B:$B,B$8,'Data - Monthly Metrics'!$C:$C,"Snohomish",'Data - Monthly Metrics'!$D:$D,"Goal - Retention %")-0.05)</formula>
    </cfRule>
    <cfRule type="expression" rank="0" priority="48" equalAverage="0" aboveAverage="0" dxfId="1" stopIfTrue="1" text="" percent="0" bottom="0">
      <formula>AND(ISNUMBER(B102),COUNTIFS('Data - Monthly Metrics'!$A:$A,$B$4-1,'Data - Monthly Metrics'!$B:$B,B$8,'Data - Monthly Metrics'!$C:$C,"Snohomish",'Data - Monthly Metrics'!$D:$D,"Goal - Retention %")&gt;0)</formula>
    </cfRule>
  </conditionalFormatting>
  <conditionalFormatting sqref="C102">
    <cfRule type="expression" rank="0" priority="49" equalAverage="0" aboveAverage="0" dxfId="0" stopIfTrue="1" text="" percent="0" bottom="0">
      <formula>AND(ISNUMBER(C102),COUNTIFS('Data - Monthly Metrics'!$A:$A,$B$4-1,'Data - Monthly Metrics'!$B:$B,C$8,'Data - Monthly Metrics'!$C:$C,"Snohomish",'Data - Monthly Metrics'!$D:$D,"Goal - Retention %")&gt;0,C102&gt;=SUMIFS('Data - Monthly Metrics'!$E:$E,'Data - Monthly Metrics'!$A:$A,$B$4-1,'Data - Monthly Metrics'!$B:$B,C$8,'Data - Monthly Metrics'!$C:$C,"Snohomish",'Data - Monthly Metrics'!$D:$D,"Goal - Retention %"))</formula>
    </cfRule>
    <cfRule type="expression" rank="0" priority="50" equalAverage="0" aboveAverage="0" dxfId="2" stopIfTrue="1" text="" percent="0" bottom="0">
      <formula>AND(ISNUMBER(C102),COUNTIFS('Data - Monthly Metrics'!$A:$A,$B$4-1,'Data - Monthly Metrics'!$B:$B,C$8,'Data - Monthly Metrics'!$C:$C,"Snohomish",'Data - Monthly Metrics'!$D:$D,"Goal - Retention %")&gt;0,C102&gt;=SUMIFS('Data - Monthly Metrics'!$E:$E,'Data - Monthly Metrics'!$A:$A,$B$4-1,'Data - Monthly Metrics'!$B:$B,C$8,'Data - Monthly Metrics'!$C:$C,"Snohomish",'Data - Monthly Metrics'!$D:$D,"Goal - Retention %")-0.05)</formula>
    </cfRule>
    <cfRule type="expression" rank="0" priority="51" equalAverage="0" aboveAverage="0" dxfId="1" stopIfTrue="1" text="" percent="0" bottom="0">
      <formula>AND(ISNUMBER(C102),COUNTIFS('Data - Monthly Metrics'!$A:$A,$B$4-1,'Data - Monthly Metrics'!$B:$B,C$8,'Data - Monthly Metrics'!$C:$C,"Snohomish",'Data - Monthly Metrics'!$D:$D,"Goal - Retention %")&gt;0)</formula>
    </cfRule>
  </conditionalFormatting>
  <conditionalFormatting sqref="D102">
    <cfRule type="expression" rank="0" priority="52" equalAverage="0" aboveAverage="0" dxfId="0" stopIfTrue="1" text="" percent="0" bottom="0">
      <formula>AND(ISNUMBER(D102),COUNTIFS('Data - Monthly Metrics'!$A:$A,$B$4-1,'Data - Monthly Metrics'!$B:$B,D$8,'Data - Monthly Metrics'!$C:$C,"Snohomish",'Data - Monthly Metrics'!$D:$D,"Goal - Retention %")&gt;0,D102&gt;=SUMIFS('Data - Monthly Metrics'!$E:$E,'Data - Monthly Metrics'!$A:$A,$B$4-1,'Data - Monthly Metrics'!$B:$B,D$8,'Data - Monthly Metrics'!$C:$C,"Snohomish",'Data - Monthly Metrics'!$D:$D,"Goal - Retention %"))</formula>
    </cfRule>
    <cfRule type="expression" rank="0" priority="53" equalAverage="0" aboveAverage="0" dxfId="2" stopIfTrue="1" text="" percent="0" bottom="0">
      <formula>AND(ISNUMBER(D102),COUNTIFS('Data - Monthly Metrics'!$A:$A,$B$4-1,'Data - Monthly Metrics'!$B:$B,D$8,'Data - Monthly Metrics'!$C:$C,"Snohomish",'Data - Monthly Metrics'!$D:$D,"Goal - Retention %")&gt;0,D102&gt;=SUMIFS('Data - Monthly Metrics'!$E:$E,'Data - Monthly Metrics'!$A:$A,$B$4-1,'Data - Monthly Metrics'!$B:$B,D$8,'Data - Monthly Metrics'!$C:$C,"Snohomish",'Data - Monthly Metrics'!$D:$D,"Goal - Retention %")-0.05)</formula>
    </cfRule>
    <cfRule type="expression" rank="0" priority="54" equalAverage="0" aboveAverage="0" dxfId="1" stopIfTrue="1" text="" percent="0" bottom="0">
      <formula>AND(ISNUMBER(D102),COUNTIFS('Data - Monthly Metrics'!$A:$A,$B$4-1,'Data - Monthly Metrics'!$B:$B,D$8,'Data - Monthly Metrics'!$C:$C,"Snohomish",'Data - Monthly Metrics'!$D:$D,"Goal - Retention %")&gt;0)</formula>
    </cfRule>
  </conditionalFormatting>
  <conditionalFormatting sqref="F102">
    <cfRule type="expression" rank="0" priority="55" equalAverage="0" aboveAverage="0" dxfId="0" stopIfTrue="1" text="" percent="0" bottom="0">
      <formula>AND(ISNUMBER(F102),COUNTIFS('Data - Monthly Metrics'!$A:$A,$B$4,'Data - Monthly Metrics'!$B:$B,F$8,'Data - Monthly Metrics'!$C:$C,"Snohomish",'Data - Monthly Metrics'!$D:$D,"Goal - Retention %")&gt;0,F102&gt;=SUMIFS('Data - Monthly Metrics'!$E:$E,'Data - Monthly Metrics'!$A:$A,$B$4,'Data - Monthly Metrics'!$B:$B,F$8,'Data - Monthly Metrics'!$C:$C,"Snohomish",'Data - Monthly Metrics'!$D:$D,"Goal - Retention %"))</formula>
    </cfRule>
    <cfRule type="expression" rank="0" priority="56" equalAverage="0" aboveAverage="0" dxfId="2" stopIfTrue="1" text="" percent="0" bottom="0">
      <formula>AND(ISNUMBER(F102),COUNTIFS('Data - Monthly Metrics'!$A:$A,$B$4,'Data - Monthly Metrics'!$B:$B,F$8,'Data - Monthly Metrics'!$C:$C,"Snohomish",'Data - Monthly Metrics'!$D:$D,"Goal - Retention %")&gt;0,F102&gt;=SUMIFS('Data - Monthly Metrics'!$E:$E,'Data - Monthly Metrics'!$A:$A,$B$4,'Data - Monthly Metrics'!$B:$B,F$8,'Data - Monthly Metrics'!$C:$C,"Snohomish",'Data - Monthly Metrics'!$D:$D,"Goal - Retention %")-0.05)</formula>
    </cfRule>
    <cfRule type="expression" rank="0" priority="57" equalAverage="0" aboveAverage="0" dxfId="1" stopIfTrue="1" text="" percent="0" bottom="0">
      <formula>AND(ISNUMBER(F102),COUNTIFS('Data - Monthly Metrics'!$A:$A,$B$4,'Data - Monthly Metrics'!$B:$B,F$8,'Data - Monthly Metrics'!$C:$C,"Snohomish",'Data - Monthly Metrics'!$D:$D,"Goal - Retention %")&gt;0)</formula>
    </cfRule>
  </conditionalFormatting>
  <conditionalFormatting sqref="G102">
    <cfRule type="expression" rank="0" priority="58" equalAverage="0" aboveAverage="0" dxfId="0" stopIfTrue="1" text="" percent="0" bottom="0">
      <formula>AND(ISNUMBER(G102),COUNTIFS('Data - Monthly Metrics'!$A:$A,$B$4,'Data - Monthly Metrics'!$B:$B,G$8,'Data - Monthly Metrics'!$C:$C,"Snohomish",'Data - Monthly Metrics'!$D:$D,"Goal - Retention %")&gt;0,G102&gt;=SUMIFS('Data - Monthly Metrics'!$E:$E,'Data - Monthly Metrics'!$A:$A,$B$4,'Data - Monthly Metrics'!$B:$B,G$8,'Data - Monthly Metrics'!$C:$C,"Snohomish",'Data - Monthly Metrics'!$D:$D,"Goal - Retention %"))</formula>
    </cfRule>
    <cfRule type="expression" rank="0" priority="59" equalAverage="0" aboveAverage="0" dxfId="2" stopIfTrue="1" text="" percent="0" bottom="0">
      <formula>AND(ISNUMBER(G102),COUNTIFS('Data - Monthly Metrics'!$A:$A,$B$4,'Data - Monthly Metrics'!$B:$B,G$8,'Data - Monthly Metrics'!$C:$C,"Snohomish",'Data - Monthly Metrics'!$D:$D,"Goal - Retention %")&gt;0,G102&gt;=SUMIFS('Data - Monthly Metrics'!$E:$E,'Data - Monthly Metrics'!$A:$A,$B$4,'Data - Monthly Metrics'!$B:$B,G$8,'Data - Monthly Metrics'!$C:$C,"Snohomish",'Data - Monthly Metrics'!$D:$D,"Goal - Retention %")-0.05)</formula>
    </cfRule>
    <cfRule type="expression" rank="0" priority="60" equalAverage="0" aboveAverage="0" dxfId="1" stopIfTrue="1" text="" percent="0" bottom="0">
      <formula>AND(ISNUMBER(G102),COUNTIFS('Data - Monthly Metrics'!$A:$A,$B$4,'Data - Monthly Metrics'!$B:$B,G$8,'Data - Monthly Metrics'!$C:$C,"Snohomish",'Data - Monthly Metrics'!$D:$D,"Goal - Retention %")&gt;0)</formula>
    </cfRule>
  </conditionalFormatting>
  <conditionalFormatting sqref="H102">
    <cfRule type="expression" rank="0" priority="61" equalAverage="0" aboveAverage="0" dxfId="0" stopIfTrue="1" text="" percent="0" bottom="0">
      <formula>AND(ISNUMBER(H102),COUNTIFS('Data - Monthly Metrics'!$A:$A,$B$4,'Data - Monthly Metrics'!$B:$B,H$8,'Data - Monthly Metrics'!$C:$C,"Snohomish",'Data - Monthly Metrics'!$D:$D,"Goal - Retention %")&gt;0,H102&gt;=SUMIFS('Data - Monthly Metrics'!$E:$E,'Data - Monthly Metrics'!$A:$A,$B$4,'Data - Monthly Metrics'!$B:$B,H$8,'Data - Monthly Metrics'!$C:$C,"Snohomish",'Data - Monthly Metrics'!$D:$D,"Goal - Retention %"))</formula>
    </cfRule>
    <cfRule type="expression" rank="0" priority="62" equalAverage="0" aboveAverage="0" dxfId="2" stopIfTrue="1" text="" percent="0" bottom="0">
      <formula>AND(ISNUMBER(H102),COUNTIFS('Data - Monthly Metrics'!$A:$A,$B$4,'Data - Monthly Metrics'!$B:$B,H$8,'Data - Monthly Metrics'!$C:$C,"Snohomish",'Data - Monthly Metrics'!$D:$D,"Goal - Retention %")&gt;0,H102&gt;=SUMIFS('Data - Monthly Metrics'!$E:$E,'Data - Monthly Metrics'!$A:$A,$B$4,'Data - Monthly Metrics'!$B:$B,H$8,'Data - Monthly Metrics'!$C:$C,"Snohomish",'Data - Monthly Metrics'!$D:$D,"Goal - Retention %")-0.05)</formula>
    </cfRule>
    <cfRule type="expression" rank="0" priority="63" equalAverage="0" aboveAverage="0" dxfId="1" stopIfTrue="1" text="" percent="0" bottom="0">
      <formula>AND(ISNUMBER(H102),COUNTIFS('Data - Monthly Metrics'!$A:$A,$B$4,'Data - Monthly Metrics'!$B:$B,H$8,'Data - Monthly Metrics'!$C:$C,"Snohomish",'Data - Monthly Metrics'!$D:$D,"Goal - Retention %")&gt;0)</formula>
    </cfRule>
  </conditionalFormatting>
  <conditionalFormatting sqref="J102">
    <cfRule type="expression" rank="0" priority="64" equalAverage="0" aboveAverage="0" dxfId="0" stopIfTrue="1" text="" percent="0" bottom="0">
      <formula>AND(ISNUMBER(J102),COUNTIFS('Data - Monthly Metrics'!$A:$A,$B$4,'Data - Monthly Metrics'!$B:$B,J$8,'Data - Monthly Metrics'!$C:$C,"Snohomish",'Data - Monthly Metrics'!$D:$D,"Goal - Retention %")&gt;0,J102&gt;=SUMIFS('Data - Monthly Metrics'!$E:$E,'Data - Monthly Metrics'!$A:$A,$B$4,'Data - Monthly Metrics'!$B:$B,J$8,'Data - Monthly Metrics'!$C:$C,"Snohomish",'Data - Monthly Metrics'!$D:$D,"Goal - Retention %"))</formula>
    </cfRule>
    <cfRule type="expression" rank="0" priority="65" equalAverage="0" aboveAverage="0" dxfId="2" stopIfTrue="1" text="" percent="0" bottom="0">
      <formula>AND(ISNUMBER(J102),COUNTIFS('Data - Monthly Metrics'!$A:$A,$B$4,'Data - Monthly Metrics'!$B:$B,J$8,'Data - Monthly Metrics'!$C:$C,"Snohomish",'Data - Monthly Metrics'!$D:$D,"Goal - Retention %")&gt;0,J102&gt;=SUMIFS('Data - Monthly Metrics'!$E:$E,'Data - Monthly Metrics'!$A:$A,$B$4,'Data - Monthly Metrics'!$B:$B,J$8,'Data - Monthly Metrics'!$C:$C,"Snohomish",'Data - Monthly Metrics'!$D:$D,"Goal - Retention %")-0.05)</formula>
    </cfRule>
    <cfRule type="expression" rank="0" priority="66" equalAverage="0" aboveAverage="0" dxfId="1" stopIfTrue="1" text="" percent="0" bottom="0">
      <formula>AND(ISNUMBER(J102),COUNTIFS('Data - Monthly Metrics'!$A:$A,$B$4,'Data - Monthly Metrics'!$B:$B,J$8,'Data - Monthly Metrics'!$C:$C,"Snohomish",'Data - Monthly Metrics'!$D:$D,"Goal - Retention %")&gt;0)</formula>
    </cfRule>
  </conditionalFormatting>
  <conditionalFormatting sqref="K102">
    <cfRule type="expression" rank="0" priority="67" equalAverage="0" aboveAverage="0" dxfId="0" stopIfTrue="1" text="" percent="0" bottom="0">
      <formula>AND(ISNUMBER(K102),COUNTIFS('Data - Monthly Metrics'!$A:$A,$B$4,'Data - Monthly Metrics'!$B:$B,K$8,'Data - Monthly Metrics'!$C:$C,"Snohomish",'Data - Monthly Metrics'!$D:$D,"Goal - Retention %")&gt;0,K102&gt;=SUMIFS('Data - Monthly Metrics'!$E:$E,'Data - Monthly Metrics'!$A:$A,$B$4,'Data - Monthly Metrics'!$B:$B,K$8,'Data - Monthly Metrics'!$C:$C,"Snohomish",'Data - Monthly Metrics'!$D:$D,"Goal - Retention %"))</formula>
    </cfRule>
    <cfRule type="expression" rank="0" priority="68" equalAverage="0" aboveAverage="0" dxfId="2" stopIfTrue="1" text="" percent="0" bottom="0">
      <formula>AND(ISNUMBER(K102),COUNTIFS('Data - Monthly Metrics'!$A:$A,$B$4,'Data - Monthly Metrics'!$B:$B,K$8,'Data - Monthly Metrics'!$C:$C,"Snohomish",'Data - Monthly Metrics'!$D:$D,"Goal - Retention %")&gt;0,K102&gt;=SUMIFS('Data - Monthly Metrics'!$E:$E,'Data - Monthly Metrics'!$A:$A,$B$4,'Data - Monthly Metrics'!$B:$B,K$8,'Data - Monthly Metrics'!$C:$C,"Snohomish",'Data - Monthly Metrics'!$D:$D,"Goal - Retention %")-0.05)</formula>
    </cfRule>
    <cfRule type="expression" rank="0" priority="69" equalAverage="0" aboveAverage="0" dxfId="1" stopIfTrue="1" text="" percent="0" bottom="0">
      <formula>AND(ISNUMBER(K102),COUNTIFS('Data - Monthly Metrics'!$A:$A,$B$4,'Data - Monthly Metrics'!$B:$B,K$8,'Data - Monthly Metrics'!$C:$C,"Snohomish",'Data - Monthly Metrics'!$D:$D,"Goal - Retention %")&gt;0)</formula>
    </cfRule>
  </conditionalFormatting>
  <conditionalFormatting sqref="L102">
    <cfRule type="expression" rank="0" priority="70" equalAverage="0" aboveAverage="0" dxfId="0" stopIfTrue="1" text="" percent="0" bottom="0">
      <formula>AND(ISNUMBER(L102),COUNTIFS('Data - Monthly Metrics'!$A:$A,$B$4,'Data - Monthly Metrics'!$B:$B,L$8,'Data - Monthly Metrics'!$C:$C,"Snohomish",'Data - Monthly Metrics'!$D:$D,"Goal - Retention %")&gt;0,L102&gt;=SUMIFS('Data - Monthly Metrics'!$E:$E,'Data - Monthly Metrics'!$A:$A,$B$4,'Data - Monthly Metrics'!$B:$B,L$8,'Data - Monthly Metrics'!$C:$C,"Snohomish",'Data - Monthly Metrics'!$D:$D,"Goal - Retention %"))</formula>
    </cfRule>
    <cfRule type="expression" rank="0" priority="71" equalAverage="0" aboveAverage="0" dxfId="2" stopIfTrue="1" text="" percent="0" bottom="0">
      <formula>AND(ISNUMBER(L102),COUNTIFS('Data - Monthly Metrics'!$A:$A,$B$4,'Data - Monthly Metrics'!$B:$B,L$8,'Data - Monthly Metrics'!$C:$C,"Snohomish",'Data - Monthly Metrics'!$D:$D,"Goal - Retention %")&gt;0,L102&gt;=SUMIFS('Data - Monthly Metrics'!$E:$E,'Data - Monthly Metrics'!$A:$A,$B$4,'Data - Monthly Metrics'!$B:$B,L$8,'Data - Monthly Metrics'!$C:$C,"Snohomish",'Data - Monthly Metrics'!$D:$D,"Goal - Retention %")-0.05)</formula>
    </cfRule>
    <cfRule type="expression" rank="0" priority="72" equalAverage="0" aboveAverage="0" dxfId="1" stopIfTrue="1" text="" percent="0" bottom="0">
      <formula>AND(ISNUMBER(L102),COUNTIFS('Data - Monthly Metrics'!$A:$A,$B$4,'Data - Monthly Metrics'!$B:$B,L$8,'Data - Monthly Metrics'!$C:$C,"Snohomish",'Data - Monthly Metrics'!$D:$D,"Goal - Retention %")&gt;0)</formula>
    </cfRule>
  </conditionalFormatting>
  <conditionalFormatting sqref="N102">
    <cfRule type="expression" rank="0" priority="73" equalAverage="0" aboveAverage="0" dxfId="0" stopIfTrue="1" text="" percent="0" bottom="0">
      <formula>AND(ISNUMBER(N102),COUNTIFS('Data - Monthly Metrics'!$A:$A,$B$4,'Data - Monthly Metrics'!$B:$B,N$8,'Data - Monthly Metrics'!$C:$C,"Snohomish",'Data - Monthly Metrics'!$D:$D,"Goal - Retention %")&gt;0,N102&gt;=SUMIFS('Data - Monthly Metrics'!$E:$E,'Data - Monthly Metrics'!$A:$A,$B$4,'Data - Monthly Metrics'!$B:$B,N$8,'Data - Monthly Metrics'!$C:$C,"Snohomish",'Data - Monthly Metrics'!$D:$D,"Goal - Retention %"))</formula>
    </cfRule>
    <cfRule type="expression" rank="0" priority="74" equalAverage="0" aboveAverage="0" dxfId="2" stopIfTrue="1" text="" percent="0" bottom="0">
      <formula>AND(ISNUMBER(N102),COUNTIFS('Data - Monthly Metrics'!$A:$A,$B$4,'Data - Monthly Metrics'!$B:$B,N$8,'Data - Monthly Metrics'!$C:$C,"Snohomish",'Data - Monthly Metrics'!$D:$D,"Goal - Retention %")&gt;0,N102&gt;=SUMIFS('Data - Monthly Metrics'!$E:$E,'Data - Monthly Metrics'!$A:$A,$B$4,'Data - Monthly Metrics'!$B:$B,N$8,'Data - Monthly Metrics'!$C:$C,"Snohomish",'Data - Monthly Metrics'!$D:$D,"Goal - Retention %")-0.05)</formula>
    </cfRule>
    <cfRule type="expression" rank="0" priority="75" equalAverage="0" aboveAverage="0" dxfId="1" stopIfTrue="1" text="" percent="0" bottom="0">
      <formula>AND(ISNUMBER(N102),COUNTIFS('Data - Monthly Metrics'!$A:$A,$B$4,'Data - Monthly Metrics'!$B:$B,N$8,'Data - Monthly Metrics'!$C:$C,"Snohomish",'Data - Monthly Metrics'!$D:$D,"Goal - Retention %")&gt;0)</formula>
    </cfRule>
  </conditionalFormatting>
  <conditionalFormatting sqref="O102">
    <cfRule type="expression" rank="0" priority="76" equalAverage="0" aboveAverage="0" dxfId="0" stopIfTrue="1" text="" percent="0" bottom="0">
      <formula>AND(ISNUMBER(O102),COUNTIFS('Data - Monthly Metrics'!$A:$A,$B$4,'Data - Monthly Metrics'!$B:$B,O$8,'Data - Monthly Metrics'!$C:$C,"Snohomish",'Data - Monthly Metrics'!$D:$D,"Goal - Retention %")&gt;0,O102&gt;=SUMIFS('Data - Monthly Metrics'!$E:$E,'Data - Monthly Metrics'!$A:$A,$B$4,'Data - Monthly Metrics'!$B:$B,O$8,'Data - Monthly Metrics'!$C:$C,"Snohomish",'Data - Monthly Metrics'!$D:$D,"Goal - Retention %"))</formula>
    </cfRule>
    <cfRule type="expression" rank="0" priority="77" equalAverage="0" aboveAverage="0" dxfId="2" stopIfTrue="1" text="" percent="0" bottom="0">
      <formula>AND(ISNUMBER(O102),COUNTIFS('Data - Monthly Metrics'!$A:$A,$B$4,'Data - Monthly Metrics'!$B:$B,O$8,'Data - Monthly Metrics'!$C:$C,"Snohomish",'Data - Monthly Metrics'!$D:$D,"Goal - Retention %")&gt;0,O102&gt;=SUMIFS('Data - Monthly Metrics'!$E:$E,'Data - Monthly Metrics'!$A:$A,$B$4,'Data - Monthly Metrics'!$B:$B,O$8,'Data - Monthly Metrics'!$C:$C,"Snohomish",'Data - Monthly Metrics'!$D:$D,"Goal - Retention %")-0.05)</formula>
    </cfRule>
    <cfRule type="expression" rank="0" priority="78" equalAverage="0" aboveAverage="0" dxfId="1" stopIfTrue="1" text="" percent="0" bottom="0">
      <formula>AND(ISNUMBER(O102),COUNTIFS('Data - Monthly Metrics'!$A:$A,$B$4,'Data - Monthly Metrics'!$B:$B,O$8,'Data - Monthly Metrics'!$C:$C,"Snohomish",'Data - Monthly Metrics'!$D:$D,"Goal - Retention %")&gt;0)</formula>
    </cfRule>
  </conditionalFormatting>
  <conditionalFormatting sqref="P102">
    <cfRule type="expression" rank="0" priority="79" equalAverage="0" aboveAverage="0" dxfId="0" stopIfTrue="1" text="" percent="0" bottom="0">
      <formula>AND(ISNUMBER(P102),COUNTIFS('Data - Monthly Metrics'!$A:$A,$B$4,'Data - Monthly Metrics'!$B:$B,P$8,'Data - Monthly Metrics'!$C:$C,"Snohomish",'Data - Monthly Metrics'!$D:$D,"Goal - Retention %")&gt;0,P102&gt;=SUMIFS('Data - Monthly Metrics'!$E:$E,'Data - Monthly Metrics'!$A:$A,$B$4,'Data - Monthly Metrics'!$B:$B,P$8,'Data - Monthly Metrics'!$C:$C,"Snohomish",'Data - Monthly Metrics'!$D:$D,"Goal - Retention %"))</formula>
    </cfRule>
    <cfRule type="expression" rank="0" priority="80" equalAverage="0" aboveAverage="0" dxfId="2" stopIfTrue="1" text="" percent="0" bottom="0">
      <formula>AND(ISNUMBER(P102),COUNTIFS('Data - Monthly Metrics'!$A:$A,$B$4,'Data - Monthly Metrics'!$B:$B,P$8,'Data - Monthly Metrics'!$C:$C,"Snohomish",'Data - Monthly Metrics'!$D:$D,"Goal - Retention %")&gt;0,P102&gt;=SUMIFS('Data - Monthly Metrics'!$E:$E,'Data - Monthly Metrics'!$A:$A,$B$4,'Data - Monthly Metrics'!$B:$B,P$8,'Data - Monthly Metrics'!$C:$C,"Snohomish",'Data - Monthly Metrics'!$D:$D,"Goal - Retention %")-0.05)</formula>
    </cfRule>
    <cfRule type="expression" rank="0" priority="81" equalAverage="0" aboveAverage="0" dxfId="1" stopIfTrue="1" text="" percent="0" bottom="0">
      <formula>AND(ISNUMBER(P102),COUNTIFS('Data - Monthly Metrics'!$A:$A,$B$4,'Data - Monthly Metrics'!$B:$B,P$8,'Data - Monthly Metrics'!$C:$C,"Snohomish",'Data - Monthly Metrics'!$D:$D,"Goal - Retention %")&gt;0)</formula>
    </cfRule>
  </conditionalFormatting>
  <conditionalFormatting sqref="B65">
    <cfRule type="expression" rank="0" priority="82" equalAverage="0" aboveAverage="0" dxfId="0" stopIfTrue="1" text="" percent="0" bottom="0">
      <formula>AND(ISNUMBER(B65),COUNTIFS('Data - Monthly Metrics'!$A:$A,$B$4-1,'Data - Monthly Metrics'!$B:$B,B$8,'Data - Monthly Metrics'!$C:$C,"Snohomish",'Data - Monthly Metrics'!$D:$D,"Goal - Retention %")&gt;0,B65&gt;=SUMIFS('Data - Monthly Metrics'!$E:$E,'Data - Monthly Metrics'!$A:$A,$B$4-1,'Data - Monthly Metrics'!$B:$B,B$8,'Data - Monthly Metrics'!$C:$C,"Snohomish",'Data - Monthly Metrics'!$D:$D,"Goal - Retention %"))</formula>
    </cfRule>
    <cfRule type="expression" rank="0" priority="83" equalAverage="0" aboveAverage="0" dxfId="2" stopIfTrue="1" text="" percent="0" bottom="0">
      <formula>AND(ISNUMBER(B65),COUNTIFS('Data - Monthly Metrics'!$A:$A,$B$4-1,'Data - Monthly Metrics'!$B:$B,B$8,'Data - Monthly Metrics'!$C:$C,"Snohomish",'Data - Monthly Metrics'!$D:$D,"Goal - Retention %")&gt;0,B65&gt;=SUMIFS('Data - Monthly Metrics'!$E:$E,'Data - Monthly Metrics'!$A:$A,$B$4-1,'Data - Monthly Metrics'!$B:$B,B$8,'Data - Monthly Metrics'!$C:$C,"Snohomish",'Data - Monthly Metrics'!$D:$D,"Goal - Retention %")-0.05)</formula>
    </cfRule>
    <cfRule type="expression" rank="0" priority="84" equalAverage="0" aboveAverage="0" dxfId="1" stopIfTrue="1" text="" percent="0" bottom="0">
      <formula>AND(ISNUMBER(B65),COUNTIFS('Data - Monthly Metrics'!$A:$A,$B$4-1,'Data - Monthly Metrics'!$B:$B,B$8,'Data - Monthly Metrics'!$C:$C,"Snohomish",'Data - Monthly Metrics'!$D:$D,"Goal - Retention %")&gt;0)</formula>
    </cfRule>
  </conditionalFormatting>
  <conditionalFormatting sqref="C65">
    <cfRule type="expression" rank="0" priority="85" equalAverage="0" aboveAverage="0" dxfId="0" stopIfTrue="1" text="" percent="0" bottom="0">
      <formula>AND(ISNUMBER(C65),COUNTIFS('Data - Monthly Metrics'!$A:$A,$B$4-1,'Data - Monthly Metrics'!$B:$B,C$8,'Data - Monthly Metrics'!$C:$C,"Snohomish",'Data - Monthly Metrics'!$D:$D,"Goal - Retention %")&gt;0,C65&gt;=SUMIFS('Data - Monthly Metrics'!$E:$E,'Data - Monthly Metrics'!$A:$A,$B$4-1,'Data - Monthly Metrics'!$B:$B,C$8,'Data - Monthly Metrics'!$C:$C,"Snohomish",'Data - Monthly Metrics'!$D:$D,"Goal - Retention %"))</formula>
    </cfRule>
    <cfRule type="expression" rank="0" priority="86" equalAverage="0" aboveAverage="0" dxfId="2" stopIfTrue="1" text="" percent="0" bottom="0">
      <formula>AND(ISNUMBER(C65),COUNTIFS('Data - Monthly Metrics'!$A:$A,$B$4-1,'Data - Monthly Metrics'!$B:$B,C$8,'Data - Monthly Metrics'!$C:$C,"Snohomish",'Data - Monthly Metrics'!$D:$D,"Goal - Retention %")&gt;0,C65&gt;=SUMIFS('Data - Monthly Metrics'!$E:$E,'Data - Monthly Metrics'!$A:$A,$B$4-1,'Data - Monthly Metrics'!$B:$B,C$8,'Data - Monthly Metrics'!$C:$C,"Snohomish",'Data - Monthly Metrics'!$D:$D,"Goal - Retention %")-0.05)</formula>
    </cfRule>
    <cfRule type="expression" rank="0" priority="87" equalAverage="0" aboveAverage="0" dxfId="1" stopIfTrue="1" text="" percent="0" bottom="0">
      <formula>AND(ISNUMBER(C65),COUNTIFS('Data - Monthly Metrics'!$A:$A,$B$4-1,'Data - Monthly Metrics'!$B:$B,C$8,'Data - Monthly Metrics'!$C:$C,"Snohomish",'Data - Monthly Metrics'!$D:$D,"Goal - Retention %")&gt;0)</formula>
    </cfRule>
  </conditionalFormatting>
  <conditionalFormatting sqref="D65">
    <cfRule type="expression" rank="0" priority="88" equalAverage="0" aboveAverage="0" dxfId="0" stopIfTrue="1" text="" percent="0" bottom="0">
      <formula>AND(ISNUMBER(D65),COUNTIFS('Data - Monthly Metrics'!$A:$A,$B$4-1,'Data - Monthly Metrics'!$B:$B,D$8,'Data - Monthly Metrics'!$C:$C,"Snohomish",'Data - Monthly Metrics'!$D:$D,"Goal - Retention %")&gt;0,D65&gt;=SUMIFS('Data - Monthly Metrics'!$E:$E,'Data - Monthly Metrics'!$A:$A,$B$4-1,'Data - Monthly Metrics'!$B:$B,D$8,'Data - Monthly Metrics'!$C:$C,"Snohomish",'Data - Monthly Metrics'!$D:$D,"Goal - Retention %"))</formula>
    </cfRule>
    <cfRule type="expression" rank="0" priority="89" equalAverage="0" aboveAverage="0" dxfId="2" stopIfTrue="1" text="" percent="0" bottom="0">
      <formula>AND(ISNUMBER(D65),COUNTIFS('Data - Monthly Metrics'!$A:$A,$B$4-1,'Data - Monthly Metrics'!$B:$B,D$8,'Data - Monthly Metrics'!$C:$C,"Snohomish",'Data - Monthly Metrics'!$D:$D,"Goal - Retention %")&gt;0,D65&gt;=SUMIFS('Data - Monthly Metrics'!$E:$E,'Data - Monthly Metrics'!$A:$A,$B$4-1,'Data - Monthly Metrics'!$B:$B,D$8,'Data - Monthly Metrics'!$C:$C,"Snohomish",'Data - Monthly Metrics'!$D:$D,"Goal - Retention %")-0.05)</formula>
    </cfRule>
    <cfRule type="expression" rank="0" priority="90" equalAverage="0" aboveAverage="0" dxfId="1" stopIfTrue="1" text="" percent="0" bottom="0">
      <formula>AND(ISNUMBER(D65),COUNTIFS('Data - Monthly Metrics'!$A:$A,$B$4-1,'Data - Monthly Metrics'!$B:$B,D$8,'Data - Monthly Metrics'!$C:$C,"Snohomish",'Data - Monthly Metrics'!$D:$D,"Goal - Retention %")&gt;0)</formula>
    </cfRule>
  </conditionalFormatting>
  <conditionalFormatting sqref="F65">
    <cfRule type="expression" rank="0" priority="91" equalAverage="0" aboveAverage="0" dxfId="0" stopIfTrue="1" text="" percent="0" bottom="0">
      <formula>AND(ISNUMBER(F65),COUNTIFS('Data - Monthly Metrics'!$A:$A,$B$4,'Data - Monthly Metrics'!$B:$B,F$8,'Data - Monthly Metrics'!$C:$C,"Snohomish",'Data - Monthly Metrics'!$D:$D,"Goal - Retention %")&gt;0,F65&gt;=SUMIFS('Data - Monthly Metrics'!$E:$E,'Data - Monthly Metrics'!$A:$A,$B$4,'Data - Monthly Metrics'!$B:$B,F$8,'Data - Monthly Metrics'!$C:$C,"Snohomish",'Data - Monthly Metrics'!$D:$D,"Goal - Retention %"))</formula>
    </cfRule>
    <cfRule type="expression" rank="0" priority="92" equalAverage="0" aboveAverage="0" dxfId="2" stopIfTrue="1" text="" percent="0" bottom="0">
      <formula>AND(ISNUMBER(F65),COUNTIFS('Data - Monthly Metrics'!$A:$A,$B$4,'Data - Monthly Metrics'!$B:$B,F$8,'Data - Monthly Metrics'!$C:$C,"Snohomish",'Data - Monthly Metrics'!$D:$D,"Goal - Retention %")&gt;0,F65&gt;=SUMIFS('Data - Monthly Metrics'!$E:$E,'Data - Monthly Metrics'!$A:$A,$B$4,'Data - Monthly Metrics'!$B:$B,F$8,'Data - Monthly Metrics'!$C:$C,"Snohomish",'Data - Monthly Metrics'!$D:$D,"Goal - Retention %")-0.05)</formula>
    </cfRule>
    <cfRule type="expression" rank="0" priority="93" equalAverage="0" aboveAverage="0" dxfId="1" stopIfTrue="1" text="" percent="0" bottom="0">
      <formula>AND(ISNUMBER(F65),COUNTIFS('Data - Monthly Metrics'!$A:$A,$B$4,'Data - Monthly Metrics'!$B:$B,F$8,'Data - Monthly Metrics'!$C:$C,"Snohomish",'Data - Monthly Metrics'!$D:$D,"Goal - Retention %")&gt;0)</formula>
    </cfRule>
  </conditionalFormatting>
  <conditionalFormatting sqref="G65">
    <cfRule type="expression" rank="0" priority="94" equalAverage="0" aboveAverage="0" dxfId="0" stopIfTrue="1" text="" percent="0" bottom="0">
      <formula>AND(ISNUMBER(G65),COUNTIFS('Data - Monthly Metrics'!$A:$A,$B$4,'Data - Monthly Metrics'!$B:$B,G$8,'Data - Monthly Metrics'!$C:$C,"Snohomish",'Data - Monthly Metrics'!$D:$D,"Goal - Retention %")&gt;0,G65&gt;=SUMIFS('Data - Monthly Metrics'!$E:$E,'Data - Monthly Metrics'!$A:$A,$B$4,'Data - Monthly Metrics'!$B:$B,G$8,'Data - Monthly Metrics'!$C:$C,"Snohomish",'Data - Monthly Metrics'!$D:$D,"Goal - Retention %"))</formula>
    </cfRule>
    <cfRule type="expression" rank="0" priority="95" equalAverage="0" aboveAverage="0" dxfId="2" stopIfTrue="1" text="" percent="0" bottom="0">
      <formula>AND(ISNUMBER(G65),COUNTIFS('Data - Monthly Metrics'!$A:$A,$B$4,'Data - Monthly Metrics'!$B:$B,G$8,'Data - Monthly Metrics'!$C:$C,"Snohomish",'Data - Monthly Metrics'!$D:$D,"Goal - Retention %")&gt;0,G65&gt;=SUMIFS('Data - Monthly Metrics'!$E:$E,'Data - Monthly Metrics'!$A:$A,$B$4,'Data - Monthly Metrics'!$B:$B,G$8,'Data - Monthly Metrics'!$C:$C,"Snohomish",'Data - Monthly Metrics'!$D:$D,"Goal - Retention %")-0.05)</formula>
    </cfRule>
    <cfRule type="expression" rank="0" priority="96" equalAverage="0" aboveAverage="0" dxfId="1" stopIfTrue="1" text="" percent="0" bottom="0">
      <formula>AND(ISNUMBER(G65),COUNTIFS('Data - Monthly Metrics'!$A:$A,$B$4,'Data - Monthly Metrics'!$B:$B,G$8,'Data - Monthly Metrics'!$C:$C,"Snohomish",'Data - Monthly Metrics'!$D:$D,"Goal - Retention %")&gt;0)</formula>
    </cfRule>
  </conditionalFormatting>
  <conditionalFormatting sqref="H65">
    <cfRule type="expression" rank="0" priority="97" equalAverage="0" aboveAverage="0" dxfId="0" stopIfTrue="1" text="" percent="0" bottom="0">
      <formula>AND(ISNUMBER(H65),COUNTIFS('Data - Monthly Metrics'!$A:$A,$B$4,'Data - Monthly Metrics'!$B:$B,H$8,'Data - Monthly Metrics'!$C:$C,"Snohomish",'Data - Monthly Metrics'!$D:$D,"Goal - Retention %")&gt;0,H65&gt;=SUMIFS('Data - Monthly Metrics'!$E:$E,'Data - Monthly Metrics'!$A:$A,$B$4,'Data - Monthly Metrics'!$B:$B,H$8,'Data - Monthly Metrics'!$C:$C,"Snohomish",'Data - Monthly Metrics'!$D:$D,"Goal - Retention %"))</formula>
    </cfRule>
    <cfRule type="expression" rank="0" priority="98" equalAverage="0" aboveAverage="0" dxfId="2" stopIfTrue="1" text="" percent="0" bottom="0">
      <formula>AND(ISNUMBER(H65),COUNTIFS('Data - Monthly Metrics'!$A:$A,$B$4,'Data - Monthly Metrics'!$B:$B,H$8,'Data - Monthly Metrics'!$C:$C,"Snohomish",'Data - Monthly Metrics'!$D:$D,"Goal - Retention %")&gt;0,H65&gt;=SUMIFS('Data - Monthly Metrics'!$E:$E,'Data - Monthly Metrics'!$A:$A,$B$4,'Data - Monthly Metrics'!$B:$B,H$8,'Data - Monthly Metrics'!$C:$C,"Snohomish",'Data - Monthly Metrics'!$D:$D,"Goal - Retention %")-0.05)</formula>
    </cfRule>
    <cfRule type="expression" rank="0" priority="99" equalAverage="0" aboveAverage="0" dxfId="1" stopIfTrue="1" text="" percent="0" bottom="0">
      <formula>AND(ISNUMBER(H65),COUNTIFS('Data - Monthly Metrics'!$A:$A,$B$4,'Data - Monthly Metrics'!$B:$B,H$8,'Data - Monthly Metrics'!$C:$C,"Snohomish",'Data - Monthly Metrics'!$D:$D,"Goal - Retention %")&gt;0)</formula>
    </cfRule>
  </conditionalFormatting>
  <conditionalFormatting sqref="J65">
    <cfRule type="expression" rank="0" priority="100" equalAverage="0" aboveAverage="0" dxfId="0" stopIfTrue="1" text="" percent="0" bottom="0">
      <formula>AND(ISNUMBER(J65),COUNTIFS('Data - Monthly Metrics'!$A:$A,$B$4,'Data - Monthly Metrics'!$B:$B,J$8,'Data - Monthly Metrics'!$C:$C,"Snohomish",'Data - Monthly Metrics'!$D:$D,"Goal - Retention %")&gt;0,J65&gt;=SUMIFS('Data - Monthly Metrics'!$E:$E,'Data - Monthly Metrics'!$A:$A,$B$4,'Data - Monthly Metrics'!$B:$B,J$8,'Data - Monthly Metrics'!$C:$C,"Snohomish",'Data - Monthly Metrics'!$D:$D,"Goal - Retention %"))</formula>
    </cfRule>
    <cfRule type="expression" rank="0" priority="101" equalAverage="0" aboveAverage="0" dxfId="2" stopIfTrue="1" text="" percent="0" bottom="0">
      <formula>AND(ISNUMBER(J65),COUNTIFS('Data - Monthly Metrics'!$A:$A,$B$4,'Data - Monthly Metrics'!$B:$B,J$8,'Data - Monthly Metrics'!$C:$C,"Snohomish",'Data - Monthly Metrics'!$D:$D,"Goal - Retention %")&gt;0,J65&gt;=SUMIFS('Data - Monthly Metrics'!$E:$E,'Data - Monthly Metrics'!$A:$A,$B$4,'Data - Monthly Metrics'!$B:$B,J$8,'Data - Monthly Metrics'!$C:$C,"Snohomish",'Data - Monthly Metrics'!$D:$D,"Goal - Retention %")-0.05)</formula>
    </cfRule>
    <cfRule type="expression" rank="0" priority="102" equalAverage="0" aboveAverage="0" dxfId="1" stopIfTrue="1" text="" percent="0" bottom="0">
      <formula>AND(ISNUMBER(J65),COUNTIFS('Data - Monthly Metrics'!$A:$A,$B$4,'Data - Monthly Metrics'!$B:$B,J$8,'Data - Monthly Metrics'!$C:$C,"Snohomish",'Data - Monthly Metrics'!$D:$D,"Goal - Retention %")&gt;0)</formula>
    </cfRule>
  </conditionalFormatting>
  <conditionalFormatting sqref="K65">
    <cfRule type="expression" rank="0" priority="103" equalAverage="0" aboveAverage="0" dxfId="0" stopIfTrue="1" text="" percent="0" bottom="0">
      <formula>AND(ISNUMBER(K65),COUNTIFS('Data - Monthly Metrics'!$A:$A,$B$4,'Data - Monthly Metrics'!$B:$B,K$8,'Data - Monthly Metrics'!$C:$C,"Snohomish",'Data - Monthly Metrics'!$D:$D,"Goal - Retention %")&gt;0,K65&gt;=SUMIFS('Data - Monthly Metrics'!$E:$E,'Data - Monthly Metrics'!$A:$A,$B$4,'Data - Monthly Metrics'!$B:$B,K$8,'Data - Monthly Metrics'!$C:$C,"Snohomish",'Data - Monthly Metrics'!$D:$D,"Goal - Retention %"))</formula>
    </cfRule>
    <cfRule type="expression" rank="0" priority="104" equalAverage="0" aboveAverage="0" dxfId="2" stopIfTrue="1" text="" percent="0" bottom="0">
      <formula>AND(ISNUMBER(K65),COUNTIFS('Data - Monthly Metrics'!$A:$A,$B$4,'Data - Monthly Metrics'!$B:$B,K$8,'Data - Monthly Metrics'!$C:$C,"Snohomish",'Data - Monthly Metrics'!$D:$D,"Goal - Retention %")&gt;0,K65&gt;=SUMIFS('Data - Monthly Metrics'!$E:$E,'Data - Monthly Metrics'!$A:$A,$B$4,'Data - Monthly Metrics'!$B:$B,K$8,'Data - Monthly Metrics'!$C:$C,"Snohomish",'Data - Monthly Metrics'!$D:$D,"Goal - Retention %")-0.05)</formula>
    </cfRule>
    <cfRule type="expression" rank="0" priority="105" equalAverage="0" aboveAverage="0" dxfId="1" stopIfTrue="1" text="" percent="0" bottom="0">
      <formula>AND(ISNUMBER(K65),COUNTIFS('Data - Monthly Metrics'!$A:$A,$B$4,'Data - Monthly Metrics'!$B:$B,K$8,'Data - Monthly Metrics'!$C:$C,"Snohomish",'Data - Monthly Metrics'!$D:$D,"Goal - Retention %")&gt;0)</formula>
    </cfRule>
  </conditionalFormatting>
  <conditionalFormatting sqref="L65">
    <cfRule type="expression" rank="0" priority="106" equalAverage="0" aboveAverage="0" dxfId="0" stopIfTrue="1" text="" percent="0" bottom="0">
      <formula>AND(ISNUMBER(L65),COUNTIFS('Data - Monthly Metrics'!$A:$A,$B$4,'Data - Monthly Metrics'!$B:$B,L$8,'Data - Monthly Metrics'!$C:$C,"Snohomish",'Data - Monthly Metrics'!$D:$D,"Goal - Retention %")&gt;0,L65&gt;=SUMIFS('Data - Monthly Metrics'!$E:$E,'Data - Monthly Metrics'!$A:$A,$B$4,'Data - Monthly Metrics'!$B:$B,L$8,'Data - Monthly Metrics'!$C:$C,"Snohomish",'Data - Monthly Metrics'!$D:$D,"Goal - Retention %"))</formula>
    </cfRule>
    <cfRule type="expression" rank="0" priority="107" equalAverage="0" aboveAverage="0" dxfId="2" stopIfTrue="1" text="" percent="0" bottom="0">
      <formula>AND(ISNUMBER(L65),COUNTIFS('Data - Monthly Metrics'!$A:$A,$B$4,'Data - Monthly Metrics'!$B:$B,L$8,'Data - Monthly Metrics'!$C:$C,"Snohomish",'Data - Monthly Metrics'!$D:$D,"Goal - Retention %")&gt;0,L65&gt;=SUMIFS('Data - Monthly Metrics'!$E:$E,'Data - Monthly Metrics'!$A:$A,$B$4,'Data - Monthly Metrics'!$B:$B,L$8,'Data - Monthly Metrics'!$C:$C,"Snohomish",'Data - Monthly Metrics'!$D:$D,"Goal - Retention %")-0.05)</formula>
    </cfRule>
    <cfRule type="expression" rank="0" priority="108" equalAverage="0" aboveAverage="0" dxfId="1" stopIfTrue="1" text="" percent="0" bottom="0">
      <formula>AND(ISNUMBER(L65),COUNTIFS('Data - Monthly Metrics'!$A:$A,$B$4,'Data - Monthly Metrics'!$B:$B,L$8,'Data - Monthly Metrics'!$C:$C,"Snohomish",'Data - Monthly Metrics'!$D:$D,"Goal - Retention %")&gt;0)</formula>
    </cfRule>
  </conditionalFormatting>
  <conditionalFormatting sqref="N65">
    <cfRule type="expression" rank="0" priority="109" equalAverage="0" aboveAverage="0" dxfId="0" stopIfTrue="1" text="" percent="0" bottom="0">
      <formula>AND(ISNUMBER(N65),COUNTIFS('Data - Monthly Metrics'!$A:$A,$B$4,'Data - Monthly Metrics'!$B:$B,N$8,'Data - Monthly Metrics'!$C:$C,"Snohomish",'Data - Monthly Metrics'!$D:$D,"Goal - Retention %")&gt;0,N65&gt;=SUMIFS('Data - Monthly Metrics'!$E:$E,'Data - Monthly Metrics'!$A:$A,$B$4,'Data - Monthly Metrics'!$B:$B,N$8,'Data - Monthly Metrics'!$C:$C,"Snohomish",'Data - Monthly Metrics'!$D:$D,"Goal - Retention %"))</formula>
    </cfRule>
    <cfRule type="expression" rank="0" priority="110" equalAverage="0" aboveAverage="0" dxfId="2" stopIfTrue="1" text="" percent="0" bottom="0">
      <formula>AND(ISNUMBER(N65),COUNTIFS('Data - Monthly Metrics'!$A:$A,$B$4,'Data - Monthly Metrics'!$B:$B,N$8,'Data - Monthly Metrics'!$C:$C,"Snohomish",'Data - Monthly Metrics'!$D:$D,"Goal - Retention %")&gt;0,N65&gt;=SUMIFS('Data - Monthly Metrics'!$E:$E,'Data - Monthly Metrics'!$A:$A,$B$4,'Data - Monthly Metrics'!$B:$B,N$8,'Data - Monthly Metrics'!$C:$C,"Snohomish",'Data - Monthly Metrics'!$D:$D,"Goal - Retention %")-0.05)</formula>
    </cfRule>
    <cfRule type="expression" rank="0" priority="111" equalAverage="0" aboveAverage="0" dxfId="1" stopIfTrue="1" text="" percent="0" bottom="0">
      <formula>AND(ISNUMBER(N65),COUNTIFS('Data - Monthly Metrics'!$A:$A,$B$4,'Data - Monthly Metrics'!$B:$B,N$8,'Data - Monthly Metrics'!$C:$C,"Snohomish",'Data - Monthly Metrics'!$D:$D,"Goal - Retention %")&gt;0)</formula>
    </cfRule>
  </conditionalFormatting>
  <conditionalFormatting sqref="O65">
    <cfRule type="expression" rank="0" priority="112" equalAverage="0" aboveAverage="0" dxfId="0" stopIfTrue="1" text="" percent="0" bottom="0">
      <formula>AND(ISNUMBER(O65),COUNTIFS('Data - Monthly Metrics'!$A:$A,$B$4,'Data - Monthly Metrics'!$B:$B,O$8,'Data - Monthly Metrics'!$C:$C,"Snohomish",'Data - Monthly Metrics'!$D:$D,"Goal - Retention %")&gt;0,O65&gt;=SUMIFS('Data - Monthly Metrics'!$E:$E,'Data - Monthly Metrics'!$A:$A,$B$4,'Data - Monthly Metrics'!$B:$B,O$8,'Data - Monthly Metrics'!$C:$C,"Snohomish",'Data - Monthly Metrics'!$D:$D,"Goal - Retention %"))</formula>
    </cfRule>
    <cfRule type="expression" rank="0" priority="113" equalAverage="0" aboveAverage="0" dxfId="2" stopIfTrue="1" text="" percent="0" bottom="0">
      <formula>AND(ISNUMBER(O65),COUNTIFS('Data - Monthly Metrics'!$A:$A,$B$4,'Data - Monthly Metrics'!$B:$B,O$8,'Data - Monthly Metrics'!$C:$C,"Snohomish",'Data - Monthly Metrics'!$D:$D,"Goal - Retention %")&gt;0,O65&gt;=SUMIFS('Data - Monthly Metrics'!$E:$E,'Data - Monthly Metrics'!$A:$A,$B$4,'Data - Monthly Metrics'!$B:$B,O$8,'Data - Monthly Metrics'!$C:$C,"Snohomish",'Data - Monthly Metrics'!$D:$D,"Goal - Retention %")-0.05)</formula>
    </cfRule>
    <cfRule type="expression" rank="0" priority="114" equalAverage="0" aboveAverage="0" dxfId="1" stopIfTrue="1" text="" percent="0" bottom="0">
      <formula>AND(ISNUMBER(O65),COUNTIFS('Data - Monthly Metrics'!$A:$A,$B$4,'Data - Monthly Metrics'!$B:$B,O$8,'Data - Monthly Metrics'!$C:$C,"Snohomish",'Data - Monthly Metrics'!$D:$D,"Goal - Retention %")&gt;0)</formula>
    </cfRule>
  </conditionalFormatting>
  <conditionalFormatting sqref="P65">
    <cfRule type="expression" rank="0" priority="115" equalAverage="0" aboveAverage="0" dxfId="0" stopIfTrue="1" text="" percent="0" bottom="0">
      <formula>AND(ISNUMBER(P65),COUNTIFS('Data - Monthly Metrics'!$A:$A,$B$4,'Data - Monthly Metrics'!$B:$B,P$8,'Data - Monthly Metrics'!$C:$C,"Snohomish",'Data - Monthly Metrics'!$D:$D,"Goal - Retention %")&gt;0,P65&gt;=SUMIFS('Data - Monthly Metrics'!$E:$E,'Data - Monthly Metrics'!$A:$A,$B$4,'Data - Monthly Metrics'!$B:$B,P$8,'Data - Monthly Metrics'!$C:$C,"Snohomish",'Data - Monthly Metrics'!$D:$D,"Goal - Retention %"))</formula>
    </cfRule>
    <cfRule type="expression" rank="0" priority="116" equalAverage="0" aboveAverage="0" dxfId="2" stopIfTrue="1" text="" percent="0" bottom="0">
      <formula>AND(ISNUMBER(P65),COUNTIFS('Data - Monthly Metrics'!$A:$A,$B$4,'Data - Monthly Metrics'!$B:$B,P$8,'Data - Monthly Metrics'!$C:$C,"Snohomish",'Data - Monthly Metrics'!$D:$D,"Goal - Retention %")&gt;0,P65&gt;=SUMIFS('Data - Monthly Metrics'!$E:$E,'Data - Monthly Metrics'!$A:$A,$B$4,'Data - Monthly Metrics'!$B:$B,P$8,'Data - Monthly Metrics'!$C:$C,"Snohomish",'Data - Monthly Metrics'!$D:$D,"Goal - Retention %")-0.05)</formula>
    </cfRule>
    <cfRule type="expression" rank="0" priority="117" equalAverage="0" aboveAverage="0" dxfId="1" stopIfTrue="1" text="" percent="0" bottom="0">
      <formula>AND(ISNUMBER(P65),COUNTIFS('Data - Monthly Metrics'!$A:$A,$B$4,'Data - Monthly Metrics'!$B:$B,P$8,'Data - Monthly Metrics'!$C:$C,"Snohomish",'Data - Monthly Metrics'!$D:$D,"Goal - Retention %")&gt;0)</formula>
    </cfRule>
  </conditionalFormatting>
  <conditionalFormatting sqref="B78">
    <cfRule type="expression" rank="0" priority="118" equalAverage="0" aboveAverage="0" dxfId="0" stopIfTrue="1" text="" percent="0" bottom="0">
      <formula>AND(ISNUMBER(B78),COUNTIFS('Data - Monthly Metrics'!$A:$A,$B$4-1,'Data - Monthly Metrics'!$B:$B,B$8,'Data - Monthly Metrics'!$C:$C,"Snohomish",'Data - Monthly Metrics'!$D:$D,"Goal - Penetration %")&gt;0,B78&gt;=SUMIFS('Data - Monthly Metrics'!$E:$E,'Data - Monthly Metrics'!$A:$A,$B$4-1,'Data - Monthly Metrics'!$B:$B,B$8,'Data - Monthly Metrics'!$C:$C,"Snohomish",'Data - Monthly Metrics'!$D:$D,"Goal - Penetration %"))</formula>
    </cfRule>
    <cfRule type="expression" rank="0" priority="119" equalAverage="0" aboveAverage="0" dxfId="2" stopIfTrue="1" text="" percent="0" bottom="0">
      <formula>AND(ISNUMBER(B78),COUNTIFS('Data - Monthly Metrics'!$A:$A,$B$4-1,'Data - Monthly Metrics'!$B:$B,B$8,'Data - Monthly Metrics'!$C:$C,"Snohomish",'Data - Monthly Metrics'!$D:$D,"Goal - Penetration %")&gt;0,B78&gt;=SUMIFS('Data - Monthly Metrics'!$E:$E,'Data - Monthly Metrics'!$A:$A,$B$4-1,'Data - Monthly Metrics'!$B:$B,B$8,'Data - Monthly Metrics'!$C:$C,"Snohomish",'Data - Monthly Metrics'!$D:$D,"Goal - Penetration %")-0.05)</formula>
    </cfRule>
    <cfRule type="expression" rank="0" priority="120" equalAverage="0" aboveAverage="0" dxfId="1" stopIfTrue="1" text="" percent="0" bottom="0">
      <formula>AND(ISNUMBER(B78),COUNTIFS('Data - Monthly Metrics'!$A:$A,$B$4-1,'Data - Monthly Metrics'!$B:$B,B$8,'Data - Monthly Metrics'!$C:$C,"Snohomish",'Data - Monthly Metrics'!$D:$D,"Goal - Penetration %")&gt;0)</formula>
    </cfRule>
  </conditionalFormatting>
  <conditionalFormatting sqref="C78">
    <cfRule type="expression" rank="0" priority="121" equalAverage="0" aboveAverage="0" dxfId="0" stopIfTrue="1" text="" percent="0" bottom="0">
      <formula>AND(ISNUMBER(C78),COUNTIFS('Data - Monthly Metrics'!$A:$A,$B$4-1,'Data - Monthly Metrics'!$B:$B,C$8,'Data - Monthly Metrics'!$C:$C,"Snohomish",'Data - Monthly Metrics'!$D:$D,"Goal - Penetration %")&gt;0,C78&gt;=SUMIFS('Data - Monthly Metrics'!$E:$E,'Data - Monthly Metrics'!$A:$A,$B$4-1,'Data - Monthly Metrics'!$B:$B,C$8,'Data - Monthly Metrics'!$C:$C,"Snohomish",'Data - Monthly Metrics'!$D:$D,"Goal - Penetration %"))</formula>
    </cfRule>
    <cfRule type="expression" rank="0" priority="122" equalAverage="0" aboveAverage="0" dxfId="2" stopIfTrue="1" text="" percent="0" bottom="0">
      <formula>AND(ISNUMBER(C78),COUNTIFS('Data - Monthly Metrics'!$A:$A,$B$4-1,'Data - Monthly Metrics'!$B:$B,C$8,'Data - Monthly Metrics'!$C:$C,"Snohomish",'Data - Monthly Metrics'!$D:$D,"Goal - Penetration %")&gt;0,C78&gt;=SUMIFS('Data - Monthly Metrics'!$E:$E,'Data - Monthly Metrics'!$A:$A,$B$4-1,'Data - Monthly Metrics'!$B:$B,C$8,'Data - Monthly Metrics'!$C:$C,"Snohomish",'Data - Monthly Metrics'!$D:$D,"Goal - Penetration %")-0.05)</formula>
    </cfRule>
    <cfRule type="expression" rank="0" priority="123" equalAverage="0" aboveAverage="0" dxfId="1" stopIfTrue="1" text="" percent="0" bottom="0">
      <formula>AND(ISNUMBER(C78),COUNTIFS('Data - Monthly Metrics'!$A:$A,$B$4-1,'Data - Monthly Metrics'!$B:$B,C$8,'Data - Monthly Metrics'!$C:$C,"Snohomish",'Data - Monthly Metrics'!$D:$D,"Goal - Penetration %")&gt;0)</formula>
    </cfRule>
  </conditionalFormatting>
  <conditionalFormatting sqref="D78">
    <cfRule type="expression" rank="0" priority="124" equalAverage="0" aboveAverage="0" dxfId="0" stopIfTrue="1" text="" percent="0" bottom="0">
      <formula>AND(ISNUMBER(D78),COUNTIFS('Data - Monthly Metrics'!$A:$A,$B$4-1,'Data - Monthly Metrics'!$B:$B,D$8,'Data - Monthly Metrics'!$C:$C,"Snohomish",'Data - Monthly Metrics'!$D:$D,"Goal - Penetration %")&gt;0,D78&gt;=SUMIFS('Data - Monthly Metrics'!$E:$E,'Data - Monthly Metrics'!$A:$A,$B$4-1,'Data - Monthly Metrics'!$B:$B,D$8,'Data - Monthly Metrics'!$C:$C,"Snohomish",'Data - Monthly Metrics'!$D:$D,"Goal - Penetration %"))</formula>
    </cfRule>
    <cfRule type="expression" rank="0" priority="125" equalAverage="0" aboveAverage="0" dxfId="2" stopIfTrue="1" text="" percent="0" bottom="0">
      <formula>AND(ISNUMBER(D78),COUNTIFS('Data - Monthly Metrics'!$A:$A,$B$4-1,'Data - Monthly Metrics'!$B:$B,D$8,'Data - Monthly Metrics'!$C:$C,"Snohomish",'Data - Monthly Metrics'!$D:$D,"Goal - Penetration %")&gt;0,D78&gt;=SUMIFS('Data - Monthly Metrics'!$E:$E,'Data - Monthly Metrics'!$A:$A,$B$4-1,'Data - Monthly Metrics'!$B:$B,D$8,'Data - Monthly Metrics'!$C:$C,"Snohomish",'Data - Monthly Metrics'!$D:$D,"Goal - Penetration %")-0.05)</formula>
    </cfRule>
    <cfRule type="expression" rank="0" priority="126" equalAverage="0" aboveAverage="0" dxfId="1" stopIfTrue="1" text="" percent="0" bottom="0">
      <formula>AND(ISNUMBER(D78),COUNTIFS('Data - Monthly Metrics'!$A:$A,$B$4-1,'Data - Monthly Metrics'!$B:$B,D$8,'Data - Monthly Metrics'!$C:$C,"Snohomish",'Data - Monthly Metrics'!$D:$D,"Goal - Penetration %")&gt;0)</formula>
    </cfRule>
  </conditionalFormatting>
  <conditionalFormatting sqref="F78">
    <cfRule type="expression" rank="0" priority="127" equalAverage="0" aboveAverage="0" dxfId="0" stopIfTrue="1" text="" percent="0" bottom="0">
      <formula>AND(ISNUMBER(F78),COUNTIFS('Data - Monthly Metrics'!$A:$A,$B$4,'Data - Monthly Metrics'!$B:$B,F$8,'Data - Monthly Metrics'!$C:$C,"Snohomish",'Data - Monthly Metrics'!$D:$D,"Goal - Penetration %")&gt;0,F78&gt;=SUMIFS('Data - Monthly Metrics'!$E:$E,'Data - Monthly Metrics'!$A:$A,$B$4,'Data - Monthly Metrics'!$B:$B,F$8,'Data - Monthly Metrics'!$C:$C,"Snohomish",'Data - Monthly Metrics'!$D:$D,"Goal - Penetration %"))</formula>
    </cfRule>
    <cfRule type="expression" rank="0" priority="128" equalAverage="0" aboveAverage="0" dxfId="2" stopIfTrue="1" text="" percent="0" bottom="0">
      <formula>AND(ISNUMBER(F78),COUNTIFS('Data - Monthly Metrics'!$A:$A,$B$4,'Data - Monthly Metrics'!$B:$B,F$8,'Data - Monthly Metrics'!$C:$C,"Snohomish",'Data - Monthly Metrics'!$D:$D,"Goal - Penetration %")&gt;0,F78&gt;=SUMIFS('Data - Monthly Metrics'!$E:$E,'Data - Monthly Metrics'!$A:$A,$B$4,'Data - Monthly Metrics'!$B:$B,F$8,'Data - Monthly Metrics'!$C:$C,"Snohomish",'Data - Monthly Metrics'!$D:$D,"Goal - Penetration %")-0.05)</formula>
    </cfRule>
    <cfRule type="expression" rank="0" priority="129" equalAverage="0" aboveAverage="0" dxfId="1" stopIfTrue="1" text="" percent="0" bottom="0">
      <formula>AND(ISNUMBER(F78),COUNTIFS('Data - Monthly Metrics'!$A:$A,$B$4,'Data - Monthly Metrics'!$B:$B,F$8,'Data - Monthly Metrics'!$C:$C,"Snohomish",'Data - Monthly Metrics'!$D:$D,"Goal - Penetration %")&gt;0)</formula>
    </cfRule>
  </conditionalFormatting>
  <conditionalFormatting sqref="G78">
    <cfRule type="expression" rank="0" priority="130" equalAverage="0" aboveAverage="0" dxfId="0" stopIfTrue="1" text="" percent="0" bottom="0">
      <formula>AND(ISNUMBER(G78),COUNTIFS('Data - Monthly Metrics'!$A:$A,$B$4,'Data - Monthly Metrics'!$B:$B,G$8,'Data - Monthly Metrics'!$C:$C,"Snohomish",'Data - Monthly Metrics'!$D:$D,"Goal - Penetration %")&gt;0,G78&gt;=SUMIFS('Data - Monthly Metrics'!$E:$E,'Data - Monthly Metrics'!$A:$A,$B$4,'Data - Monthly Metrics'!$B:$B,G$8,'Data - Monthly Metrics'!$C:$C,"Snohomish",'Data - Monthly Metrics'!$D:$D,"Goal - Penetration %"))</formula>
    </cfRule>
    <cfRule type="expression" rank="0" priority="131" equalAverage="0" aboveAverage="0" dxfId="2" stopIfTrue="1" text="" percent="0" bottom="0">
      <formula>AND(ISNUMBER(G78),COUNTIFS('Data - Monthly Metrics'!$A:$A,$B$4,'Data - Monthly Metrics'!$B:$B,G$8,'Data - Monthly Metrics'!$C:$C,"Snohomish",'Data - Monthly Metrics'!$D:$D,"Goal - Penetration %")&gt;0,G78&gt;=SUMIFS('Data - Monthly Metrics'!$E:$E,'Data - Monthly Metrics'!$A:$A,$B$4,'Data - Monthly Metrics'!$B:$B,G$8,'Data - Monthly Metrics'!$C:$C,"Snohomish",'Data - Monthly Metrics'!$D:$D,"Goal - Penetration %")-0.05)</formula>
    </cfRule>
    <cfRule type="expression" rank="0" priority="132" equalAverage="0" aboveAverage="0" dxfId="1" stopIfTrue="1" text="" percent="0" bottom="0">
      <formula>AND(ISNUMBER(G78),COUNTIFS('Data - Monthly Metrics'!$A:$A,$B$4,'Data - Monthly Metrics'!$B:$B,G$8,'Data - Monthly Metrics'!$C:$C,"Snohomish",'Data - Monthly Metrics'!$D:$D,"Goal - Penetration %")&gt;0)</formula>
    </cfRule>
  </conditionalFormatting>
  <conditionalFormatting sqref="H78">
    <cfRule type="expression" rank="0" priority="133" equalAverage="0" aboveAverage="0" dxfId="0" stopIfTrue="1" text="" percent="0" bottom="0">
      <formula>AND(ISNUMBER(H78),COUNTIFS('Data - Monthly Metrics'!$A:$A,$B$4,'Data - Monthly Metrics'!$B:$B,H$8,'Data - Monthly Metrics'!$C:$C,"Snohomish",'Data - Monthly Metrics'!$D:$D,"Goal - Penetration %")&gt;0,H78&gt;=SUMIFS('Data - Monthly Metrics'!$E:$E,'Data - Monthly Metrics'!$A:$A,$B$4,'Data - Monthly Metrics'!$B:$B,H$8,'Data - Monthly Metrics'!$C:$C,"Snohomish",'Data - Monthly Metrics'!$D:$D,"Goal - Penetration %"))</formula>
    </cfRule>
    <cfRule type="expression" rank="0" priority="134" equalAverage="0" aboveAverage="0" dxfId="2" stopIfTrue="1" text="" percent="0" bottom="0">
      <formula>AND(ISNUMBER(H78),COUNTIFS('Data - Monthly Metrics'!$A:$A,$B$4,'Data - Monthly Metrics'!$B:$B,H$8,'Data - Monthly Metrics'!$C:$C,"Snohomish",'Data - Monthly Metrics'!$D:$D,"Goal - Penetration %")&gt;0,H78&gt;=SUMIFS('Data - Monthly Metrics'!$E:$E,'Data - Monthly Metrics'!$A:$A,$B$4,'Data - Monthly Metrics'!$B:$B,H$8,'Data - Monthly Metrics'!$C:$C,"Snohomish",'Data - Monthly Metrics'!$D:$D,"Goal - Penetration %")-0.05)</formula>
    </cfRule>
    <cfRule type="expression" rank="0" priority="135" equalAverage="0" aboveAverage="0" dxfId="1" stopIfTrue="1" text="" percent="0" bottom="0">
      <formula>AND(ISNUMBER(H78),COUNTIFS('Data - Monthly Metrics'!$A:$A,$B$4,'Data - Monthly Metrics'!$B:$B,H$8,'Data - Monthly Metrics'!$C:$C,"Snohomish",'Data - Monthly Metrics'!$D:$D,"Goal - Penetration %")&gt;0)</formula>
    </cfRule>
  </conditionalFormatting>
  <conditionalFormatting sqref="J78">
    <cfRule type="expression" rank="0" priority="136" equalAverage="0" aboveAverage="0" dxfId="0" stopIfTrue="1" text="" percent="0" bottom="0">
      <formula>AND(ISNUMBER(J78),COUNTIFS('Data - Monthly Metrics'!$A:$A,$B$4,'Data - Monthly Metrics'!$B:$B,J$8,'Data - Monthly Metrics'!$C:$C,"Snohomish",'Data - Monthly Metrics'!$D:$D,"Goal - Penetration %")&gt;0,J78&gt;=SUMIFS('Data - Monthly Metrics'!$E:$E,'Data - Monthly Metrics'!$A:$A,$B$4,'Data - Monthly Metrics'!$B:$B,J$8,'Data - Monthly Metrics'!$C:$C,"Snohomish",'Data - Monthly Metrics'!$D:$D,"Goal - Penetration %"))</formula>
    </cfRule>
    <cfRule type="expression" rank="0" priority="137" equalAverage="0" aboveAverage="0" dxfId="2" stopIfTrue="1" text="" percent="0" bottom="0">
      <formula>AND(ISNUMBER(J78),COUNTIFS('Data - Monthly Metrics'!$A:$A,$B$4,'Data - Monthly Metrics'!$B:$B,J$8,'Data - Monthly Metrics'!$C:$C,"Snohomish",'Data - Monthly Metrics'!$D:$D,"Goal - Penetration %")&gt;0,J78&gt;=SUMIFS('Data - Monthly Metrics'!$E:$E,'Data - Monthly Metrics'!$A:$A,$B$4,'Data - Monthly Metrics'!$B:$B,J$8,'Data - Monthly Metrics'!$C:$C,"Snohomish",'Data - Monthly Metrics'!$D:$D,"Goal - Penetration %")-0.05)</formula>
    </cfRule>
    <cfRule type="expression" rank="0" priority="138" equalAverage="0" aboveAverage="0" dxfId="1" stopIfTrue="1" text="" percent="0" bottom="0">
      <formula>AND(ISNUMBER(J78),COUNTIFS('Data - Monthly Metrics'!$A:$A,$B$4,'Data - Monthly Metrics'!$B:$B,J$8,'Data - Monthly Metrics'!$C:$C,"Snohomish",'Data - Monthly Metrics'!$D:$D,"Goal - Penetration %")&gt;0)</formula>
    </cfRule>
  </conditionalFormatting>
  <conditionalFormatting sqref="K78">
    <cfRule type="expression" rank="0" priority="139" equalAverage="0" aboveAverage="0" dxfId="0" stopIfTrue="1" text="" percent="0" bottom="0">
      <formula>AND(ISNUMBER(K78),COUNTIFS('Data - Monthly Metrics'!$A:$A,$B$4,'Data - Monthly Metrics'!$B:$B,K$8,'Data - Monthly Metrics'!$C:$C,"Snohomish",'Data - Monthly Metrics'!$D:$D,"Goal - Penetration %")&gt;0,K78&gt;=SUMIFS('Data - Monthly Metrics'!$E:$E,'Data - Monthly Metrics'!$A:$A,$B$4,'Data - Monthly Metrics'!$B:$B,K$8,'Data - Monthly Metrics'!$C:$C,"Snohomish",'Data - Monthly Metrics'!$D:$D,"Goal - Penetration %"))</formula>
    </cfRule>
    <cfRule type="expression" rank="0" priority="140" equalAverage="0" aboveAverage="0" dxfId="2" stopIfTrue="1" text="" percent="0" bottom="0">
      <formula>AND(ISNUMBER(K78),COUNTIFS('Data - Monthly Metrics'!$A:$A,$B$4,'Data - Monthly Metrics'!$B:$B,K$8,'Data - Monthly Metrics'!$C:$C,"Snohomish",'Data - Monthly Metrics'!$D:$D,"Goal - Penetration %")&gt;0,K78&gt;=SUMIFS('Data - Monthly Metrics'!$E:$E,'Data - Monthly Metrics'!$A:$A,$B$4,'Data - Monthly Metrics'!$B:$B,K$8,'Data - Monthly Metrics'!$C:$C,"Snohomish",'Data - Monthly Metrics'!$D:$D,"Goal - Penetration %")-0.05)</formula>
    </cfRule>
    <cfRule type="expression" rank="0" priority="141" equalAverage="0" aboveAverage="0" dxfId="1" stopIfTrue="1" text="" percent="0" bottom="0">
      <formula>AND(ISNUMBER(K78),COUNTIFS('Data - Monthly Metrics'!$A:$A,$B$4,'Data - Monthly Metrics'!$B:$B,K$8,'Data - Monthly Metrics'!$C:$C,"Snohomish",'Data - Monthly Metrics'!$D:$D,"Goal - Penetration %")&gt;0)</formula>
    </cfRule>
  </conditionalFormatting>
  <conditionalFormatting sqref="L78">
    <cfRule type="expression" rank="0" priority="142" equalAverage="0" aboveAverage="0" dxfId="0" stopIfTrue="1" text="" percent="0" bottom="0">
      <formula>AND(ISNUMBER(L78),COUNTIFS('Data - Monthly Metrics'!$A:$A,$B$4,'Data - Monthly Metrics'!$B:$B,L$8,'Data - Monthly Metrics'!$C:$C,"Snohomish",'Data - Monthly Metrics'!$D:$D,"Goal - Penetration %")&gt;0,L78&gt;=SUMIFS('Data - Monthly Metrics'!$E:$E,'Data - Monthly Metrics'!$A:$A,$B$4,'Data - Monthly Metrics'!$B:$B,L$8,'Data - Monthly Metrics'!$C:$C,"Snohomish",'Data - Monthly Metrics'!$D:$D,"Goal - Penetration %"))</formula>
    </cfRule>
    <cfRule type="expression" rank="0" priority="143" equalAverage="0" aboveAverage="0" dxfId="2" stopIfTrue="1" text="" percent="0" bottom="0">
      <formula>AND(ISNUMBER(L78),COUNTIFS('Data - Monthly Metrics'!$A:$A,$B$4,'Data - Monthly Metrics'!$B:$B,L$8,'Data - Monthly Metrics'!$C:$C,"Snohomish",'Data - Monthly Metrics'!$D:$D,"Goal - Penetration %")&gt;0,L78&gt;=SUMIFS('Data - Monthly Metrics'!$E:$E,'Data - Monthly Metrics'!$A:$A,$B$4,'Data - Monthly Metrics'!$B:$B,L$8,'Data - Monthly Metrics'!$C:$C,"Snohomish",'Data - Monthly Metrics'!$D:$D,"Goal - Penetration %")-0.05)</formula>
    </cfRule>
    <cfRule type="expression" rank="0" priority="144" equalAverage="0" aboveAverage="0" dxfId="1" stopIfTrue="1" text="" percent="0" bottom="0">
      <formula>AND(ISNUMBER(L78),COUNTIFS('Data - Monthly Metrics'!$A:$A,$B$4,'Data - Monthly Metrics'!$B:$B,L$8,'Data - Monthly Metrics'!$C:$C,"Snohomish",'Data - Monthly Metrics'!$D:$D,"Goal - Penetration %")&gt;0)</formula>
    </cfRule>
  </conditionalFormatting>
  <conditionalFormatting sqref="N78">
    <cfRule type="expression" rank="0" priority="145" equalAverage="0" aboveAverage="0" dxfId="0" stopIfTrue="1" text="" percent="0" bottom="0">
      <formula>AND(ISNUMBER(N78),COUNTIFS('Data - Monthly Metrics'!$A:$A,$B$4,'Data - Monthly Metrics'!$B:$B,N$8,'Data - Monthly Metrics'!$C:$C,"Snohomish",'Data - Monthly Metrics'!$D:$D,"Goal - Penetration %")&gt;0,N78&gt;=SUMIFS('Data - Monthly Metrics'!$E:$E,'Data - Monthly Metrics'!$A:$A,$B$4,'Data - Monthly Metrics'!$B:$B,N$8,'Data - Monthly Metrics'!$C:$C,"Snohomish",'Data - Monthly Metrics'!$D:$D,"Goal - Penetration %"))</formula>
    </cfRule>
    <cfRule type="expression" rank="0" priority="146" equalAverage="0" aboveAverage="0" dxfId="2" stopIfTrue="1" text="" percent="0" bottom="0">
      <formula>AND(ISNUMBER(N78),COUNTIFS('Data - Monthly Metrics'!$A:$A,$B$4,'Data - Monthly Metrics'!$B:$B,N$8,'Data - Monthly Metrics'!$C:$C,"Snohomish",'Data - Monthly Metrics'!$D:$D,"Goal - Penetration %")&gt;0,N78&gt;=SUMIFS('Data - Monthly Metrics'!$E:$E,'Data - Monthly Metrics'!$A:$A,$B$4,'Data - Monthly Metrics'!$B:$B,N$8,'Data - Monthly Metrics'!$C:$C,"Snohomish",'Data - Monthly Metrics'!$D:$D,"Goal - Penetration %")-0.05)</formula>
    </cfRule>
    <cfRule type="expression" rank="0" priority="147" equalAverage="0" aboveAverage="0" dxfId="1" stopIfTrue="1" text="" percent="0" bottom="0">
      <formula>AND(ISNUMBER(N78),COUNTIFS('Data - Monthly Metrics'!$A:$A,$B$4,'Data - Monthly Metrics'!$B:$B,N$8,'Data - Monthly Metrics'!$C:$C,"Snohomish",'Data - Monthly Metrics'!$D:$D,"Goal - Penetration %")&gt;0)</formula>
    </cfRule>
  </conditionalFormatting>
  <conditionalFormatting sqref="O78">
    <cfRule type="expression" rank="0" priority="148" equalAverage="0" aboveAverage="0" dxfId="0" stopIfTrue="1" text="" percent="0" bottom="0">
      <formula>AND(ISNUMBER(O78),COUNTIFS('Data - Monthly Metrics'!$A:$A,$B$4,'Data - Monthly Metrics'!$B:$B,O$8,'Data - Monthly Metrics'!$C:$C,"Snohomish",'Data - Monthly Metrics'!$D:$D,"Goal - Penetration %")&gt;0,O78&gt;=SUMIFS('Data - Monthly Metrics'!$E:$E,'Data - Monthly Metrics'!$A:$A,$B$4,'Data - Monthly Metrics'!$B:$B,O$8,'Data - Monthly Metrics'!$C:$C,"Snohomish",'Data - Monthly Metrics'!$D:$D,"Goal - Penetration %"))</formula>
    </cfRule>
    <cfRule type="expression" rank="0" priority="149" equalAverage="0" aboveAverage="0" dxfId="2" stopIfTrue="1" text="" percent="0" bottom="0">
      <formula>AND(ISNUMBER(O78),COUNTIFS('Data - Monthly Metrics'!$A:$A,$B$4,'Data - Monthly Metrics'!$B:$B,O$8,'Data - Monthly Metrics'!$C:$C,"Snohomish",'Data - Monthly Metrics'!$D:$D,"Goal - Penetration %")&gt;0,O78&gt;=SUMIFS('Data - Monthly Metrics'!$E:$E,'Data - Monthly Metrics'!$A:$A,$B$4,'Data - Monthly Metrics'!$B:$B,O$8,'Data - Monthly Metrics'!$C:$C,"Snohomish",'Data - Monthly Metrics'!$D:$D,"Goal - Penetration %")-0.05)</formula>
    </cfRule>
    <cfRule type="expression" rank="0" priority="150" equalAverage="0" aboveAverage="0" dxfId="1" stopIfTrue="1" text="" percent="0" bottom="0">
      <formula>AND(ISNUMBER(O78),COUNTIFS('Data - Monthly Metrics'!$A:$A,$B$4,'Data - Monthly Metrics'!$B:$B,O$8,'Data - Monthly Metrics'!$C:$C,"Snohomish",'Data - Monthly Metrics'!$D:$D,"Goal - Penetration %")&gt;0)</formula>
    </cfRule>
  </conditionalFormatting>
  <conditionalFormatting sqref="P78">
    <cfRule type="expression" rank="0" priority="151" equalAverage="0" aboveAverage="0" dxfId="0" stopIfTrue="1" text="" percent="0" bottom="0">
      <formula>AND(ISNUMBER(P78),COUNTIFS('Data - Monthly Metrics'!$A:$A,$B$4,'Data - Monthly Metrics'!$B:$B,P$8,'Data - Monthly Metrics'!$C:$C,"Snohomish",'Data - Monthly Metrics'!$D:$D,"Goal - Penetration %")&gt;0,P78&gt;=SUMIFS('Data - Monthly Metrics'!$E:$E,'Data - Monthly Metrics'!$A:$A,$B$4,'Data - Monthly Metrics'!$B:$B,P$8,'Data - Monthly Metrics'!$C:$C,"Snohomish",'Data - Monthly Metrics'!$D:$D,"Goal - Penetration %"))</formula>
    </cfRule>
    <cfRule type="expression" rank="0" priority="152" equalAverage="0" aboveAverage="0" dxfId="2" stopIfTrue="1" text="" percent="0" bottom="0">
      <formula>AND(ISNUMBER(P78),COUNTIFS('Data - Monthly Metrics'!$A:$A,$B$4,'Data - Monthly Metrics'!$B:$B,P$8,'Data - Monthly Metrics'!$C:$C,"Snohomish",'Data - Monthly Metrics'!$D:$D,"Goal - Penetration %")&gt;0,P78&gt;=SUMIFS('Data - Monthly Metrics'!$E:$E,'Data - Monthly Metrics'!$A:$A,$B$4,'Data - Monthly Metrics'!$B:$B,P$8,'Data - Monthly Metrics'!$C:$C,"Snohomish",'Data - Monthly Metrics'!$D:$D,"Goal - Penetration %")-0.05)</formula>
    </cfRule>
    <cfRule type="expression" rank="0" priority="153" equalAverage="0" aboveAverage="0" dxfId="1" stopIfTrue="1" text="" percent="0" bottom="0">
      <formula>AND(ISNUMBER(P78),COUNTIFS('Data - Monthly Metrics'!$A:$A,$B$4,'Data - Monthly Metrics'!$B:$B,P$8,'Data - Monthly Metrics'!$C:$C,"Snohomish",'Data - Monthly Metrics'!$D:$D,"Goal - Penetration %")&gt;0)</formula>
    </cfRule>
  </conditionalFormatting>
  <conditionalFormatting sqref="B79">
    <cfRule type="expression" rank="0" priority="154" equalAverage="0" aboveAverage="0" dxfId="0" stopIfTrue="1" text="" percent="0" bottom="0">
      <formula>AND(ISNUMBER(B79),COUNTIFS('Data - Monthly Metrics'!$A:$A,$B$4-1,'Data - Monthly Metrics'!$B:$B,B$8,'Data - Monthly Metrics'!$C:$C,"Snohomish",'Data - Monthly Metrics'!$D:$D,"Goal - Penetration %")&gt;0,B79&gt;=SUMIFS('Data - Monthly Metrics'!$E:$E,'Data - Monthly Metrics'!$A:$A,$B$4-1,'Data - Monthly Metrics'!$B:$B,B$8,'Data - Monthly Metrics'!$C:$C,"Snohomish",'Data - Monthly Metrics'!$D:$D,"Goal - Penetration %"))</formula>
    </cfRule>
    <cfRule type="expression" rank="0" priority="155" equalAverage="0" aboveAverage="0" dxfId="2" stopIfTrue="1" text="" percent="0" bottom="0">
      <formula>AND(ISNUMBER(B79),COUNTIFS('Data - Monthly Metrics'!$A:$A,$B$4-1,'Data - Monthly Metrics'!$B:$B,B$8,'Data - Monthly Metrics'!$C:$C,"Snohomish",'Data - Monthly Metrics'!$D:$D,"Goal - Penetration %")&gt;0,B79&gt;=SUMIFS('Data - Monthly Metrics'!$E:$E,'Data - Monthly Metrics'!$A:$A,$B$4-1,'Data - Monthly Metrics'!$B:$B,B$8,'Data - Monthly Metrics'!$C:$C,"Snohomish",'Data - Monthly Metrics'!$D:$D,"Goal - Penetration %")-0.05)</formula>
    </cfRule>
    <cfRule type="expression" rank="0" priority="156" equalAverage="0" aboveAverage="0" dxfId="1" stopIfTrue="1" text="" percent="0" bottom="0">
      <formula>AND(ISNUMBER(B79),COUNTIFS('Data - Monthly Metrics'!$A:$A,$B$4-1,'Data - Monthly Metrics'!$B:$B,B$8,'Data - Monthly Metrics'!$C:$C,"Snohomish",'Data - Monthly Metrics'!$D:$D,"Goal - Penetration %")&gt;0)</formula>
    </cfRule>
  </conditionalFormatting>
  <conditionalFormatting sqref="C79">
    <cfRule type="expression" rank="0" priority="157" equalAverage="0" aboveAverage="0" dxfId="0" stopIfTrue="1" text="" percent="0" bottom="0">
      <formula>AND(ISNUMBER(C79),COUNTIFS('Data - Monthly Metrics'!$A:$A,$B$4-1,'Data - Monthly Metrics'!$B:$B,C$8,'Data - Monthly Metrics'!$C:$C,"Snohomish",'Data - Monthly Metrics'!$D:$D,"Goal - Penetration %")&gt;0,C79&gt;=SUMIFS('Data - Monthly Metrics'!$E:$E,'Data - Monthly Metrics'!$A:$A,$B$4-1,'Data - Monthly Metrics'!$B:$B,C$8,'Data - Monthly Metrics'!$C:$C,"Snohomish",'Data - Monthly Metrics'!$D:$D,"Goal - Penetration %"))</formula>
    </cfRule>
    <cfRule type="expression" rank="0" priority="158" equalAverage="0" aboveAverage="0" dxfId="2" stopIfTrue="1" text="" percent="0" bottom="0">
      <formula>AND(ISNUMBER(C79),COUNTIFS('Data - Monthly Metrics'!$A:$A,$B$4-1,'Data - Monthly Metrics'!$B:$B,C$8,'Data - Monthly Metrics'!$C:$C,"Snohomish",'Data - Monthly Metrics'!$D:$D,"Goal - Penetration %")&gt;0,C79&gt;=SUMIFS('Data - Monthly Metrics'!$E:$E,'Data - Monthly Metrics'!$A:$A,$B$4-1,'Data - Monthly Metrics'!$B:$B,C$8,'Data - Monthly Metrics'!$C:$C,"Snohomish",'Data - Monthly Metrics'!$D:$D,"Goal - Penetration %")-0.05)</formula>
    </cfRule>
    <cfRule type="expression" rank="0" priority="159" equalAverage="0" aboveAverage="0" dxfId="1" stopIfTrue="1" text="" percent="0" bottom="0">
      <formula>AND(ISNUMBER(C79),COUNTIFS('Data - Monthly Metrics'!$A:$A,$B$4-1,'Data - Monthly Metrics'!$B:$B,C$8,'Data - Monthly Metrics'!$C:$C,"Snohomish",'Data - Monthly Metrics'!$D:$D,"Goal - Penetration %")&gt;0)</formula>
    </cfRule>
  </conditionalFormatting>
  <conditionalFormatting sqref="D79">
    <cfRule type="expression" rank="0" priority="160" equalAverage="0" aboveAverage="0" dxfId="0" stopIfTrue="1" text="" percent="0" bottom="0">
      <formula>AND(ISNUMBER(D79),COUNTIFS('Data - Monthly Metrics'!$A:$A,$B$4-1,'Data - Monthly Metrics'!$B:$B,D$8,'Data - Monthly Metrics'!$C:$C,"Snohomish",'Data - Monthly Metrics'!$D:$D,"Goal - Penetration %")&gt;0,D79&gt;=SUMIFS('Data - Monthly Metrics'!$E:$E,'Data - Monthly Metrics'!$A:$A,$B$4-1,'Data - Monthly Metrics'!$B:$B,D$8,'Data - Monthly Metrics'!$C:$C,"Snohomish",'Data - Monthly Metrics'!$D:$D,"Goal - Penetration %"))</formula>
    </cfRule>
    <cfRule type="expression" rank="0" priority="161" equalAverage="0" aboveAverage="0" dxfId="2" stopIfTrue="1" text="" percent="0" bottom="0">
      <formula>AND(ISNUMBER(D79),COUNTIFS('Data - Monthly Metrics'!$A:$A,$B$4-1,'Data - Monthly Metrics'!$B:$B,D$8,'Data - Monthly Metrics'!$C:$C,"Snohomish",'Data - Monthly Metrics'!$D:$D,"Goal - Penetration %")&gt;0,D79&gt;=SUMIFS('Data - Monthly Metrics'!$E:$E,'Data - Monthly Metrics'!$A:$A,$B$4-1,'Data - Monthly Metrics'!$B:$B,D$8,'Data - Monthly Metrics'!$C:$C,"Snohomish",'Data - Monthly Metrics'!$D:$D,"Goal - Penetration %")-0.05)</formula>
    </cfRule>
    <cfRule type="expression" rank="0" priority="162" equalAverage="0" aboveAverage="0" dxfId="1" stopIfTrue="1" text="" percent="0" bottom="0">
      <formula>AND(ISNUMBER(D79),COUNTIFS('Data - Monthly Metrics'!$A:$A,$B$4-1,'Data - Monthly Metrics'!$B:$B,D$8,'Data - Monthly Metrics'!$C:$C,"Snohomish",'Data - Monthly Metrics'!$D:$D,"Goal - Penetration %")&gt;0)</formula>
    </cfRule>
  </conditionalFormatting>
  <conditionalFormatting sqref="F79">
    <cfRule type="expression" rank="0" priority="163" equalAverage="0" aboveAverage="0" dxfId="0" stopIfTrue="1" text="" percent="0" bottom="0">
      <formula>AND(ISNUMBER(F79),COUNTIFS('Data - Monthly Metrics'!$A:$A,$B$4,'Data - Monthly Metrics'!$B:$B,F$8,'Data - Monthly Metrics'!$C:$C,"Snohomish",'Data - Monthly Metrics'!$D:$D,"Goal - Penetration %")&gt;0,F79&gt;=SUMIFS('Data - Monthly Metrics'!$E:$E,'Data - Monthly Metrics'!$A:$A,$B$4,'Data - Monthly Metrics'!$B:$B,F$8,'Data - Monthly Metrics'!$C:$C,"Snohomish",'Data - Monthly Metrics'!$D:$D,"Goal - Penetration %"))</formula>
    </cfRule>
    <cfRule type="expression" rank="0" priority="164" equalAverage="0" aboveAverage="0" dxfId="2" stopIfTrue="1" text="" percent="0" bottom="0">
      <formula>AND(ISNUMBER(F79),COUNTIFS('Data - Monthly Metrics'!$A:$A,$B$4,'Data - Monthly Metrics'!$B:$B,F$8,'Data - Monthly Metrics'!$C:$C,"Snohomish",'Data - Monthly Metrics'!$D:$D,"Goal - Penetration %")&gt;0,F79&gt;=SUMIFS('Data - Monthly Metrics'!$E:$E,'Data - Monthly Metrics'!$A:$A,$B$4,'Data - Monthly Metrics'!$B:$B,F$8,'Data - Monthly Metrics'!$C:$C,"Snohomish",'Data - Monthly Metrics'!$D:$D,"Goal - Penetration %")-0.05)</formula>
    </cfRule>
    <cfRule type="expression" rank="0" priority="165" equalAverage="0" aboveAverage="0" dxfId="1" stopIfTrue="1" text="" percent="0" bottom="0">
      <formula>AND(ISNUMBER(F79),COUNTIFS('Data - Monthly Metrics'!$A:$A,$B$4,'Data - Monthly Metrics'!$B:$B,F$8,'Data - Monthly Metrics'!$C:$C,"Snohomish",'Data - Monthly Metrics'!$D:$D,"Goal - Penetration %")&gt;0)</formula>
    </cfRule>
  </conditionalFormatting>
  <conditionalFormatting sqref="G79">
    <cfRule type="expression" rank="0" priority="166" equalAverage="0" aboveAverage="0" dxfId="0" stopIfTrue="1" text="" percent="0" bottom="0">
      <formula>AND(ISNUMBER(G79),COUNTIFS('Data - Monthly Metrics'!$A:$A,$B$4,'Data - Monthly Metrics'!$B:$B,G$8,'Data - Monthly Metrics'!$C:$C,"Snohomish",'Data - Monthly Metrics'!$D:$D,"Goal - Penetration %")&gt;0,G79&gt;=SUMIFS('Data - Monthly Metrics'!$E:$E,'Data - Monthly Metrics'!$A:$A,$B$4,'Data - Monthly Metrics'!$B:$B,G$8,'Data - Monthly Metrics'!$C:$C,"Snohomish",'Data - Monthly Metrics'!$D:$D,"Goal - Penetration %"))</formula>
    </cfRule>
    <cfRule type="expression" rank="0" priority="167" equalAverage="0" aboveAverage="0" dxfId="2" stopIfTrue="1" text="" percent="0" bottom="0">
      <formula>AND(ISNUMBER(G79),COUNTIFS('Data - Monthly Metrics'!$A:$A,$B$4,'Data - Monthly Metrics'!$B:$B,G$8,'Data - Monthly Metrics'!$C:$C,"Snohomish",'Data - Monthly Metrics'!$D:$D,"Goal - Penetration %")&gt;0,G79&gt;=SUMIFS('Data - Monthly Metrics'!$E:$E,'Data - Monthly Metrics'!$A:$A,$B$4,'Data - Monthly Metrics'!$B:$B,G$8,'Data - Monthly Metrics'!$C:$C,"Snohomish",'Data - Monthly Metrics'!$D:$D,"Goal - Penetration %")-0.05)</formula>
    </cfRule>
    <cfRule type="expression" rank="0" priority="168" equalAverage="0" aboveAverage="0" dxfId="1" stopIfTrue="1" text="" percent="0" bottom="0">
      <formula>AND(ISNUMBER(G79),COUNTIFS('Data - Monthly Metrics'!$A:$A,$B$4,'Data - Monthly Metrics'!$B:$B,G$8,'Data - Monthly Metrics'!$C:$C,"Snohomish",'Data - Monthly Metrics'!$D:$D,"Goal - Penetration %")&gt;0)</formula>
    </cfRule>
  </conditionalFormatting>
  <conditionalFormatting sqref="H79">
    <cfRule type="expression" rank="0" priority="169" equalAverage="0" aboveAverage="0" dxfId="0" stopIfTrue="1" text="" percent="0" bottom="0">
      <formula>AND(ISNUMBER(H79),COUNTIFS('Data - Monthly Metrics'!$A:$A,$B$4,'Data - Monthly Metrics'!$B:$B,H$8,'Data - Monthly Metrics'!$C:$C,"Snohomish",'Data - Monthly Metrics'!$D:$D,"Goal - Penetration %")&gt;0,H79&gt;=SUMIFS('Data - Monthly Metrics'!$E:$E,'Data - Monthly Metrics'!$A:$A,$B$4,'Data - Monthly Metrics'!$B:$B,H$8,'Data - Monthly Metrics'!$C:$C,"Snohomish",'Data - Monthly Metrics'!$D:$D,"Goal - Penetration %"))</formula>
    </cfRule>
    <cfRule type="expression" rank="0" priority="170" equalAverage="0" aboveAverage="0" dxfId="2" stopIfTrue="1" text="" percent="0" bottom="0">
      <formula>AND(ISNUMBER(H79),COUNTIFS('Data - Monthly Metrics'!$A:$A,$B$4,'Data - Monthly Metrics'!$B:$B,H$8,'Data - Monthly Metrics'!$C:$C,"Snohomish",'Data - Monthly Metrics'!$D:$D,"Goal - Penetration %")&gt;0,H79&gt;=SUMIFS('Data - Monthly Metrics'!$E:$E,'Data - Monthly Metrics'!$A:$A,$B$4,'Data - Monthly Metrics'!$B:$B,H$8,'Data - Monthly Metrics'!$C:$C,"Snohomish",'Data - Monthly Metrics'!$D:$D,"Goal - Penetration %")-0.05)</formula>
    </cfRule>
    <cfRule type="expression" rank="0" priority="171" equalAverage="0" aboveAverage="0" dxfId="1" stopIfTrue="1" text="" percent="0" bottom="0">
      <formula>AND(ISNUMBER(H79),COUNTIFS('Data - Monthly Metrics'!$A:$A,$B$4,'Data - Monthly Metrics'!$B:$B,H$8,'Data - Monthly Metrics'!$C:$C,"Snohomish",'Data - Monthly Metrics'!$D:$D,"Goal - Penetration %")&gt;0)</formula>
    </cfRule>
  </conditionalFormatting>
  <conditionalFormatting sqref="J79">
    <cfRule type="expression" rank="0" priority="172" equalAverage="0" aboveAverage="0" dxfId="0" stopIfTrue="1" text="" percent="0" bottom="0">
      <formula>AND(ISNUMBER(J79),COUNTIFS('Data - Monthly Metrics'!$A:$A,$B$4,'Data - Monthly Metrics'!$B:$B,J$8,'Data - Monthly Metrics'!$C:$C,"Snohomish",'Data - Monthly Metrics'!$D:$D,"Goal - Penetration %")&gt;0,J79&gt;=SUMIFS('Data - Monthly Metrics'!$E:$E,'Data - Monthly Metrics'!$A:$A,$B$4,'Data - Monthly Metrics'!$B:$B,J$8,'Data - Monthly Metrics'!$C:$C,"Snohomish",'Data - Monthly Metrics'!$D:$D,"Goal - Penetration %"))</formula>
    </cfRule>
    <cfRule type="expression" rank="0" priority="173" equalAverage="0" aboveAverage="0" dxfId="2" stopIfTrue="1" text="" percent="0" bottom="0">
      <formula>AND(ISNUMBER(J79),COUNTIFS('Data - Monthly Metrics'!$A:$A,$B$4,'Data - Monthly Metrics'!$B:$B,J$8,'Data - Monthly Metrics'!$C:$C,"Snohomish",'Data - Monthly Metrics'!$D:$D,"Goal - Penetration %")&gt;0,J79&gt;=SUMIFS('Data - Monthly Metrics'!$E:$E,'Data - Monthly Metrics'!$A:$A,$B$4,'Data - Monthly Metrics'!$B:$B,J$8,'Data - Monthly Metrics'!$C:$C,"Snohomish",'Data - Monthly Metrics'!$D:$D,"Goal - Penetration %")-0.05)</formula>
    </cfRule>
    <cfRule type="expression" rank="0" priority="174" equalAverage="0" aboveAverage="0" dxfId="1" stopIfTrue="1" text="" percent="0" bottom="0">
      <formula>AND(ISNUMBER(J79),COUNTIFS('Data - Monthly Metrics'!$A:$A,$B$4,'Data - Monthly Metrics'!$B:$B,J$8,'Data - Monthly Metrics'!$C:$C,"Snohomish",'Data - Monthly Metrics'!$D:$D,"Goal - Penetration %")&gt;0)</formula>
    </cfRule>
  </conditionalFormatting>
  <conditionalFormatting sqref="K79">
    <cfRule type="expression" rank="0" priority="175" equalAverage="0" aboveAverage="0" dxfId="0" stopIfTrue="1" text="" percent="0" bottom="0">
      <formula>AND(ISNUMBER(K79),COUNTIFS('Data - Monthly Metrics'!$A:$A,$B$4,'Data - Monthly Metrics'!$B:$B,K$8,'Data - Monthly Metrics'!$C:$C,"Snohomish",'Data - Monthly Metrics'!$D:$D,"Goal - Penetration %")&gt;0,K79&gt;=SUMIFS('Data - Monthly Metrics'!$E:$E,'Data - Monthly Metrics'!$A:$A,$B$4,'Data - Monthly Metrics'!$B:$B,K$8,'Data - Monthly Metrics'!$C:$C,"Snohomish",'Data - Monthly Metrics'!$D:$D,"Goal - Penetration %"))</formula>
    </cfRule>
    <cfRule type="expression" rank="0" priority="176" equalAverage="0" aboveAverage="0" dxfId="2" stopIfTrue="1" text="" percent="0" bottom="0">
      <formula>AND(ISNUMBER(K79),COUNTIFS('Data - Monthly Metrics'!$A:$A,$B$4,'Data - Monthly Metrics'!$B:$B,K$8,'Data - Monthly Metrics'!$C:$C,"Snohomish",'Data - Monthly Metrics'!$D:$D,"Goal - Penetration %")&gt;0,K79&gt;=SUMIFS('Data - Monthly Metrics'!$E:$E,'Data - Monthly Metrics'!$A:$A,$B$4,'Data - Monthly Metrics'!$B:$B,K$8,'Data - Monthly Metrics'!$C:$C,"Snohomish",'Data - Monthly Metrics'!$D:$D,"Goal - Penetration %")-0.05)</formula>
    </cfRule>
    <cfRule type="expression" rank="0" priority="177" equalAverage="0" aboveAverage="0" dxfId="1" stopIfTrue="1" text="" percent="0" bottom="0">
      <formula>AND(ISNUMBER(K79),COUNTIFS('Data - Monthly Metrics'!$A:$A,$B$4,'Data - Monthly Metrics'!$B:$B,K$8,'Data - Monthly Metrics'!$C:$C,"Snohomish",'Data - Monthly Metrics'!$D:$D,"Goal - Penetration %")&gt;0)</formula>
    </cfRule>
  </conditionalFormatting>
  <conditionalFormatting sqref="L79">
    <cfRule type="expression" rank="0" priority="178" equalAverage="0" aboveAverage="0" dxfId="0" stopIfTrue="1" text="" percent="0" bottom="0">
      <formula>AND(ISNUMBER(L79),COUNTIFS('Data - Monthly Metrics'!$A:$A,$B$4,'Data - Monthly Metrics'!$B:$B,L$8,'Data - Monthly Metrics'!$C:$C,"Snohomish",'Data - Monthly Metrics'!$D:$D,"Goal - Penetration %")&gt;0,L79&gt;=SUMIFS('Data - Monthly Metrics'!$E:$E,'Data - Monthly Metrics'!$A:$A,$B$4,'Data - Monthly Metrics'!$B:$B,L$8,'Data - Monthly Metrics'!$C:$C,"Snohomish",'Data - Monthly Metrics'!$D:$D,"Goal - Penetration %"))</formula>
    </cfRule>
    <cfRule type="expression" rank="0" priority="179" equalAverage="0" aboveAverage="0" dxfId="2" stopIfTrue="1" text="" percent="0" bottom="0">
      <formula>AND(ISNUMBER(L79),COUNTIFS('Data - Monthly Metrics'!$A:$A,$B$4,'Data - Monthly Metrics'!$B:$B,L$8,'Data - Monthly Metrics'!$C:$C,"Snohomish",'Data - Monthly Metrics'!$D:$D,"Goal - Penetration %")&gt;0,L79&gt;=SUMIFS('Data - Monthly Metrics'!$E:$E,'Data - Monthly Metrics'!$A:$A,$B$4,'Data - Monthly Metrics'!$B:$B,L$8,'Data - Monthly Metrics'!$C:$C,"Snohomish",'Data - Monthly Metrics'!$D:$D,"Goal - Penetration %")-0.05)</formula>
    </cfRule>
    <cfRule type="expression" rank="0" priority="180" equalAverage="0" aboveAverage="0" dxfId="1" stopIfTrue="1" text="" percent="0" bottom="0">
      <formula>AND(ISNUMBER(L79),COUNTIFS('Data - Monthly Metrics'!$A:$A,$B$4,'Data - Monthly Metrics'!$B:$B,L$8,'Data - Monthly Metrics'!$C:$C,"Snohomish",'Data - Monthly Metrics'!$D:$D,"Goal - Penetration %")&gt;0)</formula>
    </cfRule>
  </conditionalFormatting>
  <conditionalFormatting sqref="N79">
    <cfRule type="expression" rank="0" priority="181" equalAverage="0" aboveAverage="0" dxfId="0" stopIfTrue="1" text="" percent="0" bottom="0">
      <formula>AND(ISNUMBER(N79),COUNTIFS('Data - Monthly Metrics'!$A:$A,$B$4,'Data - Monthly Metrics'!$B:$B,N$8,'Data - Monthly Metrics'!$C:$C,"Snohomish",'Data - Monthly Metrics'!$D:$D,"Goal - Penetration %")&gt;0,N79&gt;=SUMIFS('Data - Monthly Metrics'!$E:$E,'Data - Monthly Metrics'!$A:$A,$B$4,'Data - Monthly Metrics'!$B:$B,N$8,'Data - Monthly Metrics'!$C:$C,"Snohomish",'Data - Monthly Metrics'!$D:$D,"Goal - Penetration %"))</formula>
    </cfRule>
    <cfRule type="expression" rank="0" priority="182" equalAverage="0" aboveAverage="0" dxfId="2" stopIfTrue="1" text="" percent="0" bottom="0">
      <formula>AND(ISNUMBER(N79),COUNTIFS('Data - Monthly Metrics'!$A:$A,$B$4,'Data - Monthly Metrics'!$B:$B,N$8,'Data - Monthly Metrics'!$C:$C,"Snohomish",'Data - Monthly Metrics'!$D:$D,"Goal - Penetration %")&gt;0,N79&gt;=SUMIFS('Data - Monthly Metrics'!$E:$E,'Data - Monthly Metrics'!$A:$A,$B$4,'Data - Monthly Metrics'!$B:$B,N$8,'Data - Monthly Metrics'!$C:$C,"Snohomish",'Data - Monthly Metrics'!$D:$D,"Goal - Penetration %")-0.05)</formula>
    </cfRule>
    <cfRule type="expression" rank="0" priority="183" equalAverage="0" aboveAverage="0" dxfId="1" stopIfTrue="1" text="" percent="0" bottom="0">
      <formula>AND(ISNUMBER(N79),COUNTIFS('Data - Monthly Metrics'!$A:$A,$B$4,'Data - Monthly Metrics'!$B:$B,N$8,'Data - Monthly Metrics'!$C:$C,"Snohomish",'Data - Monthly Metrics'!$D:$D,"Goal - Penetration %")&gt;0)</formula>
    </cfRule>
  </conditionalFormatting>
  <conditionalFormatting sqref="O79">
    <cfRule type="expression" rank="0" priority="184" equalAverage="0" aboveAverage="0" dxfId="0" stopIfTrue="1" text="" percent="0" bottom="0">
      <formula>AND(ISNUMBER(O79),COUNTIFS('Data - Monthly Metrics'!$A:$A,$B$4,'Data - Monthly Metrics'!$B:$B,O$8,'Data - Monthly Metrics'!$C:$C,"Snohomish",'Data - Monthly Metrics'!$D:$D,"Goal - Penetration %")&gt;0,O79&gt;=SUMIFS('Data - Monthly Metrics'!$E:$E,'Data - Monthly Metrics'!$A:$A,$B$4,'Data - Monthly Metrics'!$B:$B,O$8,'Data - Monthly Metrics'!$C:$C,"Snohomish",'Data - Monthly Metrics'!$D:$D,"Goal - Penetration %"))</formula>
    </cfRule>
    <cfRule type="expression" rank="0" priority="185" equalAverage="0" aboveAverage="0" dxfId="2" stopIfTrue="1" text="" percent="0" bottom="0">
      <formula>AND(ISNUMBER(O79),COUNTIFS('Data - Monthly Metrics'!$A:$A,$B$4,'Data - Monthly Metrics'!$B:$B,O$8,'Data - Monthly Metrics'!$C:$C,"Snohomish",'Data - Monthly Metrics'!$D:$D,"Goal - Penetration %")&gt;0,O79&gt;=SUMIFS('Data - Monthly Metrics'!$E:$E,'Data - Monthly Metrics'!$A:$A,$B$4,'Data - Monthly Metrics'!$B:$B,O$8,'Data - Monthly Metrics'!$C:$C,"Snohomish",'Data - Monthly Metrics'!$D:$D,"Goal - Penetration %")-0.05)</formula>
    </cfRule>
    <cfRule type="expression" rank="0" priority="186" equalAverage="0" aboveAverage="0" dxfId="1" stopIfTrue="1" text="" percent="0" bottom="0">
      <formula>AND(ISNUMBER(O79),COUNTIFS('Data - Monthly Metrics'!$A:$A,$B$4,'Data - Monthly Metrics'!$B:$B,O$8,'Data - Monthly Metrics'!$C:$C,"Snohomish",'Data - Monthly Metrics'!$D:$D,"Goal - Penetration %")&gt;0)</formula>
    </cfRule>
  </conditionalFormatting>
  <conditionalFormatting sqref="P79">
    <cfRule type="expression" rank="0" priority="187" equalAverage="0" aboveAverage="0" dxfId="0" stopIfTrue="1" text="" percent="0" bottom="0">
      <formula>AND(ISNUMBER(P79),COUNTIFS('Data - Monthly Metrics'!$A:$A,$B$4,'Data - Monthly Metrics'!$B:$B,P$8,'Data - Monthly Metrics'!$C:$C,"Snohomish",'Data - Monthly Metrics'!$D:$D,"Goal - Penetration %")&gt;0,P79&gt;=SUMIFS('Data - Monthly Metrics'!$E:$E,'Data - Monthly Metrics'!$A:$A,$B$4,'Data - Monthly Metrics'!$B:$B,P$8,'Data - Monthly Metrics'!$C:$C,"Snohomish",'Data - Monthly Metrics'!$D:$D,"Goal - Penetration %"))</formula>
    </cfRule>
    <cfRule type="expression" rank="0" priority="188" equalAverage="0" aboveAverage="0" dxfId="2" stopIfTrue="1" text="" percent="0" bottom="0">
      <formula>AND(ISNUMBER(P79),COUNTIFS('Data - Monthly Metrics'!$A:$A,$B$4,'Data - Monthly Metrics'!$B:$B,P$8,'Data - Monthly Metrics'!$C:$C,"Snohomish",'Data - Monthly Metrics'!$D:$D,"Goal - Penetration %")&gt;0,P79&gt;=SUMIFS('Data - Monthly Metrics'!$E:$E,'Data - Monthly Metrics'!$A:$A,$B$4,'Data - Monthly Metrics'!$B:$B,P$8,'Data - Monthly Metrics'!$C:$C,"Snohomish",'Data - Monthly Metrics'!$D:$D,"Goal - Penetration %")-0.05)</formula>
    </cfRule>
    <cfRule type="expression" rank="0" priority="189" equalAverage="0" aboveAverage="0" dxfId="1" stopIfTrue="1" text="" percent="0" bottom="0">
      <formula>AND(ISNUMBER(P79),COUNTIFS('Data - Monthly Metrics'!$A:$A,$B$4,'Data - Monthly Metrics'!$B:$B,P$8,'Data - Monthly Metrics'!$C:$C,"Snohomish",'Data - Monthly Metrics'!$D:$D,"Goal - Penetration %")&gt;0)</formula>
    </cfRule>
  </conditionalFormatting>
  <conditionalFormatting sqref="B80">
    <cfRule type="expression" rank="0" priority="190" equalAverage="0" aboveAverage="0" dxfId="0" stopIfTrue="1" text="" percent="0" bottom="0">
      <formula>AND(ISNUMBER(B80),COUNTIFS('Data - Monthly Metrics'!$A:$A,$B$4-1,'Data - Monthly Metrics'!$B:$B,B$8,'Data - Monthly Metrics'!$C:$C,"Snohomish",'Data - Monthly Metrics'!$D:$D,"Goal - Penetration %")&gt;0,B80&gt;=SUMIFS('Data - Monthly Metrics'!$E:$E,'Data - Monthly Metrics'!$A:$A,$B$4-1,'Data - Monthly Metrics'!$B:$B,B$8,'Data - Monthly Metrics'!$C:$C,"Snohomish",'Data - Monthly Metrics'!$D:$D,"Goal - Penetration %"))</formula>
    </cfRule>
    <cfRule type="expression" rank="0" priority="191" equalAverage="0" aboveAverage="0" dxfId="2" stopIfTrue="1" text="" percent="0" bottom="0">
      <formula>AND(ISNUMBER(B80),COUNTIFS('Data - Monthly Metrics'!$A:$A,$B$4-1,'Data - Monthly Metrics'!$B:$B,B$8,'Data - Monthly Metrics'!$C:$C,"Snohomish",'Data - Monthly Metrics'!$D:$D,"Goal - Penetration %")&gt;0,B80&gt;=SUMIFS('Data - Monthly Metrics'!$E:$E,'Data - Monthly Metrics'!$A:$A,$B$4-1,'Data - Monthly Metrics'!$B:$B,B$8,'Data - Monthly Metrics'!$C:$C,"Snohomish",'Data - Monthly Metrics'!$D:$D,"Goal - Penetration %")-0.05)</formula>
    </cfRule>
    <cfRule type="expression" rank="0" priority="192" equalAverage="0" aboveAverage="0" dxfId="1" stopIfTrue="1" text="" percent="0" bottom="0">
      <formula>AND(ISNUMBER(B80),COUNTIFS('Data - Monthly Metrics'!$A:$A,$B$4-1,'Data - Monthly Metrics'!$B:$B,B$8,'Data - Monthly Metrics'!$C:$C,"Snohomish",'Data - Monthly Metrics'!$D:$D,"Goal - Penetration %")&gt;0)</formula>
    </cfRule>
  </conditionalFormatting>
  <conditionalFormatting sqref="C80">
    <cfRule type="expression" rank="0" priority="193" equalAverage="0" aboveAverage="0" dxfId="0" stopIfTrue="1" text="" percent="0" bottom="0">
      <formula>AND(ISNUMBER(C80),COUNTIFS('Data - Monthly Metrics'!$A:$A,$B$4-1,'Data - Monthly Metrics'!$B:$B,C$8,'Data - Monthly Metrics'!$C:$C,"Snohomish",'Data - Monthly Metrics'!$D:$D,"Goal - Penetration %")&gt;0,C80&gt;=SUMIFS('Data - Monthly Metrics'!$E:$E,'Data - Monthly Metrics'!$A:$A,$B$4-1,'Data - Monthly Metrics'!$B:$B,C$8,'Data - Monthly Metrics'!$C:$C,"Snohomish",'Data - Monthly Metrics'!$D:$D,"Goal - Penetration %"))</formula>
    </cfRule>
    <cfRule type="expression" rank="0" priority="194" equalAverage="0" aboveAverage="0" dxfId="2" stopIfTrue="1" text="" percent="0" bottom="0">
      <formula>AND(ISNUMBER(C80),COUNTIFS('Data - Monthly Metrics'!$A:$A,$B$4-1,'Data - Monthly Metrics'!$B:$B,C$8,'Data - Monthly Metrics'!$C:$C,"Snohomish",'Data - Monthly Metrics'!$D:$D,"Goal - Penetration %")&gt;0,C80&gt;=SUMIFS('Data - Monthly Metrics'!$E:$E,'Data - Monthly Metrics'!$A:$A,$B$4-1,'Data - Monthly Metrics'!$B:$B,C$8,'Data - Monthly Metrics'!$C:$C,"Snohomish",'Data - Monthly Metrics'!$D:$D,"Goal - Penetration %")-0.05)</formula>
    </cfRule>
    <cfRule type="expression" rank="0" priority="195" equalAverage="0" aboveAverage="0" dxfId="1" stopIfTrue="1" text="" percent="0" bottom="0">
      <formula>AND(ISNUMBER(C80),COUNTIFS('Data - Monthly Metrics'!$A:$A,$B$4-1,'Data - Monthly Metrics'!$B:$B,C$8,'Data - Monthly Metrics'!$C:$C,"Snohomish",'Data - Monthly Metrics'!$D:$D,"Goal - Penetration %")&gt;0)</formula>
    </cfRule>
  </conditionalFormatting>
  <conditionalFormatting sqref="D80">
    <cfRule type="expression" rank="0" priority="196" equalAverage="0" aboveAverage="0" dxfId="0" stopIfTrue="1" text="" percent="0" bottom="0">
      <formula>AND(ISNUMBER(D80),COUNTIFS('Data - Monthly Metrics'!$A:$A,$B$4-1,'Data - Monthly Metrics'!$B:$B,D$8,'Data - Monthly Metrics'!$C:$C,"Snohomish",'Data - Monthly Metrics'!$D:$D,"Goal - Penetration %")&gt;0,D80&gt;=SUMIFS('Data - Monthly Metrics'!$E:$E,'Data - Monthly Metrics'!$A:$A,$B$4-1,'Data - Monthly Metrics'!$B:$B,D$8,'Data - Monthly Metrics'!$C:$C,"Snohomish",'Data - Monthly Metrics'!$D:$D,"Goal - Penetration %"))</formula>
    </cfRule>
    <cfRule type="expression" rank="0" priority="197" equalAverage="0" aboveAverage="0" dxfId="2" stopIfTrue="1" text="" percent="0" bottom="0">
      <formula>AND(ISNUMBER(D80),COUNTIFS('Data - Monthly Metrics'!$A:$A,$B$4-1,'Data - Monthly Metrics'!$B:$B,D$8,'Data - Monthly Metrics'!$C:$C,"Snohomish",'Data - Monthly Metrics'!$D:$D,"Goal - Penetration %")&gt;0,D80&gt;=SUMIFS('Data - Monthly Metrics'!$E:$E,'Data - Monthly Metrics'!$A:$A,$B$4-1,'Data - Monthly Metrics'!$B:$B,D$8,'Data - Monthly Metrics'!$C:$C,"Snohomish",'Data - Monthly Metrics'!$D:$D,"Goal - Penetration %")-0.05)</formula>
    </cfRule>
    <cfRule type="expression" rank="0" priority="198" equalAverage="0" aboveAverage="0" dxfId="1" stopIfTrue="1" text="" percent="0" bottom="0">
      <formula>AND(ISNUMBER(D80),COUNTIFS('Data - Monthly Metrics'!$A:$A,$B$4-1,'Data - Monthly Metrics'!$B:$B,D$8,'Data - Monthly Metrics'!$C:$C,"Snohomish",'Data - Monthly Metrics'!$D:$D,"Goal - Penetration %")&gt;0)</formula>
    </cfRule>
  </conditionalFormatting>
  <conditionalFormatting sqref="F80">
    <cfRule type="expression" rank="0" priority="199" equalAverage="0" aboveAverage="0" dxfId="0" stopIfTrue="1" text="" percent="0" bottom="0">
      <formula>AND(ISNUMBER(F80),COUNTIFS('Data - Monthly Metrics'!$A:$A,$B$4,'Data - Monthly Metrics'!$B:$B,F$8,'Data - Monthly Metrics'!$C:$C,"Snohomish",'Data - Monthly Metrics'!$D:$D,"Goal - Penetration %")&gt;0,F80&gt;=SUMIFS('Data - Monthly Metrics'!$E:$E,'Data - Monthly Metrics'!$A:$A,$B$4,'Data - Monthly Metrics'!$B:$B,F$8,'Data - Monthly Metrics'!$C:$C,"Snohomish",'Data - Monthly Metrics'!$D:$D,"Goal - Penetration %"))</formula>
    </cfRule>
    <cfRule type="expression" rank="0" priority="200" equalAverage="0" aboveAverage="0" dxfId="2" stopIfTrue="1" text="" percent="0" bottom="0">
      <formula>AND(ISNUMBER(F80),COUNTIFS('Data - Monthly Metrics'!$A:$A,$B$4,'Data - Monthly Metrics'!$B:$B,F$8,'Data - Monthly Metrics'!$C:$C,"Snohomish",'Data - Monthly Metrics'!$D:$D,"Goal - Penetration %")&gt;0,F80&gt;=SUMIFS('Data - Monthly Metrics'!$E:$E,'Data - Monthly Metrics'!$A:$A,$B$4,'Data - Monthly Metrics'!$B:$B,F$8,'Data - Monthly Metrics'!$C:$C,"Snohomish",'Data - Monthly Metrics'!$D:$D,"Goal - Penetration %")-0.05)</formula>
    </cfRule>
    <cfRule type="expression" rank="0" priority="201" equalAverage="0" aboveAverage="0" dxfId="1" stopIfTrue="1" text="" percent="0" bottom="0">
      <formula>AND(ISNUMBER(F80),COUNTIFS('Data - Monthly Metrics'!$A:$A,$B$4,'Data - Monthly Metrics'!$B:$B,F$8,'Data - Monthly Metrics'!$C:$C,"Snohomish",'Data - Monthly Metrics'!$D:$D,"Goal - Penetration %")&gt;0)</formula>
    </cfRule>
  </conditionalFormatting>
  <conditionalFormatting sqref="G80">
    <cfRule type="expression" rank="0" priority="202" equalAverage="0" aboveAverage="0" dxfId="0" stopIfTrue="1" text="" percent="0" bottom="0">
      <formula>AND(ISNUMBER(G80),COUNTIFS('Data - Monthly Metrics'!$A:$A,$B$4,'Data - Monthly Metrics'!$B:$B,G$8,'Data - Monthly Metrics'!$C:$C,"Snohomish",'Data - Monthly Metrics'!$D:$D,"Goal - Penetration %")&gt;0,G80&gt;=SUMIFS('Data - Monthly Metrics'!$E:$E,'Data - Monthly Metrics'!$A:$A,$B$4,'Data - Monthly Metrics'!$B:$B,G$8,'Data - Monthly Metrics'!$C:$C,"Snohomish",'Data - Monthly Metrics'!$D:$D,"Goal - Penetration %"))</formula>
    </cfRule>
    <cfRule type="expression" rank="0" priority="203" equalAverage="0" aboveAverage="0" dxfId="2" stopIfTrue="1" text="" percent="0" bottom="0">
      <formula>AND(ISNUMBER(G80),COUNTIFS('Data - Monthly Metrics'!$A:$A,$B$4,'Data - Monthly Metrics'!$B:$B,G$8,'Data - Monthly Metrics'!$C:$C,"Snohomish",'Data - Monthly Metrics'!$D:$D,"Goal - Penetration %")&gt;0,G80&gt;=SUMIFS('Data - Monthly Metrics'!$E:$E,'Data - Monthly Metrics'!$A:$A,$B$4,'Data - Monthly Metrics'!$B:$B,G$8,'Data - Monthly Metrics'!$C:$C,"Snohomish",'Data - Monthly Metrics'!$D:$D,"Goal - Penetration %")-0.05)</formula>
    </cfRule>
    <cfRule type="expression" rank="0" priority="204" equalAverage="0" aboveAverage="0" dxfId="1" stopIfTrue="1" text="" percent="0" bottom="0">
      <formula>AND(ISNUMBER(G80),COUNTIFS('Data - Monthly Metrics'!$A:$A,$B$4,'Data - Monthly Metrics'!$B:$B,G$8,'Data - Monthly Metrics'!$C:$C,"Snohomish",'Data - Monthly Metrics'!$D:$D,"Goal - Penetration %")&gt;0)</formula>
    </cfRule>
  </conditionalFormatting>
  <conditionalFormatting sqref="H80">
    <cfRule type="expression" rank="0" priority="205" equalAverage="0" aboveAverage="0" dxfId="0" stopIfTrue="1" text="" percent="0" bottom="0">
      <formula>AND(ISNUMBER(H80),COUNTIFS('Data - Monthly Metrics'!$A:$A,$B$4,'Data - Monthly Metrics'!$B:$B,H$8,'Data - Monthly Metrics'!$C:$C,"Snohomish",'Data - Monthly Metrics'!$D:$D,"Goal - Penetration %")&gt;0,H80&gt;=SUMIFS('Data - Monthly Metrics'!$E:$E,'Data - Monthly Metrics'!$A:$A,$B$4,'Data - Monthly Metrics'!$B:$B,H$8,'Data - Monthly Metrics'!$C:$C,"Snohomish",'Data - Monthly Metrics'!$D:$D,"Goal - Penetration %"))</formula>
    </cfRule>
    <cfRule type="expression" rank="0" priority="206" equalAverage="0" aboveAverage="0" dxfId="2" stopIfTrue="1" text="" percent="0" bottom="0">
      <formula>AND(ISNUMBER(H80),COUNTIFS('Data - Monthly Metrics'!$A:$A,$B$4,'Data - Monthly Metrics'!$B:$B,H$8,'Data - Monthly Metrics'!$C:$C,"Snohomish",'Data - Monthly Metrics'!$D:$D,"Goal - Penetration %")&gt;0,H80&gt;=SUMIFS('Data - Monthly Metrics'!$E:$E,'Data - Monthly Metrics'!$A:$A,$B$4,'Data - Monthly Metrics'!$B:$B,H$8,'Data - Monthly Metrics'!$C:$C,"Snohomish",'Data - Monthly Metrics'!$D:$D,"Goal - Penetration %")-0.05)</formula>
    </cfRule>
    <cfRule type="expression" rank="0" priority="207" equalAverage="0" aboveAverage="0" dxfId="1" stopIfTrue="1" text="" percent="0" bottom="0">
      <formula>AND(ISNUMBER(H80),COUNTIFS('Data - Monthly Metrics'!$A:$A,$B$4,'Data - Monthly Metrics'!$B:$B,H$8,'Data - Monthly Metrics'!$C:$C,"Snohomish",'Data - Monthly Metrics'!$D:$D,"Goal - Penetration %")&gt;0)</formula>
    </cfRule>
  </conditionalFormatting>
  <conditionalFormatting sqref="J80">
    <cfRule type="expression" rank="0" priority="208" equalAverage="0" aboveAverage="0" dxfId="0" stopIfTrue="1" text="" percent="0" bottom="0">
      <formula>AND(ISNUMBER(J80),COUNTIFS('Data - Monthly Metrics'!$A:$A,$B$4,'Data - Monthly Metrics'!$B:$B,J$8,'Data - Monthly Metrics'!$C:$C,"Snohomish",'Data - Monthly Metrics'!$D:$D,"Goal - Penetration %")&gt;0,J80&gt;=SUMIFS('Data - Monthly Metrics'!$E:$E,'Data - Monthly Metrics'!$A:$A,$B$4,'Data - Monthly Metrics'!$B:$B,J$8,'Data - Monthly Metrics'!$C:$C,"Snohomish",'Data - Monthly Metrics'!$D:$D,"Goal - Penetration %"))</formula>
    </cfRule>
    <cfRule type="expression" rank="0" priority="209" equalAverage="0" aboveAverage="0" dxfId="2" stopIfTrue="1" text="" percent="0" bottom="0">
      <formula>AND(ISNUMBER(J80),COUNTIFS('Data - Monthly Metrics'!$A:$A,$B$4,'Data - Monthly Metrics'!$B:$B,J$8,'Data - Monthly Metrics'!$C:$C,"Snohomish",'Data - Monthly Metrics'!$D:$D,"Goal - Penetration %")&gt;0,J80&gt;=SUMIFS('Data - Monthly Metrics'!$E:$E,'Data - Monthly Metrics'!$A:$A,$B$4,'Data - Monthly Metrics'!$B:$B,J$8,'Data - Monthly Metrics'!$C:$C,"Snohomish",'Data - Monthly Metrics'!$D:$D,"Goal - Penetration %")-0.05)</formula>
    </cfRule>
    <cfRule type="expression" rank="0" priority="210" equalAverage="0" aboveAverage="0" dxfId="1" stopIfTrue="1" text="" percent="0" bottom="0">
      <formula>AND(ISNUMBER(J80),COUNTIFS('Data - Monthly Metrics'!$A:$A,$B$4,'Data - Monthly Metrics'!$B:$B,J$8,'Data - Monthly Metrics'!$C:$C,"Snohomish",'Data - Monthly Metrics'!$D:$D,"Goal - Penetration %")&gt;0)</formula>
    </cfRule>
  </conditionalFormatting>
  <conditionalFormatting sqref="K80">
    <cfRule type="expression" rank="0" priority="211" equalAverage="0" aboveAverage="0" dxfId="0" stopIfTrue="1" text="" percent="0" bottom="0">
      <formula>AND(ISNUMBER(K80),COUNTIFS('Data - Monthly Metrics'!$A:$A,$B$4,'Data - Monthly Metrics'!$B:$B,K$8,'Data - Monthly Metrics'!$C:$C,"Snohomish",'Data - Monthly Metrics'!$D:$D,"Goal - Penetration %")&gt;0,K80&gt;=SUMIFS('Data - Monthly Metrics'!$E:$E,'Data - Monthly Metrics'!$A:$A,$B$4,'Data - Monthly Metrics'!$B:$B,K$8,'Data - Monthly Metrics'!$C:$C,"Snohomish",'Data - Monthly Metrics'!$D:$D,"Goal - Penetration %"))</formula>
    </cfRule>
    <cfRule type="expression" rank="0" priority="212" equalAverage="0" aboveAverage="0" dxfId="2" stopIfTrue="1" text="" percent="0" bottom="0">
      <formula>AND(ISNUMBER(K80),COUNTIFS('Data - Monthly Metrics'!$A:$A,$B$4,'Data - Monthly Metrics'!$B:$B,K$8,'Data - Monthly Metrics'!$C:$C,"Snohomish",'Data - Monthly Metrics'!$D:$D,"Goal - Penetration %")&gt;0,K80&gt;=SUMIFS('Data - Monthly Metrics'!$E:$E,'Data - Monthly Metrics'!$A:$A,$B$4,'Data - Monthly Metrics'!$B:$B,K$8,'Data - Monthly Metrics'!$C:$C,"Snohomish",'Data - Monthly Metrics'!$D:$D,"Goal - Penetration %")-0.05)</formula>
    </cfRule>
    <cfRule type="expression" rank="0" priority="213" equalAverage="0" aboveAverage="0" dxfId="1" stopIfTrue="1" text="" percent="0" bottom="0">
      <formula>AND(ISNUMBER(K80),COUNTIFS('Data - Monthly Metrics'!$A:$A,$B$4,'Data - Monthly Metrics'!$B:$B,K$8,'Data - Monthly Metrics'!$C:$C,"Snohomish",'Data - Monthly Metrics'!$D:$D,"Goal - Penetration %")&gt;0)</formula>
    </cfRule>
  </conditionalFormatting>
  <conditionalFormatting sqref="L80">
    <cfRule type="expression" rank="0" priority="214" equalAverage="0" aboveAverage="0" dxfId="0" stopIfTrue="1" text="" percent="0" bottom="0">
      <formula>AND(ISNUMBER(L80),COUNTIFS('Data - Monthly Metrics'!$A:$A,$B$4,'Data - Monthly Metrics'!$B:$B,L$8,'Data - Monthly Metrics'!$C:$C,"Snohomish",'Data - Monthly Metrics'!$D:$D,"Goal - Penetration %")&gt;0,L80&gt;=SUMIFS('Data - Monthly Metrics'!$E:$E,'Data - Monthly Metrics'!$A:$A,$B$4,'Data - Monthly Metrics'!$B:$B,L$8,'Data - Monthly Metrics'!$C:$C,"Snohomish",'Data - Monthly Metrics'!$D:$D,"Goal - Penetration %"))</formula>
    </cfRule>
    <cfRule type="expression" rank="0" priority="215" equalAverage="0" aboveAverage="0" dxfId="2" stopIfTrue="1" text="" percent="0" bottom="0">
      <formula>AND(ISNUMBER(L80),COUNTIFS('Data - Monthly Metrics'!$A:$A,$B$4,'Data - Monthly Metrics'!$B:$B,L$8,'Data - Monthly Metrics'!$C:$C,"Snohomish",'Data - Monthly Metrics'!$D:$D,"Goal - Penetration %")&gt;0,L80&gt;=SUMIFS('Data - Monthly Metrics'!$E:$E,'Data - Monthly Metrics'!$A:$A,$B$4,'Data - Monthly Metrics'!$B:$B,L$8,'Data - Monthly Metrics'!$C:$C,"Snohomish",'Data - Monthly Metrics'!$D:$D,"Goal - Penetration %")-0.05)</formula>
    </cfRule>
    <cfRule type="expression" rank="0" priority="216" equalAverage="0" aboveAverage="0" dxfId="1" stopIfTrue="1" text="" percent="0" bottom="0">
      <formula>AND(ISNUMBER(L80),COUNTIFS('Data - Monthly Metrics'!$A:$A,$B$4,'Data - Monthly Metrics'!$B:$B,L$8,'Data - Monthly Metrics'!$C:$C,"Snohomish",'Data - Monthly Metrics'!$D:$D,"Goal - Penetration %")&gt;0)</formula>
    </cfRule>
  </conditionalFormatting>
  <conditionalFormatting sqref="N80">
    <cfRule type="expression" rank="0" priority="217" equalAverage="0" aboveAverage="0" dxfId="0" stopIfTrue="1" text="" percent="0" bottom="0">
      <formula>AND(ISNUMBER(N80),COUNTIFS('Data - Monthly Metrics'!$A:$A,$B$4,'Data - Monthly Metrics'!$B:$B,N$8,'Data - Monthly Metrics'!$C:$C,"Snohomish",'Data - Monthly Metrics'!$D:$D,"Goal - Penetration %")&gt;0,N80&gt;=SUMIFS('Data - Monthly Metrics'!$E:$E,'Data - Monthly Metrics'!$A:$A,$B$4,'Data - Monthly Metrics'!$B:$B,N$8,'Data - Monthly Metrics'!$C:$C,"Snohomish",'Data - Monthly Metrics'!$D:$D,"Goal - Penetration %"))</formula>
    </cfRule>
    <cfRule type="expression" rank="0" priority="218" equalAverage="0" aboveAverage="0" dxfId="2" stopIfTrue="1" text="" percent="0" bottom="0">
      <formula>AND(ISNUMBER(N80),COUNTIFS('Data - Monthly Metrics'!$A:$A,$B$4,'Data - Monthly Metrics'!$B:$B,N$8,'Data - Monthly Metrics'!$C:$C,"Snohomish",'Data - Monthly Metrics'!$D:$D,"Goal - Penetration %")&gt;0,N80&gt;=SUMIFS('Data - Monthly Metrics'!$E:$E,'Data - Monthly Metrics'!$A:$A,$B$4,'Data - Monthly Metrics'!$B:$B,N$8,'Data - Monthly Metrics'!$C:$C,"Snohomish",'Data - Monthly Metrics'!$D:$D,"Goal - Penetration %")-0.05)</formula>
    </cfRule>
    <cfRule type="expression" rank="0" priority="219" equalAverage="0" aboveAverage="0" dxfId="1" stopIfTrue="1" text="" percent="0" bottom="0">
      <formula>AND(ISNUMBER(N80),COUNTIFS('Data - Monthly Metrics'!$A:$A,$B$4,'Data - Monthly Metrics'!$B:$B,N$8,'Data - Monthly Metrics'!$C:$C,"Snohomish",'Data - Monthly Metrics'!$D:$D,"Goal - Penetration %")&gt;0)</formula>
    </cfRule>
  </conditionalFormatting>
  <conditionalFormatting sqref="O80">
    <cfRule type="expression" rank="0" priority="220" equalAverage="0" aboveAverage="0" dxfId="0" stopIfTrue="1" text="" percent="0" bottom="0">
      <formula>AND(ISNUMBER(O80),COUNTIFS('Data - Monthly Metrics'!$A:$A,$B$4,'Data - Monthly Metrics'!$B:$B,O$8,'Data - Monthly Metrics'!$C:$C,"Snohomish",'Data - Monthly Metrics'!$D:$D,"Goal - Penetration %")&gt;0,O80&gt;=SUMIFS('Data - Monthly Metrics'!$E:$E,'Data - Monthly Metrics'!$A:$A,$B$4,'Data - Monthly Metrics'!$B:$B,O$8,'Data - Monthly Metrics'!$C:$C,"Snohomish",'Data - Monthly Metrics'!$D:$D,"Goal - Penetration %"))</formula>
    </cfRule>
    <cfRule type="expression" rank="0" priority="221" equalAverage="0" aboveAverage="0" dxfId="2" stopIfTrue="1" text="" percent="0" bottom="0">
      <formula>AND(ISNUMBER(O80),COUNTIFS('Data - Monthly Metrics'!$A:$A,$B$4,'Data - Monthly Metrics'!$B:$B,O$8,'Data - Monthly Metrics'!$C:$C,"Snohomish",'Data - Monthly Metrics'!$D:$D,"Goal - Penetration %")&gt;0,O80&gt;=SUMIFS('Data - Monthly Metrics'!$E:$E,'Data - Monthly Metrics'!$A:$A,$B$4,'Data - Monthly Metrics'!$B:$B,O$8,'Data - Monthly Metrics'!$C:$C,"Snohomish",'Data - Monthly Metrics'!$D:$D,"Goal - Penetration %")-0.05)</formula>
    </cfRule>
    <cfRule type="expression" rank="0" priority="222" equalAverage="0" aboveAverage="0" dxfId="1" stopIfTrue="1" text="" percent="0" bottom="0">
      <formula>AND(ISNUMBER(O80),COUNTIFS('Data - Monthly Metrics'!$A:$A,$B$4,'Data - Monthly Metrics'!$B:$B,O$8,'Data - Monthly Metrics'!$C:$C,"Snohomish",'Data - Monthly Metrics'!$D:$D,"Goal - Penetration %")&gt;0)</formula>
    </cfRule>
  </conditionalFormatting>
  <conditionalFormatting sqref="P80">
    <cfRule type="expression" rank="0" priority="223" equalAverage="0" aboveAverage="0" dxfId="0" stopIfTrue="1" text="" percent="0" bottom="0">
      <formula>AND(ISNUMBER(P80),COUNTIFS('Data - Monthly Metrics'!$A:$A,$B$4,'Data - Monthly Metrics'!$B:$B,P$8,'Data - Monthly Metrics'!$C:$C,"Snohomish",'Data - Monthly Metrics'!$D:$D,"Goal - Penetration %")&gt;0,P80&gt;=SUMIFS('Data - Monthly Metrics'!$E:$E,'Data - Monthly Metrics'!$A:$A,$B$4,'Data - Monthly Metrics'!$B:$B,P$8,'Data - Monthly Metrics'!$C:$C,"Snohomish",'Data - Monthly Metrics'!$D:$D,"Goal - Penetration %"))</formula>
    </cfRule>
    <cfRule type="expression" rank="0" priority="224" equalAverage="0" aboveAverage="0" dxfId="2" stopIfTrue="1" text="" percent="0" bottom="0">
      <formula>AND(ISNUMBER(P80),COUNTIFS('Data - Monthly Metrics'!$A:$A,$B$4,'Data - Monthly Metrics'!$B:$B,P$8,'Data - Monthly Metrics'!$C:$C,"Snohomish",'Data - Monthly Metrics'!$D:$D,"Goal - Penetration %")&gt;0,P80&gt;=SUMIFS('Data - Monthly Metrics'!$E:$E,'Data - Monthly Metrics'!$A:$A,$B$4,'Data - Monthly Metrics'!$B:$B,P$8,'Data - Monthly Metrics'!$C:$C,"Snohomish",'Data - Monthly Metrics'!$D:$D,"Goal - Penetration %")-0.05)</formula>
    </cfRule>
    <cfRule type="expression" rank="0" priority="225" equalAverage="0" aboveAverage="0" dxfId="1" stopIfTrue="1" text="" percent="0" bottom="0">
      <formula>AND(ISNUMBER(P80),COUNTIFS('Data - Monthly Metrics'!$A:$A,$B$4,'Data - Monthly Metrics'!$B:$B,P$8,'Data - Monthly Metrics'!$C:$C,"Snohomish",'Data - Monthly Metrics'!$D:$D,"Goal - Penetration %")&gt;0)</formula>
    </cfRule>
  </conditionalFormatting>
  <conditionalFormatting sqref="B114">
    <cfRule type="expression" rank="0" priority="226" equalAverage="0" aboveAverage="0" dxfId="0" stopIfTrue="1" text="" percent="0" bottom="0">
      <formula>AND(ISNUMBER(B114),COUNTIFS('Data - Monthly Metrics'!$A:$A,$B$4-1,'Data - Monthly Metrics'!$B:$B,B$8,'Data - Monthly Metrics'!$C:$C,"Snohomish",'Data - Monthly Metrics'!$D:$D,"Goal - Penetration %")&gt;0,B114&gt;=SUMIFS('Data - Monthly Metrics'!$E:$E,'Data - Monthly Metrics'!$A:$A,$B$4-1,'Data - Monthly Metrics'!$B:$B,B$8,'Data - Monthly Metrics'!$C:$C,"Snohomish",'Data - Monthly Metrics'!$D:$D,"Goal - Penetration %"))</formula>
    </cfRule>
    <cfRule type="expression" rank="0" priority="227" equalAverage="0" aboveAverage="0" dxfId="2" stopIfTrue="1" text="" percent="0" bottom="0">
      <formula>AND(ISNUMBER(B114),COUNTIFS('Data - Monthly Metrics'!$A:$A,$B$4-1,'Data - Monthly Metrics'!$B:$B,B$8,'Data - Monthly Metrics'!$C:$C,"Snohomish",'Data - Monthly Metrics'!$D:$D,"Goal - Penetration %")&gt;0,B114&gt;=SUMIFS('Data - Monthly Metrics'!$E:$E,'Data - Monthly Metrics'!$A:$A,$B$4-1,'Data - Monthly Metrics'!$B:$B,B$8,'Data - Monthly Metrics'!$C:$C,"Snohomish",'Data - Monthly Metrics'!$D:$D,"Goal - Penetration %")-0.05)</formula>
    </cfRule>
    <cfRule type="expression" rank="0" priority="228" equalAverage="0" aboveAverage="0" dxfId="1" stopIfTrue="1" text="" percent="0" bottom="0">
      <formula>AND(ISNUMBER(B114),COUNTIFS('Data - Monthly Metrics'!$A:$A,$B$4-1,'Data - Monthly Metrics'!$B:$B,B$8,'Data - Monthly Metrics'!$C:$C,"Snohomish",'Data - Monthly Metrics'!$D:$D,"Goal - Penetration %")&gt;0)</formula>
    </cfRule>
  </conditionalFormatting>
  <conditionalFormatting sqref="C114">
    <cfRule type="expression" rank="0" priority="229" equalAverage="0" aboveAverage="0" dxfId="0" stopIfTrue="1" text="" percent="0" bottom="0">
      <formula>AND(ISNUMBER(C114),COUNTIFS('Data - Monthly Metrics'!$A:$A,$B$4-1,'Data - Monthly Metrics'!$B:$B,C$8,'Data - Monthly Metrics'!$C:$C,"Snohomish",'Data - Monthly Metrics'!$D:$D,"Goal - Penetration %")&gt;0,C114&gt;=SUMIFS('Data - Monthly Metrics'!$E:$E,'Data - Monthly Metrics'!$A:$A,$B$4-1,'Data - Monthly Metrics'!$B:$B,C$8,'Data - Monthly Metrics'!$C:$C,"Snohomish",'Data - Monthly Metrics'!$D:$D,"Goal - Penetration %"))</formula>
    </cfRule>
    <cfRule type="expression" rank="0" priority="230" equalAverage="0" aboveAverage="0" dxfId="2" stopIfTrue="1" text="" percent="0" bottom="0">
      <formula>AND(ISNUMBER(C114),COUNTIFS('Data - Monthly Metrics'!$A:$A,$B$4-1,'Data - Monthly Metrics'!$B:$B,C$8,'Data - Monthly Metrics'!$C:$C,"Snohomish",'Data - Monthly Metrics'!$D:$D,"Goal - Penetration %")&gt;0,C114&gt;=SUMIFS('Data - Monthly Metrics'!$E:$E,'Data - Monthly Metrics'!$A:$A,$B$4-1,'Data - Monthly Metrics'!$B:$B,C$8,'Data - Monthly Metrics'!$C:$C,"Snohomish",'Data - Monthly Metrics'!$D:$D,"Goal - Penetration %")-0.05)</formula>
    </cfRule>
    <cfRule type="expression" rank="0" priority="231" equalAverage="0" aboveAverage="0" dxfId="1" stopIfTrue="1" text="" percent="0" bottom="0">
      <formula>AND(ISNUMBER(C114),COUNTIFS('Data - Monthly Metrics'!$A:$A,$B$4-1,'Data - Monthly Metrics'!$B:$B,C$8,'Data - Monthly Metrics'!$C:$C,"Snohomish",'Data - Monthly Metrics'!$D:$D,"Goal - Penetration %")&gt;0)</formula>
    </cfRule>
  </conditionalFormatting>
  <conditionalFormatting sqref="D114">
    <cfRule type="expression" rank="0" priority="232" equalAverage="0" aboveAverage="0" dxfId="0" stopIfTrue="1" text="" percent="0" bottom="0">
      <formula>AND(ISNUMBER(D114),COUNTIFS('Data - Monthly Metrics'!$A:$A,$B$4-1,'Data - Monthly Metrics'!$B:$B,D$8,'Data - Monthly Metrics'!$C:$C,"Snohomish",'Data - Monthly Metrics'!$D:$D,"Goal - Penetration %")&gt;0,D114&gt;=SUMIFS('Data - Monthly Metrics'!$E:$E,'Data - Monthly Metrics'!$A:$A,$B$4-1,'Data - Monthly Metrics'!$B:$B,D$8,'Data - Monthly Metrics'!$C:$C,"Snohomish",'Data - Monthly Metrics'!$D:$D,"Goal - Penetration %"))</formula>
    </cfRule>
    <cfRule type="expression" rank="0" priority="233" equalAverage="0" aboveAverage="0" dxfId="2" stopIfTrue="1" text="" percent="0" bottom="0">
      <formula>AND(ISNUMBER(D114),COUNTIFS('Data - Monthly Metrics'!$A:$A,$B$4-1,'Data - Monthly Metrics'!$B:$B,D$8,'Data - Monthly Metrics'!$C:$C,"Snohomish",'Data - Monthly Metrics'!$D:$D,"Goal - Penetration %")&gt;0,D114&gt;=SUMIFS('Data - Monthly Metrics'!$E:$E,'Data - Monthly Metrics'!$A:$A,$B$4-1,'Data - Monthly Metrics'!$B:$B,D$8,'Data - Monthly Metrics'!$C:$C,"Snohomish",'Data - Monthly Metrics'!$D:$D,"Goal - Penetration %")-0.05)</formula>
    </cfRule>
    <cfRule type="expression" rank="0" priority="234" equalAverage="0" aboveAverage="0" dxfId="1" stopIfTrue="1" text="" percent="0" bottom="0">
      <formula>AND(ISNUMBER(D114),COUNTIFS('Data - Monthly Metrics'!$A:$A,$B$4-1,'Data - Monthly Metrics'!$B:$B,D$8,'Data - Monthly Metrics'!$C:$C,"Snohomish",'Data - Monthly Metrics'!$D:$D,"Goal - Penetration %")&gt;0)</formula>
    </cfRule>
  </conditionalFormatting>
  <conditionalFormatting sqref="F114">
    <cfRule type="expression" rank="0" priority="235" equalAverage="0" aboveAverage="0" dxfId="0" stopIfTrue="1" text="" percent="0" bottom="0">
      <formula>AND(ISNUMBER(F114),COUNTIFS('Data - Monthly Metrics'!$A:$A,$B$4,'Data - Monthly Metrics'!$B:$B,F$8,'Data - Monthly Metrics'!$C:$C,"Snohomish",'Data - Monthly Metrics'!$D:$D,"Goal - Penetration %")&gt;0,F114&gt;=SUMIFS('Data - Monthly Metrics'!$E:$E,'Data - Monthly Metrics'!$A:$A,$B$4,'Data - Monthly Metrics'!$B:$B,F$8,'Data - Monthly Metrics'!$C:$C,"Snohomish",'Data - Monthly Metrics'!$D:$D,"Goal - Penetration %"))</formula>
    </cfRule>
    <cfRule type="expression" rank="0" priority="236" equalAverage="0" aboveAverage="0" dxfId="2" stopIfTrue="1" text="" percent="0" bottom="0">
      <formula>AND(ISNUMBER(F114),COUNTIFS('Data - Monthly Metrics'!$A:$A,$B$4,'Data - Monthly Metrics'!$B:$B,F$8,'Data - Monthly Metrics'!$C:$C,"Snohomish",'Data - Monthly Metrics'!$D:$D,"Goal - Penetration %")&gt;0,F114&gt;=SUMIFS('Data - Monthly Metrics'!$E:$E,'Data - Monthly Metrics'!$A:$A,$B$4,'Data - Monthly Metrics'!$B:$B,F$8,'Data - Monthly Metrics'!$C:$C,"Snohomish",'Data - Monthly Metrics'!$D:$D,"Goal - Penetration %")-0.05)</formula>
    </cfRule>
    <cfRule type="expression" rank="0" priority="237" equalAverage="0" aboveAverage="0" dxfId="1" stopIfTrue="1" text="" percent="0" bottom="0">
      <formula>AND(ISNUMBER(F114),COUNTIFS('Data - Monthly Metrics'!$A:$A,$B$4,'Data - Monthly Metrics'!$B:$B,F$8,'Data - Monthly Metrics'!$C:$C,"Snohomish",'Data - Monthly Metrics'!$D:$D,"Goal - Penetration %")&gt;0)</formula>
    </cfRule>
  </conditionalFormatting>
  <conditionalFormatting sqref="G114">
    <cfRule type="expression" rank="0" priority="238" equalAverage="0" aboveAverage="0" dxfId="0" stopIfTrue="1" text="" percent="0" bottom="0">
      <formula>AND(ISNUMBER(G114),COUNTIFS('Data - Monthly Metrics'!$A:$A,$B$4,'Data - Monthly Metrics'!$B:$B,G$8,'Data - Monthly Metrics'!$C:$C,"Snohomish",'Data - Monthly Metrics'!$D:$D,"Goal - Penetration %")&gt;0,G114&gt;=SUMIFS('Data - Monthly Metrics'!$E:$E,'Data - Monthly Metrics'!$A:$A,$B$4,'Data - Monthly Metrics'!$B:$B,G$8,'Data - Monthly Metrics'!$C:$C,"Snohomish",'Data - Monthly Metrics'!$D:$D,"Goal - Penetration %"))</formula>
    </cfRule>
    <cfRule type="expression" rank="0" priority="239" equalAverage="0" aboveAverage="0" dxfId="2" stopIfTrue="1" text="" percent="0" bottom="0">
      <formula>AND(ISNUMBER(G114),COUNTIFS('Data - Monthly Metrics'!$A:$A,$B$4,'Data - Monthly Metrics'!$B:$B,G$8,'Data - Monthly Metrics'!$C:$C,"Snohomish",'Data - Monthly Metrics'!$D:$D,"Goal - Penetration %")&gt;0,G114&gt;=SUMIFS('Data - Monthly Metrics'!$E:$E,'Data - Monthly Metrics'!$A:$A,$B$4,'Data - Monthly Metrics'!$B:$B,G$8,'Data - Monthly Metrics'!$C:$C,"Snohomish",'Data - Monthly Metrics'!$D:$D,"Goal - Penetration %")-0.05)</formula>
    </cfRule>
    <cfRule type="expression" rank="0" priority="240" equalAverage="0" aboveAverage="0" dxfId="1" stopIfTrue="1" text="" percent="0" bottom="0">
      <formula>AND(ISNUMBER(G114),COUNTIFS('Data - Monthly Metrics'!$A:$A,$B$4,'Data - Monthly Metrics'!$B:$B,G$8,'Data - Monthly Metrics'!$C:$C,"Snohomish",'Data - Monthly Metrics'!$D:$D,"Goal - Penetration %")&gt;0)</formula>
    </cfRule>
  </conditionalFormatting>
  <conditionalFormatting sqref="H114">
    <cfRule type="expression" rank="0" priority="241" equalAverage="0" aboveAverage="0" dxfId="0" stopIfTrue="1" text="" percent="0" bottom="0">
      <formula>AND(ISNUMBER(H114),COUNTIFS('Data - Monthly Metrics'!$A:$A,$B$4,'Data - Monthly Metrics'!$B:$B,H$8,'Data - Monthly Metrics'!$C:$C,"Snohomish",'Data - Monthly Metrics'!$D:$D,"Goal - Penetration %")&gt;0,H114&gt;=SUMIFS('Data - Monthly Metrics'!$E:$E,'Data - Monthly Metrics'!$A:$A,$B$4,'Data - Monthly Metrics'!$B:$B,H$8,'Data - Monthly Metrics'!$C:$C,"Snohomish",'Data - Monthly Metrics'!$D:$D,"Goal - Penetration %"))</formula>
    </cfRule>
    <cfRule type="expression" rank="0" priority="242" equalAverage="0" aboveAverage="0" dxfId="2" stopIfTrue="1" text="" percent="0" bottom="0">
      <formula>AND(ISNUMBER(H114),COUNTIFS('Data - Monthly Metrics'!$A:$A,$B$4,'Data - Monthly Metrics'!$B:$B,H$8,'Data - Monthly Metrics'!$C:$C,"Snohomish",'Data - Monthly Metrics'!$D:$D,"Goal - Penetration %")&gt;0,H114&gt;=SUMIFS('Data - Monthly Metrics'!$E:$E,'Data - Monthly Metrics'!$A:$A,$B$4,'Data - Monthly Metrics'!$B:$B,H$8,'Data - Monthly Metrics'!$C:$C,"Snohomish",'Data - Monthly Metrics'!$D:$D,"Goal - Penetration %")-0.05)</formula>
    </cfRule>
    <cfRule type="expression" rank="0" priority="243" equalAverage="0" aboveAverage="0" dxfId="1" stopIfTrue="1" text="" percent="0" bottom="0">
      <formula>AND(ISNUMBER(H114),COUNTIFS('Data - Monthly Metrics'!$A:$A,$B$4,'Data - Monthly Metrics'!$B:$B,H$8,'Data - Monthly Metrics'!$C:$C,"Snohomish",'Data - Monthly Metrics'!$D:$D,"Goal - Penetration %")&gt;0)</formula>
    </cfRule>
  </conditionalFormatting>
  <conditionalFormatting sqref="J114">
    <cfRule type="expression" rank="0" priority="244" equalAverage="0" aboveAverage="0" dxfId="0" stopIfTrue="1" text="" percent="0" bottom="0">
      <formula>AND(ISNUMBER(J114),COUNTIFS('Data - Monthly Metrics'!$A:$A,$B$4,'Data - Monthly Metrics'!$B:$B,J$8,'Data - Monthly Metrics'!$C:$C,"Snohomish",'Data - Monthly Metrics'!$D:$D,"Goal - Penetration %")&gt;0,J114&gt;=SUMIFS('Data - Monthly Metrics'!$E:$E,'Data - Monthly Metrics'!$A:$A,$B$4,'Data - Monthly Metrics'!$B:$B,J$8,'Data - Monthly Metrics'!$C:$C,"Snohomish",'Data - Monthly Metrics'!$D:$D,"Goal - Penetration %"))</formula>
    </cfRule>
    <cfRule type="expression" rank="0" priority="245" equalAverage="0" aboveAverage="0" dxfId="2" stopIfTrue="1" text="" percent="0" bottom="0">
      <formula>AND(ISNUMBER(J114),COUNTIFS('Data - Monthly Metrics'!$A:$A,$B$4,'Data - Monthly Metrics'!$B:$B,J$8,'Data - Monthly Metrics'!$C:$C,"Snohomish",'Data - Monthly Metrics'!$D:$D,"Goal - Penetration %")&gt;0,J114&gt;=SUMIFS('Data - Monthly Metrics'!$E:$E,'Data - Monthly Metrics'!$A:$A,$B$4,'Data - Monthly Metrics'!$B:$B,J$8,'Data - Monthly Metrics'!$C:$C,"Snohomish",'Data - Monthly Metrics'!$D:$D,"Goal - Penetration %")-0.05)</formula>
    </cfRule>
    <cfRule type="expression" rank="0" priority="246" equalAverage="0" aboveAverage="0" dxfId="1" stopIfTrue="1" text="" percent="0" bottom="0">
      <formula>AND(ISNUMBER(J114),COUNTIFS('Data - Monthly Metrics'!$A:$A,$B$4,'Data - Monthly Metrics'!$B:$B,J$8,'Data - Monthly Metrics'!$C:$C,"Snohomish",'Data - Monthly Metrics'!$D:$D,"Goal - Penetration %")&gt;0)</formula>
    </cfRule>
  </conditionalFormatting>
  <conditionalFormatting sqref="K114">
    <cfRule type="expression" rank="0" priority="247" equalAverage="0" aboveAverage="0" dxfId="0" stopIfTrue="1" text="" percent="0" bottom="0">
      <formula>AND(ISNUMBER(K114),COUNTIFS('Data - Monthly Metrics'!$A:$A,$B$4,'Data - Monthly Metrics'!$B:$B,K$8,'Data - Monthly Metrics'!$C:$C,"Snohomish",'Data - Monthly Metrics'!$D:$D,"Goal - Penetration %")&gt;0,K114&gt;=SUMIFS('Data - Monthly Metrics'!$E:$E,'Data - Monthly Metrics'!$A:$A,$B$4,'Data - Monthly Metrics'!$B:$B,K$8,'Data - Monthly Metrics'!$C:$C,"Snohomish",'Data - Monthly Metrics'!$D:$D,"Goal - Penetration %"))</formula>
    </cfRule>
    <cfRule type="expression" rank="0" priority="248" equalAverage="0" aboveAverage="0" dxfId="2" stopIfTrue="1" text="" percent="0" bottom="0">
      <formula>AND(ISNUMBER(K114),COUNTIFS('Data - Monthly Metrics'!$A:$A,$B$4,'Data - Monthly Metrics'!$B:$B,K$8,'Data - Monthly Metrics'!$C:$C,"Snohomish",'Data - Monthly Metrics'!$D:$D,"Goal - Penetration %")&gt;0,K114&gt;=SUMIFS('Data - Monthly Metrics'!$E:$E,'Data - Monthly Metrics'!$A:$A,$B$4,'Data - Monthly Metrics'!$B:$B,K$8,'Data - Monthly Metrics'!$C:$C,"Snohomish",'Data - Monthly Metrics'!$D:$D,"Goal - Penetration %")-0.05)</formula>
    </cfRule>
    <cfRule type="expression" rank="0" priority="249" equalAverage="0" aboveAverage="0" dxfId="1" stopIfTrue="1" text="" percent="0" bottom="0">
      <formula>AND(ISNUMBER(K114),COUNTIFS('Data - Monthly Metrics'!$A:$A,$B$4,'Data - Monthly Metrics'!$B:$B,K$8,'Data - Monthly Metrics'!$C:$C,"Snohomish",'Data - Monthly Metrics'!$D:$D,"Goal - Penetration %")&gt;0)</formula>
    </cfRule>
  </conditionalFormatting>
  <conditionalFormatting sqref="L114">
    <cfRule type="expression" rank="0" priority="250" equalAverage="0" aboveAverage="0" dxfId="0" stopIfTrue="1" text="" percent="0" bottom="0">
      <formula>AND(ISNUMBER(L114),COUNTIFS('Data - Monthly Metrics'!$A:$A,$B$4,'Data - Monthly Metrics'!$B:$B,L$8,'Data - Monthly Metrics'!$C:$C,"Snohomish",'Data - Monthly Metrics'!$D:$D,"Goal - Penetration %")&gt;0,L114&gt;=SUMIFS('Data - Monthly Metrics'!$E:$E,'Data - Monthly Metrics'!$A:$A,$B$4,'Data - Monthly Metrics'!$B:$B,L$8,'Data - Monthly Metrics'!$C:$C,"Snohomish",'Data - Monthly Metrics'!$D:$D,"Goal - Penetration %"))</formula>
    </cfRule>
    <cfRule type="expression" rank="0" priority="251" equalAverage="0" aboveAverage="0" dxfId="2" stopIfTrue="1" text="" percent="0" bottom="0">
      <formula>AND(ISNUMBER(L114),COUNTIFS('Data - Monthly Metrics'!$A:$A,$B$4,'Data - Monthly Metrics'!$B:$B,L$8,'Data - Monthly Metrics'!$C:$C,"Snohomish",'Data - Monthly Metrics'!$D:$D,"Goal - Penetration %")&gt;0,L114&gt;=SUMIFS('Data - Monthly Metrics'!$E:$E,'Data - Monthly Metrics'!$A:$A,$B$4,'Data - Monthly Metrics'!$B:$B,L$8,'Data - Monthly Metrics'!$C:$C,"Snohomish",'Data - Monthly Metrics'!$D:$D,"Goal - Penetration %")-0.05)</formula>
    </cfRule>
    <cfRule type="expression" rank="0" priority="252" equalAverage="0" aboveAverage="0" dxfId="1" stopIfTrue="1" text="" percent="0" bottom="0">
      <formula>AND(ISNUMBER(L114),COUNTIFS('Data - Monthly Metrics'!$A:$A,$B$4,'Data - Monthly Metrics'!$B:$B,L$8,'Data - Monthly Metrics'!$C:$C,"Snohomish",'Data - Monthly Metrics'!$D:$D,"Goal - Penetration %")&gt;0)</formula>
    </cfRule>
  </conditionalFormatting>
  <conditionalFormatting sqref="N114">
    <cfRule type="expression" rank="0" priority="253" equalAverage="0" aboveAverage="0" dxfId="0" stopIfTrue="1" text="" percent="0" bottom="0">
      <formula>AND(ISNUMBER(N114),COUNTIFS('Data - Monthly Metrics'!$A:$A,$B$4,'Data - Monthly Metrics'!$B:$B,N$8,'Data - Monthly Metrics'!$C:$C,"Snohomish",'Data - Monthly Metrics'!$D:$D,"Goal - Penetration %")&gt;0,N114&gt;=SUMIFS('Data - Monthly Metrics'!$E:$E,'Data - Monthly Metrics'!$A:$A,$B$4,'Data - Monthly Metrics'!$B:$B,N$8,'Data - Monthly Metrics'!$C:$C,"Snohomish",'Data - Monthly Metrics'!$D:$D,"Goal - Penetration %"))</formula>
    </cfRule>
    <cfRule type="expression" rank="0" priority="254" equalAverage="0" aboveAverage="0" dxfId="2" stopIfTrue="1" text="" percent="0" bottom="0">
      <formula>AND(ISNUMBER(N114),COUNTIFS('Data - Monthly Metrics'!$A:$A,$B$4,'Data - Monthly Metrics'!$B:$B,N$8,'Data - Monthly Metrics'!$C:$C,"Snohomish",'Data - Monthly Metrics'!$D:$D,"Goal - Penetration %")&gt;0,N114&gt;=SUMIFS('Data - Monthly Metrics'!$E:$E,'Data - Monthly Metrics'!$A:$A,$B$4,'Data - Monthly Metrics'!$B:$B,N$8,'Data - Monthly Metrics'!$C:$C,"Snohomish",'Data - Monthly Metrics'!$D:$D,"Goal - Penetration %")-0.05)</formula>
    </cfRule>
    <cfRule type="expression" rank="0" priority="255" equalAverage="0" aboveAverage="0" dxfId="1" stopIfTrue="1" text="" percent="0" bottom="0">
      <formula>AND(ISNUMBER(N114),COUNTIFS('Data - Monthly Metrics'!$A:$A,$B$4,'Data - Monthly Metrics'!$B:$B,N$8,'Data - Monthly Metrics'!$C:$C,"Snohomish",'Data - Monthly Metrics'!$D:$D,"Goal - Penetration %")&gt;0)</formula>
    </cfRule>
  </conditionalFormatting>
  <conditionalFormatting sqref="O114">
    <cfRule type="expression" rank="0" priority="256" equalAverage="0" aboveAverage="0" dxfId="0" stopIfTrue="1" text="" percent="0" bottom="0">
      <formula>AND(ISNUMBER(O114),COUNTIFS('Data - Monthly Metrics'!$A:$A,$B$4,'Data - Monthly Metrics'!$B:$B,O$8,'Data - Monthly Metrics'!$C:$C,"Snohomish",'Data - Monthly Metrics'!$D:$D,"Goal - Penetration %")&gt;0,O114&gt;=SUMIFS('Data - Monthly Metrics'!$E:$E,'Data - Monthly Metrics'!$A:$A,$B$4,'Data - Monthly Metrics'!$B:$B,O$8,'Data - Monthly Metrics'!$C:$C,"Snohomish",'Data - Monthly Metrics'!$D:$D,"Goal - Penetration %"))</formula>
    </cfRule>
    <cfRule type="expression" rank="0" priority="257" equalAverage="0" aboveAverage="0" dxfId="2" stopIfTrue="1" text="" percent="0" bottom="0">
      <formula>AND(ISNUMBER(O114),COUNTIFS('Data - Monthly Metrics'!$A:$A,$B$4,'Data - Monthly Metrics'!$B:$B,O$8,'Data - Monthly Metrics'!$C:$C,"Snohomish",'Data - Monthly Metrics'!$D:$D,"Goal - Penetration %")&gt;0,O114&gt;=SUMIFS('Data - Monthly Metrics'!$E:$E,'Data - Monthly Metrics'!$A:$A,$B$4,'Data - Monthly Metrics'!$B:$B,O$8,'Data - Monthly Metrics'!$C:$C,"Snohomish",'Data - Monthly Metrics'!$D:$D,"Goal - Penetration %")-0.05)</formula>
    </cfRule>
    <cfRule type="expression" rank="0" priority="258" equalAverage="0" aboveAverage="0" dxfId="1" stopIfTrue="1" text="" percent="0" bottom="0">
      <formula>AND(ISNUMBER(O114),COUNTIFS('Data - Monthly Metrics'!$A:$A,$B$4,'Data - Monthly Metrics'!$B:$B,O$8,'Data - Monthly Metrics'!$C:$C,"Snohomish",'Data - Monthly Metrics'!$D:$D,"Goal - Penetration %")&gt;0)</formula>
    </cfRule>
  </conditionalFormatting>
  <conditionalFormatting sqref="P114">
    <cfRule type="expression" rank="0" priority="259" equalAverage="0" aboveAverage="0" dxfId="0" stopIfTrue="1" text="" percent="0" bottom="0">
      <formula>AND(ISNUMBER(P114),COUNTIFS('Data - Monthly Metrics'!$A:$A,$B$4,'Data - Monthly Metrics'!$B:$B,P$8,'Data - Monthly Metrics'!$C:$C,"Snohomish",'Data - Monthly Metrics'!$D:$D,"Goal - Penetration %")&gt;0,P114&gt;=SUMIFS('Data - Monthly Metrics'!$E:$E,'Data - Monthly Metrics'!$A:$A,$B$4,'Data - Monthly Metrics'!$B:$B,P$8,'Data - Monthly Metrics'!$C:$C,"Snohomish",'Data - Monthly Metrics'!$D:$D,"Goal - Penetration %"))</formula>
    </cfRule>
    <cfRule type="expression" rank="0" priority="260" equalAverage="0" aboveAverage="0" dxfId="2" stopIfTrue="1" text="" percent="0" bottom="0">
      <formula>AND(ISNUMBER(P114),COUNTIFS('Data - Monthly Metrics'!$A:$A,$B$4,'Data - Monthly Metrics'!$B:$B,P$8,'Data - Monthly Metrics'!$C:$C,"Snohomish",'Data - Monthly Metrics'!$D:$D,"Goal - Penetration %")&gt;0,P114&gt;=SUMIFS('Data - Monthly Metrics'!$E:$E,'Data - Monthly Metrics'!$A:$A,$B$4,'Data - Monthly Metrics'!$B:$B,P$8,'Data - Monthly Metrics'!$C:$C,"Snohomish",'Data - Monthly Metrics'!$D:$D,"Goal - Penetration %")-0.05)</formula>
    </cfRule>
    <cfRule type="expression" rank="0" priority="261" equalAverage="0" aboveAverage="0" dxfId="1" stopIfTrue="1" text="" percent="0" bottom="0">
      <formula>AND(ISNUMBER(P114),COUNTIFS('Data - Monthly Metrics'!$A:$A,$B$4,'Data - Monthly Metrics'!$B:$B,P$8,'Data - Monthly Metrics'!$C:$C,"Snohomish",'Data - Monthly Metrics'!$D:$D,"Goal - Penetration %")&gt;0)</formula>
    </cfRule>
  </conditionalFormatting>
  <conditionalFormatting sqref="B115">
    <cfRule type="expression" rank="0" priority="262" equalAverage="0" aboveAverage="0" dxfId="0" stopIfTrue="1" text="" percent="0" bottom="0">
      <formula>AND(ISNUMBER(B115),COUNTIFS('Data - Monthly Metrics'!$A:$A,$B$4-1,'Data - Monthly Metrics'!$B:$B,B$8,'Data - Monthly Metrics'!$C:$C,"Snohomish",'Data - Monthly Metrics'!$D:$D,"Goal - Penetration %")&gt;0,B115&gt;=SUMIFS('Data - Monthly Metrics'!$E:$E,'Data - Monthly Metrics'!$A:$A,$B$4-1,'Data - Monthly Metrics'!$B:$B,B$8,'Data - Monthly Metrics'!$C:$C,"Snohomish",'Data - Monthly Metrics'!$D:$D,"Goal - Penetration %"))</formula>
    </cfRule>
    <cfRule type="expression" rank="0" priority="263" equalAverage="0" aboveAverage="0" dxfId="2" stopIfTrue="1" text="" percent="0" bottom="0">
      <formula>AND(ISNUMBER(B115),COUNTIFS('Data - Monthly Metrics'!$A:$A,$B$4-1,'Data - Monthly Metrics'!$B:$B,B$8,'Data - Monthly Metrics'!$C:$C,"Snohomish",'Data - Monthly Metrics'!$D:$D,"Goal - Penetration %")&gt;0,B115&gt;=SUMIFS('Data - Monthly Metrics'!$E:$E,'Data - Monthly Metrics'!$A:$A,$B$4-1,'Data - Monthly Metrics'!$B:$B,B$8,'Data - Monthly Metrics'!$C:$C,"Snohomish",'Data - Monthly Metrics'!$D:$D,"Goal - Penetration %")-0.05)</formula>
    </cfRule>
    <cfRule type="expression" rank="0" priority="264" equalAverage="0" aboveAverage="0" dxfId="1" stopIfTrue="1" text="" percent="0" bottom="0">
      <formula>AND(ISNUMBER(B115),COUNTIFS('Data - Monthly Metrics'!$A:$A,$B$4-1,'Data - Monthly Metrics'!$B:$B,B$8,'Data - Monthly Metrics'!$C:$C,"Snohomish",'Data - Monthly Metrics'!$D:$D,"Goal - Penetration %")&gt;0)</formula>
    </cfRule>
  </conditionalFormatting>
  <conditionalFormatting sqref="C115">
    <cfRule type="expression" rank="0" priority="265" equalAverage="0" aboveAverage="0" dxfId="0" stopIfTrue="1" text="" percent="0" bottom="0">
      <formula>AND(ISNUMBER(C115),COUNTIFS('Data - Monthly Metrics'!$A:$A,$B$4-1,'Data - Monthly Metrics'!$B:$B,C$8,'Data - Monthly Metrics'!$C:$C,"Snohomish",'Data - Monthly Metrics'!$D:$D,"Goal - Penetration %")&gt;0,C115&gt;=SUMIFS('Data - Monthly Metrics'!$E:$E,'Data - Monthly Metrics'!$A:$A,$B$4-1,'Data - Monthly Metrics'!$B:$B,C$8,'Data - Monthly Metrics'!$C:$C,"Snohomish",'Data - Monthly Metrics'!$D:$D,"Goal - Penetration %"))</formula>
    </cfRule>
    <cfRule type="expression" rank="0" priority="266" equalAverage="0" aboveAverage="0" dxfId="2" stopIfTrue="1" text="" percent="0" bottom="0">
      <formula>AND(ISNUMBER(C115),COUNTIFS('Data - Monthly Metrics'!$A:$A,$B$4-1,'Data - Monthly Metrics'!$B:$B,C$8,'Data - Monthly Metrics'!$C:$C,"Snohomish",'Data - Monthly Metrics'!$D:$D,"Goal - Penetration %")&gt;0,C115&gt;=SUMIFS('Data - Monthly Metrics'!$E:$E,'Data - Monthly Metrics'!$A:$A,$B$4-1,'Data - Monthly Metrics'!$B:$B,C$8,'Data - Monthly Metrics'!$C:$C,"Snohomish",'Data - Monthly Metrics'!$D:$D,"Goal - Penetration %")-0.05)</formula>
    </cfRule>
    <cfRule type="expression" rank="0" priority="267" equalAverage="0" aboveAverage="0" dxfId="1" stopIfTrue="1" text="" percent="0" bottom="0">
      <formula>AND(ISNUMBER(C115),COUNTIFS('Data - Monthly Metrics'!$A:$A,$B$4-1,'Data - Monthly Metrics'!$B:$B,C$8,'Data - Monthly Metrics'!$C:$C,"Snohomish",'Data - Monthly Metrics'!$D:$D,"Goal - Penetration %")&gt;0)</formula>
    </cfRule>
  </conditionalFormatting>
  <conditionalFormatting sqref="D115">
    <cfRule type="expression" rank="0" priority="268" equalAverage="0" aboveAverage="0" dxfId="0" stopIfTrue="1" text="" percent="0" bottom="0">
      <formula>AND(ISNUMBER(D115),COUNTIFS('Data - Monthly Metrics'!$A:$A,$B$4-1,'Data - Monthly Metrics'!$B:$B,D$8,'Data - Monthly Metrics'!$C:$C,"Snohomish",'Data - Monthly Metrics'!$D:$D,"Goal - Penetration %")&gt;0,D115&gt;=SUMIFS('Data - Monthly Metrics'!$E:$E,'Data - Monthly Metrics'!$A:$A,$B$4-1,'Data - Monthly Metrics'!$B:$B,D$8,'Data - Monthly Metrics'!$C:$C,"Snohomish",'Data - Monthly Metrics'!$D:$D,"Goal - Penetration %"))</formula>
    </cfRule>
    <cfRule type="expression" rank="0" priority="269" equalAverage="0" aboveAverage="0" dxfId="2" stopIfTrue="1" text="" percent="0" bottom="0">
      <formula>AND(ISNUMBER(D115),COUNTIFS('Data - Monthly Metrics'!$A:$A,$B$4-1,'Data - Monthly Metrics'!$B:$B,D$8,'Data - Monthly Metrics'!$C:$C,"Snohomish",'Data - Monthly Metrics'!$D:$D,"Goal - Penetration %")&gt;0,D115&gt;=SUMIFS('Data - Monthly Metrics'!$E:$E,'Data - Monthly Metrics'!$A:$A,$B$4-1,'Data - Monthly Metrics'!$B:$B,D$8,'Data - Monthly Metrics'!$C:$C,"Snohomish",'Data - Monthly Metrics'!$D:$D,"Goal - Penetration %")-0.05)</formula>
    </cfRule>
    <cfRule type="expression" rank="0" priority="270" equalAverage="0" aboveAverage="0" dxfId="1" stopIfTrue="1" text="" percent="0" bottom="0">
      <formula>AND(ISNUMBER(D115),COUNTIFS('Data - Monthly Metrics'!$A:$A,$B$4-1,'Data - Monthly Metrics'!$B:$B,D$8,'Data - Monthly Metrics'!$C:$C,"Snohomish",'Data - Monthly Metrics'!$D:$D,"Goal - Penetration %")&gt;0)</formula>
    </cfRule>
  </conditionalFormatting>
  <conditionalFormatting sqref="F115">
    <cfRule type="expression" rank="0" priority="271" equalAverage="0" aboveAverage="0" dxfId="0" stopIfTrue="1" text="" percent="0" bottom="0">
      <formula>AND(ISNUMBER(F115),COUNTIFS('Data - Monthly Metrics'!$A:$A,$B$4,'Data - Monthly Metrics'!$B:$B,F$8,'Data - Monthly Metrics'!$C:$C,"Snohomish",'Data - Monthly Metrics'!$D:$D,"Goal - Penetration %")&gt;0,F115&gt;=SUMIFS('Data - Monthly Metrics'!$E:$E,'Data - Monthly Metrics'!$A:$A,$B$4,'Data - Monthly Metrics'!$B:$B,F$8,'Data - Monthly Metrics'!$C:$C,"Snohomish",'Data - Monthly Metrics'!$D:$D,"Goal - Penetration %"))</formula>
    </cfRule>
    <cfRule type="expression" rank="0" priority="272" equalAverage="0" aboveAverage="0" dxfId="2" stopIfTrue="1" text="" percent="0" bottom="0">
      <formula>AND(ISNUMBER(F115),COUNTIFS('Data - Monthly Metrics'!$A:$A,$B$4,'Data - Monthly Metrics'!$B:$B,F$8,'Data - Monthly Metrics'!$C:$C,"Snohomish",'Data - Monthly Metrics'!$D:$D,"Goal - Penetration %")&gt;0,F115&gt;=SUMIFS('Data - Monthly Metrics'!$E:$E,'Data - Monthly Metrics'!$A:$A,$B$4,'Data - Monthly Metrics'!$B:$B,F$8,'Data - Monthly Metrics'!$C:$C,"Snohomish",'Data - Monthly Metrics'!$D:$D,"Goal - Penetration %")-0.05)</formula>
    </cfRule>
    <cfRule type="expression" rank="0" priority="273" equalAverage="0" aboveAverage="0" dxfId="1" stopIfTrue="1" text="" percent="0" bottom="0">
      <formula>AND(ISNUMBER(F115),COUNTIFS('Data - Monthly Metrics'!$A:$A,$B$4,'Data - Monthly Metrics'!$B:$B,F$8,'Data - Monthly Metrics'!$C:$C,"Snohomish",'Data - Monthly Metrics'!$D:$D,"Goal - Penetration %")&gt;0)</formula>
    </cfRule>
  </conditionalFormatting>
  <conditionalFormatting sqref="G115">
    <cfRule type="expression" rank="0" priority="274" equalAverage="0" aboveAverage="0" dxfId="0" stopIfTrue="1" text="" percent="0" bottom="0">
      <formula>AND(ISNUMBER(G115),COUNTIFS('Data - Monthly Metrics'!$A:$A,$B$4,'Data - Monthly Metrics'!$B:$B,G$8,'Data - Monthly Metrics'!$C:$C,"Snohomish",'Data - Monthly Metrics'!$D:$D,"Goal - Penetration %")&gt;0,G115&gt;=SUMIFS('Data - Monthly Metrics'!$E:$E,'Data - Monthly Metrics'!$A:$A,$B$4,'Data - Monthly Metrics'!$B:$B,G$8,'Data - Monthly Metrics'!$C:$C,"Snohomish",'Data - Monthly Metrics'!$D:$D,"Goal - Penetration %"))</formula>
    </cfRule>
    <cfRule type="expression" rank="0" priority="275" equalAverage="0" aboveAverage="0" dxfId="2" stopIfTrue="1" text="" percent="0" bottom="0">
      <formula>AND(ISNUMBER(G115),COUNTIFS('Data - Monthly Metrics'!$A:$A,$B$4,'Data - Monthly Metrics'!$B:$B,G$8,'Data - Monthly Metrics'!$C:$C,"Snohomish",'Data - Monthly Metrics'!$D:$D,"Goal - Penetration %")&gt;0,G115&gt;=SUMIFS('Data - Monthly Metrics'!$E:$E,'Data - Monthly Metrics'!$A:$A,$B$4,'Data - Monthly Metrics'!$B:$B,G$8,'Data - Monthly Metrics'!$C:$C,"Snohomish",'Data - Monthly Metrics'!$D:$D,"Goal - Penetration %")-0.05)</formula>
    </cfRule>
    <cfRule type="expression" rank="0" priority="276" equalAverage="0" aboveAverage="0" dxfId="1" stopIfTrue="1" text="" percent="0" bottom="0">
      <formula>AND(ISNUMBER(G115),COUNTIFS('Data - Monthly Metrics'!$A:$A,$B$4,'Data - Monthly Metrics'!$B:$B,G$8,'Data - Monthly Metrics'!$C:$C,"Snohomish",'Data - Monthly Metrics'!$D:$D,"Goal - Penetration %")&gt;0)</formula>
    </cfRule>
  </conditionalFormatting>
  <conditionalFormatting sqref="H115">
    <cfRule type="expression" rank="0" priority="277" equalAverage="0" aboveAverage="0" dxfId="0" stopIfTrue="1" text="" percent="0" bottom="0">
      <formula>AND(ISNUMBER(H115),COUNTIFS('Data - Monthly Metrics'!$A:$A,$B$4,'Data - Monthly Metrics'!$B:$B,H$8,'Data - Monthly Metrics'!$C:$C,"Snohomish",'Data - Monthly Metrics'!$D:$D,"Goal - Penetration %")&gt;0,H115&gt;=SUMIFS('Data - Monthly Metrics'!$E:$E,'Data - Monthly Metrics'!$A:$A,$B$4,'Data - Monthly Metrics'!$B:$B,H$8,'Data - Monthly Metrics'!$C:$C,"Snohomish",'Data - Monthly Metrics'!$D:$D,"Goal - Penetration %"))</formula>
    </cfRule>
    <cfRule type="expression" rank="0" priority="278" equalAverage="0" aboveAverage="0" dxfId="2" stopIfTrue="1" text="" percent="0" bottom="0">
      <formula>AND(ISNUMBER(H115),COUNTIFS('Data - Monthly Metrics'!$A:$A,$B$4,'Data - Monthly Metrics'!$B:$B,H$8,'Data - Monthly Metrics'!$C:$C,"Snohomish",'Data - Monthly Metrics'!$D:$D,"Goal - Penetration %")&gt;0,H115&gt;=SUMIFS('Data - Monthly Metrics'!$E:$E,'Data - Monthly Metrics'!$A:$A,$B$4,'Data - Monthly Metrics'!$B:$B,H$8,'Data - Monthly Metrics'!$C:$C,"Snohomish",'Data - Monthly Metrics'!$D:$D,"Goal - Penetration %")-0.05)</formula>
    </cfRule>
    <cfRule type="expression" rank="0" priority="279" equalAverage="0" aboveAverage="0" dxfId="1" stopIfTrue="1" text="" percent="0" bottom="0">
      <formula>AND(ISNUMBER(H115),COUNTIFS('Data - Monthly Metrics'!$A:$A,$B$4,'Data - Monthly Metrics'!$B:$B,H$8,'Data - Monthly Metrics'!$C:$C,"Snohomish",'Data - Monthly Metrics'!$D:$D,"Goal - Penetration %")&gt;0)</formula>
    </cfRule>
  </conditionalFormatting>
  <conditionalFormatting sqref="J115">
    <cfRule type="expression" rank="0" priority="280" equalAverage="0" aboveAverage="0" dxfId="0" stopIfTrue="1" text="" percent="0" bottom="0">
      <formula>AND(ISNUMBER(J115),COUNTIFS('Data - Monthly Metrics'!$A:$A,$B$4,'Data - Monthly Metrics'!$B:$B,J$8,'Data - Monthly Metrics'!$C:$C,"Snohomish",'Data - Monthly Metrics'!$D:$D,"Goal - Penetration %")&gt;0,J115&gt;=SUMIFS('Data - Monthly Metrics'!$E:$E,'Data - Monthly Metrics'!$A:$A,$B$4,'Data - Monthly Metrics'!$B:$B,J$8,'Data - Monthly Metrics'!$C:$C,"Snohomish",'Data - Monthly Metrics'!$D:$D,"Goal - Penetration %"))</formula>
    </cfRule>
    <cfRule type="expression" rank="0" priority="281" equalAverage="0" aboveAverage="0" dxfId="2" stopIfTrue="1" text="" percent="0" bottom="0">
      <formula>AND(ISNUMBER(J115),COUNTIFS('Data - Monthly Metrics'!$A:$A,$B$4,'Data - Monthly Metrics'!$B:$B,J$8,'Data - Monthly Metrics'!$C:$C,"Snohomish",'Data - Monthly Metrics'!$D:$D,"Goal - Penetration %")&gt;0,J115&gt;=SUMIFS('Data - Monthly Metrics'!$E:$E,'Data - Monthly Metrics'!$A:$A,$B$4,'Data - Monthly Metrics'!$B:$B,J$8,'Data - Monthly Metrics'!$C:$C,"Snohomish",'Data - Monthly Metrics'!$D:$D,"Goal - Penetration %")-0.05)</formula>
    </cfRule>
    <cfRule type="expression" rank="0" priority="282" equalAverage="0" aboveAverage="0" dxfId="1" stopIfTrue="1" text="" percent="0" bottom="0">
      <formula>AND(ISNUMBER(J115),COUNTIFS('Data - Monthly Metrics'!$A:$A,$B$4,'Data - Monthly Metrics'!$B:$B,J$8,'Data - Monthly Metrics'!$C:$C,"Snohomish",'Data - Monthly Metrics'!$D:$D,"Goal - Penetration %")&gt;0)</formula>
    </cfRule>
  </conditionalFormatting>
  <conditionalFormatting sqref="K115">
    <cfRule type="expression" rank="0" priority="283" equalAverage="0" aboveAverage="0" dxfId="0" stopIfTrue="1" text="" percent="0" bottom="0">
      <formula>AND(ISNUMBER(K115),COUNTIFS('Data - Monthly Metrics'!$A:$A,$B$4,'Data - Monthly Metrics'!$B:$B,K$8,'Data - Monthly Metrics'!$C:$C,"Snohomish",'Data - Monthly Metrics'!$D:$D,"Goal - Penetration %")&gt;0,K115&gt;=SUMIFS('Data - Monthly Metrics'!$E:$E,'Data - Monthly Metrics'!$A:$A,$B$4,'Data - Monthly Metrics'!$B:$B,K$8,'Data - Monthly Metrics'!$C:$C,"Snohomish",'Data - Monthly Metrics'!$D:$D,"Goal - Penetration %"))</formula>
    </cfRule>
    <cfRule type="expression" rank="0" priority="284" equalAverage="0" aboveAverage="0" dxfId="2" stopIfTrue="1" text="" percent="0" bottom="0">
      <formula>AND(ISNUMBER(K115),COUNTIFS('Data - Monthly Metrics'!$A:$A,$B$4,'Data - Monthly Metrics'!$B:$B,K$8,'Data - Monthly Metrics'!$C:$C,"Snohomish",'Data - Monthly Metrics'!$D:$D,"Goal - Penetration %")&gt;0,K115&gt;=SUMIFS('Data - Monthly Metrics'!$E:$E,'Data - Monthly Metrics'!$A:$A,$B$4,'Data - Monthly Metrics'!$B:$B,K$8,'Data - Monthly Metrics'!$C:$C,"Snohomish",'Data - Monthly Metrics'!$D:$D,"Goal - Penetration %")-0.05)</formula>
    </cfRule>
    <cfRule type="expression" rank="0" priority="285" equalAverage="0" aboveAverage="0" dxfId="1" stopIfTrue="1" text="" percent="0" bottom="0">
      <formula>AND(ISNUMBER(K115),COUNTIFS('Data - Monthly Metrics'!$A:$A,$B$4,'Data - Monthly Metrics'!$B:$B,K$8,'Data - Monthly Metrics'!$C:$C,"Snohomish",'Data - Monthly Metrics'!$D:$D,"Goal - Penetration %")&gt;0)</formula>
    </cfRule>
  </conditionalFormatting>
  <conditionalFormatting sqref="L115">
    <cfRule type="expression" rank="0" priority="286" equalAverage="0" aboveAverage="0" dxfId="0" stopIfTrue="1" text="" percent="0" bottom="0">
      <formula>AND(ISNUMBER(L115),COUNTIFS('Data - Monthly Metrics'!$A:$A,$B$4,'Data - Monthly Metrics'!$B:$B,L$8,'Data - Monthly Metrics'!$C:$C,"Snohomish",'Data - Monthly Metrics'!$D:$D,"Goal - Penetration %")&gt;0,L115&gt;=SUMIFS('Data - Monthly Metrics'!$E:$E,'Data - Monthly Metrics'!$A:$A,$B$4,'Data - Monthly Metrics'!$B:$B,L$8,'Data - Monthly Metrics'!$C:$C,"Snohomish",'Data - Monthly Metrics'!$D:$D,"Goal - Penetration %"))</formula>
    </cfRule>
    <cfRule type="expression" rank="0" priority="287" equalAverage="0" aboveAverage="0" dxfId="2" stopIfTrue="1" text="" percent="0" bottom="0">
      <formula>AND(ISNUMBER(L115),COUNTIFS('Data - Monthly Metrics'!$A:$A,$B$4,'Data - Monthly Metrics'!$B:$B,L$8,'Data - Monthly Metrics'!$C:$C,"Snohomish",'Data - Monthly Metrics'!$D:$D,"Goal - Penetration %")&gt;0,L115&gt;=SUMIFS('Data - Monthly Metrics'!$E:$E,'Data - Monthly Metrics'!$A:$A,$B$4,'Data - Monthly Metrics'!$B:$B,L$8,'Data - Monthly Metrics'!$C:$C,"Snohomish",'Data - Monthly Metrics'!$D:$D,"Goal - Penetration %")-0.05)</formula>
    </cfRule>
    <cfRule type="expression" rank="0" priority="288" equalAverage="0" aboveAverage="0" dxfId="1" stopIfTrue="1" text="" percent="0" bottom="0">
      <formula>AND(ISNUMBER(L115),COUNTIFS('Data - Monthly Metrics'!$A:$A,$B$4,'Data - Monthly Metrics'!$B:$B,L$8,'Data - Monthly Metrics'!$C:$C,"Snohomish",'Data - Monthly Metrics'!$D:$D,"Goal - Penetration %")&gt;0)</formula>
    </cfRule>
  </conditionalFormatting>
  <conditionalFormatting sqref="N115">
    <cfRule type="expression" rank="0" priority="289" equalAverage="0" aboveAverage="0" dxfId="0" stopIfTrue="1" text="" percent="0" bottom="0">
      <formula>AND(ISNUMBER(N115),COUNTIFS('Data - Monthly Metrics'!$A:$A,$B$4,'Data - Monthly Metrics'!$B:$B,N$8,'Data - Monthly Metrics'!$C:$C,"Snohomish",'Data - Monthly Metrics'!$D:$D,"Goal - Penetration %")&gt;0,N115&gt;=SUMIFS('Data - Monthly Metrics'!$E:$E,'Data - Monthly Metrics'!$A:$A,$B$4,'Data - Monthly Metrics'!$B:$B,N$8,'Data - Monthly Metrics'!$C:$C,"Snohomish",'Data - Monthly Metrics'!$D:$D,"Goal - Penetration %"))</formula>
    </cfRule>
    <cfRule type="expression" rank="0" priority="290" equalAverage="0" aboveAverage="0" dxfId="2" stopIfTrue="1" text="" percent="0" bottom="0">
      <formula>AND(ISNUMBER(N115),COUNTIFS('Data - Monthly Metrics'!$A:$A,$B$4,'Data - Monthly Metrics'!$B:$B,N$8,'Data - Monthly Metrics'!$C:$C,"Snohomish",'Data - Monthly Metrics'!$D:$D,"Goal - Penetration %")&gt;0,N115&gt;=SUMIFS('Data - Monthly Metrics'!$E:$E,'Data - Monthly Metrics'!$A:$A,$B$4,'Data - Monthly Metrics'!$B:$B,N$8,'Data - Monthly Metrics'!$C:$C,"Snohomish",'Data - Monthly Metrics'!$D:$D,"Goal - Penetration %")-0.05)</formula>
    </cfRule>
    <cfRule type="expression" rank="0" priority="291" equalAverage="0" aboveAverage="0" dxfId="1" stopIfTrue="1" text="" percent="0" bottom="0">
      <formula>AND(ISNUMBER(N115),COUNTIFS('Data - Monthly Metrics'!$A:$A,$B$4,'Data - Monthly Metrics'!$B:$B,N$8,'Data - Monthly Metrics'!$C:$C,"Snohomish",'Data - Monthly Metrics'!$D:$D,"Goal - Penetration %")&gt;0)</formula>
    </cfRule>
  </conditionalFormatting>
  <conditionalFormatting sqref="O115">
    <cfRule type="expression" rank="0" priority="292" equalAverage="0" aboveAverage="0" dxfId="0" stopIfTrue="1" text="" percent="0" bottom="0">
      <formula>AND(ISNUMBER(O115),COUNTIFS('Data - Monthly Metrics'!$A:$A,$B$4,'Data - Monthly Metrics'!$B:$B,O$8,'Data - Monthly Metrics'!$C:$C,"Snohomish",'Data - Monthly Metrics'!$D:$D,"Goal - Penetration %")&gt;0,O115&gt;=SUMIFS('Data - Monthly Metrics'!$E:$E,'Data - Monthly Metrics'!$A:$A,$B$4,'Data - Monthly Metrics'!$B:$B,O$8,'Data - Monthly Metrics'!$C:$C,"Snohomish",'Data - Monthly Metrics'!$D:$D,"Goal - Penetration %"))</formula>
    </cfRule>
    <cfRule type="expression" rank="0" priority="293" equalAverage="0" aboveAverage="0" dxfId="2" stopIfTrue="1" text="" percent="0" bottom="0">
      <formula>AND(ISNUMBER(O115),COUNTIFS('Data - Monthly Metrics'!$A:$A,$B$4,'Data - Monthly Metrics'!$B:$B,O$8,'Data - Monthly Metrics'!$C:$C,"Snohomish",'Data - Monthly Metrics'!$D:$D,"Goal - Penetration %")&gt;0,O115&gt;=SUMIFS('Data - Monthly Metrics'!$E:$E,'Data - Monthly Metrics'!$A:$A,$B$4,'Data - Monthly Metrics'!$B:$B,O$8,'Data - Monthly Metrics'!$C:$C,"Snohomish",'Data - Monthly Metrics'!$D:$D,"Goal - Penetration %")-0.05)</formula>
    </cfRule>
    <cfRule type="expression" rank="0" priority="294" equalAverage="0" aboveAverage="0" dxfId="1" stopIfTrue="1" text="" percent="0" bottom="0">
      <formula>AND(ISNUMBER(O115),COUNTIFS('Data - Monthly Metrics'!$A:$A,$B$4,'Data - Monthly Metrics'!$B:$B,O$8,'Data - Monthly Metrics'!$C:$C,"Snohomish",'Data - Monthly Metrics'!$D:$D,"Goal - Penetration %")&gt;0)</formula>
    </cfRule>
  </conditionalFormatting>
  <conditionalFormatting sqref="P115">
    <cfRule type="expression" rank="0" priority="295" equalAverage="0" aboveAverage="0" dxfId="0" stopIfTrue="1" text="" percent="0" bottom="0">
      <formula>AND(ISNUMBER(P115),COUNTIFS('Data - Monthly Metrics'!$A:$A,$B$4,'Data - Monthly Metrics'!$B:$B,P$8,'Data - Monthly Metrics'!$C:$C,"Snohomish",'Data - Monthly Metrics'!$D:$D,"Goal - Penetration %")&gt;0,P115&gt;=SUMIFS('Data - Monthly Metrics'!$E:$E,'Data - Monthly Metrics'!$A:$A,$B$4,'Data - Monthly Metrics'!$B:$B,P$8,'Data - Monthly Metrics'!$C:$C,"Snohomish",'Data - Monthly Metrics'!$D:$D,"Goal - Penetration %"))</formula>
    </cfRule>
    <cfRule type="expression" rank="0" priority="296" equalAverage="0" aboveAverage="0" dxfId="2" stopIfTrue="1" text="" percent="0" bottom="0">
      <formula>AND(ISNUMBER(P115),COUNTIFS('Data - Monthly Metrics'!$A:$A,$B$4,'Data - Monthly Metrics'!$B:$B,P$8,'Data - Monthly Metrics'!$C:$C,"Snohomish",'Data - Monthly Metrics'!$D:$D,"Goal - Penetration %")&gt;0,P115&gt;=SUMIFS('Data - Monthly Metrics'!$E:$E,'Data - Monthly Metrics'!$A:$A,$B$4,'Data - Monthly Metrics'!$B:$B,P$8,'Data - Monthly Metrics'!$C:$C,"Snohomish",'Data - Monthly Metrics'!$D:$D,"Goal - Penetration %")-0.05)</formula>
    </cfRule>
    <cfRule type="expression" rank="0" priority="297" equalAverage="0" aboveAverage="0" dxfId="1" stopIfTrue="1" text="" percent="0" bottom="0">
      <formula>AND(ISNUMBER(P115),COUNTIFS('Data - Monthly Metrics'!$A:$A,$B$4,'Data - Monthly Metrics'!$B:$B,P$8,'Data - Monthly Metrics'!$C:$C,"Snohomish",'Data - Monthly Metrics'!$D:$D,"Goal - Penetration %")&gt;0)</formula>
    </cfRule>
  </conditionalFormatting>
  <conditionalFormatting sqref="B116">
    <cfRule type="expression" rank="0" priority="298" equalAverage="0" aboveAverage="0" dxfId="0" stopIfTrue="1" text="" percent="0" bottom="0">
      <formula>AND(ISNUMBER(B116),COUNTIFS('Data - Monthly Metrics'!$A:$A,$B$4-1,'Data - Monthly Metrics'!$B:$B,B$8,'Data - Monthly Metrics'!$C:$C,"Snohomish",'Data - Monthly Metrics'!$D:$D,"Goal - Penetration %")&gt;0,B116&gt;=SUMIFS('Data - Monthly Metrics'!$E:$E,'Data - Monthly Metrics'!$A:$A,$B$4-1,'Data - Monthly Metrics'!$B:$B,B$8,'Data - Monthly Metrics'!$C:$C,"Snohomish",'Data - Monthly Metrics'!$D:$D,"Goal - Penetration %"))</formula>
    </cfRule>
    <cfRule type="expression" rank="0" priority="299" equalAverage="0" aboveAverage="0" dxfId="2" stopIfTrue="1" text="" percent="0" bottom="0">
      <formula>AND(ISNUMBER(B116),COUNTIFS('Data - Monthly Metrics'!$A:$A,$B$4-1,'Data - Monthly Metrics'!$B:$B,B$8,'Data - Monthly Metrics'!$C:$C,"Snohomish",'Data - Monthly Metrics'!$D:$D,"Goal - Penetration %")&gt;0,B116&gt;=SUMIFS('Data - Monthly Metrics'!$E:$E,'Data - Monthly Metrics'!$A:$A,$B$4-1,'Data - Monthly Metrics'!$B:$B,B$8,'Data - Monthly Metrics'!$C:$C,"Snohomish",'Data - Monthly Metrics'!$D:$D,"Goal - Penetration %")-0.05)</formula>
    </cfRule>
    <cfRule type="expression" rank="0" priority="300" equalAverage="0" aboveAverage="0" dxfId="1" stopIfTrue="1" text="" percent="0" bottom="0">
      <formula>AND(ISNUMBER(B116),COUNTIFS('Data - Monthly Metrics'!$A:$A,$B$4-1,'Data - Monthly Metrics'!$B:$B,B$8,'Data - Monthly Metrics'!$C:$C,"Snohomish",'Data - Monthly Metrics'!$D:$D,"Goal - Penetration %")&gt;0)</formula>
    </cfRule>
  </conditionalFormatting>
  <conditionalFormatting sqref="C116">
    <cfRule type="expression" rank="0" priority="301" equalAverage="0" aboveAverage="0" dxfId="0" stopIfTrue="1" text="" percent="0" bottom="0">
      <formula>AND(ISNUMBER(C116),COUNTIFS('Data - Monthly Metrics'!$A:$A,$B$4-1,'Data - Monthly Metrics'!$B:$B,C$8,'Data - Monthly Metrics'!$C:$C,"Snohomish",'Data - Monthly Metrics'!$D:$D,"Goal - Penetration %")&gt;0,C116&gt;=SUMIFS('Data - Monthly Metrics'!$E:$E,'Data - Monthly Metrics'!$A:$A,$B$4-1,'Data - Monthly Metrics'!$B:$B,C$8,'Data - Monthly Metrics'!$C:$C,"Snohomish",'Data - Monthly Metrics'!$D:$D,"Goal - Penetration %"))</formula>
    </cfRule>
    <cfRule type="expression" rank="0" priority="302" equalAverage="0" aboveAverage="0" dxfId="2" stopIfTrue="1" text="" percent="0" bottom="0">
      <formula>AND(ISNUMBER(C116),COUNTIFS('Data - Monthly Metrics'!$A:$A,$B$4-1,'Data - Monthly Metrics'!$B:$B,C$8,'Data - Monthly Metrics'!$C:$C,"Snohomish",'Data - Monthly Metrics'!$D:$D,"Goal - Penetration %")&gt;0,C116&gt;=SUMIFS('Data - Monthly Metrics'!$E:$E,'Data - Monthly Metrics'!$A:$A,$B$4-1,'Data - Monthly Metrics'!$B:$B,C$8,'Data - Monthly Metrics'!$C:$C,"Snohomish",'Data - Monthly Metrics'!$D:$D,"Goal - Penetration %")-0.05)</formula>
    </cfRule>
    <cfRule type="expression" rank="0" priority="303" equalAverage="0" aboveAverage="0" dxfId="1" stopIfTrue="1" text="" percent="0" bottom="0">
      <formula>AND(ISNUMBER(C116),COUNTIFS('Data - Monthly Metrics'!$A:$A,$B$4-1,'Data - Monthly Metrics'!$B:$B,C$8,'Data - Monthly Metrics'!$C:$C,"Snohomish",'Data - Monthly Metrics'!$D:$D,"Goal - Penetration %")&gt;0)</formula>
    </cfRule>
  </conditionalFormatting>
  <conditionalFormatting sqref="D116">
    <cfRule type="expression" rank="0" priority="304" equalAverage="0" aboveAverage="0" dxfId="0" stopIfTrue="1" text="" percent="0" bottom="0">
      <formula>AND(ISNUMBER(D116),COUNTIFS('Data - Monthly Metrics'!$A:$A,$B$4-1,'Data - Monthly Metrics'!$B:$B,D$8,'Data - Monthly Metrics'!$C:$C,"Snohomish",'Data - Monthly Metrics'!$D:$D,"Goal - Penetration %")&gt;0,D116&gt;=SUMIFS('Data - Monthly Metrics'!$E:$E,'Data - Monthly Metrics'!$A:$A,$B$4-1,'Data - Monthly Metrics'!$B:$B,D$8,'Data - Monthly Metrics'!$C:$C,"Snohomish",'Data - Monthly Metrics'!$D:$D,"Goal - Penetration %"))</formula>
    </cfRule>
    <cfRule type="expression" rank="0" priority="305" equalAverage="0" aboveAverage="0" dxfId="2" stopIfTrue="1" text="" percent="0" bottom="0">
      <formula>AND(ISNUMBER(D116),COUNTIFS('Data - Monthly Metrics'!$A:$A,$B$4-1,'Data - Monthly Metrics'!$B:$B,D$8,'Data - Monthly Metrics'!$C:$C,"Snohomish",'Data - Monthly Metrics'!$D:$D,"Goal - Penetration %")&gt;0,D116&gt;=SUMIFS('Data - Monthly Metrics'!$E:$E,'Data - Monthly Metrics'!$A:$A,$B$4-1,'Data - Monthly Metrics'!$B:$B,D$8,'Data - Monthly Metrics'!$C:$C,"Snohomish",'Data - Monthly Metrics'!$D:$D,"Goal - Penetration %")-0.05)</formula>
    </cfRule>
    <cfRule type="expression" rank="0" priority="306" equalAverage="0" aboveAverage="0" dxfId="1" stopIfTrue="1" text="" percent="0" bottom="0">
      <formula>AND(ISNUMBER(D116),COUNTIFS('Data - Monthly Metrics'!$A:$A,$B$4-1,'Data - Monthly Metrics'!$B:$B,D$8,'Data - Monthly Metrics'!$C:$C,"Snohomish",'Data - Monthly Metrics'!$D:$D,"Goal - Penetration %")&gt;0)</formula>
    </cfRule>
  </conditionalFormatting>
  <conditionalFormatting sqref="F116">
    <cfRule type="expression" rank="0" priority="307" equalAverage="0" aboveAverage="0" dxfId="0" stopIfTrue="1" text="" percent="0" bottom="0">
      <formula>AND(ISNUMBER(F116),COUNTIFS('Data - Monthly Metrics'!$A:$A,$B$4,'Data - Monthly Metrics'!$B:$B,F$8,'Data - Monthly Metrics'!$C:$C,"Snohomish",'Data - Monthly Metrics'!$D:$D,"Goal - Penetration %")&gt;0,F116&gt;=SUMIFS('Data - Monthly Metrics'!$E:$E,'Data - Monthly Metrics'!$A:$A,$B$4,'Data - Monthly Metrics'!$B:$B,F$8,'Data - Monthly Metrics'!$C:$C,"Snohomish",'Data - Monthly Metrics'!$D:$D,"Goal - Penetration %"))</formula>
    </cfRule>
    <cfRule type="expression" rank="0" priority="308" equalAverage="0" aboveAverage="0" dxfId="2" stopIfTrue="1" text="" percent="0" bottom="0">
      <formula>AND(ISNUMBER(F116),COUNTIFS('Data - Monthly Metrics'!$A:$A,$B$4,'Data - Monthly Metrics'!$B:$B,F$8,'Data - Monthly Metrics'!$C:$C,"Snohomish",'Data - Monthly Metrics'!$D:$D,"Goal - Penetration %")&gt;0,F116&gt;=SUMIFS('Data - Monthly Metrics'!$E:$E,'Data - Monthly Metrics'!$A:$A,$B$4,'Data - Monthly Metrics'!$B:$B,F$8,'Data - Monthly Metrics'!$C:$C,"Snohomish",'Data - Monthly Metrics'!$D:$D,"Goal - Penetration %")-0.05)</formula>
    </cfRule>
    <cfRule type="expression" rank="0" priority="309" equalAverage="0" aboveAverage="0" dxfId="1" stopIfTrue="1" text="" percent="0" bottom="0">
      <formula>AND(ISNUMBER(F116),COUNTIFS('Data - Monthly Metrics'!$A:$A,$B$4,'Data - Monthly Metrics'!$B:$B,F$8,'Data - Monthly Metrics'!$C:$C,"Snohomish",'Data - Monthly Metrics'!$D:$D,"Goal - Penetration %")&gt;0)</formula>
    </cfRule>
  </conditionalFormatting>
  <conditionalFormatting sqref="G116">
    <cfRule type="expression" rank="0" priority="310" equalAverage="0" aboveAverage="0" dxfId="0" stopIfTrue="1" text="" percent="0" bottom="0">
      <formula>AND(ISNUMBER(G116),COUNTIFS('Data - Monthly Metrics'!$A:$A,$B$4,'Data - Monthly Metrics'!$B:$B,G$8,'Data - Monthly Metrics'!$C:$C,"Snohomish",'Data - Monthly Metrics'!$D:$D,"Goal - Penetration %")&gt;0,G116&gt;=SUMIFS('Data - Monthly Metrics'!$E:$E,'Data - Monthly Metrics'!$A:$A,$B$4,'Data - Monthly Metrics'!$B:$B,G$8,'Data - Monthly Metrics'!$C:$C,"Snohomish",'Data - Monthly Metrics'!$D:$D,"Goal - Penetration %"))</formula>
    </cfRule>
    <cfRule type="expression" rank="0" priority="311" equalAverage="0" aboveAverage="0" dxfId="2" stopIfTrue="1" text="" percent="0" bottom="0">
      <formula>AND(ISNUMBER(G116),COUNTIFS('Data - Monthly Metrics'!$A:$A,$B$4,'Data - Monthly Metrics'!$B:$B,G$8,'Data - Monthly Metrics'!$C:$C,"Snohomish",'Data - Monthly Metrics'!$D:$D,"Goal - Penetration %")&gt;0,G116&gt;=SUMIFS('Data - Monthly Metrics'!$E:$E,'Data - Monthly Metrics'!$A:$A,$B$4,'Data - Monthly Metrics'!$B:$B,G$8,'Data - Monthly Metrics'!$C:$C,"Snohomish",'Data - Monthly Metrics'!$D:$D,"Goal - Penetration %")-0.05)</formula>
    </cfRule>
    <cfRule type="expression" rank="0" priority="312" equalAverage="0" aboveAverage="0" dxfId="1" stopIfTrue="1" text="" percent="0" bottom="0">
      <formula>AND(ISNUMBER(G116),COUNTIFS('Data - Monthly Metrics'!$A:$A,$B$4,'Data - Monthly Metrics'!$B:$B,G$8,'Data - Monthly Metrics'!$C:$C,"Snohomish",'Data - Monthly Metrics'!$D:$D,"Goal - Penetration %")&gt;0)</formula>
    </cfRule>
  </conditionalFormatting>
  <conditionalFormatting sqref="H116">
    <cfRule type="expression" rank="0" priority="313" equalAverage="0" aboveAverage="0" dxfId="0" stopIfTrue="1" text="" percent="0" bottom="0">
      <formula>AND(ISNUMBER(H116),COUNTIFS('Data - Monthly Metrics'!$A:$A,$B$4,'Data - Monthly Metrics'!$B:$B,H$8,'Data - Monthly Metrics'!$C:$C,"Snohomish",'Data - Monthly Metrics'!$D:$D,"Goal - Penetration %")&gt;0,H116&gt;=SUMIFS('Data - Monthly Metrics'!$E:$E,'Data - Monthly Metrics'!$A:$A,$B$4,'Data - Monthly Metrics'!$B:$B,H$8,'Data - Monthly Metrics'!$C:$C,"Snohomish",'Data - Monthly Metrics'!$D:$D,"Goal - Penetration %"))</formula>
    </cfRule>
    <cfRule type="expression" rank="0" priority="314" equalAverage="0" aboveAverage="0" dxfId="2" stopIfTrue="1" text="" percent="0" bottom="0">
      <formula>AND(ISNUMBER(H116),COUNTIFS('Data - Monthly Metrics'!$A:$A,$B$4,'Data - Monthly Metrics'!$B:$B,H$8,'Data - Monthly Metrics'!$C:$C,"Snohomish",'Data - Monthly Metrics'!$D:$D,"Goal - Penetration %")&gt;0,H116&gt;=SUMIFS('Data - Monthly Metrics'!$E:$E,'Data - Monthly Metrics'!$A:$A,$B$4,'Data - Monthly Metrics'!$B:$B,H$8,'Data - Monthly Metrics'!$C:$C,"Snohomish",'Data - Monthly Metrics'!$D:$D,"Goal - Penetration %")-0.05)</formula>
    </cfRule>
    <cfRule type="expression" rank="0" priority="315" equalAverage="0" aboveAverage="0" dxfId="1" stopIfTrue="1" text="" percent="0" bottom="0">
      <formula>AND(ISNUMBER(H116),COUNTIFS('Data - Monthly Metrics'!$A:$A,$B$4,'Data - Monthly Metrics'!$B:$B,H$8,'Data - Monthly Metrics'!$C:$C,"Snohomish",'Data - Monthly Metrics'!$D:$D,"Goal - Penetration %")&gt;0)</formula>
    </cfRule>
  </conditionalFormatting>
  <conditionalFormatting sqref="J116">
    <cfRule type="expression" rank="0" priority="316" equalAverage="0" aboveAverage="0" dxfId="0" stopIfTrue="1" text="" percent="0" bottom="0">
      <formula>AND(ISNUMBER(J116),COUNTIFS('Data - Monthly Metrics'!$A:$A,$B$4,'Data - Monthly Metrics'!$B:$B,J$8,'Data - Monthly Metrics'!$C:$C,"Snohomish",'Data - Monthly Metrics'!$D:$D,"Goal - Penetration %")&gt;0,J116&gt;=SUMIFS('Data - Monthly Metrics'!$E:$E,'Data - Monthly Metrics'!$A:$A,$B$4,'Data - Monthly Metrics'!$B:$B,J$8,'Data - Monthly Metrics'!$C:$C,"Snohomish",'Data - Monthly Metrics'!$D:$D,"Goal - Penetration %"))</formula>
    </cfRule>
    <cfRule type="expression" rank="0" priority="317" equalAverage="0" aboveAverage="0" dxfId="2" stopIfTrue="1" text="" percent="0" bottom="0">
      <formula>AND(ISNUMBER(J116),COUNTIFS('Data - Monthly Metrics'!$A:$A,$B$4,'Data - Monthly Metrics'!$B:$B,J$8,'Data - Monthly Metrics'!$C:$C,"Snohomish",'Data - Monthly Metrics'!$D:$D,"Goal - Penetration %")&gt;0,J116&gt;=SUMIFS('Data - Monthly Metrics'!$E:$E,'Data - Monthly Metrics'!$A:$A,$B$4,'Data - Monthly Metrics'!$B:$B,J$8,'Data - Monthly Metrics'!$C:$C,"Snohomish",'Data - Monthly Metrics'!$D:$D,"Goal - Penetration %")-0.05)</formula>
    </cfRule>
    <cfRule type="expression" rank="0" priority="318" equalAverage="0" aboveAverage="0" dxfId="1" stopIfTrue="1" text="" percent="0" bottom="0">
      <formula>AND(ISNUMBER(J116),COUNTIFS('Data - Monthly Metrics'!$A:$A,$B$4,'Data - Monthly Metrics'!$B:$B,J$8,'Data - Monthly Metrics'!$C:$C,"Snohomish",'Data - Monthly Metrics'!$D:$D,"Goal - Penetration %")&gt;0)</formula>
    </cfRule>
  </conditionalFormatting>
  <conditionalFormatting sqref="K116">
    <cfRule type="expression" rank="0" priority="319" equalAverage="0" aboveAverage="0" dxfId="0" stopIfTrue="1" text="" percent="0" bottom="0">
      <formula>AND(ISNUMBER(K116),COUNTIFS('Data - Monthly Metrics'!$A:$A,$B$4,'Data - Monthly Metrics'!$B:$B,K$8,'Data - Monthly Metrics'!$C:$C,"Snohomish",'Data - Monthly Metrics'!$D:$D,"Goal - Penetration %")&gt;0,K116&gt;=SUMIFS('Data - Monthly Metrics'!$E:$E,'Data - Monthly Metrics'!$A:$A,$B$4,'Data - Monthly Metrics'!$B:$B,K$8,'Data - Monthly Metrics'!$C:$C,"Snohomish",'Data - Monthly Metrics'!$D:$D,"Goal - Penetration %"))</formula>
    </cfRule>
    <cfRule type="expression" rank="0" priority="320" equalAverage="0" aboveAverage="0" dxfId="2" stopIfTrue="1" text="" percent="0" bottom="0">
      <formula>AND(ISNUMBER(K116),COUNTIFS('Data - Monthly Metrics'!$A:$A,$B$4,'Data - Monthly Metrics'!$B:$B,K$8,'Data - Monthly Metrics'!$C:$C,"Snohomish",'Data - Monthly Metrics'!$D:$D,"Goal - Penetration %")&gt;0,K116&gt;=SUMIFS('Data - Monthly Metrics'!$E:$E,'Data - Monthly Metrics'!$A:$A,$B$4,'Data - Monthly Metrics'!$B:$B,K$8,'Data - Monthly Metrics'!$C:$C,"Snohomish",'Data - Monthly Metrics'!$D:$D,"Goal - Penetration %")-0.05)</formula>
    </cfRule>
    <cfRule type="expression" rank="0" priority="321" equalAverage="0" aboveAverage="0" dxfId="1" stopIfTrue="1" text="" percent="0" bottom="0">
      <formula>AND(ISNUMBER(K116),COUNTIFS('Data - Monthly Metrics'!$A:$A,$B$4,'Data - Monthly Metrics'!$B:$B,K$8,'Data - Monthly Metrics'!$C:$C,"Snohomish",'Data - Monthly Metrics'!$D:$D,"Goal - Penetration %")&gt;0)</formula>
    </cfRule>
  </conditionalFormatting>
  <conditionalFormatting sqref="L116">
    <cfRule type="expression" rank="0" priority="322" equalAverage="0" aboveAverage="0" dxfId="0" stopIfTrue="1" text="" percent="0" bottom="0">
      <formula>AND(ISNUMBER(L116),COUNTIFS('Data - Monthly Metrics'!$A:$A,$B$4,'Data - Monthly Metrics'!$B:$B,L$8,'Data - Monthly Metrics'!$C:$C,"Snohomish",'Data - Monthly Metrics'!$D:$D,"Goal - Penetration %")&gt;0,L116&gt;=SUMIFS('Data - Monthly Metrics'!$E:$E,'Data - Monthly Metrics'!$A:$A,$B$4,'Data - Monthly Metrics'!$B:$B,L$8,'Data - Monthly Metrics'!$C:$C,"Snohomish",'Data - Monthly Metrics'!$D:$D,"Goal - Penetration %"))</formula>
    </cfRule>
    <cfRule type="expression" rank="0" priority="323" equalAverage="0" aboveAverage="0" dxfId="2" stopIfTrue="1" text="" percent="0" bottom="0">
      <formula>AND(ISNUMBER(L116),COUNTIFS('Data - Monthly Metrics'!$A:$A,$B$4,'Data - Monthly Metrics'!$B:$B,L$8,'Data - Monthly Metrics'!$C:$C,"Snohomish",'Data - Monthly Metrics'!$D:$D,"Goal - Penetration %")&gt;0,L116&gt;=SUMIFS('Data - Monthly Metrics'!$E:$E,'Data - Monthly Metrics'!$A:$A,$B$4,'Data - Monthly Metrics'!$B:$B,L$8,'Data - Monthly Metrics'!$C:$C,"Snohomish",'Data - Monthly Metrics'!$D:$D,"Goal - Penetration %")-0.05)</formula>
    </cfRule>
    <cfRule type="expression" rank="0" priority="324" equalAverage="0" aboveAverage="0" dxfId="1" stopIfTrue="1" text="" percent="0" bottom="0">
      <formula>AND(ISNUMBER(L116),COUNTIFS('Data - Monthly Metrics'!$A:$A,$B$4,'Data - Monthly Metrics'!$B:$B,L$8,'Data - Monthly Metrics'!$C:$C,"Snohomish",'Data - Monthly Metrics'!$D:$D,"Goal - Penetration %")&gt;0)</formula>
    </cfRule>
  </conditionalFormatting>
  <conditionalFormatting sqref="N116">
    <cfRule type="expression" rank="0" priority="325" equalAverage="0" aboveAverage="0" dxfId="0" stopIfTrue="1" text="" percent="0" bottom="0">
      <formula>AND(ISNUMBER(N116),COUNTIFS('Data - Monthly Metrics'!$A:$A,$B$4,'Data - Monthly Metrics'!$B:$B,N$8,'Data - Monthly Metrics'!$C:$C,"Snohomish",'Data - Monthly Metrics'!$D:$D,"Goal - Penetration %")&gt;0,N116&gt;=SUMIFS('Data - Monthly Metrics'!$E:$E,'Data - Monthly Metrics'!$A:$A,$B$4,'Data - Monthly Metrics'!$B:$B,N$8,'Data - Monthly Metrics'!$C:$C,"Snohomish",'Data - Monthly Metrics'!$D:$D,"Goal - Penetration %"))</formula>
    </cfRule>
    <cfRule type="expression" rank="0" priority="326" equalAverage="0" aboveAverage="0" dxfId="2" stopIfTrue="1" text="" percent="0" bottom="0">
      <formula>AND(ISNUMBER(N116),COUNTIFS('Data - Monthly Metrics'!$A:$A,$B$4,'Data - Monthly Metrics'!$B:$B,N$8,'Data - Monthly Metrics'!$C:$C,"Snohomish",'Data - Monthly Metrics'!$D:$D,"Goal - Penetration %")&gt;0,N116&gt;=SUMIFS('Data - Monthly Metrics'!$E:$E,'Data - Monthly Metrics'!$A:$A,$B$4,'Data - Monthly Metrics'!$B:$B,N$8,'Data - Monthly Metrics'!$C:$C,"Snohomish",'Data - Monthly Metrics'!$D:$D,"Goal - Penetration %")-0.05)</formula>
    </cfRule>
    <cfRule type="expression" rank="0" priority="327" equalAverage="0" aboveAverage="0" dxfId="1" stopIfTrue="1" text="" percent="0" bottom="0">
      <formula>AND(ISNUMBER(N116),COUNTIFS('Data - Monthly Metrics'!$A:$A,$B$4,'Data - Monthly Metrics'!$B:$B,N$8,'Data - Monthly Metrics'!$C:$C,"Snohomish",'Data - Monthly Metrics'!$D:$D,"Goal - Penetration %")&gt;0)</formula>
    </cfRule>
  </conditionalFormatting>
  <conditionalFormatting sqref="O116">
    <cfRule type="expression" rank="0" priority="328" equalAverage="0" aboveAverage="0" dxfId="0" stopIfTrue="1" text="" percent="0" bottom="0">
      <formula>AND(ISNUMBER(O116),COUNTIFS('Data - Monthly Metrics'!$A:$A,$B$4,'Data - Monthly Metrics'!$B:$B,O$8,'Data - Monthly Metrics'!$C:$C,"Snohomish",'Data - Monthly Metrics'!$D:$D,"Goal - Penetration %")&gt;0,O116&gt;=SUMIFS('Data - Monthly Metrics'!$E:$E,'Data - Monthly Metrics'!$A:$A,$B$4,'Data - Monthly Metrics'!$B:$B,O$8,'Data - Monthly Metrics'!$C:$C,"Snohomish",'Data - Monthly Metrics'!$D:$D,"Goal - Penetration %"))</formula>
    </cfRule>
    <cfRule type="expression" rank="0" priority="329" equalAverage="0" aboveAverage="0" dxfId="2" stopIfTrue="1" text="" percent="0" bottom="0">
      <formula>AND(ISNUMBER(O116),COUNTIFS('Data - Monthly Metrics'!$A:$A,$B$4,'Data - Monthly Metrics'!$B:$B,O$8,'Data - Monthly Metrics'!$C:$C,"Snohomish",'Data - Monthly Metrics'!$D:$D,"Goal - Penetration %")&gt;0,O116&gt;=SUMIFS('Data - Monthly Metrics'!$E:$E,'Data - Monthly Metrics'!$A:$A,$B$4,'Data - Monthly Metrics'!$B:$B,O$8,'Data - Monthly Metrics'!$C:$C,"Snohomish",'Data - Monthly Metrics'!$D:$D,"Goal - Penetration %")-0.05)</formula>
    </cfRule>
    <cfRule type="expression" rank="0" priority="330" equalAverage="0" aboveAverage="0" dxfId="1" stopIfTrue="1" text="" percent="0" bottom="0">
      <formula>AND(ISNUMBER(O116),COUNTIFS('Data - Monthly Metrics'!$A:$A,$B$4,'Data - Monthly Metrics'!$B:$B,O$8,'Data - Monthly Metrics'!$C:$C,"Snohomish",'Data - Monthly Metrics'!$D:$D,"Goal - Penetration %")&gt;0)</formula>
    </cfRule>
  </conditionalFormatting>
  <conditionalFormatting sqref="P116">
    <cfRule type="expression" rank="0" priority="331" equalAverage="0" aboveAverage="0" dxfId="0" stopIfTrue="1" text="" percent="0" bottom="0">
      <formula>AND(ISNUMBER(P116),COUNTIFS('Data - Monthly Metrics'!$A:$A,$B$4,'Data - Monthly Metrics'!$B:$B,P$8,'Data - Monthly Metrics'!$C:$C,"Snohomish",'Data - Monthly Metrics'!$D:$D,"Goal - Penetration %")&gt;0,P116&gt;=SUMIFS('Data - Monthly Metrics'!$E:$E,'Data - Monthly Metrics'!$A:$A,$B$4,'Data - Monthly Metrics'!$B:$B,P$8,'Data - Monthly Metrics'!$C:$C,"Snohomish",'Data - Monthly Metrics'!$D:$D,"Goal - Penetration %"))</formula>
    </cfRule>
    <cfRule type="expression" rank="0" priority="332" equalAverage="0" aboveAverage="0" dxfId="2" stopIfTrue="1" text="" percent="0" bottom="0">
      <formula>AND(ISNUMBER(P116),COUNTIFS('Data - Monthly Metrics'!$A:$A,$B$4,'Data - Monthly Metrics'!$B:$B,P$8,'Data - Monthly Metrics'!$C:$C,"Snohomish",'Data - Monthly Metrics'!$D:$D,"Goal - Penetration %")&gt;0,P116&gt;=SUMIFS('Data - Monthly Metrics'!$E:$E,'Data - Monthly Metrics'!$A:$A,$B$4,'Data - Monthly Metrics'!$B:$B,P$8,'Data - Monthly Metrics'!$C:$C,"Snohomish",'Data - Monthly Metrics'!$D:$D,"Goal - Penetration %")-0.05)</formula>
    </cfRule>
    <cfRule type="expression" rank="0" priority="333" equalAverage="0" aboveAverage="0" dxfId="1" stopIfTrue="1" text="" percent="0" bottom="0">
      <formula>AND(ISNUMBER(P116),COUNTIFS('Data - Monthly Metrics'!$A:$A,$B$4,'Data - Monthly Metrics'!$B:$B,P$8,'Data - Monthly Metrics'!$C:$C,"Snohomish",'Data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Metrics'!$C:$C,"Snohomish",'Data - Monthly Metrics'!$D:$D,"Goal - Retention %")&gt;0,B19&gt;=SUMIFS('Data - Monthly Metrics'!$E:$E,'Data - Monthly Metrics'!$A:$A,$B$4-1,'Data - Monthly Metrics'!$B:$B,B$8,'Data - Monthly Metrics'!$C:$C,"Snohomish",'Data - Monthly Metrics'!$D:$D,"Goal - Retention %"))</formula>
    </cfRule>
    <cfRule type="expression" rank="0" priority="335" equalAverage="0" aboveAverage="0" dxfId="2" stopIfTrue="1" text="" percent="0" bottom="0">
      <formula>AND(ISNUMBER(B19),COUNTIFS('Data - Monthly Metrics'!$A:$A,$B$4-1,'Data - Monthly Metrics'!$B:$B,B$8,'Data - Monthly Metrics'!$C:$C,"Snohomish",'Data - Monthly Metrics'!$D:$D,"Goal - Retention %")&gt;0,B19&gt;=SUMIFS('Data - Monthly Metrics'!$E:$E,'Data - Monthly Metrics'!$A:$A,$B$4-1,'Data - Monthly Metrics'!$B:$B,B$8,'Data - Monthly Metrics'!$C:$C,"Snohomish",'Data - Monthly Metrics'!$D:$D,"Goal - Retention %")-0.05)</formula>
    </cfRule>
    <cfRule type="expression" rank="0" priority="336" equalAverage="0" aboveAverage="0" dxfId="1" stopIfTrue="1" text="" percent="0" bottom="0">
      <formula>AND(ISNUMBER(B19),COUNTIFS('Data - Monthly Metrics'!$A:$A,$B$4-1,'Data - Monthly Metrics'!$B:$B,B$8,'Data - Monthly Metrics'!$C:$C,"Snohomish",'Data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Metrics'!$C:$C,"Snohomish",'Data - Monthly Metrics'!$D:$D,"Goal - Retention %")&gt;0,C19&gt;=SUMIFS('Data - Monthly Metrics'!$E:$E,'Data - Monthly Metrics'!$A:$A,$B$4-1,'Data - Monthly Metrics'!$B:$B,C$8,'Data - Monthly Metrics'!$C:$C,"Snohomish",'Data - Monthly Metrics'!$D:$D,"Goal - Retention %"))</formula>
    </cfRule>
    <cfRule type="expression" rank="0" priority="338" equalAverage="0" aboveAverage="0" dxfId="2" stopIfTrue="1" text="" percent="0" bottom="0">
      <formula>AND(ISNUMBER(C19),COUNTIFS('Data - Monthly Metrics'!$A:$A,$B$4-1,'Data - Monthly Metrics'!$B:$B,C$8,'Data - Monthly Metrics'!$C:$C,"Snohomish",'Data - Monthly Metrics'!$D:$D,"Goal - Retention %")&gt;0,C19&gt;=SUMIFS('Data - Monthly Metrics'!$E:$E,'Data - Monthly Metrics'!$A:$A,$B$4-1,'Data - Monthly Metrics'!$B:$B,C$8,'Data - Monthly Metrics'!$C:$C,"Snohomish",'Data - Monthly Metrics'!$D:$D,"Goal - Retention %")-0.05)</formula>
    </cfRule>
    <cfRule type="expression" rank="0" priority="339" equalAverage="0" aboveAverage="0" dxfId="1" stopIfTrue="1" text="" percent="0" bottom="0">
      <formula>AND(ISNUMBER(C19),COUNTIFS('Data - Monthly Metrics'!$A:$A,$B$4-1,'Data - Monthly Metrics'!$B:$B,C$8,'Data - Monthly Metrics'!$C:$C,"Snohomish",'Data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Metrics'!$C:$C,"Snohomish",'Data - Monthly Metrics'!$D:$D,"Goal - Retention %")&gt;0,D19&gt;=SUMIFS('Data - Monthly Metrics'!$E:$E,'Data - Monthly Metrics'!$A:$A,$B$4-1,'Data - Monthly Metrics'!$B:$B,D$8,'Data - Monthly Metrics'!$C:$C,"Snohomish",'Data - Monthly Metrics'!$D:$D,"Goal - Retention %"))</formula>
    </cfRule>
    <cfRule type="expression" rank="0" priority="341" equalAverage="0" aboveAverage="0" dxfId="2" stopIfTrue="1" text="" percent="0" bottom="0">
      <formula>AND(ISNUMBER(D19),COUNTIFS('Data - Monthly Metrics'!$A:$A,$B$4-1,'Data - Monthly Metrics'!$B:$B,D$8,'Data - Monthly Metrics'!$C:$C,"Snohomish",'Data - Monthly Metrics'!$D:$D,"Goal - Retention %")&gt;0,D19&gt;=SUMIFS('Data - Monthly Metrics'!$E:$E,'Data - Monthly Metrics'!$A:$A,$B$4-1,'Data - Monthly Metrics'!$B:$B,D$8,'Data - Monthly Metrics'!$C:$C,"Snohomish",'Data - Monthly Metrics'!$D:$D,"Goal - Retention %")-0.05)</formula>
    </cfRule>
    <cfRule type="expression" rank="0" priority="342" equalAverage="0" aboveAverage="0" dxfId="1" stopIfTrue="1" text="" percent="0" bottom="0">
      <formula>AND(ISNUMBER(D19),COUNTIFS('Data - Monthly Metrics'!$A:$A,$B$4-1,'Data - Monthly Metrics'!$B:$B,D$8,'Data - Monthly Metrics'!$C:$C,"Snohomish",'Data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Metrics'!$C:$C,"Snohomish",'Data - Monthly Metrics'!$D:$D,"Goal - Retention %")&gt;0,F19&gt;=SUMIFS('Data - Monthly Metrics'!$E:$E,'Data - Monthly Metrics'!$A:$A,$B$4,'Data - Monthly Metrics'!$B:$B,F$8,'Data - Monthly Metrics'!$C:$C,"Snohomish",'Data - Monthly Metrics'!$D:$D,"Goal - Retention %"))</formula>
    </cfRule>
    <cfRule type="expression" rank="0" priority="344" equalAverage="0" aboveAverage="0" dxfId="2" stopIfTrue="1" text="" percent="0" bottom="0">
      <formula>AND(ISNUMBER(F19),COUNTIFS('Data - Monthly Metrics'!$A:$A,$B$4,'Data - Monthly Metrics'!$B:$B,F$8,'Data - Monthly Metrics'!$C:$C,"Snohomish",'Data - Monthly Metrics'!$D:$D,"Goal - Retention %")&gt;0,F19&gt;=SUMIFS('Data - Monthly Metrics'!$E:$E,'Data - Monthly Metrics'!$A:$A,$B$4,'Data - Monthly Metrics'!$B:$B,F$8,'Data - Monthly Metrics'!$C:$C,"Snohomish",'Data - Monthly Metrics'!$D:$D,"Goal - Retention %")-0.05)</formula>
    </cfRule>
    <cfRule type="expression" rank="0" priority="345" equalAverage="0" aboveAverage="0" dxfId="1" stopIfTrue="1" text="" percent="0" bottom="0">
      <formula>AND(ISNUMBER(F19),COUNTIFS('Data - Monthly Metrics'!$A:$A,$B$4,'Data - Monthly Metrics'!$B:$B,F$8,'Data - Monthly Metrics'!$C:$C,"Snohomish",'Data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Metrics'!$C:$C,"Snohomish",'Data - Monthly Metrics'!$D:$D,"Goal - Retention %")&gt;0,G19&gt;=SUMIFS('Data - Monthly Metrics'!$E:$E,'Data - Monthly Metrics'!$A:$A,$B$4,'Data - Monthly Metrics'!$B:$B,G$8,'Data - Monthly Metrics'!$C:$C,"Snohomish",'Data - Monthly Metrics'!$D:$D,"Goal - Retention %"))</formula>
    </cfRule>
    <cfRule type="expression" rank="0" priority="347" equalAverage="0" aboveAverage="0" dxfId="2" stopIfTrue="1" text="" percent="0" bottom="0">
      <formula>AND(ISNUMBER(G19),COUNTIFS('Data - Monthly Metrics'!$A:$A,$B$4,'Data - Monthly Metrics'!$B:$B,G$8,'Data - Monthly Metrics'!$C:$C,"Snohomish",'Data - Monthly Metrics'!$D:$D,"Goal - Retention %")&gt;0,G19&gt;=SUMIFS('Data - Monthly Metrics'!$E:$E,'Data - Monthly Metrics'!$A:$A,$B$4,'Data - Monthly Metrics'!$B:$B,G$8,'Data - Monthly Metrics'!$C:$C,"Snohomish",'Data - Monthly Metrics'!$D:$D,"Goal - Retention %")-0.05)</formula>
    </cfRule>
    <cfRule type="expression" rank="0" priority="348" equalAverage="0" aboveAverage="0" dxfId="1" stopIfTrue="1" text="" percent="0" bottom="0">
      <formula>AND(ISNUMBER(G19),COUNTIFS('Data - Monthly Metrics'!$A:$A,$B$4,'Data - Monthly Metrics'!$B:$B,G$8,'Data - Monthly Metrics'!$C:$C,"Snohomish",'Data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Metrics'!$C:$C,"Snohomish",'Data - Monthly Metrics'!$D:$D,"Goal - Retention %")&gt;0,H19&gt;=SUMIFS('Data - Monthly Metrics'!$E:$E,'Data - Monthly Metrics'!$A:$A,$B$4,'Data - Monthly Metrics'!$B:$B,H$8,'Data - Monthly Metrics'!$C:$C,"Snohomish",'Data - Monthly Metrics'!$D:$D,"Goal - Retention %"))</formula>
    </cfRule>
    <cfRule type="expression" rank="0" priority="350" equalAverage="0" aboveAverage="0" dxfId="2" stopIfTrue="1" text="" percent="0" bottom="0">
      <formula>AND(ISNUMBER(H19),COUNTIFS('Data - Monthly Metrics'!$A:$A,$B$4,'Data - Monthly Metrics'!$B:$B,H$8,'Data - Monthly Metrics'!$C:$C,"Snohomish",'Data - Monthly Metrics'!$D:$D,"Goal - Retention %")&gt;0,H19&gt;=SUMIFS('Data - Monthly Metrics'!$E:$E,'Data - Monthly Metrics'!$A:$A,$B$4,'Data - Monthly Metrics'!$B:$B,H$8,'Data - Monthly Metrics'!$C:$C,"Snohomish",'Data - Monthly Metrics'!$D:$D,"Goal - Retention %")-0.05)</formula>
    </cfRule>
    <cfRule type="expression" rank="0" priority="351" equalAverage="0" aboveAverage="0" dxfId="1" stopIfTrue="1" text="" percent="0" bottom="0">
      <formula>AND(ISNUMBER(H19),COUNTIFS('Data - Monthly Metrics'!$A:$A,$B$4,'Data - Monthly Metrics'!$B:$B,H$8,'Data - Monthly Metrics'!$C:$C,"Snohomish",'Data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Metrics'!$C:$C,"Snohomish",'Data - Monthly Metrics'!$D:$D,"Goal - Retention %")&gt;0,J19&gt;=SUMIFS('Data - Monthly Metrics'!$E:$E,'Data - Monthly Metrics'!$A:$A,$B$4,'Data - Monthly Metrics'!$B:$B,J$8,'Data - Monthly Metrics'!$C:$C,"Snohomish",'Data - Monthly Metrics'!$D:$D,"Goal - Retention %"))</formula>
    </cfRule>
    <cfRule type="expression" rank="0" priority="353" equalAverage="0" aboveAverage="0" dxfId="2" stopIfTrue="1" text="" percent="0" bottom="0">
      <formula>AND(ISNUMBER(J19),COUNTIFS('Data - Monthly Metrics'!$A:$A,$B$4,'Data - Monthly Metrics'!$B:$B,J$8,'Data - Monthly Metrics'!$C:$C,"Snohomish",'Data - Monthly Metrics'!$D:$D,"Goal - Retention %")&gt;0,J19&gt;=SUMIFS('Data - Monthly Metrics'!$E:$E,'Data - Monthly Metrics'!$A:$A,$B$4,'Data - Monthly Metrics'!$B:$B,J$8,'Data - Monthly Metrics'!$C:$C,"Snohomish",'Data - Monthly Metrics'!$D:$D,"Goal - Retention %")-0.05)</formula>
    </cfRule>
    <cfRule type="expression" rank="0" priority="354" equalAverage="0" aboveAverage="0" dxfId="1" stopIfTrue="1" text="" percent="0" bottom="0">
      <formula>AND(ISNUMBER(J19),COUNTIFS('Data - Monthly Metrics'!$A:$A,$B$4,'Data - Monthly Metrics'!$B:$B,J$8,'Data - Monthly Metrics'!$C:$C,"Snohomish",'Data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Metrics'!$C:$C,"Snohomish",'Data - Monthly Metrics'!$D:$D,"Goal - Retention %")&gt;0,K19&gt;=SUMIFS('Data - Monthly Metrics'!$E:$E,'Data - Monthly Metrics'!$A:$A,$B$4,'Data - Monthly Metrics'!$B:$B,K$8,'Data - Monthly Metrics'!$C:$C,"Snohomish",'Data - Monthly Metrics'!$D:$D,"Goal - Retention %"))</formula>
    </cfRule>
    <cfRule type="expression" rank="0" priority="356" equalAverage="0" aboveAverage="0" dxfId="2" stopIfTrue="1" text="" percent="0" bottom="0">
      <formula>AND(ISNUMBER(K19),COUNTIFS('Data - Monthly Metrics'!$A:$A,$B$4,'Data - Monthly Metrics'!$B:$B,K$8,'Data - Monthly Metrics'!$C:$C,"Snohomish",'Data - Monthly Metrics'!$D:$D,"Goal - Retention %")&gt;0,K19&gt;=SUMIFS('Data - Monthly Metrics'!$E:$E,'Data - Monthly Metrics'!$A:$A,$B$4,'Data - Monthly Metrics'!$B:$B,K$8,'Data - Monthly Metrics'!$C:$C,"Snohomish",'Data - Monthly Metrics'!$D:$D,"Goal - Retention %")-0.05)</formula>
    </cfRule>
    <cfRule type="expression" rank="0" priority="357" equalAverage="0" aboveAverage="0" dxfId="1" stopIfTrue="1" text="" percent="0" bottom="0">
      <formula>AND(ISNUMBER(K19),COUNTIFS('Data - Monthly Metrics'!$A:$A,$B$4,'Data - Monthly Metrics'!$B:$B,K$8,'Data - Monthly Metrics'!$C:$C,"Snohomish",'Data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Metrics'!$C:$C,"Snohomish",'Data - Monthly Metrics'!$D:$D,"Goal - Retention %")&gt;0,L19&gt;=SUMIFS('Data - Monthly Metrics'!$E:$E,'Data - Monthly Metrics'!$A:$A,$B$4,'Data - Monthly Metrics'!$B:$B,L$8,'Data - Monthly Metrics'!$C:$C,"Snohomish",'Data - Monthly Metrics'!$D:$D,"Goal - Retention %"))</formula>
    </cfRule>
    <cfRule type="expression" rank="0" priority="359" equalAverage="0" aboveAverage="0" dxfId="2" stopIfTrue="1" text="" percent="0" bottom="0">
      <formula>AND(ISNUMBER(L19),COUNTIFS('Data - Monthly Metrics'!$A:$A,$B$4,'Data - Monthly Metrics'!$B:$B,L$8,'Data - Monthly Metrics'!$C:$C,"Snohomish",'Data - Monthly Metrics'!$D:$D,"Goal - Retention %")&gt;0,L19&gt;=SUMIFS('Data - Monthly Metrics'!$E:$E,'Data - Monthly Metrics'!$A:$A,$B$4,'Data - Monthly Metrics'!$B:$B,L$8,'Data - Monthly Metrics'!$C:$C,"Snohomish",'Data - Monthly Metrics'!$D:$D,"Goal - Retention %")-0.05)</formula>
    </cfRule>
    <cfRule type="expression" rank="0" priority="360" equalAverage="0" aboveAverage="0" dxfId="1" stopIfTrue="1" text="" percent="0" bottom="0">
      <formula>AND(ISNUMBER(L19),COUNTIFS('Data - Monthly Metrics'!$A:$A,$B$4,'Data - Monthly Metrics'!$B:$B,L$8,'Data - Monthly Metrics'!$C:$C,"Snohomish",'Data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Metrics'!$C:$C,"Snohomish",'Data - Monthly Metrics'!$D:$D,"Goal - Retention %")&gt;0,N19&gt;=SUMIFS('Data - Monthly Metrics'!$E:$E,'Data - Monthly Metrics'!$A:$A,$B$4,'Data - Monthly Metrics'!$B:$B,N$8,'Data - Monthly Metrics'!$C:$C,"Snohomish",'Data - Monthly Metrics'!$D:$D,"Goal - Retention %"))</formula>
    </cfRule>
    <cfRule type="expression" rank="0" priority="362" equalAverage="0" aboveAverage="0" dxfId="2" stopIfTrue="1" text="" percent="0" bottom="0">
      <formula>AND(ISNUMBER(N19),COUNTIFS('Data - Monthly Metrics'!$A:$A,$B$4,'Data - Monthly Metrics'!$B:$B,N$8,'Data - Monthly Metrics'!$C:$C,"Snohomish",'Data - Monthly Metrics'!$D:$D,"Goal - Retention %")&gt;0,N19&gt;=SUMIFS('Data - Monthly Metrics'!$E:$E,'Data - Monthly Metrics'!$A:$A,$B$4,'Data - Monthly Metrics'!$B:$B,N$8,'Data - Monthly Metrics'!$C:$C,"Snohomish",'Data - Monthly Metrics'!$D:$D,"Goal - Retention %")-0.05)</formula>
    </cfRule>
    <cfRule type="expression" rank="0" priority="363" equalAverage="0" aboveAverage="0" dxfId="1" stopIfTrue="1" text="" percent="0" bottom="0">
      <formula>AND(ISNUMBER(N19),COUNTIFS('Data - Monthly Metrics'!$A:$A,$B$4,'Data - Monthly Metrics'!$B:$B,N$8,'Data - Monthly Metrics'!$C:$C,"Snohomish",'Data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Metrics'!$C:$C,"Snohomish",'Data - Monthly Metrics'!$D:$D,"Goal - Retention %")&gt;0,O19&gt;=SUMIFS('Data - Monthly Metrics'!$E:$E,'Data - Monthly Metrics'!$A:$A,$B$4,'Data - Monthly Metrics'!$B:$B,O$8,'Data - Monthly Metrics'!$C:$C,"Snohomish",'Data - Monthly Metrics'!$D:$D,"Goal - Retention %"))</formula>
    </cfRule>
    <cfRule type="expression" rank="0" priority="365" equalAverage="0" aboveAverage="0" dxfId="2" stopIfTrue="1" text="" percent="0" bottom="0">
      <formula>AND(ISNUMBER(O19),COUNTIFS('Data - Monthly Metrics'!$A:$A,$B$4,'Data - Monthly Metrics'!$B:$B,O$8,'Data - Monthly Metrics'!$C:$C,"Snohomish",'Data - Monthly Metrics'!$D:$D,"Goal - Retention %")&gt;0,O19&gt;=SUMIFS('Data - Monthly Metrics'!$E:$E,'Data - Monthly Metrics'!$A:$A,$B$4,'Data - Monthly Metrics'!$B:$B,O$8,'Data - Monthly Metrics'!$C:$C,"Snohomish",'Data - Monthly Metrics'!$D:$D,"Goal - Retention %")-0.05)</formula>
    </cfRule>
    <cfRule type="expression" rank="0" priority="366" equalAverage="0" aboveAverage="0" dxfId="1" stopIfTrue="1" text="" percent="0" bottom="0">
      <formula>AND(ISNUMBER(O19),COUNTIFS('Data - Monthly Metrics'!$A:$A,$B$4,'Data - Monthly Metrics'!$B:$B,O$8,'Data - Monthly Metrics'!$C:$C,"Snohomish",'Data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Metrics'!$C:$C,"Snohomish",'Data - Monthly Metrics'!$D:$D,"Goal - Retention %")&gt;0,P19&gt;=SUMIFS('Data - Monthly Metrics'!$E:$E,'Data - Monthly Metrics'!$A:$A,$B$4,'Data - Monthly Metrics'!$B:$B,P$8,'Data - Monthly Metrics'!$C:$C,"Snohomish",'Data - Monthly Metrics'!$D:$D,"Goal - Retention %"))</formula>
    </cfRule>
    <cfRule type="expression" rank="0" priority="368" equalAverage="0" aboveAverage="0" dxfId="2" stopIfTrue="1" text="" percent="0" bottom="0">
      <formula>AND(ISNUMBER(P19),COUNTIFS('Data - Monthly Metrics'!$A:$A,$B$4,'Data - Monthly Metrics'!$B:$B,P$8,'Data - Monthly Metrics'!$C:$C,"Snohomish",'Data - Monthly Metrics'!$D:$D,"Goal - Retention %")&gt;0,P19&gt;=SUMIFS('Data - Monthly Metrics'!$E:$E,'Data - Monthly Metrics'!$A:$A,$B$4,'Data - Monthly Metrics'!$B:$B,P$8,'Data - Monthly Metrics'!$C:$C,"Snohomish",'Data - Monthly Metrics'!$D:$D,"Goal - Retention %")-0.05)</formula>
    </cfRule>
    <cfRule type="expression" rank="0" priority="369" equalAverage="0" aboveAverage="0" dxfId="1" stopIfTrue="1" text="" percent="0" bottom="0">
      <formula>AND(ISNUMBER(P19),COUNTIFS('Data - Monthly Metrics'!$A:$A,$B$4,'Data - Monthly Metrics'!$B:$B,P$8,'Data - Monthly Metrics'!$C:$C,"Snohomish",'Data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Metrics'!$C:$C,"Snohomish",'Data - Monthly Metrics'!$D:$D,"Goal - Retention %")&gt;0,B28&gt;=SUMIFS('Data - Monthly Metrics'!$E:$E,'Data - Monthly Metrics'!$A:$A,$B$4-1,'Data - Monthly Metrics'!$B:$B,B$8,'Data - Monthly Metrics'!$C:$C,"Snohomish",'Data - Monthly Metrics'!$D:$D,"Goal - Retention %"))</formula>
    </cfRule>
    <cfRule type="expression" rank="0" priority="371" equalAverage="0" aboveAverage="0" dxfId="2" stopIfTrue="1" text="" percent="0" bottom="0">
      <formula>AND(ISNUMBER(B28),COUNTIFS('Data - Monthly Metrics'!$A:$A,$B$4-1,'Data - Monthly Metrics'!$B:$B,B$8,'Data - Monthly Metrics'!$C:$C,"Snohomish",'Data - Monthly Metrics'!$D:$D,"Goal - Retention %")&gt;0,B28&gt;=SUMIFS('Data - Monthly Metrics'!$E:$E,'Data - Monthly Metrics'!$A:$A,$B$4-1,'Data - Monthly Metrics'!$B:$B,B$8,'Data - Monthly Metrics'!$C:$C,"Snohomish",'Data - Monthly Metrics'!$D:$D,"Goal - Retention %")-0.05)</formula>
    </cfRule>
    <cfRule type="expression" rank="0" priority="372" equalAverage="0" aboveAverage="0" dxfId="1" stopIfTrue="1" text="" percent="0" bottom="0">
      <formula>AND(ISNUMBER(B28),COUNTIFS('Data - Monthly Metrics'!$A:$A,$B$4-1,'Data - Monthly Metrics'!$B:$B,B$8,'Data - Monthly Metrics'!$C:$C,"Snohomish",'Data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Metrics'!$C:$C,"Snohomish",'Data - Monthly Metrics'!$D:$D,"Goal - Retention %")&gt;0,C28&gt;=SUMIFS('Data - Monthly Metrics'!$E:$E,'Data - Monthly Metrics'!$A:$A,$B$4-1,'Data - Monthly Metrics'!$B:$B,C$8,'Data - Monthly Metrics'!$C:$C,"Snohomish",'Data - Monthly Metrics'!$D:$D,"Goal - Retention %"))</formula>
    </cfRule>
    <cfRule type="expression" rank="0" priority="374" equalAverage="0" aboveAverage="0" dxfId="2" stopIfTrue="1" text="" percent="0" bottom="0">
      <formula>AND(ISNUMBER(C28),COUNTIFS('Data - Monthly Metrics'!$A:$A,$B$4-1,'Data - Monthly Metrics'!$B:$B,C$8,'Data - Monthly Metrics'!$C:$C,"Snohomish",'Data - Monthly Metrics'!$D:$D,"Goal - Retention %")&gt;0,C28&gt;=SUMIFS('Data - Monthly Metrics'!$E:$E,'Data - Monthly Metrics'!$A:$A,$B$4-1,'Data - Monthly Metrics'!$B:$B,C$8,'Data - Monthly Metrics'!$C:$C,"Snohomish",'Data - Monthly Metrics'!$D:$D,"Goal - Retention %")-0.05)</formula>
    </cfRule>
    <cfRule type="expression" rank="0" priority="375" equalAverage="0" aboveAverage="0" dxfId="1" stopIfTrue="1" text="" percent="0" bottom="0">
      <formula>AND(ISNUMBER(C28),COUNTIFS('Data - Monthly Metrics'!$A:$A,$B$4-1,'Data - Monthly Metrics'!$B:$B,C$8,'Data - Monthly Metrics'!$C:$C,"Snohomish",'Data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Metrics'!$C:$C,"Snohomish",'Data - Monthly Metrics'!$D:$D,"Goal - Retention %")&gt;0,D28&gt;=SUMIFS('Data - Monthly Metrics'!$E:$E,'Data - Monthly Metrics'!$A:$A,$B$4-1,'Data - Monthly Metrics'!$B:$B,D$8,'Data - Monthly Metrics'!$C:$C,"Snohomish",'Data - Monthly Metrics'!$D:$D,"Goal - Retention %"))</formula>
    </cfRule>
    <cfRule type="expression" rank="0" priority="377" equalAverage="0" aboveAverage="0" dxfId="2" stopIfTrue="1" text="" percent="0" bottom="0">
      <formula>AND(ISNUMBER(D28),COUNTIFS('Data - Monthly Metrics'!$A:$A,$B$4-1,'Data - Monthly Metrics'!$B:$B,D$8,'Data - Monthly Metrics'!$C:$C,"Snohomish",'Data - Monthly Metrics'!$D:$D,"Goal - Retention %")&gt;0,D28&gt;=SUMIFS('Data - Monthly Metrics'!$E:$E,'Data - Monthly Metrics'!$A:$A,$B$4-1,'Data - Monthly Metrics'!$B:$B,D$8,'Data - Monthly Metrics'!$C:$C,"Snohomish",'Data - Monthly Metrics'!$D:$D,"Goal - Retention %")-0.05)</formula>
    </cfRule>
    <cfRule type="expression" rank="0" priority="378" equalAverage="0" aboveAverage="0" dxfId="1" stopIfTrue="1" text="" percent="0" bottom="0">
      <formula>AND(ISNUMBER(D28),COUNTIFS('Data - Monthly Metrics'!$A:$A,$B$4-1,'Data - Monthly Metrics'!$B:$B,D$8,'Data - Monthly Metrics'!$C:$C,"Snohomish",'Data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Metrics'!$C:$C,"Snohomish",'Data - Monthly Metrics'!$D:$D,"Goal - Retention %")&gt;0,F28&gt;=SUMIFS('Data - Monthly Metrics'!$E:$E,'Data - Monthly Metrics'!$A:$A,$B$4,'Data - Monthly Metrics'!$B:$B,F$8,'Data - Monthly Metrics'!$C:$C,"Snohomish",'Data - Monthly Metrics'!$D:$D,"Goal - Retention %"))</formula>
    </cfRule>
    <cfRule type="expression" rank="0" priority="380" equalAverage="0" aboveAverage="0" dxfId="2" stopIfTrue="1" text="" percent="0" bottom="0">
      <formula>AND(ISNUMBER(F28),COUNTIFS('Data - Monthly Metrics'!$A:$A,$B$4,'Data - Monthly Metrics'!$B:$B,F$8,'Data - Monthly Metrics'!$C:$C,"Snohomish",'Data - Monthly Metrics'!$D:$D,"Goal - Retention %")&gt;0,F28&gt;=SUMIFS('Data - Monthly Metrics'!$E:$E,'Data - Monthly Metrics'!$A:$A,$B$4,'Data - Monthly Metrics'!$B:$B,F$8,'Data - Monthly Metrics'!$C:$C,"Snohomish",'Data - Monthly Metrics'!$D:$D,"Goal - Retention %")-0.05)</formula>
    </cfRule>
    <cfRule type="expression" rank="0" priority="381" equalAverage="0" aboveAverage="0" dxfId="1" stopIfTrue="1" text="" percent="0" bottom="0">
      <formula>AND(ISNUMBER(F28),COUNTIFS('Data - Monthly Metrics'!$A:$A,$B$4,'Data - Monthly Metrics'!$B:$B,F$8,'Data - Monthly Metrics'!$C:$C,"Snohomish",'Data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Metrics'!$C:$C,"Snohomish",'Data - Monthly Metrics'!$D:$D,"Goal - Retention %")&gt;0,G28&gt;=SUMIFS('Data - Monthly Metrics'!$E:$E,'Data - Monthly Metrics'!$A:$A,$B$4,'Data - Monthly Metrics'!$B:$B,G$8,'Data - Monthly Metrics'!$C:$C,"Snohomish",'Data - Monthly Metrics'!$D:$D,"Goal - Retention %"))</formula>
    </cfRule>
    <cfRule type="expression" rank="0" priority="383" equalAverage="0" aboveAverage="0" dxfId="2" stopIfTrue="1" text="" percent="0" bottom="0">
      <formula>AND(ISNUMBER(G28),COUNTIFS('Data - Monthly Metrics'!$A:$A,$B$4,'Data - Monthly Metrics'!$B:$B,G$8,'Data - Monthly Metrics'!$C:$C,"Snohomish",'Data - Monthly Metrics'!$D:$D,"Goal - Retention %")&gt;0,G28&gt;=SUMIFS('Data - Monthly Metrics'!$E:$E,'Data - Monthly Metrics'!$A:$A,$B$4,'Data - Monthly Metrics'!$B:$B,G$8,'Data - Monthly Metrics'!$C:$C,"Snohomish",'Data - Monthly Metrics'!$D:$D,"Goal - Retention %")-0.05)</formula>
    </cfRule>
    <cfRule type="expression" rank="0" priority="384" equalAverage="0" aboveAverage="0" dxfId="1" stopIfTrue="1" text="" percent="0" bottom="0">
      <formula>AND(ISNUMBER(G28),COUNTIFS('Data - Monthly Metrics'!$A:$A,$B$4,'Data - Monthly Metrics'!$B:$B,G$8,'Data - Monthly Metrics'!$C:$C,"Snohomish",'Data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Metrics'!$C:$C,"Snohomish",'Data - Monthly Metrics'!$D:$D,"Goal - Retention %")&gt;0,H28&gt;=SUMIFS('Data - Monthly Metrics'!$E:$E,'Data - Monthly Metrics'!$A:$A,$B$4,'Data - Monthly Metrics'!$B:$B,H$8,'Data - Monthly Metrics'!$C:$C,"Snohomish",'Data - Monthly Metrics'!$D:$D,"Goal - Retention %"))</formula>
    </cfRule>
    <cfRule type="expression" rank="0" priority="386" equalAverage="0" aboveAverage="0" dxfId="2" stopIfTrue="1" text="" percent="0" bottom="0">
      <formula>AND(ISNUMBER(H28),COUNTIFS('Data - Monthly Metrics'!$A:$A,$B$4,'Data - Monthly Metrics'!$B:$B,H$8,'Data - Monthly Metrics'!$C:$C,"Snohomish",'Data - Monthly Metrics'!$D:$D,"Goal - Retention %")&gt;0,H28&gt;=SUMIFS('Data - Monthly Metrics'!$E:$E,'Data - Monthly Metrics'!$A:$A,$B$4,'Data - Monthly Metrics'!$B:$B,H$8,'Data - Monthly Metrics'!$C:$C,"Snohomish",'Data - Monthly Metrics'!$D:$D,"Goal - Retention %")-0.05)</formula>
    </cfRule>
    <cfRule type="expression" rank="0" priority="387" equalAverage="0" aboveAverage="0" dxfId="1" stopIfTrue="1" text="" percent="0" bottom="0">
      <formula>AND(ISNUMBER(H28),COUNTIFS('Data - Monthly Metrics'!$A:$A,$B$4,'Data - Monthly Metrics'!$B:$B,H$8,'Data - Monthly Metrics'!$C:$C,"Snohomish",'Data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Metrics'!$C:$C,"Snohomish",'Data - Monthly Metrics'!$D:$D,"Goal - Retention %")&gt;0,J28&gt;=SUMIFS('Data - Monthly Metrics'!$E:$E,'Data - Monthly Metrics'!$A:$A,$B$4,'Data - Monthly Metrics'!$B:$B,J$8,'Data - Monthly Metrics'!$C:$C,"Snohomish",'Data - Monthly Metrics'!$D:$D,"Goal - Retention %"))</formula>
    </cfRule>
    <cfRule type="expression" rank="0" priority="389" equalAverage="0" aboveAverage="0" dxfId="2" stopIfTrue="1" text="" percent="0" bottom="0">
      <formula>AND(ISNUMBER(J28),COUNTIFS('Data - Monthly Metrics'!$A:$A,$B$4,'Data - Monthly Metrics'!$B:$B,J$8,'Data - Monthly Metrics'!$C:$C,"Snohomish",'Data - Monthly Metrics'!$D:$D,"Goal - Retention %")&gt;0,J28&gt;=SUMIFS('Data - Monthly Metrics'!$E:$E,'Data - Monthly Metrics'!$A:$A,$B$4,'Data - Monthly Metrics'!$B:$B,J$8,'Data - Monthly Metrics'!$C:$C,"Snohomish",'Data - Monthly Metrics'!$D:$D,"Goal - Retention %")-0.05)</formula>
    </cfRule>
    <cfRule type="expression" rank="0" priority="390" equalAverage="0" aboveAverage="0" dxfId="1" stopIfTrue="1" text="" percent="0" bottom="0">
      <formula>AND(ISNUMBER(J28),COUNTIFS('Data - Monthly Metrics'!$A:$A,$B$4,'Data - Monthly Metrics'!$B:$B,J$8,'Data - Monthly Metrics'!$C:$C,"Snohomish",'Data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Metrics'!$C:$C,"Snohomish",'Data - Monthly Metrics'!$D:$D,"Goal - Retention %")&gt;0,K28&gt;=SUMIFS('Data - Monthly Metrics'!$E:$E,'Data - Monthly Metrics'!$A:$A,$B$4,'Data - Monthly Metrics'!$B:$B,K$8,'Data - Monthly Metrics'!$C:$C,"Snohomish",'Data - Monthly Metrics'!$D:$D,"Goal - Retention %"))</formula>
    </cfRule>
    <cfRule type="expression" rank="0" priority="392" equalAverage="0" aboveAverage="0" dxfId="2" stopIfTrue="1" text="" percent="0" bottom="0">
      <formula>AND(ISNUMBER(K28),COUNTIFS('Data - Monthly Metrics'!$A:$A,$B$4,'Data - Monthly Metrics'!$B:$B,K$8,'Data - Monthly Metrics'!$C:$C,"Snohomish",'Data - Monthly Metrics'!$D:$D,"Goal - Retention %")&gt;0,K28&gt;=SUMIFS('Data - Monthly Metrics'!$E:$E,'Data - Monthly Metrics'!$A:$A,$B$4,'Data - Monthly Metrics'!$B:$B,K$8,'Data - Monthly Metrics'!$C:$C,"Snohomish",'Data - Monthly Metrics'!$D:$D,"Goal - Retention %")-0.05)</formula>
    </cfRule>
    <cfRule type="expression" rank="0" priority="393" equalAverage="0" aboveAverage="0" dxfId="1" stopIfTrue="1" text="" percent="0" bottom="0">
      <formula>AND(ISNUMBER(K28),COUNTIFS('Data - Monthly Metrics'!$A:$A,$B$4,'Data - Monthly Metrics'!$B:$B,K$8,'Data - Monthly Metrics'!$C:$C,"Snohomish",'Data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Metrics'!$C:$C,"Snohomish",'Data - Monthly Metrics'!$D:$D,"Goal - Retention %")&gt;0,L28&gt;=SUMIFS('Data - Monthly Metrics'!$E:$E,'Data - Monthly Metrics'!$A:$A,$B$4,'Data - Monthly Metrics'!$B:$B,L$8,'Data - Monthly Metrics'!$C:$C,"Snohomish",'Data - Monthly Metrics'!$D:$D,"Goal - Retention %"))</formula>
    </cfRule>
    <cfRule type="expression" rank="0" priority="395" equalAverage="0" aboveAverage="0" dxfId="2" stopIfTrue="1" text="" percent="0" bottom="0">
      <formula>AND(ISNUMBER(L28),COUNTIFS('Data - Monthly Metrics'!$A:$A,$B$4,'Data - Monthly Metrics'!$B:$B,L$8,'Data - Monthly Metrics'!$C:$C,"Snohomish",'Data - Monthly Metrics'!$D:$D,"Goal - Retention %")&gt;0,L28&gt;=SUMIFS('Data - Monthly Metrics'!$E:$E,'Data - Monthly Metrics'!$A:$A,$B$4,'Data - Monthly Metrics'!$B:$B,L$8,'Data - Monthly Metrics'!$C:$C,"Snohomish",'Data - Monthly Metrics'!$D:$D,"Goal - Retention %")-0.05)</formula>
    </cfRule>
    <cfRule type="expression" rank="0" priority="396" equalAverage="0" aboveAverage="0" dxfId="1" stopIfTrue="1" text="" percent="0" bottom="0">
      <formula>AND(ISNUMBER(L28),COUNTIFS('Data - Monthly Metrics'!$A:$A,$B$4,'Data - Monthly Metrics'!$B:$B,L$8,'Data - Monthly Metrics'!$C:$C,"Snohomish",'Data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Metrics'!$C:$C,"Snohomish",'Data - Monthly Metrics'!$D:$D,"Goal - Retention %")&gt;0,N28&gt;=SUMIFS('Data - Monthly Metrics'!$E:$E,'Data - Monthly Metrics'!$A:$A,$B$4,'Data - Monthly Metrics'!$B:$B,N$8,'Data - Monthly Metrics'!$C:$C,"Snohomish",'Data - Monthly Metrics'!$D:$D,"Goal - Retention %"))</formula>
    </cfRule>
    <cfRule type="expression" rank="0" priority="398" equalAverage="0" aboveAverage="0" dxfId="2" stopIfTrue="1" text="" percent="0" bottom="0">
      <formula>AND(ISNUMBER(N28),COUNTIFS('Data - Monthly Metrics'!$A:$A,$B$4,'Data - Monthly Metrics'!$B:$B,N$8,'Data - Monthly Metrics'!$C:$C,"Snohomish",'Data - Monthly Metrics'!$D:$D,"Goal - Retention %")&gt;0,N28&gt;=SUMIFS('Data - Monthly Metrics'!$E:$E,'Data - Monthly Metrics'!$A:$A,$B$4,'Data - Monthly Metrics'!$B:$B,N$8,'Data - Monthly Metrics'!$C:$C,"Snohomish",'Data - Monthly Metrics'!$D:$D,"Goal - Retention %")-0.05)</formula>
    </cfRule>
    <cfRule type="expression" rank="0" priority="399" equalAverage="0" aboveAverage="0" dxfId="1" stopIfTrue="1" text="" percent="0" bottom="0">
      <formula>AND(ISNUMBER(N28),COUNTIFS('Data - Monthly Metrics'!$A:$A,$B$4,'Data - Monthly Metrics'!$B:$B,N$8,'Data - Monthly Metrics'!$C:$C,"Snohomish",'Data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Metrics'!$C:$C,"Snohomish",'Data - Monthly Metrics'!$D:$D,"Goal - Retention %")&gt;0,O28&gt;=SUMIFS('Data - Monthly Metrics'!$E:$E,'Data - Monthly Metrics'!$A:$A,$B$4,'Data - Monthly Metrics'!$B:$B,O$8,'Data - Monthly Metrics'!$C:$C,"Snohomish",'Data - Monthly Metrics'!$D:$D,"Goal - Retention %"))</formula>
    </cfRule>
    <cfRule type="expression" rank="0" priority="401" equalAverage="0" aboveAverage="0" dxfId="2" stopIfTrue="1" text="" percent="0" bottom="0">
      <formula>AND(ISNUMBER(O28),COUNTIFS('Data - Monthly Metrics'!$A:$A,$B$4,'Data - Monthly Metrics'!$B:$B,O$8,'Data - Monthly Metrics'!$C:$C,"Snohomish",'Data - Monthly Metrics'!$D:$D,"Goal - Retention %")&gt;0,O28&gt;=SUMIFS('Data - Monthly Metrics'!$E:$E,'Data - Monthly Metrics'!$A:$A,$B$4,'Data - Monthly Metrics'!$B:$B,O$8,'Data - Monthly Metrics'!$C:$C,"Snohomish",'Data - Monthly Metrics'!$D:$D,"Goal - Retention %")-0.05)</formula>
    </cfRule>
    <cfRule type="expression" rank="0" priority="402" equalAverage="0" aboveAverage="0" dxfId="1" stopIfTrue="1" text="" percent="0" bottom="0">
      <formula>AND(ISNUMBER(O28),COUNTIFS('Data - Monthly Metrics'!$A:$A,$B$4,'Data - Monthly Metrics'!$B:$B,O$8,'Data - Monthly Metrics'!$C:$C,"Snohomish",'Data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Metrics'!$C:$C,"Snohomish",'Data - Monthly Metrics'!$D:$D,"Goal - Retention %")&gt;0,P28&gt;=SUMIFS('Data - Monthly Metrics'!$E:$E,'Data - Monthly Metrics'!$A:$A,$B$4,'Data - Monthly Metrics'!$B:$B,P$8,'Data - Monthly Metrics'!$C:$C,"Snohomish",'Data - Monthly Metrics'!$D:$D,"Goal - Retention %"))</formula>
    </cfRule>
    <cfRule type="expression" rank="0" priority="404" equalAverage="0" aboveAverage="0" dxfId="2" stopIfTrue="1" text="" percent="0" bottom="0">
      <formula>AND(ISNUMBER(P28),COUNTIFS('Data - Monthly Metrics'!$A:$A,$B$4,'Data - Monthly Metrics'!$B:$B,P$8,'Data - Monthly Metrics'!$C:$C,"Snohomish",'Data - Monthly Metrics'!$D:$D,"Goal - Retention %")&gt;0,P28&gt;=SUMIFS('Data - Monthly Metrics'!$E:$E,'Data - Monthly Metrics'!$A:$A,$B$4,'Data - Monthly Metrics'!$B:$B,P$8,'Data - Monthly Metrics'!$C:$C,"Snohomish",'Data - Monthly Metrics'!$D:$D,"Goal - Retention %")-0.05)</formula>
    </cfRule>
    <cfRule type="expression" rank="0" priority="405" equalAverage="0" aboveAverage="0" dxfId="1" stopIfTrue="1" text="" percent="0" bottom="0">
      <formula>AND(ISNUMBER(P28),COUNTIFS('Data - Monthly Metrics'!$A:$A,$B$4,'Data - Monthly Metrics'!$B:$B,P$8,'Data - Monthly Metrics'!$C:$C,"Snohomish",'Data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Metrics'!$C:$C,"Snohomish",'Data - Monthly Metrics'!$D:$D,"Goal - Penetration %")&gt;0,B29&gt;=SUMIFS('Data - Monthly Metrics'!$E:$E,'Data - Monthly Metrics'!$A:$A,$B$4-1,'Data - Monthly Metrics'!$B:$B,B$8,'Data - Monthly Metrics'!$C:$C,"Snohomish",'Data - Monthly Metrics'!$D:$D,"Goal - Penetration %"))</formula>
    </cfRule>
    <cfRule type="expression" rank="0" priority="407" equalAverage="0" aboveAverage="0" dxfId="2" stopIfTrue="1" text="" percent="0" bottom="0">
      <formula>AND(ISNUMBER(B29),COUNTIFS('Data - Monthly Metrics'!$A:$A,$B$4-1,'Data - Monthly Metrics'!$B:$B,B$8,'Data - Monthly Metrics'!$C:$C,"Snohomish",'Data - Monthly Metrics'!$D:$D,"Goal - Penetration %")&gt;0,B29&gt;=SUMIFS('Data - Monthly Metrics'!$E:$E,'Data - Monthly Metrics'!$A:$A,$B$4-1,'Data - Monthly Metrics'!$B:$B,B$8,'Data - Monthly Metrics'!$C:$C,"Snohomish",'Data - Monthly Metrics'!$D:$D,"Goal - Penetration %")-0.05)</formula>
    </cfRule>
    <cfRule type="expression" rank="0" priority="408" equalAverage="0" aboveAverage="0" dxfId="1" stopIfTrue="1" text="" percent="0" bottom="0">
      <formula>AND(ISNUMBER(B29),COUNTIFS('Data - Monthly Metrics'!$A:$A,$B$4-1,'Data - Monthly Metrics'!$B:$B,B$8,'Data - Monthly Metrics'!$C:$C,"Snohomish",'Data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Metrics'!$C:$C,"Snohomish",'Data - Monthly Metrics'!$D:$D,"Goal - Penetration %")&gt;0,C29&gt;=SUMIFS('Data - Monthly Metrics'!$E:$E,'Data - Monthly Metrics'!$A:$A,$B$4-1,'Data - Monthly Metrics'!$B:$B,C$8,'Data - Monthly Metrics'!$C:$C,"Snohomish",'Data - Monthly Metrics'!$D:$D,"Goal - Penetration %"))</formula>
    </cfRule>
    <cfRule type="expression" rank="0" priority="410" equalAverage="0" aboveAverage="0" dxfId="2" stopIfTrue="1" text="" percent="0" bottom="0">
      <formula>AND(ISNUMBER(C29),COUNTIFS('Data - Monthly Metrics'!$A:$A,$B$4-1,'Data - Monthly Metrics'!$B:$B,C$8,'Data - Monthly Metrics'!$C:$C,"Snohomish",'Data - Monthly Metrics'!$D:$D,"Goal - Penetration %")&gt;0,C29&gt;=SUMIFS('Data - Monthly Metrics'!$E:$E,'Data - Monthly Metrics'!$A:$A,$B$4-1,'Data - Monthly Metrics'!$B:$B,C$8,'Data - Monthly Metrics'!$C:$C,"Snohomish",'Data - Monthly Metrics'!$D:$D,"Goal - Penetration %")-0.05)</formula>
    </cfRule>
    <cfRule type="expression" rank="0" priority="411" equalAverage="0" aboveAverage="0" dxfId="1" stopIfTrue="1" text="" percent="0" bottom="0">
      <formula>AND(ISNUMBER(C29),COUNTIFS('Data - Monthly Metrics'!$A:$A,$B$4-1,'Data - Monthly Metrics'!$B:$B,C$8,'Data - Monthly Metrics'!$C:$C,"Snohomish",'Data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Metrics'!$C:$C,"Snohomish",'Data - Monthly Metrics'!$D:$D,"Goal - Penetration %")&gt;0,D29&gt;=SUMIFS('Data - Monthly Metrics'!$E:$E,'Data - Monthly Metrics'!$A:$A,$B$4-1,'Data - Monthly Metrics'!$B:$B,D$8,'Data - Monthly Metrics'!$C:$C,"Snohomish",'Data - Monthly Metrics'!$D:$D,"Goal - Penetration %"))</formula>
    </cfRule>
    <cfRule type="expression" rank="0" priority="413" equalAverage="0" aboveAverage="0" dxfId="2" stopIfTrue="1" text="" percent="0" bottom="0">
      <formula>AND(ISNUMBER(D29),COUNTIFS('Data - Monthly Metrics'!$A:$A,$B$4-1,'Data - Monthly Metrics'!$B:$B,D$8,'Data - Monthly Metrics'!$C:$C,"Snohomish",'Data - Monthly Metrics'!$D:$D,"Goal - Penetration %")&gt;0,D29&gt;=SUMIFS('Data - Monthly Metrics'!$E:$E,'Data - Monthly Metrics'!$A:$A,$B$4-1,'Data - Monthly Metrics'!$B:$B,D$8,'Data - Monthly Metrics'!$C:$C,"Snohomish",'Data - Monthly Metrics'!$D:$D,"Goal - Penetration %")-0.05)</formula>
    </cfRule>
    <cfRule type="expression" rank="0" priority="414" equalAverage="0" aboveAverage="0" dxfId="1" stopIfTrue="1" text="" percent="0" bottom="0">
      <formula>AND(ISNUMBER(D29),COUNTIFS('Data - Monthly Metrics'!$A:$A,$B$4-1,'Data - Monthly Metrics'!$B:$B,D$8,'Data - Monthly Metrics'!$C:$C,"Snohomish",'Data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Metrics'!$C:$C,"Snohomish",'Data - Monthly Metrics'!$D:$D,"Goal - Penetration %")&gt;0,F29&gt;=SUMIFS('Data - Monthly Metrics'!$E:$E,'Data - Monthly Metrics'!$A:$A,$B$4,'Data - Monthly Metrics'!$B:$B,F$8,'Data - Monthly Metrics'!$C:$C,"Snohomish",'Data - Monthly Metrics'!$D:$D,"Goal - Penetration %"))</formula>
    </cfRule>
    <cfRule type="expression" rank="0" priority="416" equalAverage="0" aboveAverage="0" dxfId="2" stopIfTrue="1" text="" percent="0" bottom="0">
      <formula>AND(ISNUMBER(F29),COUNTIFS('Data - Monthly Metrics'!$A:$A,$B$4,'Data - Monthly Metrics'!$B:$B,F$8,'Data - Monthly Metrics'!$C:$C,"Snohomish",'Data - Monthly Metrics'!$D:$D,"Goal - Penetration %")&gt;0,F29&gt;=SUMIFS('Data - Monthly Metrics'!$E:$E,'Data - Monthly Metrics'!$A:$A,$B$4,'Data - Monthly Metrics'!$B:$B,F$8,'Data - Monthly Metrics'!$C:$C,"Snohomish",'Data - Monthly Metrics'!$D:$D,"Goal - Penetration %")-0.05)</formula>
    </cfRule>
    <cfRule type="expression" rank="0" priority="417" equalAverage="0" aboveAverage="0" dxfId="1" stopIfTrue="1" text="" percent="0" bottom="0">
      <formula>AND(ISNUMBER(F29),COUNTIFS('Data - Monthly Metrics'!$A:$A,$B$4,'Data - Monthly Metrics'!$B:$B,F$8,'Data - Monthly Metrics'!$C:$C,"Snohomish",'Data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Metrics'!$C:$C,"Snohomish",'Data - Monthly Metrics'!$D:$D,"Goal - Penetration %")&gt;0,G29&gt;=SUMIFS('Data - Monthly Metrics'!$E:$E,'Data - Monthly Metrics'!$A:$A,$B$4,'Data - Monthly Metrics'!$B:$B,G$8,'Data - Monthly Metrics'!$C:$C,"Snohomish",'Data - Monthly Metrics'!$D:$D,"Goal - Penetration %"))</formula>
    </cfRule>
    <cfRule type="expression" rank="0" priority="419" equalAverage="0" aboveAverage="0" dxfId="2" stopIfTrue="1" text="" percent="0" bottom="0">
      <formula>AND(ISNUMBER(G29),COUNTIFS('Data - Monthly Metrics'!$A:$A,$B$4,'Data - Monthly Metrics'!$B:$B,G$8,'Data - Monthly Metrics'!$C:$C,"Snohomish",'Data - Monthly Metrics'!$D:$D,"Goal - Penetration %")&gt;0,G29&gt;=SUMIFS('Data - Monthly Metrics'!$E:$E,'Data - Monthly Metrics'!$A:$A,$B$4,'Data - Monthly Metrics'!$B:$B,G$8,'Data - Monthly Metrics'!$C:$C,"Snohomish",'Data - Monthly Metrics'!$D:$D,"Goal - Penetration %")-0.05)</formula>
    </cfRule>
    <cfRule type="expression" rank="0" priority="420" equalAverage="0" aboveAverage="0" dxfId="1" stopIfTrue="1" text="" percent="0" bottom="0">
      <formula>AND(ISNUMBER(G29),COUNTIFS('Data - Monthly Metrics'!$A:$A,$B$4,'Data - Monthly Metrics'!$B:$B,G$8,'Data - Monthly Metrics'!$C:$C,"Snohomish",'Data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Metrics'!$C:$C,"Snohomish",'Data - Monthly Metrics'!$D:$D,"Goal - Penetration %")&gt;0,H29&gt;=SUMIFS('Data - Monthly Metrics'!$E:$E,'Data - Monthly Metrics'!$A:$A,$B$4,'Data - Monthly Metrics'!$B:$B,H$8,'Data - Monthly Metrics'!$C:$C,"Snohomish",'Data - Monthly Metrics'!$D:$D,"Goal - Penetration %"))</formula>
    </cfRule>
    <cfRule type="expression" rank="0" priority="422" equalAverage="0" aboveAverage="0" dxfId="2" stopIfTrue="1" text="" percent="0" bottom="0">
      <formula>AND(ISNUMBER(H29),COUNTIFS('Data - Monthly Metrics'!$A:$A,$B$4,'Data - Monthly Metrics'!$B:$B,H$8,'Data - Monthly Metrics'!$C:$C,"Snohomish",'Data - Monthly Metrics'!$D:$D,"Goal - Penetration %")&gt;0,H29&gt;=SUMIFS('Data - Monthly Metrics'!$E:$E,'Data - Monthly Metrics'!$A:$A,$B$4,'Data - Monthly Metrics'!$B:$B,H$8,'Data - Monthly Metrics'!$C:$C,"Snohomish",'Data - Monthly Metrics'!$D:$D,"Goal - Penetration %")-0.05)</formula>
    </cfRule>
    <cfRule type="expression" rank="0" priority="423" equalAverage="0" aboveAverage="0" dxfId="1" stopIfTrue="1" text="" percent="0" bottom="0">
      <formula>AND(ISNUMBER(H29),COUNTIFS('Data - Monthly Metrics'!$A:$A,$B$4,'Data - Monthly Metrics'!$B:$B,H$8,'Data - Monthly Metrics'!$C:$C,"Snohomish",'Data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Metrics'!$C:$C,"Snohomish",'Data - Monthly Metrics'!$D:$D,"Goal - Penetration %")&gt;0,J29&gt;=SUMIFS('Data - Monthly Metrics'!$E:$E,'Data - Monthly Metrics'!$A:$A,$B$4,'Data - Monthly Metrics'!$B:$B,J$8,'Data - Monthly Metrics'!$C:$C,"Snohomish",'Data - Monthly Metrics'!$D:$D,"Goal - Penetration %"))</formula>
    </cfRule>
    <cfRule type="expression" rank="0" priority="425" equalAverage="0" aboveAverage="0" dxfId="2" stopIfTrue="1" text="" percent="0" bottom="0">
      <formula>AND(ISNUMBER(J29),COUNTIFS('Data - Monthly Metrics'!$A:$A,$B$4,'Data - Monthly Metrics'!$B:$B,J$8,'Data - Monthly Metrics'!$C:$C,"Snohomish",'Data - Monthly Metrics'!$D:$D,"Goal - Penetration %")&gt;0,J29&gt;=SUMIFS('Data - Monthly Metrics'!$E:$E,'Data - Monthly Metrics'!$A:$A,$B$4,'Data - Monthly Metrics'!$B:$B,J$8,'Data - Monthly Metrics'!$C:$C,"Snohomish",'Data - Monthly Metrics'!$D:$D,"Goal - Penetration %")-0.05)</formula>
    </cfRule>
    <cfRule type="expression" rank="0" priority="426" equalAverage="0" aboveAverage="0" dxfId="1" stopIfTrue="1" text="" percent="0" bottom="0">
      <formula>AND(ISNUMBER(J29),COUNTIFS('Data - Monthly Metrics'!$A:$A,$B$4,'Data - Monthly Metrics'!$B:$B,J$8,'Data - Monthly Metrics'!$C:$C,"Snohomish",'Data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Metrics'!$C:$C,"Snohomish",'Data - Monthly Metrics'!$D:$D,"Goal - Penetration %")&gt;0,K29&gt;=SUMIFS('Data - Monthly Metrics'!$E:$E,'Data - Monthly Metrics'!$A:$A,$B$4,'Data - Monthly Metrics'!$B:$B,K$8,'Data - Monthly Metrics'!$C:$C,"Snohomish",'Data - Monthly Metrics'!$D:$D,"Goal - Penetration %"))</formula>
    </cfRule>
    <cfRule type="expression" rank="0" priority="428" equalAverage="0" aboveAverage="0" dxfId="2" stopIfTrue="1" text="" percent="0" bottom="0">
      <formula>AND(ISNUMBER(K29),COUNTIFS('Data - Monthly Metrics'!$A:$A,$B$4,'Data - Monthly Metrics'!$B:$B,K$8,'Data - Monthly Metrics'!$C:$C,"Snohomish",'Data - Monthly Metrics'!$D:$D,"Goal - Penetration %")&gt;0,K29&gt;=SUMIFS('Data - Monthly Metrics'!$E:$E,'Data - Monthly Metrics'!$A:$A,$B$4,'Data - Monthly Metrics'!$B:$B,K$8,'Data - Monthly Metrics'!$C:$C,"Snohomish",'Data - Monthly Metrics'!$D:$D,"Goal - Penetration %")-0.05)</formula>
    </cfRule>
    <cfRule type="expression" rank="0" priority="429" equalAverage="0" aboveAverage="0" dxfId="1" stopIfTrue="1" text="" percent="0" bottom="0">
      <formula>AND(ISNUMBER(K29),COUNTIFS('Data - Monthly Metrics'!$A:$A,$B$4,'Data - Monthly Metrics'!$B:$B,K$8,'Data - Monthly Metrics'!$C:$C,"Snohomish",'Data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Metrics'!$C:$C,"Snohomish",'Data - Monthly Metrics'!$D:$D,"Goal - Penetration %")&gt;0,L29&gt;=SUMIFS('Data - Monthly Metrics'!$E:$E,'Data - Monthly Metrics'!$A:$A,$B$4,'Data - Monthly Metrics'!$B:$B,L$8,'Data - Monthly Metrics'!$C:$C,"Snohomish",'Data - Monthly Metrics'!$D:$D,"Goal - Penetration %"))</formula>
    </cfRule>
    <cfRule type="expression" rank="0" priority="431" equalAverage="0" aboveAverage="0" dxfId="2" stopIfTrue="1" text="" percent="0" bottom="0">
      <formula>AND(ISNUMBER(L29),COUNTIFS('Data - Monthly Metrics'!$A:$A,$B$4,'Data - Monthly Metrics'!$B:$B,L$8,'Data - Monthly Metrics'!$C:$C,"Snohomish",'Data - Monthly Metrics'!$D:$D,"Goal - Penetration %")&gt;0,L29&gt;=SUMIFS('Data - Monthly Metrics'!$E:$E,'Data - Monthly Metrics'!$A:$A,$B$4,'Data - Monthly Metrics'!$B:$B,L$8,'Data - Monthly Metrics'!$C:$C,"Snohomish",'Data - Monthly Metrics'!$D:$D,"Goal - Penetration %")-0.05)</formula>
    </cfRule>
    <cfRule type="expression" rank="0" priority="432" equalAverage="0" aboveAverage="0" dxfId="1" stopIfTrue="1" text="" percent="0" bottom="0">
      <formula>AND(ISNUMBER(L29),COUNTIFS('Data - Monthly Metrics'!$A:$A,$B$4,'Data - Monthly Metrics'!$B:$B,L$8,'Data - Monthly Metrics'!$C:$C,"Snohomish",'Data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Metrics'!$C:$C,"Snohomish",'Data - Monthly Metrics'!$D:$D,"Goal - Penetration %")&gt;0,N29&gt;=SUMIFS('Data - Monthly Metrics'!$E:$E,'Data - Monthly Metrics'!$A:$A,$B$4,'Data - Monthly Metrics'!$B:$B,N$8,'Data - Monthly Metrics'!$C:$C,"Snohomish",'Data - Monthly Metrics'!$D:$D,"Goal - Penetration %"))</formula>
    </cfRule>
    <cfRule type="expression" rank="0" priority="434" equalAverage="0" aboveAverage="0" dxfId="2" stopIfTrue="1" text="" percent="0" bottom="0">
      <formula>AND(ISNUMBER(N29),COUNTIFS('Data - Monthly Metrics'!$A:$A,$B$4,'Data - Monthly Metrics'!$B:$B,N$8,'Data - Monthly Metrics'!$C:$C,"Snohomish",'Data - Monthly Metrics'!$D:$D,"Goal - Penetration %")&gt;0,N29&gt;=SUMIFS('Data - Monthly Metrics'!$E:$E,'Data - Monthly Metrics'!$A:$A,$B$4,'Data - Monthly Metrics'!$B:$B,N$8,'Data - Monthly Metrics'!$C:$C,"Snohomish",'Data - Monthly Metrics'!$D:$D,"Goal - Penetration %")-0.05)</formula>
    </cfRule>
    <cfRule type="expression" rank="0" priority="435" equalAverage="0" aboveAverage="0" dxfId="1" stopIfTrue="1" text="" percent="0" bottom="0">
      <formula>AND(ISNUMBER(N29),COUNTIFS('Data - Monthly Metrics'!$A:$A,$B$4,'Data - Monthly Metrics'!$B:$B,N$8,'Data - Monthly Metrics'!$C:$C,"Snohomish",'Data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Metrics'!$C:$C,"Snohomish",'Data - Monthly Metrics'!$D:$D,"Goal - Penetration %")&gt;0,O29&gt;=SUMIFS('Data - Monthly Metrics'!$E:$E,'Data - Monthly Metrics'!$A:$A,$B$4,'Data - Monthly Metrics'!$B:$B,O$8,'Data - Monthly Metrics'!$C:$C,"Snohomish",'Data - Monthly Metrics'!$D:$D,"Goal - Penetration %"))</formula>
    </cfRule>
    <cfRule type="expression" rank="0" priority="437" equalAverage="0" aboveAverage="0" dxfId="2" stopIfTrue="1" text="" percent="0" bottom="0">
      <formula>AND(ISNUMBER(O29),COUNTIFS('Data - Monthly Metrics'!$A:$A,$B$4,'Data - Monthly Metrics'!$B:$B,O$8,'Data - Monthly Metrics'!$C:$C,"Snohomish",'Data - Monthly Metrics'!$D:$D,"Goal - Penetration %")&gt;0,O29&gt;=SUMIFS('Data - Monthly Metrics'!$E:$E,'Data - Monthly Metrics'!$A:$A,$B$4,'Data - Monthly Metrics'!$B:$B,O$8,'Data - Monthly Metrics'!$C:$C,"Snohomish",'Data - Monthly Metrics'!$D:$D,"Goal - Penetration %")-0.05)</formula>
    </cfRule>
    <cfRule type="expression" rank="0" priority="438" equalAverage="0" aboveAverage="0" dxfId="1" stopIfTrue="1" text="" percent="0" bottom="0">
      <formula>AND(ISNUMBER(O29),COUNTIFS('Data - Monthly Metrics'!$A:$A,$B$4,'Data - Monthly Metrics'!$B:$B,O$8,'Data - Monthly Metrics'!$C:$C,"Snohomish",'Data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Metrics'!$C:$C,"Snohomish",'Data - Monthly Metrics'!$D:$D,"Goal - Penetration %")&gt;0,P29&gt;=SUMIFS('Data - Monthly Metrics'!$E:$E,'Data - Monthly Metrics'!$A:$A,$B$4,'Data - Monthly Metrics'!$B:$B,P$8,'Data - Monthly Metrics'!$C:$C,"Snohomish",'Data - Monthly Metrics'!$D:$D,"Goal - Penetration %"))</formula>
    </cfRule>
    <cfRule type="expression" rank="0" priority="440" equalAverage="0" aboveAverage="0" dxfId="2" stopIfTrue="1" text="" percent="0" bottom="0">
      <formula>AND(ISNUMBER(P29),COUNTIFS('Data - Monthly Metrics'!$A:$A,$B$4,'Data - Monthly Metrics'!$B:$B,P$8,'Data - Monthly Metrics'!$C:$C,"Snohomish",'Data - Monthly Metrics'!$D:$D,"Goal - Penetration %")&gt;0,P29&gt;=SUMIFS('Data - Monthly Metrics'!$E:$E,'Data - Monthly Metrics'!$A:$A,$B$4,'Data - Monthly Metrics'!$B:$B,P$8,'Data - Monthly Metrics'!$C:$C,"Snohomish",'Data - Monthly Metrics'!$D:$D,"Goal - Penetration %")-0.05)</formula>
    </cfRule>
    <cfRule type="expression" rank="0" priority="441" equalAverage="0" aboveAverage="0" dxfId="1" stopIfTrue="1" text="" percent="0" bottom="0">
      <formula>AND(ISNUMBER(P29),COUNTIFS('Data - Monthly Metrics'!$A:$A,$B$4,'Data - Monthly Metrics'!$B:$B,P$8,'Data - Monthly Metrics'!$C:$C,"Snohomish",'Data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Metrics'!$C:$C,"Snohomish",'Data - Monthly Metrics'!$D:$D,"Goal - Penetration %")&gt;0,B30&gt;=SUMIFS('Data - Monthly Metrics'!$E:$E,'Data - Monthly Metrics'!$A:$A,$B$4-1,'Data - Monthly Metrics'!$B:$B,B$8,'Data - Monthly Metrics'!$C:$C,"Snohomish",'Data - Monthly Metrics'!$D:$D,"Goal - Penetration %"))</formula>
    </cfRule>
    <cfRule type="expression" rank="0" priority="443" equalAverage="0" aboveAverage="0" dxfId="2" stopIfTrue="1" text="" percent="0" bottom="0">
      <formula>AND(ISNUMBER(B30),COUNTIFS('Data - Monthly Metrics'!$A:$A,$B$4-1,'Data - Monthly Metrics'!$B:$B,B$8,'Data - Monthly Metrics'!$C:$C,"Snohomish",'Data - Monthly Metrics'!$D:$D,"Goal - Penetration %")&gt;0,B30&gt;=SUMIFS('Data - Monthly Metrics'!$E:$E,'Data - Monthly Metrics'!$A:$A,$B$4-1,'Data - Monthly Metrics'!$B:$B,B$8,'Data - Monthly Metrics'!$C:$C,"Snohomish",'Data - Monthly Metrics'!$D:$D,"Goal - Penetration %")-0.05)</formula>
    </cfRule>
    <cfRule type="expression" rank="0" priority="444" equalAverage="0" aboveAverage="0" dxfId="1" stopIfTrue="1" text="" percent="0" bottom="0">
      <formula>AND(ISNUMBER(B30),COUNTIFS('Data - Monthly Metrics'!$A:$A,$B$4-1,'Data - Monthly Metrics'!$B:$B,B$8,'Data - Monthly Metrics'!$C:$C,"Snohomish",'Data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Metrics'!$C:$C,"Snohomish",'Data - Monthly Metrics'!$D:$D,"Goal - Penetration %")&gt;0,C30&gt;=SUMIFS('Data - Monthly Metrics'!$E:$E,'Data - Monthly Metrics'!$A:$A,$B$4-1,'Data - Monthly Metrics'!$B:$B,C$8,'Data - Monthly Metrics'!$C:$C,"Snohomish",'Data - Monthly Metrics'!$D:$D,"Goal - Penetration %"))</formula>
    </cfRule>
    <cfRule type="expression" rank="0" priority="446" equalAverage="0" aboveAverage="0" dxfId="2" stopIfTrue="1" text="" percent="0" bottom="0">
      <formula>AND(ISNUMBER(C30),COUNTIFS('Data - Monthly Metrics'!$A:$A,$B$4-1,'Data - Monthly Metrics'!$B:$B,C$8,'Data - Monthly Metrics'!$C:$C,"Snohomish",'Data - Monthly Metrics'!$D:$D,"Goal - Penetration %")&gt;0,C30&gt;=SUMIFS('Data - Monthly Metrics'!$E:$E,'Data - Monthly Metrics'!$A:$A,$B$4-1,'Data - Monthly Metrics'!$B:$B,C$8,'Data - Monthly Metrics'!$C:$C,"Snohomish",'Data - Monthly Metrics'!$D:$D,"Goal - Penetration %")-0.05)</formula>
    </cfRule>
    <cfRule type="expression" rank="0" priority="447" equalAverage="0" aboveAverage="0" dxfId="1" stopIfTrue="1" text="" percent="0" bottom="0">
      <formula>AND(ISNUMBER(C30),COUNTIFS('Data - Monthly Metrics'!$A:$A,$B$4-1,'Data - Monthly Metrics'!$B:$B,C$8,'Data - Monthly Metrics'!$C:$C,"Snohomish",'Data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Metrics'!$C:$C,"Snohomish",'Data - Monthly Metrics'!$D:$D,"Goal - Penetration %")&gt;0,D30&gt;=SUMIFS('Data - Monthly Metrics'!$E:$E,'Data - Monthly Metrics'!$A:$A,$B$4-1,'Data - Monthly Metrics'!$B:$B,D$8,'Data - Monthly Metrics'!$C:$C,"Snohomish",'Data - Monthly Metrics'!$D:$D,"Goal - Penetration %"))</formula>
    </cfRule>
    <cfRule type="expression" rank="0" priority="449" equalAverage="0" aboveAverage="0" dxfId="2" stopIfTrue="1" text="" percent="0" bottom="0">
      <formula>AND(ISNUMBER(D30),COUNTIFS('Data - Monthly Metrics'!$A:$A,$B$4-1,'Data - Monthly Metrics'!$B:$B,D$8,'Data - Monthly Metrics'!$C:$C,"Snohomish",'Data - Monthly Metrics'!$D:$D,"Goal - Penetration %")&gt;0,D30&gt;=SUMIFS('Data - Monthly Metrics'!$E:$E,'Data - Monthly Metrics'!$A:$A,$B$4-1,'Data - Monthly Metrics'!$B:$B,D$8,'Data - Monthly Metrics'!$C:$C,"Snohomish",'Data - Monthly Metrics'!$D:$D,"Goal - Penetration %")-0.05)</formula>
    </cfRule>
    <cfRule type="expression" rank="0" priority="450" equalAverage="0" aboveAverage="0" dxfId="1" stopIfTrue="1" text="" percent="0" bottom="0">
      <formula>AND(ISNUMBER(D30),COUNTIFS('Data - Monthly Metrics'!$A:$A,$B$4-1,'Data - Monthly Metrics'!$B:$B,D$8,'Data - Monthly Metrics'!$C:$C,"Snohomish",'Data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Metrics'!$C:$C,"Snohomish",'Data - Monthly Metrics'!$D:$D,"Goal - Penetration %")&gt;0,F30&gt;=SUMIFS('Data - Monthly Metrics'!$E:$E,'Data - Monthly Metrics'!$A:$A,$B$4,'Data - Monthly Metrics'!$B:$B,F$8,'Data - Monthly Metrics'!$C:$C,"Snohomish",'Data - Monthly Metrics'!$D:$D,"Goal - Penetration %"))</formula>
    </cfRule>
    <cfRule type="expression" rank="0" priority="452" equalAverage="0" aboveAverage="0" dxfId="2" stopIfTrue="1" text="" percent="0" bottom="0">
      <formula>AND(ISNUMBER(F30),COUNTIFS('Data - Monthly Metrics'!$A:$A,$B$4,'Data - Monthly Metrics'!$B:$B,F$8,'Data - Monthly Metrics'!$C:$C,"Snohomish",'Data - Monthly Metrics'!$D:$D,"Goal - Penetration %")&gt;0,F30&gt;=SUMIFS('Data - Monthly Metrics'!$E:$E,'Data - Monthly Metrics'!$A:$A,$B$4,'Data - Monthly Metrics'!$B:$B,F$8,'Data - Monthly Metrics'!$C:$C,"Snohomish",'Data - Monthly Metrics'!$D:$D,"Goal - Penetration %")-0.05)</formula>
    </cfRule>
    <cfRule type="expression" rank="0" priority="453" equalAverage="0" aboveAverage="0" dxfId="1" stopIfTrue="1" text="" percent="0" bottom="0">
      <formula>AND(ISNUMBER(F30),COUNTIFS('Data - Monthly Metrics'!$A:$A,$B$4,'Data - Monthly Metrics'!$B:$B,F$8,'Data - Monthly Metrics'!$C:$C,"Snohomish",'Data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Metrics'!$C:$C,"Snohomish",'Data - Monthly Metrics'!$D:$D,"Goal - Penetration %")&gt;0,G30&gt;=SUMIFS('Data - Monthly Metrics'!$E:$E,'Data - Monthly Metrics'!$A:$A,$B$4,'Data - Monthly Metrics'!$B:$B,G$8,'Data - Monthly Metrics'!$C:$C,"Snohomish",'Data - Monthly Metrics'!$D:$D,"Goal - Penetration %"))</formula>
    </cfRule>
    <cfRule type="expression" rank="0" priority="455" equalAverage="0" aboveAverage="0" dxfId="2" stopIfTrue="1" text="" percent="0" bottom="0">
      <formula>AND(ISNUMBER(G30),COUNTIFS('Data - Monthly Metrics'!$A:$A,$B$4,'Data - Monthly Metrics'!$B:$B,G$8,'Data - Monthly Metrics'!$C:$C,"Snohomish",'Data - Monthly Metrics'!$D:$D,"Goal - Penetration %")&gt;0,G30&gt;=SUMIFS('Data - Monthly Metrics'!$E:$E,'Data - Monthly Metrics'!$A:$A,$B$4,'Data - Monthly Metrics'!$B:$B,G$8,'Data - Monthly Metrics'!$C:$C,"Snohomish",'Data - Monthly Metrics'!$D:$D,"Goal - Penetration %")-0.05)</formula>
    </cfRule>
    <cfRule type="expression" rank="0" priority="456" equalAverage="0" aboveAverage="0" dxfId="1" stopIfTrue="1" text="" percent="0" bottom="0">
      <formula>AND(ISNUMBER(G30),COUNTIFS('Data - Monthly Metrics'!$A:$A,$B$4,'Data - Monthly Metrics'!$B:$B,G$8,'Data - Monthly Metrics'!$C:$C,"Snohomish",'Data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Metrics'!$C:$C,"Snohomish",'Data - Monthly Metrics'!$D:$D,"Goal - Penetration %")&gt;0,H30&gt;=SUMIFS('Data - Monthly Metrics'!$E:$E,'Data - Monthly Metrics'!$A:$A,$B$4,'Data - Monthly Metrics'!$B:$B,H$8,'Data - Monthly Metrics'!$C:$C,"Snohomish",'Data - Monthly Metrics'!$D:$D,"Goal - Penetration %"))</formula>
    </cfRule>
    <cfRule type="expression" rank="0" priority="458" equalAverage="0" aboveAverage="0" dxfId="2" stopIfTrue="1" text="" percent="0" bottom="0">
      <formula>AND(ISNUMBER(H30),COUNTIFS('Data - Monthly Metrics'!$A:$A,$B$4,'Data - Monthly Metrics'!$B:$B,H$8,'Data - Monthly Metrics'!$C:$C,"Snohomish",'Data - Monthly Metrics'!$D:$D,"Goal - Penetration %")&gt;0,H30&gt;=SUMIFS('Data - Monthly Metrics'!$E:$E,'Data - Monthly Metrics'!$A:$A,$B$4,'Data - Monthly Metrics'!$B:$B,H$8,'Data - Monthly Metrics'!$C:$C,"Snohomish",'Data - Monthly Metrics'!$D:$D,"Goal - Penetration %")-0.05)</formula>
    </cfRule>
    <cfRule type="expression" rank="0" priority="459" equalAverage="0" aboveAverage="0" dxfId="1" stopIfTrue="1" text="" percent="0" bottom="0">
      <formula>AND(ISNUMBER(H30),COUNTIFS('Data - Monthly Metrics'!$A:$A,$B$4,'Data - Monthly Metrics'!$B:$B,H$8,'Data - Monthly Metrics'!$C:$C,"Snohomish",'Data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Metrics'!$C:$C,"Snohomish",'Data - Monthly Metrics'!$D:$D,"Goal - Penetration %")&gt;0,J30&gt;=SUMIFS('Data - Monthly Metrics'!$E:$E,'Data - Monthly Metrics'!$A:$A,$B$4,'Data - Monthly Metrics'!$B:$B,J$8,'Data - Monthly Metrics'!$C:$C,"Snohomish",'Data - Monthly Metrics'!$D:$D,"Goal - Penetration %"))</formula>
    </cfRule>
    <cfRule type="expression" rank="0" priority="461" equalAverage="0" aboveAverage="0" dxfId="2" stopIfTrue="1" text="" percent="0" bottom="0">
      <formula>AND(ISNUMBER(J30),COUNTIFS('Data - Monthly Metrics'!$A:$A,$B$4,'Data - Monthly Metrics'!$B:$B,J$8,'Data - Monthly Metrics'!$C:$C,"Snohomish",'Data - Monthly Metrics'!$D:$D,"Goal - Penetration %")&gt;0,J30&gt;=SUMIFS('Data - Monthly Metrics'!$E:$E,'Data - Monthly Metrics'!$A:$A,$B$4,'Data - Monthly Metrics'!$B:$B,J$8,'Data - Monthly Metrics'!$C:$C,"Snohomish",'Data - Monthly Metrics'!$D:$D,"Goal - Penetration %")-0.05)</formula>
    </cfRule>
    <cfRule type="expression" rank="0" priority="462" equalAverage="0" aboveAverage="0" dxfId="1" stopIfTrue="1" text="" percent="0" bottom="0">
      <formula>AND(ISNUMBER(J30),COUNTIFS('Data - Monthly Metrics'!$A:$A,$B$4,'Data - Monthly Metrics'!$B:$B,J$8,'Data - Monthly Metrics'!$C:$C,"Snohomish",'Data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Metrics'!$C:$C,"Snohomish",'Data - Monthly Metrics'!$D:$D,"Goal - Penetration %")&gt;0,K30&gt;=SUMIFS('Data - Monthly Metrics'!$E:$E,'Data - Monthly Metrics'!$A:$A,$B$4,'Data - Monthly Metrics'!$B:$B,K$8,'Data - Monthly Metrics'!$C:$C,"Snohomish",'Data - Monthly Metrics'!$D:$D,"Goal - Penetration %"))</formula>
    </cfRule>
    <cfRule type="expression" rank="0" priority="464" equalAverage="0" aboveAverage="0" dxfId="2" stopIfTrue="1" text="" percent="0" bottom="0">
      <formula>AND(ISNUMBER(K30),COUNTIFS('Data - Monthly Metrics'!$A:$A,$B$4,'Data - Monthly Metrics'!$B:$B,K$8,'Data - Monthly Metrics'!$C:$C,"Snohomish",'Data - Monthly Metrics'!$D:$D,"Goal - Penetration %")&gt;0,K30&gt;=SUMIFS('Data - Monthly Metrics'!$E:$E,'Data - Monthly Metrics'!$A:$A,$B$4,'Data - Monthly Metrics'!$B:$B,K$8,'Data - Monthly Metrics'!$C:$C,"Snohomish",'Data - Monthly Metrics'!$D:$D,"Goal - Penetration %")-0.05)</formula>
    </cfRule>
    <cfRule type="expression" rank="0" priority="465" equalAverage="0" aboveAverage="0" dxfId="1" stopIfTrue="1" text="" percent="0" bottom="0">
      <formula>AND(ISNUMBER(K30),COUNTIFS('Data - Monthly Metrics'!$A:$A,$B$4,'Data - Monthly Metrics'!$B:$B,K$8,'Data - Monthly Metrics'!$C:$C,"Snohomish",'Data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Metrics'!$C:$C,"Snohomish",'Data - Monthly Metrics'!$D:$D,"Goal - Penetration %")&gt;0,L30&gt;=SUMIFS('Data - Monthly Metrics'!$E:$E,'Data - Monthly Metrics'!$A:$A,$B$4,'Data - Monthly Metrics'!$B:$B,L$8,'Data - Monthly Metrics'!$C:$C,"Snohomish",'Data - Monthly Metrics'!$D:$D,"Goal - Penetration %"))</formula>
    </cfRule>
    <cfRule type="expression" rank="0" priority="467" equalAverage="0" aboveAverage="0" dxfId="2" stopIfTrue="1" text="" percent="0" bottom="0">
      <formula>AND(ISNUMBER(L30),COUNTIFS('Data - Monthly Metrics'!$A:$A,$B$4,'Data - Monthly Metrics'!$B:$B,L$8,'Data - Monthly Metrics'!$C:$C,"Snohomish",'Data - Monthly Metrics'!$D:$D,"Goal - Penetration %")&gt;0,L30&gt;=SUMIFS('Data - Monthly Metrics'!$E:$E,'Data - Monthly Metrics'!$A:$A,$B$4,'Data - Monthly Metrics'!$B:$B,L$8,'Data - Monthly Metrics'!$C:$C,"Snohomish",'Data - Monthly Metrics'!$D:$D,"Goal - Penetration %")-0.05)</formula>
    </cfRule>
    <cfRule type="expression" rank="0" priority="468" equalAverage="0" aboveAverage="0" dxfId="1" stopIfTrue="1" text="" percent="0" bottom="0">
      <formula>AND(ISNUMBER(L30),COUNTIFS('Data - Monthly Metrics'!$A:$A,$B$4,'Data - Monthly Metrics'!$B:$B,L$8,'Data - Monthly Metrics'!$C:$C,"Snohomish",'Data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Metrics'!$C:$C,"Snohomish",'Data - Monthly Metrics'!$D:$D,"Goal - Penetration %")&gt;0,N30&gt;=SUMIFS('Data - Monthly Metrics'!$E:$E,'Data - Monthly Metrics'!$A:$A,$B$4,'Data - Monthly Metrics'!$B:$B,N$8,'Data - Monthly Metrics'!$C:$C,"Snohomish",'Data - Monthly Metrics'!$D:$D,"Goal - Penetration %"))</formula>
    </cfRule>
    <cfRule type="expression" rank="0" priority="470" equalAverage="0" aboveAverage="0" dxfId="2" stopIfTrue="1" text="" percent="0" bottom="0">
      <formula>AND(ISNUMBER(N30),COUNTIFS('Data - Monthly Metrics'!$A:$A,$B$4,'Data - Monthly Metrics'!$B:$B,N$8,'Data - Monthly Metrics'!$C:$C,"Snohomish",'Data - Monthly Metrics'!$D:$D,"Goal - Penetration %")&gt;0,N30&gt;=SUMIFS('Data - Monthly Metrics'!$E:$E,'Data - Monthly Metrics'!$A:$A,$B$4,'Data - Monthly Metrics'!$B:$B,N$8,'Data - Monthly Metrics'!$C:$C,"Snohomish",'Data - Monthly Metrics'!$D:$D,"Goal - Penetration %")-0.05)</formula>
    </cfRule>
    <cfRule type="expression" rank="0" priority="471" equalAverage="0" aboveAverage="0" dxfId="1" stopIfTrue="1" text="" percent="0" bottom="0">
      <formula>AND(ISNUMBER(N30),COUNTIFS('Data - Monthly Metrics'!$A:$A,$B$4,'Data - Monthly Metrics'!$B:$B,N$8,'Data - Monthly Metrics'!$C:$C,"Snohomish",'Data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Metrics'!$C:$C,"Snohomish",'Data - Monthly Metrics'!$D:$D,"Goal - Penetration %")&gt;0,O30&gt;=SUMIFS('Data - Monthly Metrics'!$E:$E,'Data - Monthly Metrics'!$A:$A,$B$4,'Data - Monthly Metrics'!$B:$B,O$8,'Data - Monthly Metrics'!$C:$C,"Snohomish",'Data - Monthly Metrics'!$D:$D,"Goal - Penetration %"))</formula>
    </cfRule>
    <cfRule type="expression" rank="0" priority="473" equalAverage="0" aboveAverage="0" dxfId="2" stopIfTrue="1" text="" percent="0" bottom="0">
      <formula>AND(ISNUMBER(O30),COUNTIFS('Data - Monthly Metrics'!$A:$A,$B$4,'Data - Monthly Metrics'!$B:$B,O$8,'Data - Monthly Metrics'!$C:$C,"Snohomish",'Data - Monthly Metrics'!$D:$D,"Goal - Penetration %")&gt;0,O30&gt;=SUMIFS('Data - Monthly Metrics'!$E:$E,'Data - Monthly Metrics'!$A:$A,$B$4,'Data - Monthly Metrics'!$B:$B,O$8,'Data - Monthly Metrics'!$C:$C,"Snohomish",'Data - Monthly Metrics'!$D:$D,"Goal - Penetration %")-0.05)</formula>
    </cfRule>
    <cfRule type="expression" rank="0" priority="474" equalAverage="0" aboveAverage="0" dxfId="1" stopIfTrue="1" text="" percent="0" bottom="0">
      <formula>AND(ISNUMBER(O30),COUNTIFS('Data - Monthly Metrics'!$A:$A,$B$4,'Data - Monthly Metrics'!$B:$B,O$8,'Data - Monthly Metrics'!$C:$C,"Snohomish",'Data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Metrics'!$C:$C,"Snohomish",'Data - Monthly Metrics'!$D:$D,"Goal - Penetration %")&gt;0,P30&gt;=SUMIFS('Data - Monthly Metrics'!$E:$E,'Data - Monthly Metrics'!$A:$A,$B$4,'Data - Monthly Metrics'!$B:$B,P$8,'Data - Monthly Metrics'!$C:$C,"Snohomish",'Data - Monthly Metrics'!$D:$D,"Goal - Penetration %"))</formula>
    </cfRule>
    <cfRule type="expression" rank="0" priority="476" equalAverage="0" aboveAverage="0" dxfId="2" stopIfTrue="1" text="" percent="0" bottom="0">
      <formula>AND(ISNUMBER(P30),COUNTIFS('Data - Monthly Metrics'!$A:$A,$B$4,'Data - Monthly Metrics'!$B:$B,P$8,'Data - Monthly Metrics'!$C:$C,"Snohomish",'Data - Monthly Metrics'!$D:$D,"Goal - Penetration %")&gt;0,P30&gt;=SUMIFS('Data - Monthly Metrics'!$E:$E,'Data - Monthly Metrics'!$A:$A,$B$4,'Data - Monthly Metrics'!$B:$B,P$8,'Data - Monthly Metrics'!$C:$C,"Snohomish",'Data - Monthly Metrics'!$D:$D,"Goal - Penetration %")-0.05)</formula>
    </cfRule>
    <cfRule type="expression" rank="0" priority="477" equalAverage="0" aboveAverage="0" dxfId="1" stopIfTrue="1" text="" percent="0" bottom="0">
      <formula>AND(ISNUMBER(P30),COUNTIFS('Data - Monthly Metrics'!$A:$A,$B$4,'Data - Monthly Metrics'!$B:$B,P$8,'Data - Monthly Metrics'!$C:$C,"Snohomish",'Data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Metrics'!$C:$C,"Snohomish",'Data - Monthly Metrics'!$D:$D,"Goal - Penetration %")&gt;0,B31&gt;=SUMIFS('Data - Monthly Metrics'!$E:$E,'Data - Monthly Metrics'!$A:$A,$B$4-1,'Data - Monthly Metrics'!$B:$B,B$8,'Data - Monthly Metrics'!$C:$C,"Snohomish",'Data - Monthly Metrics'!$D:$D,"Goal - Penetration %"))</formula>
    </cfRule>
    <cfRule type="expression" rank="0" priority="479" equalAverage="0" aboveAverage="0" dxfId="2" stopIfTrue="1" text="" percent="0" bottom="0">
      <formula>AND(ISNUMBER(B31),COUNTIFS('Data - Monthly Metrics'!$A:$A,$B$4-1,'Data - Monthly Metrics'!$B:$B,B$8,'Data - Monthly Metrics'!$C:$C,"Snohomish",'Data - Monthly Metrics'!$D:$D,"Goal - Penetration %")&gt;0,B31&gt;=SUMIFS('Data - Monthly Metrics'!$E:$E,'Data - Monthly Metrics'!$A:$A,$B$4-1,'Data - Monthly Metrics'!$B:$B,B$8,'Data - Monthly Metrics'!$C:$C,"Snohomish",'Data - Monthly Metrics'!$D:$D,"Goal - Penetration %")-0.05)</formula>
    </cfRule>
    <cfRule type="expression" rank="0" priority="480" equalAverage="0" aboveAverage="0" dxfId="1" stopIfTrue="1" text="" percent="0" bottom="0">
      <formula>AND(ISNUMBER(B31),COUNTIFS('Data - Monthly Metrics'!$A:$A,$B$4-1,'Data - Monthly Metrics'!$B:$B,B$8,'Data - Monthly Metrics'!$C:$C,"Snohomish",'Data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Metrics'!$C:$C,"Snohomish",'Data - Monthly Metrics'!$D:$D,"Goal - Penetration %")&gt;0,C31&gt;=SUMIFS('Data - Monthly Metrics'!$E:$E,'Data - Monthly Metrics'!$A:$A,$B$4-1,'Data - Monthly Metrics'!$B:$B,C$8,'Data - Monthly Metrics'!$C:$C,"Snohomish",'Data - Monthly Metrics'!$D:$D,"Goal - Penetration %"))</formula>
    </cfRule>
    <cfRule type="expression" rank="0" priority="482" equalAverage="0" aboveAverage="0" dxfId="2" stopIfTrue="1" text="" percent="0" bottom="0">
      <formula>AND(ISNUMBER(C31),COUNTIFS('Data - Monthly Metrics'!$A:$A,$B$4-1,'Data - Monthly Metrics'!$B:$B,C$8,'Data - Monthly Metrics'!$C:$C,"Snohomish",'Data - Monthly Metrics'!$D:$D,"Goal - Penetration %")&gt;0,C31&gt;=SUMIFS('Data - Monthly Metrics'!$E:$E,'Data - Monthly Metrics'!$A:$A,$B$4-1,'Data - Monthly Metrics'!$B:$B,C$8,'Data - Monthly Metrics'!$C:$C,"Snohomish",'Data - Monthly Metrics'!$D:$D,"Goal - Penetration %")-0.05)</formula>
    </cfRule>
    <cfRule type="expression" rank="0" priority="483" equalAverage="0" aboveAverage="0" dxfId="1" stopIfTrue="1" text="" percent="0" bottom="0">
      <formula>AND(ISNUMBER(C31),COUNTIFS('Data - Monthly Metrics'!$A:$A,$B$4-1,'Data - Monthly Metrics'!$B:$B,C$8,'Data - Monthly Metrics'!$C:$C,"Snohomish",'Data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Metrics'!$C:$C,"Snohomish",'Data - Monthly Metrics'!$D:$D,"Goal - Penetration %")&gt;0,D31&gt;=SUMIFS('Data - Monthly Metrics'!$E:$E,'Data - Monthly Metrics'!$A:$A,$B$4-1,'Data - Monthly Metrics'!$B:$B,D$8,'Data - Monthly Metrics'!$C:$C,"Snohomish",'Data - Monthly Metrics'!$D:$D,"Goal - Penetration %"))</formula>
    </cfRule>
    <cfRule type="expression" rank="0" priority="485" equalAverage="0" aboveAverage="0" dxfId="2" stopIfTrue="1" text="" percent="0" bottom="0">
      <formula>AND(ISNUMBER(D31),COUNTIFS('Data - Monthly Metrics'!$A:$A,$B$4-1,'Data - Monthly Metrics'!$B:$B,D$8,'Data - Monthly Metrics'!$C:$C,"Snohomish",'Data - Monthly Metrics'!$D:$D,"Goal - Penetration %")&gt;0,D31&gt;=SUMIFS('Data - Monthly Metrics'!$E:$E,'Data - Monthly Metrics'!$A:$A,$B$4-1,'Data - Monthly Metrics'!$B:$B,D$8,'Data - Monthly Metrics'!$C:$C,"Snohomish",'Data - Monthly Metrics'!$D:$D,"Goal - Penetration %")-0.05)</formula>
    </cfRule>
    <cfRule type="expression" rank="0" priority="486" equalAverage="0" aboveAverage="0" dxfId="1" stopIfTrue="1" text="" percent="0" bottom="0">
      <formula>AND(ISNUMBER(D31),COUNTIFS('Data - Monthly Metrics'!$A:$A,$B$4-1,'Data - Monthly Metrics'!$B:$B,D$8,'Data - Monthly Metrics'!$C:$C,"Snohomish",'Data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Metrics'!$C:$C,"Snohomish",'Data - Monthly Metrics'!$D:$D,"Goal - Penetration %")&gt;0,F31&gt;=SUMIFS('Data - Monthly Metrics'!$E:$E,'Data - Monthly Metrics'!$A:$A,$B$4,'Data - Monthly Metrics'!$B:$B,F$8,'Data - Monthly Metrics'!$C:$C,"Snohomish",'Data - Monthly Metrics'!$D:$D,"Goal - Penetration %"))</formula>
    </cfRule>
    <cfRule type="expression" rank="0" priority="488" equalAverage="0" aboveAverage="0" dxfId="2" stopIfTrue="1" text="" percent="0" bottom="0">
      <formula>AND(ISNUMBER(F31),COUNTIFS('Data - Monthly Metrics'!$A:$A,$B$4,'Data - Monthly Metrics'!$B:$B,F$8,'Data - Monthly Metrics'!$C:$C,"Snohomish",'Data - Monthly Metrics'!$D:$D,"Goal - Penetration %")&gt;0,F31&gt;=SUMIFS('Data - Monthly Metrics'!$E:$E,'Data - Monthly Metrics'!$A:$A,$B$4,'Data - Monthly Metrics'!$B:$B,F$8,'Data - Monthly Metrics'!$C:$C,"Snohomish",'Data - Monthly Metrics'!$D:$D,"Goal - Penetration %")-0.05)</formula>
    </cfRule>
    <cfRule type="expression" rank="0" priority="489" equalAverage="0" aboveAverage="0" dxfId="1" stopIfTrue="1" text="" percent="0" bottom="0">
      <formula>AND(ISNUMBER(F31),COUNTIFS('Data - Monthly Metrics'!$A:$A,$B$4,'Data - Monthly Metrics'!$B:$B,F$8,'Data - Monthly Metrics'!$C:$C,"Snohomish",'Data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Metrics'!$C:$C,"Snohomish",'Data - Monthly Metrics'!$D:$D,"Goal - Penetration %")&gt;0,G31&gt;=SUMIFS('Data - Monthly Metrics'!$E:$E,'Data - Monthly Metrics'!$A:$A,$B$4,'Data - Monthly Metrics'!$B:$B,G$8,'Data - Monthly Metrics'!$C:$C,"Snohomish",'Data - Monthly Metrics'!$D:$D,"Goal - Penetration %"))</formula>
    </cfRule>
    <cfRule type="expression" rank="0" priority="491" equalAverage="0" aboveAverage="0" dxfId="2" stopIfTrue="1" text="" percent="0" bottom="0">
      <formula>AND(ISNUMBER(G31),COUNTIFS('Data - Monthly Metrics'!$A:$A,$B$4,'Data - Monthly Metrics'!$B:$B,G$8,'Data - Monthly Metrics'!$C:$C,"Snohomish",'Data - Monthly Metrics'!$D:$D,"Goal - Penetration %")&gt;0,G31&gt;=SUMIFS('Data - Monthly Metrics'!$E:$E,'Data - Monthly Metrics'!$A:$A,$B$4,'Data - Monthly Metrics'!$B:$B,G$8,'Data - Monthly Metrics'!$C:$C,"Snohomish",'Data - Monthly Metrics'!$D:$D,"Goal - Penetration %")-0.05)</formula>
    </cfRule>
    <cfRule type="expression" rank="0" priority="492" equalAverage="0" aboveAverage="0" dxfId="1" stopIfTrue="1" text="" percent="0" bottom="0">
      <formula>AND(ISNUMBER(G31),COUNTIFS('Data - Monthly Metrics'!$A:$A,$B$4,'Data - Monthly Metrics'!$B:$B,G$8,'Data - Monthly Metrics'!$C:$C,"Snohomish",'Data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Metrics'!$C:$C,"Snohomish",'Data - Monthly Metrics'!$D:$D,"Goal - Penetration %")&gt;0,H31&gt;=SUMIFS('Data - Monthly Metrics'!$E:$E,'Data - Monthly Metrics'!$A:$A,$B$4,'Data - Monthly Metrics'!$B:$B,H$8,'Data - Monthly Metrics'!$C:$C,"Snohomish",'Data - Monthly Metrics'!$D:$D,"Goal - Penetration %"))</formula>
    </cfRule>
    <cfRule type="expression" rank="0" priority="494" equalAverage="0" aboveAverage="0" dxfId="2" stopIfTrue="1" text="" percent="0" bottom="0">
      <formula>AND(ISNUMBER(H31),COUNTIFS('Data - Monthly Metrics'!$A:$A,$B$4,'Data - Monthly Metrics'!$B:$B,H$8,'Data - Monthly Metrics'!$C:$C,"Snohomish",'Data - Monthly Metrics'!$D:$D,"Goal - Penetration %")&gt;0,H31&gt;=SUMIFS('Data - Monthly Metrics'!$E:$E,'Data - Monthly Metrics'!$A:$A,$B$4,'Data - Monthly Metrics'!$B:$B,H$8,'Data - Monthly Metrics'!$C:$C,"Snohomish",'Data - Monthly Metrics'!$D:$D,"Goal - Penetration %")-0.05)</formula>
    </cfRule>
    <cfRule type="expression" rank="0" priority="495" equalAverage="0" aboveAverage="0" dxfId="1" stopIfTrue="1" text="" percent="0" bottom="0">
      <formula>AND(ISNUMBER(H31),COUNTIFS('Data - Monthly Metrics'!$A:$A,$B$4,'Data - Monthly Metrics'!$B:$B,H$8,'Data - Monthly Metrics'!$C:$C,"Snohomish",'Data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Metrics'!$C:$C,"Snohomish",'Data - Monthly Metrics'!$D:$D,"Goal - Penetration %")&gt;0,J31&gt;=SUMIFS('Data - Monthly Metrics'!$E:$E,'Data - Monthly Metrics'!$A:$A,$B$4,'Data - Monthly Metrics'!$B:$B,J$8,'Data - Monthly Metrics'!$C:$C,"Snohomish",'Data - Monthly Metrics'!$D:$D,"Goal - Penetration %"))</formula>
    </cfRule>
    <cfRule type="expression" rank="0" priority="497" equalAverage="0" aboveAverage="0" dxfId="2" stopIfTrue="1" text="" percent="0" bottom="0">
      <formula>AND(ISNUMBER(J31),COUNTIFS('Data - Monthly Metrics'!$A:$A,$B$4,'Data - Monthly Metrics'!$B:$B,J$8,'Data - Monthly Metrics'!$C:$C,"Snohomish",'Data - Monthly Metrics'!$D:$D,"Goal - Penetration %")&gt;0,J31&gt;=SUMIFS('Data - Monthly Metrics'!$E:$E,'Data - Monthly Metrics'!$A:$A,$B$4,'Data - Monthly Metrics'!$B:$B,J$8,'Data - Monthly Metrics'!$C:$C,"Snohomish",'Data - Monthly Metrics'!$D:$D,"Goal - Penetration %")-0.05)</formula>
    </cfRule>
    <cfRule type="expression" rank="0" priority="498" equalAverage="0" aboveAverage="0" dxfId="1" stopIfTrue="1" text="" percent="0" bottom="0">
      <formula>AND(ISNUMBER(J31),COUNTIFS('Data - Monthly Metrics'!$A:$A,$B$4,'Data - Monthly Metrics'!$B:$B,J$8,'Data - Monthly Metrics'!$C:$C,"Snohomish",'Data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Metrics'!$C:$C,"Snohomish",'Data - Monthly Metrics'!$D:$D,"Goal - Penetration %")&gt;0,K31&gt;=SUMIFS('Data - Monthly Metrics'!$E:$E,'Data - Monthly Metrics'!$A:$A,$B$4,'Data - Monthly Metrics'!$B:$B,K$8,'Data - Monthly Metrics'!$C:$C,"Snohomish",'Data - Monthly Metrics'!$D:$D,"Goal - Penetration %"))</formula>
    </cfRule>
    <cfRule type="expression" rank="0" priority="500" equalAverage="0" aboveAverage="0" dxfId="2" stopIfTrue="1" text="" percent="0" bottom="0">
      <formula>AND(ISNUMBER(K31),COUNTIFS('Data - Monthly Metrics'!$A:$A,$B$4,'Data - Monthly Metrics'!$B:$B,K$8,'Data - Monthly Metrics'!$C:$C,"Snohomish",'Data - Monthly Metrics'!$D:$D,"Goal - Penetration %")&gt;0,K31&gt;=SUMIFS('Data - Monthly Metrics'!$E:$E,'Data - Monthly Metrics'!$A:$A,$B$4,'Data - Monthly Metrics'!$B:$B,K$8,'Data - Monthly Metrics'!$C:$C,"Snohomish",'Data - Monthly Metrics'!$D:$D,"Goal - Penetration %")-0.05)</formula>
    </cfRule>
    <cfRule type="expression" rank="0" priority="501" equalAverage="0" aboveAverage="0" dxfId="1" stopIfTrue="1" text="" percent="0" bottom="0">
      <formula>AND(ISNUMBER(K31),COUNTIFS('Data - Monthly Metrics'!$A:$A,$B$4,'Data - Monthly Metrics'!$B:$B,K$8,'Data - Monthly Metrics'!$C:$C,"Snohomish",'Data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Metrics'!$C:$C,"Snohomish",'Data - Monthly Metrics'!$D:$D,"Goal - Penetration %")&gt;0,L31&gt;=SUMIFS('Data - Monthly Metrics'!$E:$E,'Data - Monthly Metrics'!$A:$A,$B$4,'Data - Monthly Metrics'!$B:$B,L$8,'Data - Monthly Metrics'!$C:$C,"Snohomish",'Data - Monthly Metrics'!$D:$D,"Goal - Penetration %"))</formula>
    </cfRule>
    <cfRule type="expression" rank="0" priority="503" equalAverage="0" aboveAverage="0" dxfId="2" stopIfTrue="1" text="" percent="0" bottom="0">
      <formula>AND(ISNUMBER(L31),COUNTIFS('Data - Monthly Metrics'!$A:$A,$B$4,'Data - Monthly Metrics'!$B:$B,L$8,'Data - Monthly Metrics'!$C:$C,"Snohomish",'Data - Monthly Metrics'!$D:$D,"Goal - Penetration %")&gt;0,L31&gt;=SUMIFS('Data - Monthly Metrics'!$E:$E,'Data - Monthly Metrics'!$A:$A,$B$4,'Data - Monthly Metrics'!$B:$B,L$8,'Data - Monthly Metrics'!$C:$C,"Snohomish",'Data - Monthly Metrics'!$D:$D,"Goal - Penetration %")-0.05)</formula>
    </cfRule>
    <cfRule type="expression" rank="0" priority="504" equalAverage="0" aboveAverage="0" dxfId="1" stopIfTrue="1" text="" percent="0" bottom="0">
      <formula>AND(ISNUMBER(L31),COUNTIFS('Data - Monthly Metrics'!$A:$A,$B$4,'Data - Monthly Metrics'!$B:$B,L$8,'Data - Monthly Metrics'!$C:$C,"Snohomish",'Data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Metrics'!$C:$C,"Snohomish",'Data - Monthly Metrics'!$D:$D,"Goal - Penetration %")&gt;0,N31&gt;=SUMIFS('Data - Monthly Metrics'!$E:$E,'Data - Monthly Metrics'!$A:$A,$B$4,'Data - Monthly Metrics'!$B:$B,N$8,'Data - Monthly Metrics'!$C:$C,"Snohomish",'Data - Monthly Metrics'!$D:$D,"Goal - Penetration %"))</formula>
    </cfRule>
    <cfRule type="expression" rank="0" priority="506" equalAverage="0" aboveAverage="0" dxfId="2" stopIfTrue="1" text="" percent="0" bottom="0">
      <formula>AND(ISNUMBER(N31),COUNTIFS('Data - Monthly Metrics'!$A:$A,$B$4,'Data - Monthly Metrics'!$B:$B,N$8,'Data - Monthly Metrics'!$C:$C,"Snohomish",'Data - Monthly Metrics'!$D:$D,"Goal - Penetration %")&gt;0,N31&gt;=SUMIFS('Data - Monthly Metrics'!$E:$E,'Data - Monthly Metrics'!$A:$A,$B$4,'Data - Monthly Metrics'!$B:$B,N$8,'Data - Monthly Metrics'!$C:$C,"Snohomish",'Data - Monthly Metrics'!$D:$D,"Goal - Penetration %")-0.05)</formula>
    </cfRule>
    <cfRule type="expression" rank="0" priority="507" equalAverage="0" aboveAverage="0" dxfId="1" stopIfTrue="1" text="" percent="0" bottom="0">
      <formula>AND(ISNUMBER(N31),COUNTIFS('Data - Monthly Metrics'!$A:$A,$B$4,'Data - Monthly Metrics'!$B:$B,N$8,'Data - Monthly Metrics'!$C:$C,"Snohomish",'Data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Metrics'!$C:$C,"Snohomish",'Data - Monthly Metrics'!$D:$D,"Goal - Penetration %")&gt;0,O31&gt;=SUMIFS('Data - Monthly Metrics'!$E:$E,'Data - Monthly Metrics'!$A:$A,$B$4,'Data - Monthly Metrics'!$B:$B,O$8,'Data - Monthly Metrics'!$C:$C,"Snohomish",'Data - Monthly Metrics'!$D:$D,"Goal - Penetration %"))</formula>
    </cfRule>
    <cfRule type="expression" rank="0" priority="509" equalAverage="0" aboveAverage="0" dxfId="2" stopIfTrue="1" text="" percent="0" bottom="0">
      <formula>AND(ISNUMBER(O31),COUNTIFS('Data - Monthly Metrics'!$A:$A,$B$4,'Data - Monthly Metrics'!$B:$B,O$8,'Data - Monthly Metrics'!$C:$C,"Snohomish",'Data - Monthly Metrics'!$D:$D,"Goal - Penetration %")&gt;0,O31&gt;=SUMIFS('Data - Monthly Metrics'!$E:$E,'Data - Monthly Metrics'!$A:$A,$B$4,'Data - Monthly Metrics'!$B:$B,O$8,'Data - Monthly Metrics'!$C:$C,"Snohomish",'Data - Monthly Metrics'!$D:$D,"Goal - Penetration %")-0.05)</formula>
    </cfRule>
    <cfRule type="expression" rank="0" priority="510" equalAverage="0" aboveAverage="0" dxfId="1" stopIfTrue="1" text="" percent="0" bottom="0">
      <formula>AND(ISNUMBER(O31),COUNTIFS('Data - Monthly Metrics'!$A:$A,$B$4,'Data - Monthly Metrics'!$B:$B,O$8,'Data - Monthly Metrics'!$C:$C,"Snohomish",'Data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Metrics'!$C:$C,"Snohomish",'Data - Monthly Metrics'!$D:$D,"Goal - Penetration %")&gt;0,P31&gt;=SUMIFS('Data - Monthly Metrics'!$E:$E,'Data - Monthly Metrics'!$A:$A,$B$4,'Data - Monthly Metrics'!$B:$B,P$8,'Data - Monthly Metrics'!$C:$C,"Snohomish",'Data - Monthly Metrics'!$D:$D,"Goal - Penetration %"))</formula>
    </cfRule>
    <cfRule type="expression" rank="0" priority="512" equalAverage="0" aboveAverage="0" dxfId="2" stopIfTrue="1" text="" percent="0" bottom="0">
      <formula>AND(ISNUMBER(P31),COUNTIFS('Data - Monthly Metrics'!$A:$A,$B$4,'Data - Monthly Metrics'!$B:$B,P$8,'Data - Monthly Metrics'!$C:$C,"Snohomish",'Data - Monthly Metrics'!$D:$D,"Goal - Penetration %")&gt;0,P31&gt;=SUMIFS('Data - Monthly Metrics'!$E:$E,'Data - Monthly Metrics'!$A:$A,$B$4,'Data - Monthly Metrics'!$B:$B,P$8,'Data - Monthly Metrics'!$C:$C,"Snohomish",'Data - Monthly Metrics'!$D:$D,"Goal - Penetration %")-0.05)</formula>
    </cfRule>
    <cfRule type="expression" rank="0" priority="513" equalAverage="0" aboveAverage="0" dxfId="1" stopIfTrue="1" text="" percent="0" bottom="0">
      <formula>AND(ISNUMBER(P31),COUNTIFS('Data - Monthly Metrics'!$A:$A,$B$4,'Data - Monthly Metrics'!$B:$B,P$8,'Data - Monthly Metrics'!$C:$C,"Snohomish",'Data - Monthly Metrics'!$D:$D,"Goal - Penetration %")&gt;0)</formula>
    </cfRule>
  </conditionalFormatting>
  <conditionalFormatting sqref="B60:R60">
    <cfRule type="expression" rank="0" priority="514" equalAverage="0" aboveAverage="0" dxfId="0" text="" percent="0" bottom="0">
      <formula>B60="On Track"</formula>
    </cfRule>
    <cfRule type="expression" rank="0" priority="515" equalAverage="0" aboveAverage="0" dxfId="2" text="" percent="0" bottom="0">
      <formula>B60="Watch"</formula>
    </cfRule>
    <cfRule type="expression" rank="0" priority="516" equalAverage="0" aboveAverage="0" dxfId="1" text="" percent="0" bottom="0">
      <formula>B60="At Risk"</formula>
    </cfRule>
  </conditionalFormatting>
  <conditionalFormatting sqref="B103:R103">
    <cfRule type="expression" rank="0" priority="517" equalAverage="0" aboveAverage="0" dxfId="0" text="" percent="0" bottom="0">
      <formula>B103="On Track"</formula>
    </cfRule>
    <cfRule type="expression" rank="0" priority="518" equalAverage="0" aboveAverage="0" dxfId="2" text="" percent="0" bottom="0">
      <formula>B103="Watch"</formula>
    </cfRule>
    <cfRule type="expression" rank="0" priority="519" equalAverage="0" aboveAverage="0" dxfId="1" text="" percent="0" bottom="0">
      <formula>B103="At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AR117"/>
  <sheetViews>
    <sheetView showFormulas="0" showGridLines="1" showRowColHeaders="1" showZeros="1" rightToLeft="0" tabSelected="1" showOutlineSymbols="1" defaultGridColor="1" view="normal" topLeftCell="A1" colorId="64" zoomScale="110" zoomScaleNormal="11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7" activeCellId="0" sqref="A27"/>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E KING</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N(B38)+N(B89)</f>
        <v/>
      </c>
      <c r="C9" s="91">
        <f>N(C38)+N(C89)</f>
        <v/>
      </c>
      <c r="D9" s="91">
        <f>N(D38)+N(D89)</f>
        <v/>
      </c>
      <c r="E9" s="101">
        <f>N(E38)+N(E89)</f>
        <v/>
      </c>
      <c r="F9" s="91">
        <f>N(F38)+N(F89)</f>
        <v/>
      </c>
      <c r="G9" s="91">
        <f>N(G38)+N(G89)</f>
        <v/>
      </c>
      <c r="H9" s="91">
        <f>N(H38)+N(H89)</f>
        <v/>
      </c>
      <c r="I9" s="101">
        <f>N(I38)+N(I89)</f>
        <v/>
      </c>
      <c r="J9" s="91">
        <f>N(J38)+N(J89)</f>
        <v/>
      </c>
      <c r="K9" s="91">
        <f>N(K38)+N(K89)</f>
        <v/>
      </c>
      <c r="L9" s="91">
        <f>N(L38)+N(L89)</f>
        <v/>
      </c>
      <c r="M9" s="101">
        <f>N(M38)+N(M89)</f>
        <v/>
      </c>
      <c r="N9" s="91">
        <f>N(N38)+N(N89)</f>
        <v/>
      </c>
      <c r="O9" s="91">
        <f>N(O38)+N(O89)</f>
        <v/>
      </c>
      <c r="P9" s="91">
        <f>N(P38)+N(P89)</f>
        <v/>
      </c>
      <c r="Q9" s="101">
        <f>N(Q38)+N(Q89)</f>
        <v/>
      </c>
      <c r="R9" s="101">
        <f>N(R38)+N(R89)</f>
        <v/>
      </c>
    </row>
    <row r="10" ht="14.25" customHeight="1" s="82">
      <c r="A10" s="89" t="inlineStr">
        <is>
          <t xml:space="preserve">   BOB ($)</t>
        </is>
      </c>
      <c r="B10" s="91">
        <f>IF(COUNTIFS('Data - Monthly Metrics'!A:A,$B$4-1,'Data - Monthly Metrics'!B:B,"Oct",'Data - Monthly Metrics'!C:C,"East King",'Data - Monthly Metrics'!D:D,"New Sales Revenue - BOB/Promo ($)")=0,"-",SUMIFS('Data - Monthly Metrics'!E:E,'Data - Monthly Metrics'!A:A,$B$4-1,'Data - Monthly Metrics'!B:B,"Oct",'Data - Monthly Metrics'!C:C,"East King",'Data - Monthly Metrics'!D:D,"New Sales Revenue - BOB/Promo ($)"))</f>
        <v/>
      </c>
      <c r="C10" s="91">
        <f>IF(COUNTIFS('Data - Monthly Metrics'!A:A,$B$4-1,'Data - Monthly Metrics'!B:B,"Nov",'Data - Monthly Metrics'!C:C,"East King",'Data - Monthly Metrics'!D:D,"New Sales Revenue - BOB/Promo ($)")=0,"-",SUMIFS('Data - Monthly Metrics'!E:E,'Data - Monthly Metrics'!A:A,$B$4-1,'Data - Monthly Metrics'!B:B,"Nov",'Data - Monthly Metrics'!C:C,"East King",'Data - Monthly Metrics'!D:D,"New Sales Revenue - BOB/Promo ($)"))</f>
        <v/>
      </c>
      <c r="D10" s="91">
        <f>IF(COUNTIFS('Data - Monthly Metrics'!A:A,$B$4-1,'Data - Monthly Metrics'!B:B,"Dec",'Data - Monthly Metrics'!C:C,"East King",'Data - Monthly Metrics'!D:D,"New Sales Revenue - BOB/Promo ($)")=0,"-",SUMIFS('Data - Monthly Metrics'!E:E,'Data - Monthly Metrics'!A:A,$B$4-1,'Data - Monthly Metrics'!B:B,"Dec",'Data - Monthly Metrics'!C:C,"East King",'Data - Monthly Metrics'!D:D,"New Sales Revenue - BOB/Promo ($)"))</f>
        <v/>
      </c>
      <c r="E10" s="101">
        <f>SUM(B10,C10,D10)</f>
        <v/>
      </c>
      <c r="F10" s="91">
        <f>IF(COUNTIFS('Data - Monthly Metrics'!A:A,$B$4,'Data - Monthly Metrics'!B:B,"Jan",'Data - Monthly Metrics'!C:C,"East King",'Data - Monthly Metrics'!D:D,"New Sales Revenue - BOB/Promo ($)")=0,"-",SUMIFS('Data - Monthly Metrics'!E:E,'Data - Monthly Metrics'!A:A,$B$4,'Data - Monthly Metrics'!B:B,"Jan",'Data - Monthly Metrics'!C:C,"East King",'Data - Monthly Metrics'!D:D,"New Sales Revenue - BOB/Promo ($)"))</f>
        <v/>
      </c>
      <c r="G10" s="91">
        <f>IF(COUNTIFS('Data - Monthly Metrics'!A:A,$B$4,'Data - Monthly Metrics'!B:B,"Feb",'Data - Monthly Metrics'!C:C,"East King",'Data - Monthly Metrics'!D:D,"New Sales Revenue - BOB/Promo ($)")=0,"-",SUMIFS('Data - Monthly Metrics'!E:E,'Data - Monthly Metrics'!A:A,$B$4,'Data - Monthly Metrics'!B:B,"Feb",'Data - Monthly Metrics'!C:C,"East King",'Data - Monthly Metrics'!D:D,"New Sales Revenue - BOB/Promo ($)"))</f>
        <v/>
      </c>
      <c r="H10" s="91">
        <f>IF(COUNTIFS('Data - Monthly Metrics'!A:A,$B$4,'Data - Monthly Metrics'!B:B,"Mar",'Data - Monthly Metrics'!C:C,"East King",'Data - Monthly Metrics'!D:D,"New Sales Revenue - BOB/Promo ($)")=0,"-",SUMIFS('Data - Monthly Metrics'!E:E,'Data - Monthly Metrics'!A:A,$B$4,'Data - Monthly Metrics'!B:B,"Mar",'Data - Monthly Metrics'!C:C,"East King",'Data - Monthly Metrics'!D:D,"New Sales Revenue - BOB/Promo ($)"))</f>
        <v/>
      </c>
      <c r="I10" s="101">
        <f>SUM(F10,G10,H10)</f>
        <v/>
      </c>
      <c r="J10" s="91">
        <f>IF(COUNTIFS('Data - Monthly Metrics'!A:A,$B$4,'Data - Monthly Metrics'!B:B,"Apr",'Data - Monthly Metrics'!C:C,"East King",'Data - Monthly Metrics'!D:D,"New Sales Revenue - BOB/Promo ($)")=0,"-",SUMIFS('Data - Monthly Metrics'!E:E,'Data - Monthly Metrics'!A:A,$B$4,'Data - Monthly Metrics'!B:B,"Apr",'Data - Monthly Metrics'!C:C,"East King",'Data - Monthly Metrics'!D:D,"New Sales Revenue - BOB/Promo ($)"))</f>
        <v/>
      </c>
      <c r="K10" s="91">
        <f>IF(COUNTIFS('Data - Monthly Metrics'!A:A,$B$4,'Data - Monthly Metrics'!B:B,"May",'Data - Monthly Metrics'!C:C,"East King",'Data - Monthly Metrics'!D:D,"New Sales Revenue - BOB/Promo ($)")=0,"-",SUMIFS('Data - Monthly Metrics'!E:E,'Data - Monthly Metrics'!A:A,$B$4,'Data - Monthly Metrics'!B:B,"May",'Data - Monthly Metrics'!C:C,"East King",'Data - Monthly Metrics'!D:D,"New Sales Revenue - BOB/Promo ($)"))</f>
        <v/>
      </c>
      <c r="L10" s="91">
        <f>IF(COUNTIFS('Data - Monthly Metrics'!A:A,$B$4,'Data - Monthly Metrics'!B:B,"Jun",'Data - Monthly Metrics'!C:C,"East King",'Data - Monthly Metrics'!D:D,"New Sales Revenue - BOB/Promo ($)")=0,"-",SUMIFS('Data - Monthly Metrics'!E:E,'Data - Monthly Metrics'!A:A,$B$4,'Data - Monthly Metrics'!B:B,"Jun",'Data - Monthly Metrics'!C:C,"East King",'Data - Monthly Metrics'!D:D,"New Sales Revenue - BOB/Promo ($)"))</f>
        <v/>
      </c>
      <c r="M10" s="101">
        <f>SUM(J10,K10,L10)</f>
        <v/>
      </c>
      <c r="N10" s="91">
        <f>IF(COUNTIFS('Data - Monthly Metrics'!A:A,$B$4,'Data - Monthly Metrics'!B:B,"Jul",'Data - Monthly Metrics'!C:C,"East King",'Data - Monthly Metrics'!D:D,"New Sales Revenue - BOB/Promo ($)")=0,"-",SUMIFS('Data - Monthly Metrics'!E:E,'Data - Monthly Metrics'!A:A,$B$4,'Data - Monthly Metrics'!B:B,"Jul",'Data - Monthly Metrics'!C:C,"East King",'Data - Monthly Metrics'!D:D,"New Sales Revenue - BOB/Promo ($)"))</f>
        <v/>
      </c>
      <c r="O10" s="91">
        <f>IF(COUNTIFS('Data - Monthly Metrics'!A:A,$B$4,'Data - Monthly Metrics'!B:B,"Aug",'Data - Monthly Metrics'!C:C,"East King",'Data - Monthly Metrics'!D:D,"New Sales Revenue - BOB/Promo ($)")=0,"-",SUMIFS('Data - Monthly Metrics'!E:E,'Data - Monthly Metrics'!A:A,$B$4,'Data - Monthly Metrics'!B:B,"Aug",'Data - Monthly Metrics'!C:C,"East King",'Data - Monthly Metrics'!D:D,"New Sales Revenue - BOB/Promo ($)"))</f>
        <v/>
      </c>
      <c r="P10" s="91">
        <f>IF(COUNTIFS('Data - Monthly Metrics'!A:A,$B$4,'Data - Monthly Metrics'!B:B,"Sep",'Data - Monthly Metrics'!C:C,"East King",'Data - Monthly Metrics'!D:D,"New Sales Revenue - BOB/Promo ($)")=0,"-",SUMIFS('Data - Monthly Metrics'!E:E,'Data - Monthly Metrics'!A:A,$B$4,'Data - Monthly Metrics'!B:B,"Sep",'Data - Monthly Metrics'!C:C,"East King",'Data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Metrics'!C:C,"East King",'Data - Monthly Metrics'!D:D,"New Members - BOB (#)")=0,"-",SUMIFS('Data - Monthly Metrics'!E:E,'Data - Monthly Metrics'!A:A,$B$4-1,'Data - Monthly Metrics'!B:B,"Oct",'Data - Monthly Metrics'!C:C,"East King",'Data - Monthly Metrics'!D:D,"New Members - BOB (#)"))</f>
        <v/>
      </c>
      <c r="C11" s="93">
        <f>IF(COUNTIFS('Data - Monthly Metrics'!A:A,$B$4-1,'Data - Monthly Metrics'!B:B,"Nov",'Data - Monthly Metrics'!C:C,"East King",'Data - Monthly Metrics'!D:D,"New Members - BOB (#)")=0,"-",SUMIFS('Data - Monthly Metrics'!E:E,'Data - Monthly Metrics'!A:A,$B$4-1,'Data - Monthly Metrics'!B:B,"Nov",'Data - Monthly Metrics'!C:C,"East King",'Data - Monthly Metrics'!D:D,"New Members - BOB (#)"))</f>
        <v/>
      </c>
      <c r="D11" s="93">
        <f>IF(COUNTIFS('Data - Monthly Metrics'!A:A,$B$4-1,'Data - Monthly Metrics'!B:B,"Dec",'Data - Monthly Metrics'!C:C,"East King",'Data - Monthly Metrics'!D:D,"New Members - BOB (#)")=0,"-",SUMIFS('Data - Monthly Metrics'!E:E,'Data - Monthly Metrics'!A:A,$B$4-1,'Data - Monthly Metrics'!B:B,"Dec",'Data - Monthly Metrics'!C:C,"East King",'Data - Monthly Metrics'!D:D,"New Members - BOB (#)"))</f>
        <v/>
      </c>
      <c r="E11" s="103">
        <f>SUM(B11,C11,D11)</f>
        <v/>
      </c>
      <c r="F11" s="93">
        <f>IF(COUNTIFS('Data - Monthly Metrics'!A:A,$B$4,'Data - Monthly Metrics'!B:B,"Jan",'Data - Monthly Metrics'!C:C,"East King",'Data - Monthly Metrics'!D:D,"New Members - BOB (#)")=0,"-",SUMIFS('Data - Monthly Metrics'!E:E,'Data - Monthly Metrics'!A:A,$B$4,'Data - Monthly Metrics'!B:B,"Jan",'Data - Monthly Metrics'!C:C,"East King",'Data - Monthly Metrics'!D:D,"New Members - BOB (#)"))</f>
        <v/>
      </c>
      <c r="G11" s="93">
        <f>IF(COUNTIFS('Data - Monthly Metrics'!A:A,$B$4,'Data - Monthly Metrics'!B:B,"Feb",'Data - Monthly Metrics'!C:C,"East King",'Data - Monthly Metrics'!D:D,"New Members - BOB (#)")=0,"-",SUMIFS('Data - Monthly Metrics'!E:E,'Data - Monthly Metrics'!A:A,$B$4,'Data - Monthly Metrics'!B:B,"Feb",'Data - Monthly Metrics'!C:C,"East King",'Data - Monthly Metrics'!D:D,"New Members - BOB (#)"))</f>
        <v/>
      </c>
      <c r="H11" s="93">
        <f>IF(COUNTIFS('Data - Monthly Metrics'!A:A,$B$4,'Data - Monthly Metrics'!B:B,"Mar",'Data - Monthly Metrics'!C:C,"East King",'Data - Monthly Metrics'!D:D,"New Members - BOB (#)")=0,"-",SUMIFS('Data - Monthly Metrics'!E:E,'Data - Monthly Metrics'!A:A,$B$4,'Data - Monthly Metrics'!B:B,"Mar",'Data - Monthly Metrics'!C:C,"East King",'Data - Monthly Metrics'!D:D,"New Members - BOB (#)"))</f>
        <v/>
      </c>
      <c r="I11" s="103">
        <f>SUM(F11,G11,H11)</f>
        <v/>
      </c>
      <c r="J11" s="93">
        <f>IF(COUNTIFS('Data - Monthly Metrics'!A:A,$B$4,'Data - Monthly Metrics'!B:B,"Apr",'Data - Monthly Metrics'!C:C,"East King",'Data - Monthly Metrics'!D:D,"New Members - BOB (#)")=0,"-",SUMIFS('Data - Monthly Metrics'!E:E,'Data - Monthly Metrics'!A:A,$B$4,'Data - Monthly Metrics'!B:B,"Apr",'Data - Monthly Metrics'!C:C,"East King",'Data - Monthly Metrics'!D:D,"New Members - BOB (#)"))</f>
        <v/>
      </c>
      <c r="K11" s="93">
        <f>IF(COUNTIFS('Data - Monthly Metrics'!A:A,$B$4,'Data - Monthly Metrics'!B:B,"May",'Data - Monthly Metrics'!C:C,"East King",'Data - Monthly Metrics'!D:D,"New Members - BOB (#)")=0,"-",SUMIFS('Data - Monthly Metrics'!E:E,'Data - Monthly Metrics'!A:A,$B$4,'Data - Monthly Metrics'!B:B,"May",'Data - Monthly Metrics'!C:C,"East King",'Data - Monthly Metrics'!D:D,"New Members - BOB (#)"))</f>
        <v/>
      </c>
      <c r="L11" s="93">
        <f>IF(COUNTIFS('Data - Monthly Metrics'!A:A,$B$4,'Data - Monthly Metrics'!B:B,"Jun",'Data - Monthly Metrics'!C:C,"East King",'Data - Monthly Metrics'!D:D,"New Members - BOB (#)")=0,"-",SUMIFS('Data - Monthly Metrics'!E:E,'Data - Monthly Metrics'!A:A,$B$4,'Data - Monthly Metrics'!B:B,"Jun",'Data - Monthly Metrics'!C:C,"East King",'Data - Monthly Metrics'!D:D,"New Members - BOB (#)"))</f>
        <v/>
      </c>
      <c r="M11" s="103">
        <f>SUM(J11,K11,L11)</f>
        <v/>
      </c>
      <c r="N11" s="93">
        <f>IF(COUNTIFS('Data - Monthly Metrics'!A:A,$B$4,'Data - Monthly Metrics'!B:B,"Jul",'Data - Monthly Metrics'!C:C,"East King",'Data - Monthly Metrics'!D:D,"New Members - BOB (#)")=0,"-",SUMIFS('Data - Monthly Metrics'!E:E,'Data - Monthly Metrics'!A:A,$B$4,'Data - Monthly Metrics'!B:B,"Jul",'Data - Monthly Metrics'!C:C,"East King",'Data - Monthly Metrics'!D:D,"New Members - BOB (#)"))</f>
        <v/>
      </c>
      <c r="O11" s="93">
        <f>IF(COUNTIFS('Data - Monthly Metrics'!A:A,$B$4,'Data - Monthly Metrics'!B:B,"Aug",'Data - Monthly Metrics'!C:C,"East King",'Data - Monthly Metrics'!D:D,"New Members - BOB (#)")=0,"-",SUMIFS('Data - Monthly Metrics'!E:E,'Data - Monthly Metrics'!A:A,$B$4,'Data - Monthly Metrics'!B:B,"Aug",'Data - Monthly Metrics'!C:C,"East King",'Data - Monthly Metrics'!D:D,"New Members - BOB (#)"))</f>
        <v/>
      </c>
      <c r="P11" s="93">
        <f>IF(COUNTIFS('Data - Monthly Metrics'!A:A,$B$4,'Data - Monthly Metrics'!B:B,"Sep",'Data - Monthly Metrics'!C:C,"East King",'Data - Monthly Metrics'!D:D,"New Members - BOB (#)")=0,"-",SUMIFS('Data - Monthly Metrics'!E:E,'Data - Monthly Metrics'!A:A,$B$4,'Data - Monthly Metrics'!B:B,"Sep",'Data - Monthly Metrics'!C:C,"East King",'Data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Metrics'!C:C,"East King",'Data - Monthly Metrics'!D:D,"New Sales - Comped ($)")=0,"-",SUMIFS('Data - Monthly Metrics'!E:E,'Data - Monthly Metrics'!A:A,$B$4-1,'Data - Monthly Metrics'!B:B,"Oct",'Data - Monthly Metrics'!C:C,"East King",'Data - Monthly Metrics'!D:D,"New Sales - Comped ($)"))</f>
        <v/>
      </c>
      <c r="C12" s="91">
        <f>IF(COUNTIFS('Data - Monthly Metrics'!A:A,$B$4-1,'Data - Monthly Metrics'!B:B,"Nov",'Data - Monthly Metrics'!C:C,"East King",'Data - Monthly Metrics'!D:D,"New Sales - Comped ($)")=0,"-",SUMIFS('Data - Monthly Metrics'!E:E,'Data - Monthly Metrics'!A:A,$B$4-1,'Data - Monthly Metrics'!B:B,"Nov",'Data - Monthly Metrics'!C:C,"East King",'Data - Monthly Metrics'!D:D,"New Sales - Comped ($)"))</f>
        <v/>
      </c>
      <c r="D12" s="91">
        <f>IF(COUNTIFS('Data - Monthly Metrics'!A:A,$B$4-1,'Data - Monthly Metrics'!B:B,"Dec",'Data - Monthly Metrics'!C:C,"East King",'Data - Monthly Metrics'!D:D,"New Sales - Comped ($)")=0,"-",SUMIFS('Data - Monthly Metrics'!E:E,'Data - Monthly Metrics'!A:A,$B$4-1,'Data - Monthly Metrics'!B:B,"Dec",'Data - Monthly Metrics'!C:C,"East King",'Data - Monthly Metrics'!D:D,"New Sales - Comped ($)"))</f>
        <v/>
      </c>
      <c r="E12" s="101">
        <f>SUM(B12,C12,D12)</f>
        <v/>
      </c>
      <c r="F12" s="91">
        <f>IF(COUNTIFS('Data - Monthly Metrics'!A:A,$B$4,'Data - Monthly Metrics'!B:B,"Jan",'Data - Monthly Metrics'!C:C,"East King",'Data - Monthly Metrics'!D:D,"New Sales - Comped ($)")=0,"-",SUMIFS('Data - Monthly Metrics'!E:E,'Data - Monthly Metrics'!A:A,$B$4,'Data - Monthly Metrics'!B:B,"Jan",'Data - Monthly Metrics'!C:C,"East King",'Data - Monthly Metrics'!D:D,"New Sales - Comped ($)"))</f>
        <v/>
      </c>
      <c r="G12" s="91">
        <f>IF(COUNTIFS('Data - Monthly Metrics'!A:A,$B$4,'Data - Monthly Metrics'!B:B,"Feb",'Data - Monthly Metrics'!C:C,"East King",'Data - Monthly Metrics'!D:D,"New Sales - Comped ($)")=0,"-",SUMIFS('Data - Monthly Metrics'!E:E,'Data - Monthly Metrics'!A:A,$B$4,'Data - Monthly Metrics'!B:B,"Feb",'Data - Monthly Metrics'!C:C,"East King",'Data - Monthly Metrics'!D:D,"New Sales - Comped ($)"))</f>
        <v/>
      </c>
      <c r="H12" s="91">
        <f>IF(COUNTIFS('Data - Monthly Metrics'!A:A,$B$4,'Data - Monthly Metrics'!B:B,"Mar",'Data - Monthly Metrics'!C:C,"East King",'Data - Monthly Metrics'!D:D,"New Sales - Comped ($)")=0,"-",SUMIFS('Data - Monthly Metrics'!E:E,'Data - Monthly Metrics'!A:A,$B$4,'Data - Monthly Metrics'!B:B,"Mar",'Data - Monthly Metrics'!C:C,"East King",'Data - Monthly Metrics'!D:D,"New Sales - Comped ($)"))</f>
        <v/>
      </c>
      <c r="I12" s="101">
        <f>SUM(F12,G12,H12)</f>
        <v/>
      </c>
      <c r="J12" s="91">
        <f>IF(COUNTIFS('Data - Monthly Metrics'!A:A,$B$4,'Data - Monthly Metrics'!B:B,"Apr",'Data - Monthly Metrics'!C:C,"East King",'Data - Monthly Metrics'!D:D,"New Sales - Comped ($)")=0,"-",SUMIFS('Data - Monthly Metrics'!E:E,'Data - Monthly Metrics'!A:A,$B$4,'Data - Monthly Metrics'!B:B,"Apr",'Data - Monthly Metrics'!C:C,"East King",'Data - Monthly Metrics'!D:D,"New Sales - Comped ($)"))</f>
        <v/>
      </c>
      <c r="K12" s="91">
        <f>IF(COUNTIFS('Data - Monthly Metrics'!A:A,$B$4,'Data - Monthly Metrics'!B:B,"May",'Data - Monthly Metrics'!C:C,"East King",'Data - Monthly Metrics'!D:D,"New Sales - Comped ($)")=0,"-",SUMIFS('Data - Monthly Metrics'!E:E,'Data - Monthly Metrics'!A:A,$B$4,'Data - Monthly Metrics'!B:B,"May",'Data - Monthly Metrics'!C:C,"East King",'Data - Monthly Metrics'!D:D,"New Sales - Comped ($)"))</f>
        <v/>
      </c>
      <c r="L12" s="91">
        <f>IF(COUNTIFS('Data - Monthly Metrics'!A:A,$B$4,'Data - Monthly Metrics'!B:B,"Jun",'Data - Monthly Metrics'!C:C,"East King",'Data - Monthly Metrics'!D:D,"New Sales - Comped ($)")=0,"-",SUMIFS('Data - Monthly Metrics'!E:E,'Data - Monthly Metrics'!A:A,$B$4,'Data - Monthly Metrics'!B:B,"Jun",'Data - Monthly Metrics'!C:C,"East King",'Data - Monthly Metrics'!D:D,"New Sales - Comped ($)"))</f>
        <v/>
      </c>
      <c r="M12" s="101">
        <f>SUM(J12,K12,L12)</f>
        <v/>
      </c>
      <c r="N12" s="91">
        <f>IF(COUNTIFS('Data - Monthly Metrics'!A:A,$B$4,'Data - Monthly Metrics'!B:B,"Jul",'Data - Monthly Metrics'!C:C,"East King",'Data - Monthly Metrics'!D:D,"New Sales - Comped ($)")=0,"-",SUMIFS('Data - Monthly Metrics'!E:E,'Data - Monthly Metrics'!A:A,$B$4,'Data - Monthly Metrics'!B:B,"Jul",'Data - Monthly Metrics'!C:C,"East King",'Data - Monthly Metrics'!D:D,"New Sales - Comped ($)"))</f>
        <v/>
      </c>
      <c r="O12" s="91">
        <f>IF(COUNTIFS('Data - Monthly Metrics'!A:A,$B$4,'Data - Monthly Metrics'!B:B,"Aug",'Data - Monthly Metrics'!C:C,"East King",'Data - Monthly Metrics'!D:D,"New Sales - Comped ($)")=0,"-",SUMIFS('Data - Monthly Metrics'!E:E,'Data - Monthly Metrics'!A:A,$B$4,'Data - Monthly Metrics'!B:B,"Aug",'Data - Monthly Metrics'!C:C,"East King",'Data - Monthly Metrics'!D:D,"New Sales - Comped ($)"))</f>
        <v/>
      </c>
      <c r="P12" s="91">
        <f>IF(COUNTIFS('Data - Monthly Metrics'!A:A,$B$4,'Data - Monthly Metrics'!B:B,"Sep",'Data - Monthly Metrics'!C:C,"East King",'Data - Monthly Metrics'!D:D,"New Sales - Comped ($)")=0,"-",SUMIFS('Data - Monthly Metrics'!E:E,'Data - Monthly Metrics'!A:A,$B$4,'Data - Monthly Metrics'!B:B,"Sep",'Data - Monthly Metrics'!C:C,"East King",'Data - Monthly Metrics'!D:D,"New Sales - Comped ($)"))</f>
        <v/>
      </c>
      <c r="Q12" s="101">
        <f>SUM(N12,O12,P12)</f>
        <v/>
      </c>
      <c r="R12" s="101">
        <f>SUM(E12,I12,M12,Q12)</f>
        <v/>
      </c>
    </row>
    <row r="13" ht="14.25" customHeight="1" s="82">
      <c r="A13" s="89" t="inlineStr">
        <is>
          <t>New Members — Combined (#)</t>
        </is>
      </c>
      <c r="B13" s="93">
        <f>N(B42)+N(B90)</f>
        <v/>
      </c>
      <c r="C13" s="93">
        <f>N(C42)+N(C90)</f>
        <v/>
      </c>
      <c r="D13" s="93">
        <f>N(D42)+N(D90)</f>
        <v/>
      </c>
      <c r="E13" s="103">
        <f>N(E42)+N(E90)</f>
        <v/>
      </c>
      <c r="F13" s="93">
        <f>N(F42)+N(F90)</f>
        <v/>
      </c>
      <c r="G13" s="93">
        <f>N(G42)+N(G90)</f>
        <v/>
      </c>
      <c r="H13" s="93">
        <f>N(H42)+N(H90)</f>
        <v/>
      </c>
      <c r="I13" s="103">
        <f>N(I42)+N(I90)</f>
        <v/>
      </c>
      <c r="J13" s="93">
        <f>N(J42)+N(J90)</f>
        <v/>
      </c>
      <c r="K13" s="93">
        <f>N(K42)+N(K90)</f>
        <v/>
      </c>
      <c r="L13" s="93">
        <f>N(L42)+N(L90)</f>
        <v/>
      </c>
      <c r="M13" s="103">
        <f>N(M42)+N(M90)</f>
        <v/>
      </c>
      <c r="N13" s="93">
        <f>N(N42)+N(N90)</f>
        <v/>
      </c>
      <c r="O13" s="93">
        <f>N(O42)+N(O90)</f>
        <v/>
      </c>
      <c r="P13" s="93">
        <f>N(P42)+N(P90)</f>
        <v/>
      </c>
      <c r="Q13" s="103">
        <f>N(Q42)+N(Q90)</f>
        <v/>
      </c>
      <c r="R13" s="103">
        <f>N(R42)+N(R90)</f>
        <v/>
      </c>
    </row>
    <row r="14" ht="14.25" customHeight="1" s="82">
      <c r="A14" s="89" t="inlineStr">
        <is>
          <t>Billables — Combined (T + NT) (#)</t>
        </is>
      </c>
      <c r="B14" s="93">
        <f>IF(OR(ISNUMBER(B52),ISNUMBER(B94)),N(B52)+N(B94),"-")</f>
        <v/>
      </c>
      <c r="C14" s="93">
        <f>IF(OR(ISNUMBER(C52),ISNUMBER(C94)),N(C52)+N(C94),"-")</f>
        <v/>
      </c>
      <c r="D14" s="93">
        <f>IF(OR(ISNUMBER(D52),ISNUMBER(D94)),N(D52)+N(D94),"-")</f>
        <v/>
      </c>
      <c r="E14" s="103">
        <f>IF(OR(ISNUMBER(E52),ISNUMBER(E94)),N(E52)+N(E94),"-")</f>
        <v/>
      </c>
      <c r="F14" s="93">
        <f>IF(OR(ISNUMBER(F52),ISNUMBER(F94)),N(F52)+N(F94),"-")</f>
        <v/>
      </c>
      <c r="G14" s="93">
        <f>IF(OR(ISNUMBER(G52),ISNUMBER(G94)),N(G52)+N(G94),"-")</f>
        <v/>
      </c>
      <c r="H14" s="93">
        <f>IF(OR(ISNUMBER(H52),ISNUMBER(H94)),N(H52)+N(H94),"-")</f>
        <v/>
      </c>
      <c r="I14" s="103">
        <f>IF(OR(ISNUMBER(I52),ISNUMBER(I94)),N(I52)+N(I94),"-")</f>
        <v/>
      </c>
      <c r="J14" s="93">
        <f>IF(OR(ISNUMBER(J52),ISNUMBER(J94)),N(J52)+N(J94),"-")</f>
        <v/>
      </c>
      <c r="K14" s="93">
        <f>IF(OR(ISNUMBER(K52),ISNUMBER(K94)),N(K52)+N(K94),"-")</f>
        <v/>
      </c>
      <c r="L14" s="93">
        <f>IF(OR(ISNUMBER(L52),ISNUMBER(L94)),N(L52)+N(L94),"-")</f>
        <v/>
      </c>
      <c r="M14" s="103">
        <f>IF(OR(ISNUMBER(M52),ISNUMBER(M94)),N(M52)+N(M94),"-")</f>
        <v/>
      </c>
      <c r="N14" s="93">
        <f>IF(OR(ISNUMBER(N52),ISNUMBER(N94)),N(N52)+N(N94),"-")</f>
        <v/>
      </c>
      <c r="O14" s="93">
        <f>IF(OR(ISNUMBER(O52),ISNUMBER(O94)),N(O52)+N(O94),"-")</f>
        <v/>
      </c>
      <c r="P14" s="93">
        <f>IF(OR(ISNUMBER(P52),ISNUMBER(P94)),N(P52)+N(P94),"-")</f>
        <v/>
      </c>
      <c r="Q14" s="103">
        <f>IF(OR(ISNUMBER(Q52),ISNUMBER(Q94)),N(Q52)+N(Q94),"-")</f>
        <v/>
      </c>
      <c r="R14" s="103">
        <f>IF(OR(ISNUMBER(R52),ISNUMBER(R94)),N(R52)+N(R94),"-")</f>
        <v/>
      </c>
    </row>
    <row r="15" ht="14.25" customHeight="1" s="82">
      <c r="A15" s="89" t="inlineStr">
        <is>
          <t>Member Locations — Combined (#)</t>
        </is>
      </c>
      <c r="B15" s="93">
        <f>IF(OR(ISNUMBER(B53),ISNUMBER(B95)),N(B53)+N(B95),"-")</f>
        <v/>
      </c>
      <c r="C15" s="93">
        <f>IF(OR(ISNUMBER(C53),ISNUMBER(C95)),N(C53)+N(C95),"-")</f>
        <v/>
      </c>
      <c r="D15" s="93">
        <f>IF(OR(ISNUMBER(D53),ISNUMBER(D95)),N(D53)+N(D95),"-")</f>
        <v/>
      </c>
      <c r="E15" s="103">
        <f>IF(OR(ISNUMBER(E53),ISNUMBER(E95)),N(E53)+N(E95),"-")</f>
        <v/>
      </c>
      <c r="F15" s="93">
        <f>IF(OR(ISNUMBER(F53),ISNUMBER(F95)),N(F53)+N(F95),"-")</f>
        <v/>
      </c>
      <c r="G15" s="93">
        <f>IF(OR(ISNUMBER(G53),ISNUMBER(G95)),N(G53)+N(G95),"-")</f>
        <v/>
      </c>
      <c r="H15" s="93">
        <f>IF(OR(ISNUMBER(H53),ISNUMBER(H95)),N(H53)+N(H95),"-")</f>
        <v/>
      </c>
      <c r="I15" s="103">
        <f>IF(OR(ISNUMBER(I53),ISNUMBER(I95)),N(I53)+N(I95),"-")</f>
        <v/>
      </c>
      <c r="J15" s="93">
        <f>IF(OR(ISNUMBER(J53),ISNUMBER(J95)),N(J53)+N(J95),"-")</f>
        <v/>
      </c>
      <c r="K15" s="93">
        <f>IF(OR(ISNUMBER(K53),ISNUMBER(K95)),N(K53)+N(K95),"-")</f>
        <v/>
      </c>
      <c r="L15" s="93">
        <f>IF(OR(ISNUMBER(L53),ISNUMBER(L95)),N(L53)+N(L95),"-")</f>
        <v/>
      </c>
      <c r="M15" s="103">
        <f>IF(OR(ISNUMBER(M53),ISNUMBER(M95)),N(M53)+N(M95),"-")</f>
        <v/>
      </c>
      <c r="N15" s="93">
        <f>IF(OR(ISNUMBER(N53),ISNUMBER(N95)),N(N53)+N(N95),"-")</f>
        <v/>
      </c>
      <c r="O15" s="93">
        <f>IF(OR(ISNUMBER(O53),ISNUMBER(O95)),N(O53)+N(O95),"-")</f>
        <v/>
      </c>
      <c r="P15" s="93">
        <f>IF(OR(ISNUMBER(P53),ISNUMBER(P95)),N(P53)+N(P95),"-")</f>
        <v/>
      </c>
      <c r="Q15" s="103">
        <f>IF(OR(ISNUMBER(Q53),ISNUMBER(Q95)),N(Q53)+N(Q95),"-")</f>
        <v/>
      </c>
      <c r="R15" s="103">
        <f>IF(OR(ISNUMBER(R53),ISNUMBER(R95)),N(R53)+N(R95),"-")</f>
        <v/>
      </c>
    </row>
    <row r="16" ht="14.25" customHeight="1" s="82">
      <c r="A16" s="89" t="inlineStr">
        <is>
          <t>Billables — Total incl. Allied (#)</t>
        </is>
      </c>
      <c r="B16" s="93">
        <f>IF(OR(ISNUMBER(B52),ISNUMBER(B97)),N(B52)+N(B97),"-")</f>
        <v/>
      </c>
      <c r="C16" s="93">
        <f>IF(OR(ISNUMBER(C52),ISNUMBER(C97)),N(C52)+N(C97),"-")</f>
        <v/>
      </c>
      <c r="D16" s="93">
        <f>IF(OR(ISNUMBER(D52),ISNUMBER(D97)),N(D52)+N(D97),"-")</f>
        <v/>
      </c>
      <c r="E16" s="103">
        <f>IF(OR(ISNUMBER(E52),ISNUMBER(E97)),N(E52)+N(E97),"-")</f>
        <v/>
      </c>
      <c r="F16" s="93">
        <f>IF(OR(ISNUMBER(F52),ISNUMBER(F97)),N(F52)+N(F97),"-")</f>
        <v/>
      </c>
      <c r="G16" s="93">
        <f>IF(OR(ISNUMBER(G52),ISNUMBER(G97)),N(G52)+N(G97),"-")</f>
        <v/>
      </c>
      <c r="H16" s="93">
        <f>IF(OR(ISNUMBER(H52),ISNUMBER(H97)),N(H52)+N(H97),"-")</f>
        <v/>
      </c>
      <c r="I16" s="103">
        <f>IF(OR(ISNUMBER(I52),ISNUMBER(I97)),N(I52)+N(I97),"-")</f>
        <v/>
      </c>
      <c r="J16" s="93">
        <f>IF(OR(ISNUMBER(J52),ISNUMBER(J97)),N(J52)+N(J97),"-")</f>
        <v/>
      </c>
      <c r="K16" s="93">
        <f>IF(OR(ISNUMBER(K52),ISNUMBER(K97)),N(K52)+N(K97),"-")</f>
        <v/>
      </c>
      <c r="L16" s="93">
        <f>IF(OR(ISNUMBER(L52),ISNUMBER(L97)),N(L52)+N(L97),"-")</f>
        <v/>
      </c>
      <c r="M16" s="103">
        <f>IF(OR(ISNUMBER(M52),ISNUMBER(M97)),N(M52)+N(M97),"-")</f>
        <v/>
      </c>
      <c r="N16" s="93">
        <f>IF(OR(ISNUMBER(N52),ISNUMBER(N97)),N(N52)+N(N97),"-")</f>
        <v/>
      </c>
      <c r="O16" s="93">
        <f>IF(OR(ISNUMBER(O52),ISNUMBER(O97)),N(O52)+N(O97),"-")</f>
        <v/>
      </c>
      <c r="P16" s="93">
        <f>IF(OR(ISNUMBER(P52),ISNUMBER(P97)),N(P52)+N(P97),"-")</f>
        <v/>
      </c>
      <c r="Q16" s="103">
        <f>IF(OR(ISNUMBER(Q52),ISNUMBER(Q97)),N(Q52)+N(Q97),"-")</f>
        <v/>
      </c>
      <c r="R16" s="103">
        <f>IF(OR(ISNUMBER(R52),ISNUMBER(R97)),N(R52)+N(R97),"-")</f>
        <v/>
      </c>
    </row>
    <row r="17" ht="14.25" customHeight="1" s="82">
      <c r="A17" s="89" t="inlineStr">
        <is>
          <t>Up for Renewal — T + NT (#)</t>
        </is>
      </c>
      <c r="B17" s="93">
        <f>N(B57)+N(B101)</f>
        <v/>
      </c>
      <c r="C17" s="93">
        <f>N(C57)+N(C101)</f>
        <v/>
      </c>
      <c r="D17" s="93">
        <f>N(D57)+N(D101)</f>
        <v/>
      </c>
      <c r="E17" s="103">
        <f>N(E57)+N(E101)</f>
        <v/>
      </c>
      <c r="F17" s="93">
        <f>N(F57)+N(F101)</f>
        <v/>
      </c>
      <c r="G17" s="93">
        <f>N(G57)+N(G101)</f>
        <v/>
      </c>
      <c r="H17" s="93">
        <f>N(H57)+N(H101)</f>
        <v/>
      </c>
      <c r="I17" s="103">
        <f>N(I57)+N(I101)</f>
        <v/>
      </c>
      <c r="J17" s="93">
        <f>N(J57)+N(J101)</f>
        <v/>
      </c>
      <c r="K17" s="93">
        <f>N(K57)+N(K101)</f>
        <v/>
      </c>
      <c r="L17" s="93">
        <f>N(L57)+N(L101)</f>
        <v/>
      </c>
      <c r="M17" s="103">
        <f>N(M57)+N(M101)</f>
        <v/>
      </c>
      <c r="N17" s="93">
        <f>N(N57)+N(N101)</f>
        <v/>
      </c>
      <c r="O17" s="93">
        <f>N(O57)+N(O101)</f>
        <v/>
      </c>
      <c r="P17" s="93">
        <f>N(P57)+N(P101)</f>
        <v/>
      </c>
      <c r="Q17" s="103">
        <f>N(Q57)+N(Q101)</f>
        <v/>
      </c>
      <c r="R17" s="103">
        <f>N(R57)+N(R101)</f>
        <v/>
      </c>
    </row>
    <row r="18" ht="14.25" customHeight="1" s="82">
      <c r="A18" s="89" t="inlineStr">
        <is>
          <t>Retained — T + NT (#)</t>
        </is>
      </c>
      <c r="B18" s="93">
        <f>N(B58)+N(B102)</f>
        <v/>
      </c>
      <c r="C18" s="93">
        <f>N(C58)+N(C102)</f>
        <v/>
      </c>
      <c r="D18" s="93">
        <f>N(D58)+N(D102)</f>
        <v/>
      </c>
      <c r="E18" s="103">
        <f>N(E58)+N(E102)</f>
        <v/>
      </c>
      <c r="F18" s="93">
        <f>N(F58)+N(F102)</f>
        <v/>
      </c>
      <c r="G18" s="93">
        <f>N(G58)+N(G102)</f>
        <v/>
      </c>
      <c r="H18" s="93">
        <f>N(H58)+N(H102)</f>
        <v/>
      </c>
      <c r="I18" s="103">
        <f>N(I58)+N(I102)</f>
        <v/>
      </c>
      <c r="J18" s="93">
        <f>N(J58)+N(J102)</f>
        <v/>
      </c>
      <c r="K18" s="93">
        <f>N(K58)+N(K102)</f>
        <v/>
      </c>
      <c r="L18" s="93">
        <f>N(L58)+N(L102)</f>
        <v/>
      </c>
      <c r="M18" s="103">
        <f>N(M58)+N(M102)</f>
        <v/>
      </c>
      <c r="N18" s="93">
        <f>N(N58)+N(N102)</f>
        <v/>
      </c>
      <c r="O18" s="93">
        <f>N(O58)+N(O102)</f>
        <v/>
      </c>
      <c r="P18" s="93">
        <f>N(P58)+N(P102)</f>
        <v/>
      </c>
      <c r="Q18" s="103">
        <f>N(Q58)+N(Q102)</f>
        <v/>
      </c>
      <c r="R18" s="103">
        <f>N(R58)+N(R102)</f>
        <v/>
      </c>
    </row>
    <row r="19" ht="14.25" customHeight="1" s="82">
      <c r="A19" s="89" t="inlineStr">
        <is>
          <t>Account Retention % — T + NT</t>
        </is>
      </c>
      <c r="B19" s="107">
        <f>IF((N(B57)+N(B101))=0,"",(N(B58)+N(B102))/(N(B57)+N(B101)))</f>
        <v/>
      </c>
      <c r="C19" s="107">
        <f>IF((N(C57)+N(C101))=0,"",(N(C58)+N(C102))/(N(C57)+N(C101)))</f>
        <v/>
      </c>
      <c r="D19" s="107">
        <f>IF((N(D57)+N(D101))=0,"",(N(D58)+N(D102))/(N(D57)+N(D101)))</f>
        <v/>
      </c>
      <c r="E19" s="108">
        <f>IF((N(E57)+N(E101))=0,"",(N(E58)+N(E102))/(N(E57)+N(E101)))</f>
        <v/>
      </c>
      <c r="F19" s="107">
        <f>IF((N(F57)+N(F101))=0,"",(N(F58)+N(F102))/(N(F57)+N(F101)))</f>
        <v/>
      </c>
      <c r="G19" s="107">
        <f>IF((N(G57)+N(G101))=0,"",(N(G58)+N(G102))/(N(G57)+N(G101)))</f>
        <v/>
      </c>
      <c r="H19" s="107">
        <f>IF((N(H57)+N(H101))=0,"",(N(H58)+N(H102))/(N(H57)+N(H101)))</f>
        <v/>
      </c>
      <c r="I19" s="108">
        <f>IF((N(I57)+N(I101))=0,"",(N(I58)+N(I102))/(N(I57)+N(I101)))</f>
        <v/>
      </c>
      <c r="J19" s="107">
        <f>IF((N(J57)+N(J101))=0,"",(N(J58)+N(J102))/(N(J57)+N(J101)))</f>
        <v/>
      </c>
      <c r="K19" s="107">
        <f>IF((N(K57)+N(K101))=0,"",(N(K58)+N(K102))/(N(K57)+N(K101)))</f>
        <v/>
      </c>
      <c r="L19" s="107">
        <f>IF((N(L57)+N(L101))=0,"",(N(L58)+N(L102))/(N(L57)+N(L101)))</f>
        <v/>
      </c>
      <c r="M19" s="108">
        <f>IF((N(M57)+N(M101))=0,"",(N(M58)+N(M102))/(N(M57)+N(M101)))</f>
        <v/>
      </c>
      <c r="N19" s="107">
        <f>IF((N(N57)+N(N101))=0,"",(N(N58)+N(N102))/(N(N57)+N(N101)))</f>
        <v/>
      </c>
      <c r="O19" s="107">
        <f>IF((N(O57)+N(O101))=0,"",(N(O58)+N(O102))/(N(O57)+N(O101)))</f>
        <v/>
      </c>
      <c r="P19" s="107">
        <f>IF((N(P57)+N(P101))=0,"",(N(P58)+N(P102))/(N(P57)+N(P101)))</f>
        <v/>
      </c>
      <c r="Q19" s="108">
        <f>IF((N(Q57)+N(Q101))=0,"",(N(Q58)+N(Q102))/(N(Q57)+N(Q101)))</f>
        <v/>
      </c>
      <c r="R19" s="108">
        <f>IF((N(R57)+N(R101))=0,"",(N(R58)+N(R102))/(N(R57)+N(R101)))</f>
        <v/>
      </c>
    </row>
    <row r="20" ht="14.25" customHeight="1" s="82">
      <c r="A20" s="89" t="inlineStr">
        <is>
          <t>Drops — Combined (#)</t>
        </is>
      </c>
      <c r="B20" s="93">
        <f>N(B69)+N(B110)</f>
        <v/>
      </c>
      <c r="C20" s="93">
        <f>N(C69)+N(C110)</f>
        <v/>
      </c>
      <c r="D20" s="93">
        <f>N(D69)+N(D110)</f>
        <v/>
      </c>
      <c r="E20" s="103">
        <f>N(E69)+N(E110)</f>
        <v/>
      </c>
      <c r="F20" s="93">
        <f>N(F69)+N(F110)</f>
        <v/>
      </c>
      <c r="G20" s="93">
        <f>N(G69)+N(G110)</f>
        <v/>
      </c>
      <c r="H20" s="93">
        <f>N(H69)+N(H110)</f>
        <v/>
      </c>
      <c r="I20" s="103">
        <f>N(I69)+N(I110)</f>
        <v/>
      </c>
      <c r="J20" s="93">
        <f>N(J69)+N(J110)</f>
        <v/>
      </c>
      <c r="K20" s="93">
        <f>N(K69)+N(K110)</f>
        <v/>
      </c>
      <c r="L20" s="93">
        <f>N(L69)+N(L110)</f>
        <v/>
      </c>
      <c r="M20" s="103">
        <f>N(M69)+N(M110)</f>
        <v/>
      </c>
      <c r="N20" s="93">
        <f>N(N69)+N(N110)</f>
        <v/>
      </c>
      <c r="O20" s="93">
        <f>N(O69)+N(O110)</f>
        <v/>
      </c>
      <c r="P20" s="93">
        <f>N(P69)+N(P110)</f>
        <v/>
      </c>
      <c r="Q20" s="103">
        <f>N(Q69)+N(Q110)</f>
        <v/>
      </c>
      <c r="R20" s="103">
        <f>N(R69)+N(R110)</f>
        <v/>
      </c>
    </row>
    <row r="21" ht="14.25" customHeight="1" s="82">
      <c r="A21" s="89" t="inlineStr">
        <is>
          <t>Dropped Revenue — Combined ($)</t>
        </is>
      </c>
      <c r="B21" s="91">
        <f>N(B70)+N(B111)</f>
        <v/>
      </c>
      <c r="C21" s="91">
        <f>N(C70)+N(C111)</f>
        <v/>
      </c>
      <c r="D21" s="91">
        <f>N(D70)+N(D111)</f>
        <v/>
      </c>
      <c r="E21" s="101">
        <f>N(E70)+N(E111)</f>
        <v/>
      </c>
      <c r="F21" s="91">
        <f>N(F70)+N(F111)</f>
        <v/>
      </c>
      <c r="G21" s="91">
        <f>N(G70)+N(G111)</f>
        <v/>
      </c>
      <c r="H21" s="91">
        <f>N(H70)+N(H111)</f>
        <v/>
      </c>
      <c r="I21" s="101">
        <f>N(I70)+N(I111)</f>
        <v/>
      </c>
      <c r="J21" s="91">
        <f>N(J70)+N(J111)</f>
        <v/>
      </c>
      <c r="K21" s="91">
        <f>N(K70)+N(K111)</f>
        <v/>
      </c>
      <c r="L21" s="91">
        <f>N(L70)+N(L111)</f>
        <v/>
      </c>
      <c r="M21" s="101">
        <f>N(M70)+N(M111)</f>
        <v/>
      </c>
      <c r="N21" s="91">
        <f>N(N70)+N(N111)</f>
        <v/>
      </c>
      <c r="O21" s="91">
        <f>N(O70)+N(O111)</f>
        <v/>
      </c>
      <c r="P21" s="91">
        <f>N(P70)+N(P111)</f>
        <v/>
      </c>
      <c r="Q21" s="101">
        <f>N(Q70)+N(Q111)</f>
        <v/>
      </c>
      <c r="R21" s="101">
        <f>N(R70)+N(R111)</f>
        <v/>
      </c>
    </row>
    <row r="22" ht="14.25" customHeight="1" s="82">
      <c r="A22" s="109" t="inlineStr">
        <is>
          <t>Revenue Up for Renewal — T + NT ($)</t>
        </is>
      </c>
      <c r="B22" s="110">
        <f>SUMIFS('Data - Monthly Metrics'!E:E,'Data - Monthly Metrics'!A:A,$B$4-1,'Data - Monthly Metrics'!B:B,"Oct",'Data - Monthly Metrics'!C:C,"East King",'Data - Monthly Metrics'!D:D,"Revenue Up for Renewal - Target ($)")+SUMIFS('Data - Monthly Metrics'!E:E,'Data - Monthly Metrics'!A:A,$B$4-1,'Data - Monthly Metrics'!B:B,"Oct",'Data - Monthly Metrics'!C:C,"East King",'Data - Monthly Metrics'!D:D,"Revenue Up for Renewal - Non-Target ($)")</f>
        <v/>
      </c>
      <c r="C22" s="110">
        <f>SUMIFS('Data - Monthly Metrics'!E:E,'Data - Monthly Metrics'!A:A,$B$4-1,'Data - Monthly Metrics'!B:B,"Nov",'Data - Monthly Metrics'!C:C,"East King",'Data - Monthly Metrics'!D:D,"Revenue Up for Renewal - Target ($)")+SUMIFS('Data - Monthly Metrics'!E:E,'Data - Monthly Metrics'!A:A,$B$4-1,'Data - Monthly Metrics'!B:B,"Nov",'Data - Monthly Metrics'!C:C,"East King",'Data - Monthly Metrics'!D:D,"Revenue Up for Renewal - Non-Target ($)")</f>
        <v/>
      </c>
      <c r="D22" s="110">
        <f>SUMIFS('Data - Monthly Metrics'!E:E,'Data - Monthly Metrics'!A:A,$B$4-1,'Data - Monthly Metrics'!B:B,"Dec",'Data - Monthly Metrics'!C:C,"East King",'Data - Monthly Metrics'!D:D,"Revenue Up for Renewal - Target ($)")+SUMIFS('Data - Monthly Metrics'!E:E,'Data - Monthly Metrics'!A:A,$B$4-1,'Data - Monthly Metrics'!B:B,"Dec",'Data - Monthly Metrics'!C:C,"East King",'Data - Monthly Metrics'!D:D,"Revenue Up for Renewal - Non-Target ($)")</f>
        <v/>
      </c>
      <c r="E22" s="111">
        <f>SUM(B22,C22,D22)</f>
        <v/>
      </c>
      <c r="F22" s="110">
        <f>SUMIFS('Data - Monthly Metrics'!E:E,'Data - Monthly Metrics'!A:A,$B$4,'Data - Monthly Metrics'!B:B,"Jan",'Data - Monthly Metrics'!C:C,"East King",'Data - Monthly Metrics'!D:D,"Revenue Up for Renewal - Target ($)")+SUMIFS('Data - Monthly Metrics'!E:E,'Data - Monthly Metrics'!A:A,$B$4,'Data - Monthly Metrics'!B:B,"Jan",'Data - Monthly Metrics'!C:C,"East King",'Data - Monthly Metrics'!D:D,"Revenue Up for Renewal - Non-Target ($)")</f>
        <v/>
      </c>
      <c r="G22" s="110">
        <f>SUMIFS('Data - Monthly Metrics'!E:E,'Data - Monthly Metrics'!A:A,$B$4,'Data - Monthly Metrics'!B:B,"Feb",'Data - Monthly Metrics'!C:C,"East King",'Data - Monthly Metrics'!D:D,"Revenue Up for Renewal - Target ($)")+SUMIFS('Data - Monthly Metrics'!E:E,'Data - Monthly Metrics'!A:A,$B$4,'Data - Monthly Metrics'!B:B,"Feb",'Data - Monthly Metrics'!C:C,"East King",'Data - Monthly Metrics'!D:D,"Revenue Up for Renewal - Non-Target ($)")</f>
        <v/>
      </c>
      <c r="H22" s="110">
        <f>SUMIFS('Data - Monthly Metrics'!E:E,'Data - Monthly Metrics'!A:A,$B$4,'Data - Monthly Metrics'!B:B,"Mar",'Data - Monthly Metrics'!C:C,"East King",'Data - Monthly Metrics'!D:D,"Revenue Up for Renewal - Target ($)")+SUMIFS('Data - Monthly Metrics'!E:E,'Data - Monthly Metrics'!A:A,$B$4,'Data - Monthly Metrics'!B:B,"Mar",'Data - Monthly Metrics'!C:C,"East King",'Data - Monthly Metrics'!D:D,"Revenue Up for Renewal - Non-Target ($)")</f>
        <v/>
      </c>
      <c r="I22" s="111">
        <f>SUM(F22,G22,H22)</f>
        <v/>
      </c>
      <c r="J22" s="110">
        <f>SUMIFS('Data - Monthly Metrics'!E:E,'Data - Monthly Metrics'!A:A,$B$4,'Data - Monthly Metrics'!B:B,"Apr",'Data - Monthly Metrics'!C:C,"East King",'Data - Monthly Metrics'!D:D,"Revenue Up for Renewal - Target ($)")+SUMIFS('Data - Monthly Metrics'!E:E,'Data - Monthly Metrics'!A:A,$B$4,'Data - Monthly Metrics'!B:B,"Apr",'Data - Monthly Metrics'!C:C,"East King",'Data - Monthly Metrics'!D:D,"Revenue Up for Renewal - Non-Target ($)")</f>
        <v/>
      </c>
      <c r="K22" s="110">
        <f>SUMIFS('Data - Monthly Metrics'!E:E,'Data - Monthly Metrics'!A:A,$B$4,'Data - Monthly Metrics'!B:B,"May",'Data - Monthly Metrics'!C:C,"East King",'Data - Monthly Metrics'!D:D,"Revenue Up for Renewal - Target ($)")+SUMIFS('Data - Monthly Metrics'!E:E,'Data - Monthly Metrics'!A:A,$B$4,'Data - Monthly Metrics'!B:B,"May",'Data - Monthly Metrics'!C:C,"East King",'Data - Monthly Metrics'!D:D,"Revenue Up for Renewal - Non-Target ($)")</f>
        <v/>
      </c>
      <c r="L22" s="110">
        <f>SUMIFS('Data - Monthly Metrics'!E:E,'Data - Monthly Metrics'!A:A,$B$4,'Data - Monthly Metrics'!B:B,"Jun",'Data - Monthly Metrics'!C:C,"East King",'Data - Monthly Metrics'!D:D,"Revenue Up for Renewal - Target ($)")+SUMIFS('Data - Monthly Metrics'!E:E,'Data - Monthly Metrics'!A:A,$B$4,'Data - Monthly Metrics'!B:B,"Jun",'Data - Monthly Metrics'!C:C,"East King",'Data - Monthly Metrics'!D:D,"Revenue Up for Renewal - Non-Target ($)")</f>
        <v/>
      </c>
      <c r="M22" s="111">
        <f>SUM(J22,K22,L22)</f>
        <v/>
      </c>
      <c r="N22" s="110">
        <f>SUMIFS('Data - Monthly Metrics'!E:E,'Data - Monthly Metrics'!A:A,$B$4,'Data - Monthly Metrics'!B:B,"Jul",'Data - Monthly Metrics'!C:C,"East King",'Data - Monthly Metrics'!D:D,"Revenue Up for Renewal - Target ($)")+SUMIFS('Data - Monthly Metrics'!E:E,'Data - Monthly Metrics'!A:A,$B$4,'Data - Monthly Metrics'!B:B,"Jul",'Data - Monthly Metrics'!C:C,"East King",'Data - Monthly Metrics'!D:D,"Revenue Up for Renewal - Non-Target ($)")</f>
        <v/>
      </c>
      <c r="O22" s="110">
        <f>SUMIFS('Data - Monthly Metrics'!E:E,'Data - Monthly Metrics'!A:A,$B$4,'Data - Monthly Metrics'!B:B,"Aug",'Data - Monthly Metrics'!C:C,"East King",'Data - Monthly Metrics'!D:D,"Revenue Up for Renewal - Target ($)")+SUMIFS('Data - Monthly Metrics'!E:E,'Data - Monthly Metrics'!A:A,$B$4,'Data - Monthly Metrics'!B:B,"Aug",'Data - Monthly Metrics'!C:C,"East King",'Data - Monthly Metrics'!D:D,"Revenue Up for Renewal - Non-Target ($)")</f>
        <v/>
      </c>
      <c r="P22" s="110">
        <f>SUMIFS('Data - Monthly Metrics'!E:E,'Data - Monthly Metrics'!A:A,$B$4,'Data - Monthly Metrics'!B:B,"Sep",'Data - Monthly Metrics'!C:C,"East King",'Data - Monthly Metrics'!D:D,"Revenue Up for Renewal - Target ($)")+SUMIFS('Data - Monthly Metrics'!E:E,'Data - Monthly Metrics'!A:A,$B$4,'Data - Monthly Metrics'!B:B,"Sep",'Data - Monthly Metrics'!C:C,"East King",'Data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Metrics'!C:C,"East King",'Data - Monthly Metrics'!D:D,"Revenue Retained - Target ($)")+SUMIFS('Data - Monthly Metrics'!E:E,'Data - Monthly Metrics'!A:A,$B$4-1,'Data - Monthly Metrics'!B:B,"Oct",'Data - Monthly Metrics'!C:C,"East King",'Data - Monthly Metrics'!D:D,"Revenue Retained - Non-Target ($)")</f>
        <v/>
      </c>
      <c r="C23" s="112">
        <f>SUMIFS('Data - Monthly Metrics'!E:E,'Data - Monthly Metrics'!A:A,$B$4-1,'Data - Monthly Metrics'!B:B,"Nov",'Data - Monthly Metrics'!C:C,"East King",'Data - Monthly Metrics'!D:D,"Revenue Retained - Target ($)")+SUMIFS('Data - Monthly Metrics'!E:E,'Data - Monthly Metrics'!A:A,$B$4-1,'Data - Monthly Metrics'!B:B,"Nov",'Data - Monthly Metrics'!C:C,"East King",'Data - Monthly Metrics'!D:D,"Revenue Retained - Non-Target ($)")</f>
        <v/>
      </c>
      <c r="D23" s="112">
        <f>SUMIFS('Data - Monthly Metrics'!E:E,'Data - Monthly Metrics'!A:A,$B$4-1,'Data - Monthly Metrics'!B:B,"Dec",'Data - Monthly Metrics'!C:C,"East King",'Data - Monthly Metrics'!D:D,"Revenue Retained - Target ($)")+SUMIFS('Data - Monthly Metrics'!E:E,'Data - Monthly Metrics'!A:A,$B$4-1,'Data - Monthly Metrics'!B:B,"Dec",'Data - Monthly Metrics'!C:C,"East King",'Data - Monthly Metrics'!D:D,"Revenue Retained - Non-Target ($)")</f>
        <v/>
      </c>
      <c r="E23" s="111">
        <f>SUM(B23,C23,D23)</f>
        <v/>
      </c>
      <c r="F23" s="112">
        <f>SUMIFS('Data - Monthly Metrics'!E:E,'Data - Monthly Metrics'!A:A,$B$4,'Data - Monthly Metrics'!B:B,"Jan",'Data - Monthly Metrics'!C:C,"East King",'Data - Monthly Metrics'!D:D,"Revenue Retained - Target ($)")+SUMIFS('Data - Monthly Metrics'!E:E,'Data - Monthly Metrics'!A:A,$B$4,'Data - Monthly Metrics'!B:B,"Jan",'Data - Monthly Metrics'!C:C,"East King",'Data - Monthly Metrics'!D:D,"Revenue Retained - Non-Target ($)")</f>
        <v/>
      </c>
      <c r="G23" s="112">
        <f>SUMIFS('Data - Monthly Metrics'!E:E,'Data - Monthly Metrics'!A:A,$B$4,'Data - Monthly Metrics'!B:B,"Feb",'Data - Monthly Metrics'!C:C,"East King",'Data - Monthly Metrics'!D:D,"Revenue Retained - Target ($)")+SUMIFS('Data - Monthly Metrics'!E:E,'Data - Monthly Metrics'!A:A,$B$4,'Data - Monthly Metrics'!B:B,"Feb",'Data - Monthly Metrics'!C:C,"East King",'Data - Monthly Metrics'!D:D,"Revenue Retained - Non-Target ($)")</f>
        <v/>
      </c>
      <c r="H23" s="112">
        <f>SUMIFS('Data - Monthly Metrics'!E:E,'Data - Monthly Metrics'!A:A,$B$4,'Data - Monthly Metrics'!B:B,"Mar",'Data - Monthly Metrics'!C:C,"East King",'Data - Monthly Metrics'!D:D,"Revenue Retained - Target ($)")+SUMIFS('Data - Monthly Metrics'!E:E,'Data - Monthly Metrics'!A:A,$B$4,'Data - Monthly Metrics'!B:B,"Mar",'Data - Monthly Metrics'!C:C,"East King",'Data - Monthly Metrics'!D:D,"Revenue Retained - Non-Target ($)")</f>
        <v/>
      </c>
      <c r="I23" s="111">
        <f>SUM(F23,G23,H23)</f>
        <v/>
      </c>
      <c r="J23" s="112">
        <f>SUMIFS('Data - Monthly Metrics'!E:E,'Data - Monthly Metrics'!A:A,$B$4,'Data - Monthly Metrics'!B:B,"Apr",'Data - Monthly Metrics'!C:C,"East King",'Data - Monthly Metrics'!D:D,"Revenue Retained - Target ($)")+SUMIFS('Data - Monthly Metrics'!E:E,'Data - Monthly Metrics'!A:A,$B$4,'Data - Monthly Metrics'!B:B,"Apr",'Data - Monthly Metrics'!C:C,"East King",'Data - Monthly Metrics'!D:D,"Revenue Retained - Non-Target ($)")</f>
        <v/>
      </c>
      <c r="K23" s="112">
        <f>SUMIFS('Data - Monthly Metrics'!E:E,'Data - Monthly Metrics'!A:A,$B$4,'Data - Monthly Metrics'!B:B,"May",'Data - Monthly Metrics'!C:C,"East King",'Data - Monthly Metrics'!D:D,"Revenue Retained - Target ($)")+SUMIFS('Data - Monthly Metrics'!E:E,'Data - Monthly Metrics'!A:A,$B$4,'Data - Monthly Metrics'!B:B,"May",'Data - Monthly Metrics'!C:C,"East King",'Data - Monthly Metrics'!D:D,"Revenue Retained - Non-Target ($)")</f>
        <v/>
      </c>
      <c r="L23" s="112">
        <f>SUMIFS('Data - Monthly Metrics'!E:E,'Data - Monthly Metrics'!A:A,$B$4,'Data - Monthly Metrics'!B:B,"Jun",'Data - Monthly Metrics'!C:C,"East King",'Data - Monthly Metrics'!D:D,"Revenue Retained - Target ($)")+SUMIFS('Data - Monthly Metrics'!E:E,'Data - Monthly Metrics'!A:A,$B$4,'Data - Monthly Metrics'!B:B,"Jun",'Data - Monthly Metrics'!C:C,"East King",'Data - Monthly Metrics'!D:D,"Revenue Retained - Non-Target ($)")</f>
        <v/>
      </c>
      <c r="M23" s="111">
        <f>SUM(J23,K23,L23)</f>
        <v/>
      </c>
      <c r="N23" s="112">
        <f>SUMIFS('Data - Monthly Metrics'!E:E,'Data - Monthly Metrics'!A:A,$B$4,'Data - Monthly Metrics'!B:B,"Jul",'Data - Monthly Metrics'!C:C,"East King",'Data - Monthly Metrics'!D:D,"Revenue Retained - Target ($)")+SUMIFS('Data - Monthly Metrics'!E:E,'Data - Monthly Metrics'!A:A,$B$4,'Data - Monthly Metrics'!B:B,"Jul",'Data - Monthly Metrics'!C:C,"East King",'Data - Monthly Metrics'!D:D,"Revenue Retained - Non-Target ($)")</f>
        <v/>
      </c>
      <c r="O23" s="112">
        <f>SUMIFS('Data - Monthly Metrics'!E:E,'Data - Monthly Metrics'!A:A,$B$4,'Data - Monthly Metrics'!B:B,"Aug",'Data - Monthly Metrics'!C:C,"East King",'Data - Monthly Metrics'!D:D,"Revenue Retained - Target ($)")+SUMIFS('Data - Monthly Metrics'!E:E,'Data - Monthly Metrics'!A:A,$B$4,'Data - Monthly Metrics'!B:B,"Aug",'Data - Monthly Metrics'!C:C,"East King",'Data - Monthly Metrics'!D:D,"Revenue Retained - Non-Target ($)")</f>
        <v/>
      </c>
      <c r="P23" s="112">
        <f>SUMIFS('Data - Monthly Metrics'!E:E,'Data - Monthly Metrics'!A:A,$B$4,'Data - Monthly Metrics'!B:B,"Sep",'Data - Monthly Metrics'!C:C,"East King",'Data - Monthly Metrics'!D:D,"Revenue Retained - Target ($)")+SUMIFS('Data - Monthly Metrics'!E:E,'Data - Monthly Metrics'!A:A,$B$4,'Data - Monthly Metrics'!B:B,"Sep",'Data - Monthly Metrics'!C:C,"East King",'Data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Metrics'!C:C,"East King",'Data - Monthly Metrics'!D:D,"Retention - Comped ($)")</f>
        <v/>
      </c>
      <c r="C24" s="112">
        <f>SUMIFS('Data - Monthly Metrics'!E:E,'Data - Monthly Metrics'!A:A,$B$4-1,'Data - Monthly Metrics'!B:B,"Nov",'Data - Monthly Metrics'!C:C,"East King",'Data - Monthly Metrics'!D:D,"Retention - Comped ($)")</f>
        <v/>
      </c>
      <c r="D24" s="112">
        <f>SUMIFS('Data - Monthly Metrics'!E:E,'Data - Monthly Metrics'!A:A,$B$4-1,'Data - Monthly Metrics'!B:B,"Dec",'Data - Monthly Metrics'!C:C,"East King",'Data - Monthly Metrics'!D:D,"Retention - Comped ($)")</f>
        <v/>
      </c>
      <c r="E24" s="111">
        <f>SUM(B24,C24,D24)</f>
        <v/>
      </c>
      <c r="F24" s="112">
        <f>SUMIFS('Data - Monthly Metrics'!E:E,'Data - Monthly Metrics'!A:A,$B$4,'Data - Monthly Metrics'!B:B,"Jan",'Data - Monthly Metrics'!C:C,"East King",'Data - Monthly Metrics'!D:D,"Retention - Comped ($)")</f>
        <v/>
      </c>
      <c r="G24" s="112">
        <f>SUMIFS('Data - Monthly Metrics'!E:E,'Data - Monthly Metrics'!A:A,$B$4,'Data - Monthly Metrics'!B:B,"Feb",'Data - Monthly Metrics'!C:C,"East King",'Data - Monthly Metrics'!D:D,"Retention - Comped ($)")</f>
        <v/>
      </c>
      <c r="H24" s="112">
        <f>SUMIFS('Data - Monthly Metrics'!E:E,'Data - Monthly Metrics'!A:A,$B$4,'Data - Monthly Metrics'!B:B,"Mar",'Data - Monthly Metrics'!C:C,"East King",'Data - Monthly Metrics'!D:D,"Retention - Comped ($)")</f>
        <v/>
      </c>
      <c r="I24" s="111">
        <f>SUM(F24,G24,H24)</f>
        <v/>
      </c>
      <c r="J24" s="112">
        <f>SUMIFS('Data - Monthly Metrics'!E:E,'Data - Monthly Metrics'!A:A,$B$4,'Data - Monthly Metrics'!B:B,"Apr",'Data - Monthly Metrics'!C:C,"East King",'Data - Monthly Metrics'!D:D,"Retention - Comped ($)")</f>
        <v/>
      </c>
      <c r="K24" s="112">
        <f>SUMIFS('Data - Monthly Metrics'!E:E,'Data - Monthly Metrics'!A:A,$B$4,'Data - Monthly Metrics'!B:B,"May",'Data - Monthly Metrics'!C:C,"East King",'Data - Monthly Metrics'!D:D,"Retention - Comped ($)")</f>
        <v/>
      </c>
      <c r="L24" s="112">
        <f>SUMIFS('Data - Monthly Metrics'!E:E,'Data - Monthly Metrics'!A:A,$B$4,'Data - Monthly Metrics'!B:B,"Jun",'Data - Monthly Metrics'!C:C,"East King",'Data - Monthly Metrics'!D:D,"Retention - Comped ($)")</f>
        <v/>
      </c>
      <c r="M24" s="111">
        <f>SUM(J24,K24,L24)</f>
        <v/>
      </c>
      <c r="N24" s="112">
        <f>SUMIFS('Data - Monthly Metrics'!E:E,'Data - Monthly Metrics'!A:A,$B$4,'Data - Monthly Metrics'!B:B,"Jul",'Data - Monthly Metrics'!C:C,"East King",'Data - Monthly Metrics'!D:D,"Retention - Comped ($)")</f>
        <v/>
      </c>
      <c r="O24" s="112">
        <f>SUMIFS('Data - Monthly Metrics'!E:E,'Data - Monthly Metrics'!A:A,$B$4,'Data - Monthly Metrics'!B:B,"Aug",'Data - Monthly Metrics'!C:C,"East King",'Data - Monthly Metrics'!D:D,"Retention - Comped ($)")</f>
        <v/>
      </c>
      <c r="P24" s="112">
        <f>SUMIFS('Data - Monthly Metrics'!E:E,'Data - Monthly Metrics'!A:A,$B$4,'Data - Monthly Metrics'!B:B,"Sep",'Data - Monthly Metrics'!C:C,"East King",'Data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Metrics'!C:C,"East King",'Data - Monthly Metrics'!D:D,"Retention - Comped (#)")</f>
        <v/>
      </c>
      <c r="C25" s="113">
        <f>SUMIFS('Data - Monthly Metrics'!E:E,'Data - Monthly Metrics'!A:A,$B$4-1,'Data - Monthly Metrics'!B:B,"Nov",'Data - Monthly Metrics'!C:C,"East King",'Data - Monthly Metrics'!D:D,"Retention - Comped (#)")</f>
        <v/>
      </c>
      <c r="D25" s="113">
        <f>SUMIFS('Data - Monthly Metrics'!E:E,'Data - Monthly Metrics'!A:A,$B$4-1,'Data - Monthly Metrics'!B:B,"Dec",'Data - Monthly Metrics'!C:C,"East King",'Data - Monthly Metrics'!D:D,"Retention - Comped (#)")</f>
        <v/>
      </c>
      <c r="E25" s="114">
        <f>SUM(B25,C25,D25)</f>
        <v/>
      </c>
      <c r="F25" s="113">
        <f>SUMIFS('Data - Monthly Metrics'!E:E,'Data - Monthly Metrics'!A:A,$B$4,'Data - Monthly Metrics'!B:B,"Jan",'Data - Monthly Metrics'!C:C,"East King",'Data - Monthly Metrics'!D:D,"Retention - Comped (#)")</f>
        <v/>
      </c>
      <c r="G25" s="113">
        <f>SUMIFS('Data - Monthly Metrics'!E:E,'Data - Monthly Metrics'!A:A,$B$4,'Data - Monthly Metrics'!B:B,"Feb",'Data - Monthly Metrics'!C:C,"East King",'Data - Monthly Metrics'!D:D,"Retention - Comped (#)")</f>
        <v/>
      </c>
      <c r="H25" s="113">
        <f>SUMIFS('Data - Monthly Metrics'!E:E,'Data - Monthly Metrics'!A:A,$B$4,'Data - Monthly Metrics'!B:B,"Mar",'Data - Monthly Metrics'!C:C,"East King",'Data - Monthly Metrics'!D:D,"Retention - Comped (#)")</f>
        <v/>
      </c>
      <c r="I25" s="114">
        <f>SUM(F25,G25,H25)</f>
        <v/>
      </c>
      <c r="J25" s="113">
        <f>SUMIFS('Data - Monthly Metrics'!E:E,'Data - Monthly Metrics'!A:A,$B$4,'Data - Monthly Metrics'!B:B,"Apr",'Data - Monthly Metrics'!C:C,"East King",'Data - Monthly Metrics'!D:D,"Retention - Comped (#)")</f>
        <v/>
      </c>
      <c r="K25" s="113">
        <f>SUMIFS('Data - Monthly Metrics'!E:E,'Data - Monthly Metrics'!A:A,$B$4,'Data - Monthly Metrics'!B:B,"May",'Data - Monthly Metrics'!C:C,"East King",'Data - Monthly Metrics'!D:D,"Retention - Comped (#)")</f>
        <v/>
      </c>
      <c r="L25" s="113">
        <f>SUMIFS('Data - Monthly Metrics'!E:E,'Data - Monthly Metrics'!A:A,$B$4,'Data - Monthly Metrics'!B:B,"Jun",'Data - Monthly Metrics'!C:C,"East King",'Data - Monthly Metrics'!D:D,"Retention - Comped (#)")</f>
        <v/>
      </c>
      <c r="M25" s="114">
        <f>SUM(J25,K25,L25)</f>
        <v/>
      </c>
      <c r="N25" s="113">
        <f>SUMIFS('Data - Monthly Metrics'!E:E,'Data - Monthly Metrics'!A:A,$B$4,'Data - Monthly Metrics'!B:B,"Jul",'Data - Monthly Metrics'!C:C,"East King",'Data - Monthly Metrics'!D:D,"Retention - Comped (#)")</f>
        <v/>
      </c>
      <c r="O25" s="113">
        <f>SUMIFS('Data - Monthly Metrics'!E:E,'Data - Monthly Metrics'!A:A,$B$4,'Data - Monthly Metrics'!B:B,"Aug",'Data - Monthly Metrics'!C:C,"East King",'Data - Monthly Metrics'!D:D,"Retention - Comped (#)")</f>
        <v/>
      </c>
      <c r="P25" s="113">
        <f>SUMIFS('Data - Monthly Metrics'!E:E,'Data - Monthly Metrics'!A:A,$B$4,'Data - Monthly Metrics'!B:B,"Sep",'Data - Monthly Metrics'!C:C,"East King",'Data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Metrics'!C:C,"East King",'Data - Monthly Metrics'!D:D,"Retention - BOB ($)")</f>
        <v/>
      </c>
      <c r="C26" s="112">
        <f>SUMIFS('Data - Monthly Metrics'!E:E,'Data - Monthly Metrics'!A:A,$B$4-1,'Data - Monthly Metrics'!B:B,"Nov",'Data - Monthly Metrics'!C:C,"East King",'Data - Monthly Metrics'!D:D,"Retention - BOB ($)")</f>
        <v/>
      </c>
      <c r="D26" s="112">
        <f>SUMIFS('Data - Monthly Metrics'!E:E,'Data - Monthly Metrics'!A:A,$B$4-1,'Data - Monthly Metrics'!B:B,"Dec",'Data - Monthly Metrics'!C:C,"East King",'Data - Monthly Metrics'!D:D,"Retention - BOB ($)")</f>
        <v/>
      </c>
      <c r="E26" s="111">
        <f>SUM(B26,C26,D26)</f>
        <v/>
      </c>
      <c r="F26" s="112">
        <f>SUMIFS('Data - Monthly Metrics'!E:E,'Data - Monthly Metrics'!A:A,$B$4,'Data - Monthly Metrics'!B:B,"Jan",'Data - Monthly Metrics'!C:C,"East King",'Data - Monthly Metrics'!D:D,"Retention - BOB ($)")</f>
        <v/>
      </c>
      <c r="G26" s="112">
        <f>SUMIFS('Data - Monthly Metrics'!E:E,'Data - Monthly Metrics'!A:A,$B$4,'Data - Monthly Metrics'!B:B,"Feb",'Data - Monthly Metrics'!C:C,"East King",'Data - Monthly Metrics'!D:D,"Retention - BOB ($)")</f>
        <v/>
      </c>
      <c r="H26" s="112">
        <f>SUMIFS('Data - Monthly Metrics'!E:E,'Data - Monthly Metrics'!A:A,$B$4,'Data - Monthly Metrics'!B:B,"Mar",'Data - Monthly Metrics'!C:C,"East King",'Data - Monthly Metrics'!D:D,"Retention - BOB ($)")</f>
        <v/>
      </c>
      <c r="I26" s="111">
        <f>SUM(F26,G26,H26)</f>
        <v/>
      </c>
      <c r="J26" s="112">
        <f>SUMIFS('Data - Monthly Metrics'!E:E,'Data - Monthly Metrics'!A:A,$B$4,'Data - Monthly Metrics'!B:B,"Apr",'Data - Monthly Metrics'!C:C,"East King",'Data - Monthly Metrics'!D:D,"Retention - BOB ($)")</f>
        <v/>
      </c>
      <c r="K26" s="112">
        <f>SUMIFS('Data - Monthly Metrics'!E:E,'Data - Monthly Metrics'!A:A,$B$4,'Data - Monthly Metrics'!B:B,"May",'Data - Monthly Metrics'!C:C,"East King",'Data - Monthly Metrics'!D:D,"Retention - BOB ($)")</f>
        <v/>
      </c>
      <c r="L26" s="112">
        <f>SUMIFS('Data - Monthly Metrics'!E:E,'Data - Monthly Metrics'!A:A,$B$4,'Data - Monthly Metrics'!B:B,"Jun",'Data - Monthly Metrics'!C:C,"East King",'Data - Monthly Metrics'!D:D,"Retention - BOB ($)")</f>
        <v/>
      </c>
      <c r="M26" s="111">
        <f>SUM(J26,K26,L26)</f>
        <v/>
      </c>
      <c r="N26" s="112">
        <f>SUMIFS('Data - Monthly Metrics'!E:E,'Data - Monthly Metrics'!A:A,$B$4,'Data - Monthly Metrics'!B:B,"Jul",'Data - Monthly Metrics'!C:C,"East King",'Data - Monthly Metrics'!D:D,"Retention - BOB ($)")</f>
        <v/>
      </c>
      <c r="O26" s="112">
        <f>SUMIFS('Data - Monthly Metrics'!E:E,'Data - Monthly Metrics'!A:A,$B$4,'Data - Monthly Metrics'!B:B,"Aug",'Data - Monthly Metrics'!C:C,"East King",'Data - Monthly Metrics'!D:D,"Retention - BOB ($)")</f>
        <v/>
      </c>
      <c r="P26" s="112">
        <f>SUMIFS('Data - Monthly Metrics'!E:E,'Data - Monthly Metrics'!A:A,$B$4,'Data - Monthly Metrics'!B:B,"Sep",'Data - Monthly Metrics'!C:C,"East King",'Data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Metrics'!C:C,"East King",'Data - Monthly Metrics'!D:D,"Retention - BOB (#)")</f>
        <v/>
      </c>
      <c r="C27" s="113">
        <f>SUMIFS('Data - Monthly Metrics'!E:E,'Data - Monthly Metrics'!A:A,$B$4-1,'Data - Monthly Metrics'!B:B,"Nov",'Data - Monthly Metrics'!C:C,"East King",'Data - Monthly Metrics'!D:D,"Retention - BOB (#)")</f>
        <v/>
      </c>
      <c r="D27" s="113">
        <f>SUMIFS('Data - Monthly Metrics'!E:E,'Data - Monthly Metrics'!A:A,$B$4-1,'Data - Monthly Metrics'!B:B,"Dec",'Data - Monthly Metrics'!C:C,"East King",'Data - Monthly Metrics'!D:D,"Retention - BOB (#)")</f>
        <v/>
      </c>
      <c r="E27" s="114">
        <f>SUM(B27,C27,D27)</f>
        <v/>
      </c>
      <c r="F27" s="113">
        <f>SUMIFS('Data - Monthly Metrics'!E:E,'Data - Monthly Metrics'!A:A,$B$4,'Data - Monthly Metrics'!B:B,"Jan",'Data - Monthly Metrics'!C:C,"East King",'Data - Monthly Metrics'!D:D,"Retention - BOB (#)")</f>
        <v/>
      </c>
      <c r="G27" s="113">
        <f>SUMIFS('Data - Monthly Metrics'!E:E,'Data - Monthly Metrics'!A:A,$B$4,'Data - Monthly Metrics'!B:B,"Feb",'Data - Monthly Metrics'!C:C,"East King",'Data - Monthly Metrics'!D:D,"Retention - BOB (#)")</f>
        <v/>
      </c>
      <c r="H27" s="113">
        <f>SUMIFS('Data - Monthly Metrics'!E:E,'Data - Monthly Metrics'!A:A,$B$4,'Data - Monthly Metrics'!B:B,"Mar",'Data - Monthly Metrics'!C:C,"East King",'Data - Monthly Metrics'!D:D,"Retention - BOB (#)")</f>
        <v/>
      </c>
      <c r="I27" s="114">
        <f>SUM(F27,G27,H27)</f>
        <v/>
      </c>
      <c r="J27" s="113">
        <f>SUMIFS('Data - Monthly Metrics'!E:E,'Data - Monthly Metrics'!A:A,$B$4,'Data - Monthly Metrics'!B:B,"Apr",'Data - Monthly Metrics'!C:C,"East King",'Data - Monthly Metrics'!D:D,"Retention - BOB (#)")</f>
        <v/>
      </c>
      <c r="K27" s="113">
        <f>SUMIFS('Data - Monthly Metrics'!E:E,'Data - Monthly Metrics'!A:A,$B$4,'Data - Monthly Metrics'!B:B,"May",'Data - Monthly Metrics'!C:C,"East King",'Data - Monthly Metrics'!D:D,"Retention - BOB (#)")</f>
        <v/>
      </c>
      <c r="L27" s="113">
        <f>SUMIFS('Data - Monthly Metrics'!E:E,'Data - Monthly Metrics'!A:A,$B$4,'Data - Monthly Metrics'!B:B,"Jun",'Data - Monthly Metrics'!C:C,"East King",'Data - Monthly Metrics'!D:D,"Retention - BOB (#)")</f>
        <v/>
      </c>
      <c r="M27" s="114">
        <f>SUM(J27,K27,L27)</f>
        <v/>
      </c>
      <c r="N27" s="113">
        <f>SUMIFS('Data - Monthly Metrics'!E:E,'Data - Monthly Metrics'!A:A,$B$4,'Data - Monthly Metrics'!B:B,"Jul",'Data - Monthly Metrics'!C:C,"East King",'Data - Monthly Metrics'!D:D,"Retention - BOB (#)")</f>
        <v/>
      </c>
      <c r="O27" s="113">
        <f>SUMIFS('Data - Monthly Metrics'!E:E,'Data - Monthly Metrics'!A:A,$B$4,'Data - Monthly Metrics'!B:B,"Aug",'Data - Monthly Metrics'!C:C,"East King",'Data - Monthly Metrics'!D:D,"Retention - BOB (#)")</f>
        <v/>
      </c>
      <c r="P27" s="113">
        <f>SUMIFS('Data - Monthly Metrics'!E:E,'Data - Monthly Metrics'!A:A,$B$4,'Data - Monthly Metrics'!B:B,"Sep",'Data - Monthly Metrics'!C:C,"East King",'Data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Metrics'!C:C,"East King",'Data - Monthly Metrics'!D:D,"Revenue Up for Renewal - Target ($)")+SUMIFS('Data - Monthly Metrics'!E:E,'Data - Monthly Metrics'!A:A,$B$4-1,'Data - Monthly Metrics'!B:B,"Oct",'Data - Monthly Metrics'!C:C,"East King",'Data - Monthly Metrics'!D:D,"Revenue Up for Renewal - Non-Target ($)"))=0,"-",(SUMIFS('Data - Monthly Metrics'!E:E,'Data - Monthly Metrics'!A:A,$B$4-1,'Data - Monthly Metrics'!B:B,"Oct",'Data - Monthly Metrics'!C:C,"East King",'Data - Monthly Metrics'!D:D,"Revenue Retained - Target ($)")+SUMIFS('Data - Monthly Metrics'!E:E,'Data - Monthly Metrics'!A:A,$B$4-1,'Data - Monthly Metrics'!B:B,"Oct",'Data - Monthly Metrics'!C:C,"East King",'Data - Monthly Metrics'!D:D,"Revenue Retained - Non-Target ($)"))/(SUMIFS('Data - Monthly Metrics'!E:E,'Data - Monthly Metrics'!A:A,$B$4-1,'Data - Monthly Metrics'!B:B,"Oct",'Data - Monthly Metrics'!C:C,"East King",'Data - Monthly Metrics'!D:D,"Revenue Up for Renewal - Target ($)")+SUMIFS('Data - Monthly Metrics'!E:E,'Data - Monthly Metrics'!A:A,$B$4-1,'Data - Monthly Metrics'!B:B,"Oct",'Data - Monthly Metrics'!C:C,"East King",'Data - Monthly Metrics'!D:D,"Revenue Up for Renewal - Non-Target ($)")))</f>
        <v/>
      </c>
      <c r="C28" s="115">
        <f>IF((SUMIFS('Data - Monthly Metrics'!E:E,'Data - Monthly Metrics'!A:A,$B$4-1,'Data - Monthly Metrics'!B:B,"Nov",'Data - Monthly Metrics'!C:C,"East King",'Data - Monthly Metrics'!D:D,"Revenue Up for Renewal - Target ($)")+SUMIFS('Data - Monthly Metrics'!E:E,'Data - Monthly Metrics'!A:A,$B$4-1,'Data - Monthly Metrics'!B:B,"Nov",'Data - Monthly Metrics'!C:C,"East King",'Data - Monthly Metrics'!D:D,"Revenue Up for Renewal - Non-Target ($)"))=0,"-",(SUMIFS('Data - Monthly Metrics'!E:E,'Data - Monthly Metrics'!A:A,$B$4-1,'Data - Monthly Metrics'!B:B,"Nov",'Data - Monthly Metrics'!C:C,"East King",'Data - Monthly Metrics'!D:D,"Revenue Retained - Target ($)")+SUMIFS('Data - Monthly Metrics'!E:E,'Data - Monthly Metrics'!A:A,$B$4-1,'Data - Monthly Metrics'!B:B,"Nov",'Data - Monthly Metrics'!C:C,"East King",'Data - Monthly Metrics'!D:D,"Revenue Retained - Non-Target ($)"))/(SUMIFS('Data - Monthly Metrics'!E:E,'Data - Monthly Metrics'!A:A,$B$4-1,'Data - Monthly Metrics'!B:B,"Nov",'Data - Monthly Metrics'!C:C,"East King",'Data - Monthly Metrics'!D:D,"Revenue Up for Renewal - Target ($)")+SUMIFS('Data - Monthly Metrics'!E:E,'Data - Monthly Metrics'!A:A,$B$4-1,'Data - Monthly Metrics'!B:B,"Nov",'Data - Monthly Metrics'!C:C,"East King",'Data - Monthly Metrics'!D:D,"Revenue Up for Renewal - Non-Target ($)")))</f>
        <v/>
      </c>
      <c r="D28" s="115">
        <f>IF((SUMIFS('Data - Monthly Metrics'!E:E,'Data - Monthly Metrics'!A:A,$B$4-1,'Data - Monthly Metrics'!B:B,"Dec",'Data - Monthly Metrics'!C:C,"East King",'Data - Monthly Metrics'!D:D,"Revenue Up for Renewal - Target ($)")+SUMIFS('Data - Monthly Metrics'!E:E,'Data - Monthly Metrics'!A:A,$B$4-1,'Data - Monthly Metrics'!B:B,"Dec",'Data - Monthly Metrics'!C:C,"East King",'Data - Monthly Metrics'!D:D,"Revenue Up for Renewal - Non-Target ($)"))=0,"-",(SUMIFS('Data - Monthly Metrics'!E:E,'Data - Monthly Metrics'!A:A,$B$4-1,'Data - Monthly Metrics'!B:B,"Dec",'Data - Monthly Metrics'!C:C,"East King",'Data - Monthly Metrics'!D:D,"Revenue Retained - Target ($)")+SUMIFS('Data - Monthly Metrics'!E:E,'Data - Monthly Metrics'!A:A,$B$4-1,'Data - Monthly Metrics'!B:B,"Dec",'Data - Monthly Metrics'!C:C,"East King",'Data - Monthly Metrics'!D:D,"Revenue Retained - Non-Target ($)"))/(SUMIFS('Data - Monthly Metrics'!E:E,'Data - Monthly Metrics'!A:A,$B$4-1,'Data - Monthly Metrics'!B:B,"Dec",'Data - Monthly Metrics'!C:C,"East King",'Data - Monthly Metrics'!D:D,"Revenue Up for Renewal - Target ($)")+SUMIFS('Data - Monthly Metrics'!E:E,'Data - Monthly Metrics'!A:A,$B$4-1,'Data - Monthly Metrics'!B:B,"Dec",'Data - Monthly Metrics'!C:C,"East King",'Data - Monthly Metrics'!D:D,"Revenue Up for Renewal - Non-Target ($)")))</f>
        <v/>
      </c>
      <c r="E28" s="116">
        <f>IF(E22=0,0,E23/E22)</f>
        <v/>
      </c>
      <c r="F28" s="115">
        <f>IF((SUMIFS('Data - Monthly Metrics'!E:E,'Data - Monthly Metrics'!A:A,$B$4,'Data - Monthly Metrics'!B:B,"Jan",'Data - Monthly Metrics'!C:C,"East King",'Data - Monthly Metrics'!D:D,"Revenue Up for Renewal - Target ($)")+SUMIFS('Data - Monthly Metrics'!E:E,'Data - Monthly Metrics'!A:A,$B$4,'Data - Monthly Metrics'!B:B,"Jan",'Data - Monthly Metrics'!C:C,"East King",'Data - Monthly Metrics'!D:D,"Revenue Up for Renewal - Non-Target ($)"))=0,"-",(SUMIFS('Data - Monthly Metrics'!E:E,'Data - Monthly Metrics'!A:A,$B$4,'Data - Monthly Metrics'!B:B,"Jan",'Data - Monthly Metrics'!C:C,"East King",'Data - Monthly Metrics'!D:D,"Revenue Retained - Target ($)")+SUMIFS('Data - Monthly Metrics'!E:E,'Data - Monthly Metrics'!A:A,$B$4,'Data - Monthly Metrics'!B:B,"Jan",'Data - Monthly Metrics'!C:C,"East King",'Data - Monthly Metrics'!D:D,"Revenue Retained - Non-Target ($)"))/(SUMIFS('Data - Monthly Metrics'!E:E,'Data - Monthly Metrics'!A:A,$B$4,'Data - Monthly Metrics'!B:B,"Jan",'Data - Monthly Metrics'!C:C,"East King",'Data - Monthly Metrics'!D:D,"Revenue Up for Renewal - Target ($)")+SUMIFS('Data - Monthly Metrics'!E:E,'Data - Monthly Metrics'!A:A,$B$4,'Data - Monthly Metrics'!B:B,"Jan",'Data - Monthly Metrics'!C:C,"East King",'Data - Monthly Metrics'!D:D,"Revenue Up for Renewal - Non-Target ($)")))</f>
        <v/>
      </c>
      <c r="G28" s="115">
        <f>IF((SUMIFS('Data - Monthly Metrics'!E:E,'Data - Monthly Metrics'!A:A,$B$4,'Data - Monthly Metrics'!B:B,"Feb",'Data - Monthly Metrics'!C:C,"East King",'Data - Monthly Metrics'!D:D,"Revenue Up for Renewal - Target ($)")+SUMIFS('Data - Monthly Metrics'!E:E,'Data - Monthly Metrics'!A:A,$B$4,'Data - Monthly Metrics'!B:B,"Feb",'Data - Monthly Metrics'!C:C,"East King",'Data - Monthly Metrics'!D:D,"Revenue Up for Renewal - Non-Target ($)"))=0,"-",(SUMIFS('Data - Monthly Metrics'!E:E,'Data - Monthly Metrics'!A:A,$B$4,'Data - Monthly Metrics'!B:B,"Feb",'Data - Monthly Metrics'!C:C,"East King",'Data - Monthly Metrics'!D:D,"Revenue Retained - Target ($)")+SUMIFS('Data - Monthly Metrics'!E:E,'Data - Monthly Metrics'!A:A,$B$4,'Data - Monthly Metrics'!B:B,"Feb",'Data - Monthly Metrics'!C:C,"East King",'Data - Monthly Metrics'!D:D,"Revenue Retained - Non-Target ($)"))/(SUMIFS('Data - Monthly Metrics'!E:E,'Data - Monthly Metrics'!A:A,$B$4,'Data - Monthly Metrics'!B:B,"Feb",'Data - Monthly Metrics'!C:C,"East King",'Data - Monthly Metrics'!D:D,"Revenue Up for Renewal - Target ($)")+SUMIFS('Data - Monthly Metrics'!E:E,'Data - Monthly Metrics'!A:A,$B$4,'Data - Monthly Metrics'!B:B,"Feb",'Data - Monthly Metrics'!C:C,"East King",'Data - Monthly Metrics'!D:D,"Revenue Up for Renewal - Non-Target ($)")))</f>
        <v/>
      </c>
      <c r="H28" s="115">
        <f>IF((SUMIFS('Data - Monthly Metrics'!E:E,'Data - Monthly Metrics'!A:A,$B$4,'Data - Monthly Metrics'!B:B,"Mar",'Data - Monthly Metrics'!C:C,"East King",'Data - Monthly Metrics'!D:D,"Revenue Up for Renewal - Target ($)")+SUMIFS('Data - Monthly Metrics'!E:E,'Data - Monthly Metrics'!A:A,$B$4,'Data - Monthly Metrics'!B:B,"Mar",'Data - Monthly Metrics'!C:C,"East King",'Data - Monthly Metrics'!D:D,"Revenue Up for Renewal - Non-Target ($)"))=0,"-",(SUMIFS('Data - Monthly Metrics'!E:E,'Data - Monthly Metrics'!A:A,$B$4,'Data - Monthly Metrics'!B:B,"Mar",'Data - Monthly Metrics'!C:C,"East King",'Data - Monthly Metrics'!D:D,"Revenue Retained - Target ($)")+SUMIFS('Data - Monthly Metrics'!E:E,'Data - Monthly Metrics'!A:A,$B$4,'Data - Monthly Metrics'!B:B,"Mar",'Data - Monthly Metrics'!C:C,"East King",'Data - Monthly Metrics'!D:D,"Revenue Retained - Non-Target ($)"))/(SUMIFS('Data - Monthly Metrics'!E:E,'Data - Monthly Metrics'!A:A,$B$4,'Data - Monthly Metrics'!B:B,"Mar",'Data - Monthly Metrics'!C:C,"East King",'Data - Monthly Metrics'!D:D,"Revenue Up for Renewal - Target ($)")+SUMIFS('Data - Monthly Metrics'!E:E,'Data - Monthly Metrics'!A:A,$B$4,'Data - Monthly Metrics'!B:B,"Mar",'Data - Monthly Metrics'!C:C,"East King",'Data - Monthly Metrics'!D:D,"Revenue Up for Renewal - Non-Target ($)")))</f>
        <v/>
      </c>
      <c r="I28" s="116">
        <f>IF(I22=0,0,I23/I22)</f>
        <v/>
      </c>
      <c r="J28" s="115">
        <f>IF((SUMIFS('Data - Monthly Metrics'!E:E,'Data - Monthly Metrics'!A:A,$B$4,'Data - Monthly Metrics'!B:B,"Apr",'Data - Monthly Metrics'!C:C,"East King",'Data - Monthly Metrics'!D:D,"Revenue Up for Renewal - Target ($)")+SUMIFS('Data - Monthly Metrics'!E:E,'Data - Monthly Metrics'!A:A,$B$4,'Data - Monthly Metrics'!B:B,"Apr",'Data - Monthly Metrics'!C:C,"East King",'Data - Monthly Metrics'!D:D,"Revenue Up for Renewal - Non-Target ($)"))=0,"-",(SUMIFS('Data - Monthly Metrics'!E:E,'Data - Monthly Metrics'!A:A,$B$4,'Data - Monthly Metrics'!B:B,"Apr",'Data - Monthly Metrics'!C:C,"East King",'Data - Monthly Metrics'!D:D,"Revenue Retained - Target ($)")+SUMIFS('Data - Monthly Metrics'!E:E,'Data - Monthly Metrics'!A:A,$B$4,'Data - Monthly Metrics'!B:B,"Apr",'Data - Monthly Metrics'!C:C,"East King",'Data - Monthly Metrics'!D:D,"Revenue Retained - Non-Target ($)"))/(SUMIFS('Data - Monthly Metrics'!E:E,'Data - Monthly Metrics'!A:A,$B$4,'Data - Monthly Metrics'!B:B,"Apr",'Data - Monthly Metrics'!C:C,"East King",'Data - Monthly Metrics'!D:D,"Revenue Up for Renewal - Target ($)")+SUMIFS('Data - Monthly Metrics'!E:E,'Data - Monthly Metrics'!A:A,$B$4,'Data - Monthly Metrics'!B:B,"Apr",'Data - Monthly Metrics'!C:C,"East King",'Data - Monthly Metrics'!D:D,"Revenue Up for Renewal - Non-Target ($)")))</f>
        <v/>
      </c>
      <c r="K28" s="115">
        <f>IF((SUMIFS('Data - Monthly Metrics'!E:E,'Data - Monthly Metrics'!A:A,$B$4,'Data - Monthly Metrics'!B:B,"May",'Data - Monthly Metrics'!C:C,"East King",'Data - Monthly Metrics'!D:D,"Revenue Up for Renewal - Target ($)")+SUMIFS('Data - Monthly Metrics'!E:E,'Data - Monthly Metrics'!A:A,$B$4,'Data - Monthly Metrics'!B:B,"May",'Data - Monthly Metrics'!C:C,"East King",'Data - Monthly Metrics'!D:D,"Revenue Up for Renewal - Non-Target ($)"))=0,"-",(SUMIFS('Data - Monthly Metrics'!E:E,'Data - Monthly Metrics'!A:A,$B$4,'Data - Monthly Metrics'!B:B,"May",'Data - Monthly Metrics'!C:C,"East King",'Data - Monthly Metrics'!D:D,"Revenue Retained - Target ($)")+SUMIFS('Data - Monthly Metrics'!E:E,'Data - Monthly Metrics'!A:A,$B$4,'Data - Monthly Metrics'!B:B,"May",'Data - Monthly Metrics'!C:C,"East King",'Data - Monthly Metrics'!D:D,"Revenue Retained - Non-Target ($)"))/(SUMIFS('Data - Monthly Metrics'!E:E,'Data - Monthly Metrics'!A:A,$B$4,'Data - Monthly Metrics'!B:B,"May",'Data - Monthly Metrics'!C:C,"East King",'Data - Monthly Metrics'!D:D,"Revenue Up for Renewal - Target ($)")+SUMIFS('Data - Monthly Metrics'!E:E,'Data - Monthly Metrics'!A:A,$B$4,'Data - Monthly Metrics'!B:B,"May",'Data - Monthly Metrics'!C:C,"East King",'Data - Monthly Metrics'!D:D,"Revenue Up for Renewal - Non-Target ($)")))</f>
        <v/>
      </c>
      <c r="L28" s="115">
        <f>IF((SUMIFS('Data - Monthly Metrics'!E:E,'Data - Monthly Metrics'!A:A,$B$4,'Data - Monthly Metrics'!B:B,"Jun",'Data - Monthly Metrics'!C:C,"East King",'Data - Monthly Metrics'!D:D,"Revenue Up for Renewal - Target ($)")+SUMIFS('Data - Monthly Metrics'!E:E,'Data - Monthly Metrics'!A:A,$B$4,'Data - Monthly Metrics'!B:B,"Jun",'Data - Monthly Metrics'!C:C,"East King",'Data - Monthly Metrics'!D:D,"Revenue Up for Renewal - Non-Target ($)"))=0,"-",(SUMIFS('Data - Monthly Metrics'!E:E,'Data - Monthly Metrics'!A:A,$B$4,'Data - Monthly Metrics'!B:B,"Jun",'Data - Monthly Metrics'!C:C,"East King",'Data - Monthly Metrics'!D:D,"Revenue Retained - Target ($)")+SUMIFS('Data - Monthly Metrics'!E:E,'Data - Monthly Metrics'!A:A,$B$4,'Data - Monthly Metrics'!B:B,"Jun",'Data - Monthly Metrics'!C:C,"East King",'Data - Monthly Metrics'!D:D,"Revenue Retained - Non-Target ($)"))/(SUMIFS('Data - Monthly Metrics'!E:E,'Data - Monthly Metrics'!A:A,$B$4,'Data - Monthly Metrics'!B:B,"Jun",'Data - Monthly Metrics'!C:C,"East King",'Data - Monthly Metrics'!D:D,"Revenue Up for Renewal - Target ($)")+SUMIFS('Data - Monthly Metrics'!E:E,'Data - Monthly Metrics'!A:A,$B$4,'Data - Monthly Metrics'!B:B,"Jun",'Data - Monthly Metrics'!C:C,"East King",'Data - Monthly Metrics'!D:D,"Revenue Up for Renewal - Non-Target ($)")))</f>
        <v/>
      </c>
      <c r="M28" s="116">
        <f>IF(M22=0,0,M23/M22)</f>
        <v/>
      </c>
      <c r="N28" s="115">
        <f>IF((SUMIFS('Data - Monthly Metrics'!E:E,'Data - Monthly Metrics'!A:A,$B$4,'Data - Monthly Metrics'!B:B,"Jul",'Data - Monthly Metrics'!C:C,"East King",'Data - Monthly Metrics'!D:D,"Revenue Up for Renewal - Target ($)")+SUMIFS('Data - Monthly Metrics'!E:E,'Data - Monthly Metrics'!A:A,$B$4,'Data - Monthly Metrics'!B:B,"Jul",'Data - Monthly Metrics'!C:C,"East King",'Data - Monthly Metrics'!D:D,"Revenue Up for Renewal - Non-Target ($)"))=0,"-",(SUMIFS('Data - Monthly Metrics'!E:E,'Data - Monthly Metrics'!A:A,$B$4,'Data - Monthly Metrics'!B:B,"Jul",'Data - Monthly Metrics'!C:C,"East King",'Data - Monthly Metrics'!D:D,"Revenue Retained - Target ($)")+SUMIFS('Data - Monthly Metrics'!E:E,'Data - Monthly Metrics'!A:A,$B$4,'Data - Monthly Metrics'!B:B,"Jul",'Data - Monthly Metrics'!C:C,"East King",'Data - Monthly Metrics'!D:D,"Revenue Retained - Non-Target ($)"))/(SUMIFS('Data - Monthly Metrics'!E:E,'Data - Monthly Metrics'!A:A,$B$4,'Data - Monthly Metrics'!B:B,"Jul",'Data - Monthly Metrics'!C:C,"East King",'Data - Monthly Metrics'!D:D,"Revenue Up for Renewal - Target ($)")+SUMIFS('Data - Monthly Metrics'!E:E,'Data - Monthly Metrics'!A:A,$B$4,'Data - Monthly Metrics'!B:B,"Jul",'Data - Monthly Metrics'!C:C,"East King",'Data - Monthly Metrics'!D:D,"Revenue Up for Renewal - Non-Target ($)")))</f>
        <v/>
      </c>
      <c r="O28" s="115">
        <f>IF((SUMIFS('Data - Monthly Metrics'!E:E,'Data - Monthly Metrics'!A:A,$B$4,'Data - Monthly Metrics'!B:B,"Aug",'Data - Monthly Metrics'!C:C,"East King",'Data - Monthly Metrics'!D:D,"Revenue Up for Renewal - Target ($)")+SUMIFS('Data - Monthly Metrics'!E:E,'Data - Monthly Metrics'!A:A,$B$4,'Data - Monthly Metrics'!B:B,"Aug",'Data - Monthly Metrics'!C:C,"East King",'Data - Monthly Metrics'!D:D,"Revenue Up for Renewal - Non-Target ($)"))=0,"-",(SUMIFS('Data - Monthly Metrics'!E:E,'Data - Monthly Metrics'!A:A,$B$4,'Data - Monthly Metrics'!B:B,"Aug",'Data - Monthly Metrics'!C:C,"East King",'Data - Monthly Metrics'!D:D,"Revenue Retained - Target ($)")+SUMIFS('Data - Monthly Metrics'!E:E,'Data - Monthly Metrics'!A:A,$B$4,'Data - Monthly Metrics'!B:B,"Aug",'Data - Monthly Metrics'!C:C,"East King",'Data - Monthly Metrics'!D:D,"Revenue Retained - Non-Target ($)"))/(SUMIFS('Data - Monthly Metrics'!E:E,'Data - Monthly Metrics'!A:A,$B$4,'Data - Monthly Metrics'!B:B,"Aug",'Data - Monthly Metrics'!C:C,"East King",'Data - Monthly Metrics'!D:D,"Revenue Up for Renewal - Target ($)")+SUMIFS('Data - Monthly Metrics'!E:E,'Data - Monthly Metrics'!A:A,$B$4,'Data - Monthly Metrics'!B:B,"Aug",'Data - Monthly Metrics'!C:C,"East King",'Data - Monthly Metrics'!D:D,"Revenue Up for Renewal - Non-Target ($)")))</f>
        <v/>
      </c>
      <c r="P28" s="115">
        <f>IF((SUMIFS('Data - Monthly Metrics'!E:E,'Data - Monthly Metrics'!A:A,$B$4,'Data - Monthly Metrics'!B:B,"Sep",'Data - Monthly Metrics'!C:C,"East King",'Data - Monthly Metrics'!D:D,"Revenue Up for Renewal - Target ($)")+SUMIFS('Data - Monthly Metrics'!E:E,'Data - Monthly Metrics'!A:A,$B$4,'Data - Monthly Metrics'!B:B,"Sep",'Data - Monthly Metrics'!C:C,"East King",'Data - Monthly Metrics'!D:D,"Revenue Up for Renewal - Non-Target ($)"))=0,"-",(SUMIFS('Data - Monthly Metrics'!E:E,'Data - Monthly Metrics'!A:A,$B$4,'Data - Monthly Metrics'!B:B,"Sep",'Data - Monthly Metrics'!C:C,"East King",'Data - Monthly Metrics'!D:D,"Revenue Retained - Target ($)")+SUMIFS('Data - Monthly Metrics'!E:E,'Data - Monthly Metrics'!A:A,$B$4,'Data - Monthly Metrics'!B:B,"Sep",'Data - Monthly Metrics'!C:C,"East King",'Data - Monthly Metrics'!D:D,"Revenue Retained - Non-Target ($)"))/(SUMIFS('Data - Monthly Metrics'!E:E,'Data - Monthly Metrics'!A:A,$B$4,'Data - Monthly Metrics'!B:B,"Sep",'Data - Monthly Metrics'!C:C,"East King",'Data - Monthly Metrics'!D:D,"Revenue Up for Renewal - Target ($)")+SUMIFS('Data - Monthly Metrics'!E:E,'Data - Monthly Metrics'!A:A,$B$4,'Data - Monthly Metrics'!B:B,"Sep",'Data - Monthly Metrics'!C:C,"East King",'Data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Metrics'!C:C,"East King",'Data - Monthly Metrics'!D:D,"Total Target Locations - Restaurant (#)")+SUMIFS('Data - Monthly Metrics'!E:E,'Data - Monthly Metrics'!A:A,$B$4-1,'Data - Monthly Metrics'!B:B,"Oct",'Data - Monthly Metrics'!C:C,"East King",'Data - Monthly Metrics'!D:D,"Non-Target Locations - Restaurant (#)"))=0,"-",(SUMIFS('Data - Monthly Metrics'!E:E,'Data - Monthly Metrics'!A:A,$B$4-1,'Data - Monthly Metrics'!B:B,"Oct",'Data - Monthly Metrics'!C:C,"East King",'Data - Monthly Metrics'!D:D,"Target Members - Restaurant (#)")+SUMIFS('Data - Monthly Metrics'!E:E,'Data - Monthly Metrics'!A:A,$B$4-1,'Data - Monthly Metrics'!B:B,"Oct",'Data - Monthly Metrics'!C:C,"East King",'Data - Monthly Metrics'!D:D,"Non-Target Members - Restaurant (#)"))/(SUMIFS('Data - Monthly Metrics'!E:E,'Data - Monthly Metrics'!A:A,$B$4-1,'Data - Monthly Metrics'!B:B,"Oct",'Data - Monthly Metrics'!C:C,"East King",'Data - Monthly Metrics'!D:D,"Total Target Locations - Restaurant (#)")+SUMIFS('Data - Monthly Metrics'!E:E,'Data - Monthly Metrics'!A:A,$B$4-1,'Data - Monthly Metrics'!B:B,"Oct",'Data - Monthly Metrics'!C:C,"East King",'Data - Monthly Metrics'!D:D,"Non-Target Locations - Restaurant (#)")))</f>
        <v/>
      </c>
      <c r="C29" s="115">
        <f>IF((SUMIFS('Data - Monthly Metrics'!E:E,'Data - Monthly Metrics'!A:A,$B$4-1,'Data - Monthly Metrics'!B:B,"Nov",'Data - Monthly Metrics'!C:C,"East King",'Data - Monthly Metrics'!D:D,"Total Target Locations - Restaurant (#)")+SUMIFS('Data - Monthly Metrics'!E:E,'Data - Monthly Metrics'!A:A,$B$4-1,'Data - Monthly Metrics'!B:B,"Nov",'Data - Monthly Metrics'!C:C,"East King",'Data - Monthly Metrics'!D:D,"Non-Target Locations - Restaurant (#)"))=0,"-",(SUMIFS('Data - Monthly Metrics'!E:E,'Data - Monthly Metrics'!A:A,$B$4-1,'Data - Monthly Metrics'!B:B,"Nov",'Data - Monthly Metrics'!C:C,"East King",'Data - Monthly Metrics'!D:D,"Target Members - Restaurant (#)")+SUMIFS('Data - Monthly Metrics'!E:E,'Data - Monthly Metrics'!A:A,$B$4-1,'Data - Monthly Metrics'!B:B,"Nov",'Data - Monthly Metrics'!C:C,"East King",'Data - Monthly Metrics'!D:D,"Non-Target Members - Restaurant (#)"))/(SUMIFS('Data - Monthly Metrics'!E:E,'Data - Monthly Metrics'!A:A,$B$4-1,'Data - Monthly Metrics'!B:B,"Nov",'Data - Monthly Metrics'!C:C,"East King",'Data - Monthly Metrics'!D:D,"Total Target Locations - Restaurant (#)")+SUMIFS('Data - Monthly Metrics'!E:E,'Data - Monthly Metrics'!A:A,$B$4-1,'Data - Monthly Metrics'!B:B,"Nov",'Data - Monthly Metrics'!C:C,"East King",'Data - Monthly Metrics'!D:D,"Non-Target Locations - Restaurant (#)")))</f>
        <v/>
      </c>
      <c r="D29" s="115">
        <f>IF((SUMIFS('Data - Monthly Metrics'!E:E,'Data - Monthly Metrics'!A:A,$B$4-1,'Data - Monthly Metrics'!B:B,"Dec",'Data - Monthly Metrics'!C:C,"East King",'Data - Monthly Metrics'!D:D,"Total Target Locations - Restaurant (#)")+SUMIFS('Data - Monthly Metrics'!E:E,'Data - Monthly Metrics'!A:A,$B$4-1,'Data - Monthly Metrics'!B:B,"Dec",'Data - Monthly Metrics'!C:C,"East King",'Data - Monthly Metrics'!D:D,"Non-Target Locations - Restaurant (#)"))=0,"-",(SUMIFS('Data - Monthly Metrics'!E:E,'Data - Monthly Metrics'!A:A,$B$4-1,'Data - Monthly Metrics'!B:B,"Dec",'Data - Monthly Metrics'!C:C,"East King",'Data - Monthly Metrics'!D:D,"Target Members - Restaurant (#)")+SUMIFS('Data - Monthly Metrics'!E:E,'Data - Monthly Metrics'!A:A,$B$4-1,'Data - Monthly Metrics'!B:B,"Dec",'Data - Monthly Metrics'!C:C,"East King",'Data - Monthly Metrics'!D:D,"Non-Target Members - Restaurant (#)"))/(SUMIFS('Data - Monthly Metrics'!E:E,'Data - Monthly Metrics'!A:A,$B$4-1,'Data - Monthly Metrics'!B:B,"Dec",'Data - Monthly Metrics'!C:C,"East King",'Data - Monthly Metrics'!D:D,"Total Target Locations - Restaurant (#)")+SUMIFS('Data - Monthly Metrics'!E:E,'Data - Monthly Metrics'!A:A,$B$4-1,'Data - Monthly Metrics'!B:B,"Dec",'Data - Monthly Metrics'!C:C,"East King",'Data - Monthly Metrics'!D:D,"Non-Target Locations - Restaurant (#)")))</f>
        <v/>
      </c>
      <c r="E29" s="116">
        <f>IF(ISNUMBER(D29),D29,IF(ISNUMBER(C29),C29,IF(ISNUMBER(B29),B29,"-")))</f>
        <v/>
      </c>
      <c r="F29" s="115">
        <f>IF((SUMIFS('Data - Monthly Metrics'!E:E,'Data - Monthly Metrics'!A:A,$B$4,'Data - Monthly Metrics'!B:B,"Jan",'Data - Monthly Metrics'!C:C,"East King",'Data - Monthly Metrics'!D:D,"Total Target Locations - Restaurant (#)")+SUMIFS('Data - Monthly Metrics'!E:E,'Data - Monthly Metrics'!A:A,$B$4,'Data - Monthly Metrics'!B:B,"Jan",'Data - Monthly Metrics'!C:C,"East King",'Data - Monthly Metrics'!D:D,"Non-Target Locations - Restaurant (#)"))=0,"-",(SUMIFS('Data - Monthly Metrics'!E:E,'Data - Monthly Metrics'!A:A,$B$4,'Data - Monthly Metrics'!B:B,"Jan",'Data - Monthly Metrics'!C:C,"East King",'Data - Monthly Metrics'!D:D,"Target Members - Restaurant (#)")+SUMIFS('Data - Monthly Metrics'!E:E,'Data - Monthly Metrics'!A:A,$B$4,'Data - Monthly Metrics'!B:B,"Jan",'Data - Monthly Metrics'!C:C,"East King",'Data - Monthly Metrics'!D:D,"Non-Target Members - Restaurant (#)"))/(SUMIFS('Data - Monthly Metrics'!E:E,'Data - Monthly Metrics'!A:A,$B$4,'Data - Monthly Metrics'!B:B,"Jan",'Data - Monthly Metrics'!C:C,"East King",'Data - Monthly Metrics'!D:D,"Total Target Locations - Restaurant (#)")+SUMIFS('Data - Monthly Metrics'!E:E,'Data - Monthly Metrics'!A:A,$B$4,'Data - Monthly Metrics'!B:B,"Jan",'Data - Monthly Metrics'!C:C,"East King",'Data - Monthly Metrics'!D:D,"Non-Target Locations - Restaurant (#)")))</f>
        <v/>
      </c>
      <c r="G29" s="115">
        <f>IF((SUMIFS('Data - Monthly Metrics'!E:E,'Data - Monthly Metrics'!A:A,$B$4,'Data - Monthly Metrics'!B:B,"Feb",'Data - Monthly Metrics'!C:C,"East King",'Data - Monthly Metrics'!D:D,"Total Target Locations - Restaurant (#)")+SUMIFS('Data - Monthly Metrics'!E:E,'Data - Monthly Metrics'!A:A,$B$4,'Data - Monthly Metrics'!B:B,"Feb",'Data - Monthly Metrics'!C:C,"East King",'Data - Monthly Metrics'!D:D,"Non-Target Locations - Restaurant (#)"))=0,"-",(SUMIFS('Data - Monthly Metrics'!E:E,'Data - Monthly Metrics'!A:A,$B$4,'Data - Monthly Metrics'!B:B,"Feb",'Data - Monthly Metrics'!C:C,"East King",'Data - Monthly Metrics'!D:D,"Target Members - Restaurant (#)")+SUMIFS('Data - Monthly Metrics'!E:E,'Data - Monthly Metrics'!A:A,$B$4,'Data - Monthly Metrics'!B:B,"Feb",'Data - Monthly Metrics'!C:C,"East King",'Data - Monthly Metrics'!D:D,"Non-Target Members - Restaurant (#)"))/(SUMIFS('Data - Monthly Metrics'!E:E,'Data - Monthly Metrics'!A:A,$B$4,'Data - Monthly Metrics'!B:B,"Feb",'Data - Monthly Metrics'!C:C,"East King",'Data - Monthly Metrics'!D:D,"Total Target Locations - Restaurant (#)")+SUMIFS('Data - Monthly Metrics'!E:E,'Data - Monthly Metrics'!A:A,$B$4,'Data - Monthly Metrics'!B:B,"Feb",'Data - Monthly Metrics'!C:C,"East King",'Data - Monthly Metrics'!D:D,"Non-Target Locations - Restaurant (#)")))</f>
        <v/>
      </c>
      <c r="H29" s="115">
        <f>IF((SUMIFS('Data - Monthly Metrics'!E:E,'Data - Monthly Metrics'!A:A,$B$4,'Data - Monthly Metrics'!B:B,"Mar",'Data - Monthly Metrics'!C:C,"East King",'Data - Monthly Metrics'!D:D,"Total Target Locations - Restaurant (#)")+SUMIFS('Data - Monthly Metrics'!E:E,'Data - Monthly Metrics'!A:A,$B$4,'Data - Monthly Metrics'!B:B,"Mar",'Data - Monthly Metrics'!C:C,"East King",'Data - Monthly Metrics'!D:D,"Non-Target Locations - Restaurant (#)"))=0,"-",(SUMIFS('Data - Monthly Metrics'!E:E,'Data - Monthly Metrics'!A:A,$B$4,'Data - Monthly Metrics'!B:B,"Mar",'Data - Monthly Metrics'!C:C,"East King",'Data - Monthly Metrics'!D:D,"Target Members - Restaurant (#)")+SUMIFS('Data - Monthly Metrics'!E:E,'Data - Monthly Metrics'!A:A,$B$4,'Data - Monthly Metrics'!B:B,"Mar",'Data - Monthly Metrics'!C:C,"East King",'Data - Monthly Metrics'!D:D,"Non-Target Members - Restaurant (#)"))/(SUMIFS('Data - Monthly Metrics'!E:E,'Data - Monthly Metrics'!A:A,$B$4,'Data - Monthly Metrics'!B:B,"Mar",'Data - Monthly Metrics'!C:C,"East King",'Data - Monthly Metrics'!D:D,"Total Target Locations - Restaurant (#)")+SUMIFS('Data - Monthly Metrics'!E:E,'Data - Monthly Metrics'!A:A,$B$4,'Data - Monthly Metrics'!B:B,"Mar",'Data - Monthly Metrics'!C:C,"East King",'Data - Monthly Metrics'!D:D,"Non-Target Locations - Restaurant (#)")))</f>
        <v/>
      </c>
      <c r="I29" s="116">
        <f>IF(ISNUMBER(H29),H29,IF(ISNUMBER(G29),G29,IF(ISNUMBER(F29),F29,"-")))</f>
        <v/>
      </c>
      <c r="J29" s="115">
        <f>IF((SUMIFS('Data - Monthly Metrics'!E:E,'Data - Monthly Metrics'!A:A,$B$4,'Data - Monthly Metrics'!B:B,"Apr",'Data - Monthly Metrics'!C:C,"East King",'Data - Monthly Metrics'!D:D,"Total Target Locations - Restaurant (#)")+SUMIFS('Data - Monthly Metrics'!E:E,'Data - Monthly Metrics'!A:A,$B$4,'Data - Monthly Metrics'!B:B,"Apr",'Data - Monthly Metrics'!C:C,"East King",'Data - Monthly Metrics'!D:D,"Non-Target Locations - Restaurant (#)"))=0,"-",(SUMIFS('Data - Monthly Metrics'!E:E,'Data - Monthly Metrics'!A:A,$B$4,'Data - Monthly Metrics'!B:B,"Apr",'Data - Monthly Metrics'!C:C,"East King",'Data - Monthly Metrics'!D:D,"Target Members - Restaurant (#)")+SUMIFS('Data - Monthly Metrics'!E:E,'Data - Monthly Metrics'!A:A,$B$4,'Data - Monthly Metrics'!B:B,"Apr",'Data - Monthly Metrics'!C:C,"East King",'Data - Monthly Metrics'!D:D,"Non-Target Members - Restaurant (#)"))/(SUMIFS('Data - Monthly Metrics'!E:E,'Data - Monthly Metrics'!A:A,$B$4,'Data - Monthly Metrics'!B:B,"Apr",'Data - Monthly Metrics'!C:C,"East King",'Data - Monthly Metrics'!D:D,"Total Target Locations - Restaurant (#)")+SUMIFS('Data - Monthly Metrics'!E:E,'Data - Monthly Metrics'!A:A,$B$4,'Data - Monthly Metrics'!B:B,"Apr",'Data - Monthly Metrics'!C:C,"East King",'Data - Monthly Metrics'!D:D,"Non-Target Locations - Restaurant (#)")))</f>
        <v/>
      </c>
      <c r="K29" s="115">
        <f>IF((SUMIFS('Data - Monthly Metrics'!E:E,'Data - Monthly Metrics'!A:A,$B$4,'Data - Monthly Metrics'!B:B,"May",'Data - Monthly Metrics'!C:C,"East King",'Data - Monthly Metrics'!D:D,"Total Target Locations - Restaurant (#)")+SUMIFS('Data - Monthly Metrics'!E:E,'Data - Monthly Metrics'!A:A,$B$4,'Data - Monthly Metrics'!B:B,"May",'Data - Monthly Metrics'!C:C,"East King",'Data - Monthly Metrics'!D:D,"Non-Target Locations - Restaurant (#)"))=0,"-",(SUMIFS('Data - Monthly Metrics'!E:E,'Data - Monthly Metrics'!A:A,$B$4,'Data - Monthly Metrics'!B:B,"May",'Data - Monthly Metrics'!C:C,"East King",'Data - Monthly Metrics'!D:D,"Target Members - Restaurant (#)")+SUMIFS('Data - Monthly Metrics'!E:E,'Data - Monthly Metrics'!A:A,$B$4,'Data - Monthly Metrics'!B:B,"May",'Data - Monthly Metrics'!C:C,"East King",'Data - Monthly Metrics'!D:D,"Non-Target Members - Restaurant (#)"))/(SUMIFS('Data - Monthly Metrics'!E:E,'Data - Monthly Metrics'!A:A,$B$4,'Data - Monthly Metrics'!B:B,"May",'Data - Monthly Metrics'!C:C,"East King",'Data - Monthly Metrics'!D:D,"Total Target Locations - Restaurant (#)")+SUMIFS('Data - Monthly Metrics'!E:E,'Data - Monthly Metrics'!A:A,$B$4,'Data - Monthly Metrics'!B:B,"May",'Data - Monthly Metrics'!C:C,"East King",'Data - Monthly Metrics'!D:D,"Non-Target Locations - Restaurant (#)")))</f>
        <v/>
      </c>
      <c r="L29" s="115">
        <f>IF((SUMIFS('Data - Monthly Metrics'!E:E,'Data - Monthly Metrics'!A:A,$B$4,'Data - Monthly Metrics'!B:B,"Jun",'Data - Monthly Metrics'!C:C,"East King",'Data - Monthly Metrics'!D:D,"Total Target Locations - Restaurant (#)")+SUMIFS('Data - Monthly Metrics'!E:E,'Data - Monthly Metrics'!A:A,$B$4,'Data - Monthly Metrics'!B:B,"Jun",'Data - Monthly Metrics'!C:C,"East King",'Data - Monthly Metrics'!D:D,"Non-Target Locations - Restaurant (#)"))=0,"-",(SUMIFS('Data - Monthly Metrics'!E:E,'Data - Monthly Metrics'!A:A,$B$4,'Data - Monthly Metrics'!B:B,"Jun",'Data - Monthly Metrics'!C:C,"East King",'Data - Monthly Metrics'!D:D,"Target Members - Restaurant (#)")+SUMIFS('Data - Monthly Metrics'!E:E,'Data - Monthly Metrics'!A:A,$B$4,'Data - Monthly Metrics'!B:B,"Jun",'Data - Monthly Metrics'!C:C,"East King",'Data - Monthly Metrics'!D:D,"Non-Target Members - Restaurant (#)"))/(SUMIFS('Data - Monthly Metrics'!E:E,'Data - Monthly Metrics'!A:A,$B$4,'Data - Monthly Metrics'!B:B,"Jun",'Data - Monthly Metrics'!C:C,"East King",'Data - Monthly Metrics'!D:D,"Total Target Locations - Restaurant (#)")+SUMIFS('Data - Monthly Metrics'!E:E,'Data - Monthly Metrics'!A:A,$B$4,'Data - Monthly Metrics'!B:B,"Jun",'Data - Monthly Metrics'!C:C,"East King",'Data - Monthly Metrics'!D:D,"Non-Target Locations - Restaurant (#)")))</f>
        <v/>
      </c>
      <c r="M29" s="116">
        <f>IF(ISNUMBER(L29),L29,IF(ISNUMBER(K29),K29,IF(ISNUMBER(J29),J29,"-")))</f>
        <v/>
      </c>
      <c r="N29" s="115">
        <f>IF((SUMIFS('Data - Monthly Metrics'!E:E,'Data - Monthly Metrics'!A:A,$B$4,'Data - Monthly Metrics'!B:B,"Jul",'Data - Monthly Metrics'!C:C,"East King",'Data - Monthly Metrics'!D:D,"Total Target Locations - Restaurant (#)")+SUMIFS('Data - Monthly Metrics'!E:E,'Data - Monthly Metrics'!A:A,$B$4,'Data - Monthly Metrics'!B:B,"Jul",'Data - Monthly Metrics'!C:C,"East King",'Data - Monthly Metrics'!D:D,"Non-Target Locations - Restaurant (#)"))=0,"-",(SUMIFS('Data - Monthly Metrics'!E:E,'Data - Monthly Metrics'!A:A,$B$4,'Data - Monthly Metrics'!B:B,"Jul",'Data - Monthly Metrics'!C:C,"East King",'Data - Monthly Metrics'!D:D,"Target Members - Restaurant (#)")+SUMIFS('Data - Monthly Metrics'!E:E,'Data - Monthly Metrics'!A:A,$B$4,'Data - Monthly Metrics'!B:B,"Jul",'Data - Monthly Metrics'!C:C,"East King",'Data - Monthly Metrics'!D:D,"Non-Target Members - Restaurant (#)"))/(SUMIFS('Data - Monthly Metrics'!E:E,'Data - Monthly Metrics'!A:A,$B$4,'Data - Monthly Metrics'!B:B,"Jul",'Data - Monthly Metrics'!C:C,"East King",'Data - Monthly Metrics'!D:D,"Total Target Locations - Restaurant (#)")+SUMIFS('Data - Monthly Metrics'!E:E,'Data - Monthly Metrics'!A:A,$B$4,'Data - Monthly Metrics'!B:B,"Jul",'Data - Monthly Metrics'!C:C,"East King",'Data - Monthly Metrics'!D:D,"Non-Target Locations - Restaurant (#)")))</f>
        <v/>
      </c>
      <c r="O29" s="115">
        <f>IF((SUMIFS('Data - Monthly Metrics'!E:E,'Data - Monthly Metrics'!A:A,$B$4,'Data - Monthly Metrics'!B:B,"Aug",'Data - Monthly Metrics'!C:C,"East King",'Data - Monthly Metrics'!D:D,"Total Target Locations - Restaurant (#)")+SUMIFS('Data - Monthly Metrics'!E:E,'Data - Monthly Metrics'!A:A,$B$4,'Data - Monthly Metrics'!B:B,"Aug",'Data - Monthly Metrics'!C:C,"East King",'Data - Monthly Metrics'!D:D,"Non-Target Locations - Restaurant (#)"))=0,"-",(SUMIFS('Data - Monthly Metrics'!E:E,'Data - Monthly Metrics'!A:A,$B$4,'Data - Monthly Metrics'!B:B,"Aug",'Data - Monthly Metrics'!C:C,"East King",'Data - Monthly Metrics'!D:D,"Target Members - Restaurant (#)")+SUMIFS('Data - Monthly Metrics'!E:E,'Data - Monthly Metrics'!A:A,$B$4,'Data - Monthly Metrics'!B:B,"Aug",'Data - Monthly Metrics'!C:C,"East King",'Data - Monthly Metrics'!D:D,"Non-Target Members - Restaurant (#)"))/(SUMIFS('Data - Monthly Metrics'!E:E,'Data - Monthly Metrics'!A:A,$B$4,'Data - Monthly Metrics'!B:B,"Aug",'Data - Monthly Metrics'!C:C,"East King",'Data - Monthly Metrics'!D:D,"Total Target Locations - Restaurant (#)")+SUMIFS('Data - Monthly Metrics'!E:E,'Data - Monthly Metrics'!A:A,$B$4,'Data - Monthly Metrics'!B:B,"Aug",'Data - Monthly Metrics'!C:C,"East King",'Data - Monthly Metrics'!D:D,"Non-Target Locations - Restaurant (#)")))</f>
        <v/>
      </c>
      <c r="P29" s="115">
        <f>IF((SUMIFS('Data - Monthly Metrics'!E:E,'Data - Monthly Metrics'!A:A,$B$4,'Data - Monthly Metrics'!B:B,"Sep",'Data - Monthly Metrics'!C:C,"East King",'Data - Monthly Metrics'!D:D,"Total Target Locations - Restaurant (#)")+SUMIFS('Data - Monthly Metrics'!E:E,'Data - Monthly Metrics'!A:A,$B$4,'Data - Monthly Metrics'!B:B,"Sep",'Data - Monthly Metrics'!C:C,"East King",'Data - Monthly Metrics'!D:D,"Non-Target Locations - Restaurant (#)"))=0,"-",(SUMIFS('Data - Monthly Metrics'!E:E,'Data - Monthly Metrics'!A:A,$B$4,'Data - Monthly Metrics'!B:B,"Sep",'Data - Monthly Metrics'!C:C,"East King",'Data - Monthly Metrics'!D:D,"Target Members - Restaurant (#)")+SUMIFS('Data - Monthly Metrics'!E:E,'Data - Monthly Metrics'!A:A,$B$4,'Data - Monthly Metrics'!B:B,"Sep",'Data - Monthly Metrics'!C:C,"East King",'Data - Monthly Metrics'!D:D,"Non-Target Members - Restaurant (#)"))/(SUMIFS('Data - Monthly Metrics'!E:E,'Data - Monthly Metrics'!A:A,$B$4,'Data - Monthly Metrics'!B:B,"Sep",'Data - Monthly Metrics'!C:C,"East King",'Data - Monthly Metrics'!D:D,"Total Target Locations - Restaurant (#)")+SUMIFS('Data - Monthly Metrics'!E:E,'Data - Monthly Metrics'!A:A,$B$4,'Data - Monthly Metrics'!B:B,"Sep",'Data - Monthly Metrics'!C:C,"East King",'Data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Metrics'!C:C,"East King",'Data - Monthly Metrics'!D:D,"Total Target Locations - Lodging (#)")+SUMIFS('Data - Monthly Metrics'!E:E,'Data - Monthly Metrics'!A:A,$B$4-1,'Data - Monthly Metrics'!B:B,"Oct",'Data - Monthly Metrics'!C:C,"East King",'Data - Monthly Metrics'!D:D,"Non-Target Locations - Lodging (#)"))=0,"-",(SUMIFS('Data - Monthly Metrics'!E:E,'Data - Monthly Metrics'!A:A,$B$4-1,'Data - Monthly Metrics'!B:B,"Oct",'Data - Monthly Metrics'!C:C,"East King",'Data - Monthly Metrics'!D:D,"Target Members - Lodging (#)")+SUMIFS('Data - Monthly Metrics'!E:E,'Data - Monthly Metrics'!A:A,$B$4-1,'Data - Monthly Metrics'!B:B,"Oct",'Data - Monthly Metrics'!C:C,"East King",'Data - Monthly Metrics'!D:D,"Non-Target Members - Lodging (#)"))/(SUMIFS('Data - Monthly Metrics'!E:E,'Data - Monthly Metrics'!A:A,$B$4-1,'Data - Monthly Metrics'!B:B,"Oct",'Data - Monthly Metrics'!C:C,"East King",'Data - Monthly Metrics'!D:D,"Total Target Locations - Lodging (#)")+SUMIFS('Data - Monthly Metrics'!E:E,'Data - Monthly Metrics'!A:A,$B$4-1,'Data - Monthly Metrics'!B:B,"Oct",'Data - Monthly Metrics'!C:C,"East King",'Data - Monthly Metrics'!D:D,"Non-Target Locations - Lodging (#)")))</f>
        <v/>
      </c>
      <c r="C30" s="118">
        <f>IF((SUMIFS('Data - Monthly Metrics'!E:E,'Data - Monthly Metrics'!A:A,$B$4-1,'Data - Monthly Metrics'!B:B,"Nov",'Data - Monthly Metrics'!C:C,"East King",'Data - Monthly Metrics'!D:D,"Total Target Locations - Lodging (#)")+SUMIFS('Data - Monthly Metrics'!E:E,'Data - Monthly Metrics'!A:A,$B$4-1,'Data - Monthly Metrics'!B:B,"Nov",'Data - Monthly Metrics'!C:C,"East King",'Data - Monthly Metrics'!D:D,"Non-Target Locations - Lodging (#)"))=0,"-",(SUMIFS('Data - Monthly Metrics'!E:E,'Data - Monthly Metrics'!A:A,$B$4-1,'Data - Monthly Metrics'!B:B,"Nov",'Data - Monthly Metrics'!C:C,"East King",'Data - Monthly Metrics'!D:D,"Target Members - Lodging (#)")+SUMIFS('Data - Monthly Metrics'!E:E,'Data - Monthly Metrics'!A:A,$B$4-1,'Data - Monthly Metrics'!B:B,"Nov",'Data - Monthly Metrics'!C:C,"East King",'Data - Monthly Metrics'!D:D,"Non-Target Members - Lodging (#)"))/(SUMIFS('Data - Monthly Metrics'!E:E,'Data - Monthly Metrics'!A:A,$B$4-1,'Data - Monthly Metrics'!B:B,"Nov",'Data - Monthly Metrics'!C:C,"East King",'Data - Monthly Metrics'!D:D,"Total Target Locations - Lodging (#)")+SUMIFS('Data - Monthly Metrics'!E:E,'Data - Monthly Metrics'!A:A,$B$4-1,'Data - Monthly Metrics'!B:B,"Nov",'Data - Monthly Metrics'!C:C,"East King",'Data - Monthly Metrics'!D:D,"Non-Target Locations - Lodging (#)")))</f>
        <v/>
      </c>
      <c r="D30" s="118">
        <f>IF((SUMIFS('Data - Monthly Metrics'!E:E,'Data - Monthly Metrics'!A:A,$B$4-1,'Data - Monthly Metrics'!B:B,"Dec",'Data - Monthly Metrics'!C:C,"East King",'Data - Monthly Metrics'!D:D,"Total Target Locations - Lodging (#)")+SUMIFS('Data - Monthly Metrics'!E:E,'Data - Monthly Metrics'!A:A,$B$4-1,'Data - Monthly Metrics'!B:B,"Dec",'Data - Monthly Metrics'!C:C,"East King",'Data - Monthly Metrics'!D:D,"Non-Target Locations - Lodging (#)"))=0,"-",(SUMIFS('Data - Monthly Metrics'!E:E,'Data - Monthly Metrics'!A:A,$B$4-1,'Data - Monthly Metrics'!B:B,"Dec",'Data - Monthly Metrics'!C:C,"East King",'Data - Monthly Metrics'!D:D,"Target Members - Lodging (#)")+SUMIFS('Data - Monthly Metrics'!E:E,'Data - Monthly Metrics'!A:A,$B$4-1,'Data - Monthly Metrics'!B:B,"Dec",'Data - Monthly Metrics'!C:C,"East King",'Data - Monthly Metrics'!D:D,"Non-Target Members - Lodging (#)"))/(SUMIFS('Data - Monthly Metrics'!E:E,'Data - Monthly Metrics'!A:A,$B$4-1,'Data - Monthly Metrics'!B:B,"Dec",'Data - Monthly Metrics'!C:C,"East King",'Data - Monthly Metrics'!D:D,"Total Target Locations - Lodging (#)")+SUMIFS('Data - Monthly Metrics'!E:E,'Data - Monthly Metrics'!A:A,$B$4-1,'Data - Monthly Metrics'!B:B,"Dec",'Data - Monthly Metrics'!C:C,"East King",'Data - Monthly Metrics'!D:D,"Non-Target Locations - Lodging (#)")))</f>
        <v/>
      </c>
      <c r="E30" s="116">
        <f>IF(ISNUMBER(D30),D30,IF(ISNUMBER(C30),C30,IF(ISNUMBER(B30),B30,"-")))</f>
        <v/>
      </c>
      <c r="F30" s="118">
        <f>IF((SUMIFS('Data - Monthly Metrics'!E:E,'Data - Monthly Metrics'!A:A,$B$4,'Data - Monthly Metrics'!B:B,"Jan",'Data - Monthly Metrics'!C:C,"East King",'Data - Monthly Metrics'!D:D,"Total Target Locations - Lodging (#)")+SUMIFS('Data - Monthly Metrics'!E:E,'Data - Monthly Metrics'!A:A,$B$4,'Data - Monthly Metrics'!B:B,"Jan",'Data - Monthly Metrics'!C:C,"East King",'Data - Monthly Metrics'!D:D,"Non-Target Locations - Lodging (#)"))=0,"-",(SUMIFS('Data - Monthly Metrics'!E:E,'Data - Monthly Metrics'!A:A,$B$4,'Data - Monthly Metrics'!B:B,"Jan",'Data - Monthly Metrics'!C:C,"East King",'Data - Monthly Metrics'!D:D,"Target Members - Lodging (#)")+SUMIFS('Data - Monthly Metrics'!E:E,'Data - Monthly Metrics'!A:A,$B$4,'Data - Monthly Metrics'!B:B,"Jan",'Data - Monthly Metrics'!C:C,"East King",'Data - Monthly Metrics'!D:D,"Non-Target Members - Lodging (#)"))/(SUMIFS('Data - Monthly Metrics'!E:E,'Data - Monthly Metrics'!A:A,$B$4,'Data - Monthly Metrics'!B:B,"Jan",'Data - Monthly Metrics'!C:C,"East King",'Data - Monthly Metrics'!D:D,"Total Target Locations - Lodging (#)")+SUMIFS('Data - Monthly Metrics'!E:E,'Data - Monthly Metrics'!A:A,$B$4,'Data - Monthly Metrics'!B:B,"Jan",'Data - Monthly Metrics'!C:C,"East King",'Data - Monthly Metrics'!D:D,"Non-Target Locations - Lodging (#)")))</f>
        <v/>
      </c>
      <c r="G30" s="118">
        <f>IF((SUMIFS('Data - Monthly Metrics'!E:E,'Data - Monthly Metrics'!A:A,$B$4,'Data - Monthly Metrics'!B:B,"Feb",'Data - Monthly Metrics'!C:C,"East King",'Data - Monthly Metrics'!D:D,"Total Target Locations - Lodging (#)")+SUMIFS('Data - Monthly Metrics'!E:E,'Data - Monthly Metrics'!A:A,$B$4,'Data - Monthly Metrics'!B:B,"Feb",'Data - Monthly Metrics'!C:C,"East King",'Data - Monthly Metrics'!D:D,"Non-Target Locations - Lodging (#)"))=0,"-",(SUMIFS('Data - Monthly Metrics'!E:E,'Data - Monthly Metrics'!A:A,$B$4,'Data - Monthly Metrics'!B:B,"Feb",'Data - Monthly Metrics'!C:C,"East King",'Data - Monthly Metrics'!D:D,"Target Members - Lodging (#)")+SUMIFS('Data - Monthly Metrics'!E:E,'Data - Monthly Metrics'!A:A,$B$4,'Data - Monthly Metrics'!B:B,"Feb",'Data - Monthly Metrics'!C:C,"East King",'Data - Monthly Metrics'!D:D,"Non-Target Members - Lodging (#)"))/(SUMIFS('Data - Monthly Metrics'!E:E,'Data - Monthly Metrics'!A:A,$B$4,'Data - Monthly Metrics'!B:B,"Feb",'Data - Monthly Metrics'!C:C,"East King",'Data - Monthly Metrics'!D:D,"Total Target Locations - Lodging (#)")+SUMIFS('Data - Monthly Metrics'!E:E,'Data - Monthly Metrics'!A:A,$B$4,'Data - Monthly Metrics'!B:B,"Feb",'Data - Monthly Metrics'!C:C,"East King",'Data - Monthly Metrics'!D:D,"Non-Target Locations - Lodging (#)")))</f>
        <v/>
      </c>
      <c r="H30" s="118">
        <f>IF((SUMIFS('Data - Monthly Metrics'!E:E,'Data - Monthly Metrics'!A:A,$B$4,'Data - Monthly Metrics'!B:B,"Mar",'Data - Monthly Metrics'!C:C,"East King",'Data - Monthly Metrics'!D:D,"Total Target Locations - Lodging (#)")+SUMIFS('Data - Monthly Metrics'!E:E,'Data - Monthly Metrics'!A:A,$B$4,'Data - Monthly Metrics'!B:B,"Mar",'Data - Monthly Metrics'!C:C,"East King",'Data - Monthly Metrics'!D:D,"Non-Target Locations - Lodging (#)"))=0,"-",(SUMIFS('Data - Monthly Metrics'!E:E,'Data - Monthly Metrics'!A:A,$B$4,'Data - Monthly Metrics'!B:B,"Mar",'Data - Monthly Metrics'!C:C,"East King",'Data - Monthly Metrics'!D:D,"Target Members - Lodging (#)")+SUMIFS('Data - Monthly Metrics'!E:E,'Data - Monthly Metrics'!A:A,$B$4,'Data - Monthly Metrics'!B:B,"Mar",'Data - Monthly Metrics'!C:C,"East King",'Data - Monthly Metrics'!D:D,"Non-Target Members - Lodging (#)"))/(SUMIFS('Data - Monthly Metrics'!E:E,'Data - Monthly Metrics'!A:A,$B$4,'Data - Monthly Metrics'!B:B,"Mar",'Data - Monthly Metrics'!C:C,"East King",'Data - Monthly Metrics'!D:D,"Total Target Locations - Lodging (#)")+SUMIFS('Data - Monthly Metrics'!E:E,'Data - Monthly Metrics'!A:A,$B$4,'Data - Monthly Metrics'!B:B,"Mar",'Data - Monthly Metrics'!C:C,"East King",'Data - Monthly Metrics'!D:D,"Non-Target Locations - Lodging (#)")))</f>
        <v/>
      </c>
      <c r="I30" s="116">
        <f>IF(ISNUMBER(H30),H30,IF(ISNUMBER(G30),G30,IF(ISNUMBER(F30),F30,"-")))</f>
        <v/>
      </c>
      <c r="J30" s="118">
        <f>IF((SUMIFS('Data - Monthly Metrics'!E:E,'Data - Monthly Metrics'!A:A,$B$4,'Data - Monthly Metrics'!B:B,"Apr",'Data - Monthly Metrics'!C:C,"East King",'Data - Monthly Metrics'!D:D,"Total Target Locations - Lodging (#)")+SUMIFS('Data - Monthly Metrics'!E:E,'Data - Monthly Metrics'!A:A,$B$4,'Data - Monthly Metrics'!B:B,"Apr",'Data - Monthly Metrics'!C:C,"East King",'Data - Monthly Metrics'!D:D,"Non-Target Locations - Lodging (#)"))=0,"-",(SUMIFS('Data - Monthly Metrics'!E:E,'Data - Monthly Metrics'!A:A,$B$4,'Data - Monthly Metrics'!B:B,"Apr",'Data - Monthly Metrics'!C:C,"East King",'Data - Monthly Metrics'!D:D,"Target Members - Lodging (#)")+SUMIFS('Data - Monthly Metrics'!E:E,'Data - Monthly Metrics'!A:A,$B$4,'Data - Monthly Metrics'!B:B,"Apr",'Data - Monthly Metrics'!C:C,"East King",'Data - Monthly Metrics'!D:D,"Non-Target Members - Lodging (#)"))/(SUMIFS('Data - Monthly Metrics'!E:E,'Data - Monthly Metrics'!A:A,$B$4,'Data - Monthly Metrics'!B:B,"Apr",'Data - Monthly Metrics'!C:C,"East King",'Data - Monthly Metrics'!D:D,"Total Target Locations - Lodging (#)")+SUMIFS('Data - Monthly Metrics'!E:E,'Data - Monthly Metrics'!A:A,$B$4,'Data - Monthly Metrics'!B:B,"Apr",'Data - Monthly Metrics'!C:C,"East King",'Data - Monthly Metrics'!D:D,"Non-Target Locations - Lodging (#)")))</f>
        <v/>
      </c>
      <c r="K30" s="118">
        <f>IF((SUMIFS('Data - Monthly Metrics'!E:E,'Data - Monthly Metrics'!A:A,$B$4,'Data - Monthly Metrics'!B:B,"May",'Data - Monthly Metrics'!C:C,"East King",'Data - Monthly Metrics'!D:D,"Total Target Locations - Lodging (#)")+SUMIFS('Data - Monthly Metrics'!E:E,'Data - Monthly Metrics'!A:A,$B$4,'Data - Monthly Metrics'!B:B,"May",'Data - Monthly Metrics'!C:C,"East King",'Data - Monthly Metrics'!D:D,"Non-Target Locations - Lodging (#)"))=0,"-",(SUMIFS('Data - Monthly Metrics'!E:E,'Data - Monthly Metrics'!A:A,$B$4,'Data - Monthly Metrics'!B:B,"May",'Data - Monthly Metrics'!C:C,"East King",'Data - Monthly Metrics'!D:D,"Target Members - Lodging (#)")+SUMIFS('Data - Monthly Metrics'!E:E,'Data - Monthly Metrics'!A:A,$B$4,'Data - Monthly Metrics'!B:B,"May",'Data - Monthly Metrics'!C:C,"East King",'Data - Monthly Metrics'!D:D,"Non-Target Members - Lodging (#)"))/(SUMIFS('Data - Monthly Metrics'!E:E,'Data - Monthly Metrics'!A:A,$B$4,'Data - Monthly Metrics'!B:B,"May",'Data - Monthly Metrics'!C:C,"East King",'Data - Monthly Metrics'!D:D,"Total Target Locations - Lodging (#)")+SUMIFS('Data - Monthly Metrics'!E:E,'Data - Monthly Metrics'!A:A,$B$4,'Data - Monthly Metrics'!B:B,"May",'Data - Monthly Metrics'!C:C,"East King",'Data - Monthly Metrics'!D:D,"Non-Target Locations - Lodging (#)")))</f>
        <v/>
      </c>
      <c r="L30" s="118">
        <f>IF((SUMIFS('Data - Monthly Metrics'!E:E,'Data - Monthly Metrics'!A:A,$B$4,'Data - Monthly Metrics'!B:B,"Jun",'Data - Monthly Metrics'!C:C,"East King",'Data - Monthly Metrics'!D:D,"Total Target Locations - Lodging (#)")+SUMIFS('Data - Monthly Metrics'!E:E,'Data - Monthly Metrics'!A:A,$B$4,'Data - Monthly Metrics'!B:B,"Jun",'Data - Monthly Metrics'!C:C,"East King",'Data - Monthly Metrics'!D:D,"Non-Target Locations - Lodging (#)"))=0,"-",(SUMIFS('Data - Monthly Metrics'!E:E,'Data - Monthly Metrics'!A:A,$B$4,'Data - Monthly Metrics'!B:B,"Jun",'Data - Monthly Metrics'!C:C,"East King",'Data - Monthly Metrics'!D:D,"Target Members - Lodging (#)")+SUMIFS('Data - Monthly Metrics'!E:E,'Data - Monthly Metrics'!A:A,$B$4,'Data - Monthly Metrics'!B:B,"Jun",'Data - Monthly Metrics'!C:C,"East King",'Data - Monthly Metrics'!D:D,"Non-Target Members - Lodging (#)"))/(SUMIFS('Data - Monthly Metrics'!E:E,'Data - Monthly Metrics'!A:A,$B$4,'Data - Monthly Metrics'!B:B,"Jun",'Data - Monthly Metrics'!C:C,"East King",'Data - Monthly Metrics'!D:D,"Total Target Locations - Lodging (#)")+SUMIFS('Data - Monthly Metrics'!E:E,'Data - Monthly Metrics'!A:A,$B$4,'Data - Monthly Metrics'!B:B,"Jun",'Data - Monthly Metrics'!C:C,"East King",'Data - Monthly Metrics'!D:D,"Non-Target Locations - Lodging (#)")))</f>
        <v/>
      </c>
      <c r="M30" s="116">
        <f>IF(ISNUMBER(L30),L30,IF(ISNUMBER(K30),K30,IF(ISNUMBER(J30),J30,"-")))</f>
        <v/>
      </c>
      <c r="N30" s="118">
        <f>IF((SUMIFS('Data - Monthly Metrics'!E:E,'Data - Monthly Metrics'!A:A,$B$4,'Data - Monthly Metrics'!B:B,"Jul",'Data - Monthly Metrics'!C:C,"East King",'Data - Monthly Metrics'!D:D,"Total Target Locations - Lodging (#)")+SUMIFS('Data - Monthly Metrics'!E:E,'Data - Monthly Metrics'!A:A,$B$4,'Data - Monthly Metrics'!B:B,"Jul",'Data - Monthly Metrics'!C:C,"East King",'Data - Monthly Metrics'!D:D,"Non-Target Locations - Lodging (#)"))=0,"-",(SUMIFS('Data - Monthly Metrics'!E:E,'Data - Monthly Metrics'!A:A,$B$4,'Data - Monthly Metrics'!B:B,"Jul",'Data - Monthly Metrics'!C:C,"East King",'Data - Monthly Metrics'!D:D,"Target Members - Lodging (#)")+SUMIFS('Data - Monthly Metrics'!E:E,'Data - Monthly Metrics'!A:A,$B$4,'Data - Monthly Metrics'!B:B,"Jul",'Data - Monthly Metrics'!C:C,"East King",'Data - Monthly Metrics'!D:D,"Non-Target Members - Lodging (#)"))/(SUMIFS('Data - Monthly Metrics'!E:E,'Data - Monthly Metrics'!A:A,$B$4,'Data - Monthly Metrics'!B:B,"Jul",'Data - Monthly Metrics'!C:C,"East King",'Data - Monthly Metrics'!D:D,"Total Target Locations - Lodging (#)")+SUMIFS('Data - Monthly Metrics'!E:E,'Data - Monthly Metrics'!A:A,$B$4,'Data - Monthly Metrics'!B:B,"Jul",'Data - Monthly Metrics'!C:C,"East King",'Data - Monthly Metrics'!D:D,"Non-Target Locations - Lodging (#)")))</f>
        <v/>
      </c>
      <c r="O30" s="118">
        <f>IF((SUMIFS('Data - Monthly Metrics'!E:E,'Data - Monthly Metrics'!A:A,$B$4,'Data - Monthly Metrics'!B:B,"Aug",'Data - Monthly Metrics'!C:C,"East King",'Data - Monthly Metrics'!D:D,"Total Target Locations - Lodging (#)")+SUMIFS('Data - Monthly Metrics'!E:E,'Data - Monthly Metrics'!A:A,$B$4,'Data - Monthly Metrics'!B:B,"Aug",'Data - Monthly Metrics'!C:C,"East King",'Data - Monthly Metrics'!D:D,"Non-Target Locations - Lodging (#)"))=0,"-",(SUMIFS('Data - Monthly Metrics'!E:E,'Data - Monthly Metrics'!A:A,$B$4,'Data - Monthly Metrics'!B:B,"Aug",'Data - Monthly Metrics'!C:C,"East King",'Data - Monthly Metrics'!D:D,"Target Members - Lodging (#)")+SUMIFS('Data - Monthly Metrics'!E:E,'Data - Monthly Metrics'!A:A,$B$4,'Data - Monthly Metrics'!B:B,"Aug",'Data - Monthly Metrics'!C:C,"East King",'Data - Monthly Metrics'!D:D,"Non-Target Members - Lodging (#)"))/(SUMIFS('Data - Monthly Metrics'!E:E,'Data - Monthly Metrics'!A:A,$B$4,'Data - Monthly Metrics'!B:B,"Aug",'Data - Monthly Metrics'!C:C,"East King",'Data - Monthly Metrics'!D:D,"Total Target Locations - Lodging (#)")+SUMIFS('Data - Monthly Metrics'!E:E,'Data - Monthly Metrics'!A:A,$B$4,'Data - Monthly Metrics'!B:B,"Aug",'Data - Monthly Metrics'!C:C,"East King",'Data - Monthly Metrics'!D:D,"Non-Target Locations - Lodging (#)")))</f>
        <v/>
      </c>
      <c r="P30" s="118">
        <f>IF((SUMIFS('Data - Monthly Metrics'!E:E,'Data - Monthly Metrics'!A:A,$B$4,'Data - Monthly Metrics'!B:B,"Sep",'Data - Monthly Metrics'!C:C,"East King",'Data - Monthly Metrics'!D:D,"Total Target Locations - Lodging (#)")+SUMIFS('Data - Monthly Metrics'!E:E,'Data - Monthly Metrics'!A:A,$B$4,'Data - Monthly Metrics'!B:B,"Sep",'Data - Monthly Metrics'!C:C,"East King",'Data - Monthly Metrics'!D:D,"Non-Target Locations - Lodging (#)"))=0,"-",(SUMIFS('Data - Monthly Metrics'!E:E,'Data - Monthly Metrics'!A:A,$B$4,'Data - Monthly Metrics'!B:B,"Sep",'Data - Monthly Metrics'!C:C,"East King",'Data - Monthly Metrics'!D:D,"Target Members - Lodging (#)")+SUMIFS('Data - Monthly Metrics'!E:E,'Data - Monthly Metrics'!A:A,$B$4,'Data - Monthly Metrics'!B:B,"Sep",'Data - Monthly Metrics'!C:C,"East King",'Data - Monthly Metrics'!D:D,"Non-Target Members - Lodging (#)"))/(SUMIFS('Data - Monthly Metrics'!E:E,'Data - Monthly Metrics'!A:A,$B$4,'Data - Monthly Metrics'!B:B,"Sep",'Data - Monthly Metrics'!C:C,"East King",'Data - Monthly Metrics'!D:D,"Total Target Locations - Lodging (#)")+SUMIFS('Data - Monthly Metrics'!E:E,'Data - Monthly Metrics'!A:A,$B$4,'Data - Monthly Metrics'!B:B,"Sep",'Data - Monthly Metrics'!C:C,"East King",'Data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Metrics'!C:C,"East King",'Data - Monthly Metrics'!D:D,"Total Target Locations - Restaurant (#)")+SUMIFS('Data - Monthly Metrics'!E:E,'Data - Monthly Metrics'!A:A,$B$4-1,'Data - Monthly Metrics'!B:B,"Oct",'Data - Monthly Metrics'!C:C,"East King",'Data - Monthly Metrics'!D:D,"Total Target Locations - Lodging (#)")+SUMIFS('Data - Monthly Metrics'!E:E,'Data - Monthly Metrics'!A:A,$B$4-1,'Data - Monthly Metrics'!B:B,"Oct",'Data - Monthly Metrics'!C:C,"East King",'Data - Monthly Metrics'!D:D,"Non-Target Locations - Restaurant (#)")+SUMIFS('Data - Monthly Metrics'!E:E,'Data - Monthly Metrics'!A:A,$B$4-1,'Data - Monthly Metrics'!B:B,"Oct",'Data - Monthly Metrics'!C:C,"East King",'Data - Monthly Metrics'!D:D,"Non-Target Locations - Lodging (#)"))=0,"-",(SUMIFS('Data - Monthly Metrics'!E:E,'Data - Monthly Metrics'!A:A,$B$4-1,'Data - Monthly Metrics'!B:B,"Oct",'Data - Monthly Metrics'!C:C,"East King",'Data - Monthly Metrics'!D:D,"Target Members - Restaurant (#)")+SUMIFS('Data - Monthly Metrics'!E:E,'Data - Monthly Metrics'!A:A,$B$4-1,'Data - Monthly Metrics'!B:B,"Oct",'Data - Monthly Metrics'!C:C,"East King",'Data - Monthly Metrics'!D:D,"Target Members - Lodging (#)")+SUMIFS('Data - Monthly Metrics'!E:E,'Data - Monthly Metrics'!A:A,$B$4-1,'Data - Monthly Metrics'!B:B,"Oct",'Data - Monthly Metrics'!C:C,"East King",'Data - Monthly Metrics'!D:D,"Non-Target Members - Restaurant (#)")+SUMIFS('Data - Monthly Metrics'!E:E,'Data - Monthly Metrics'!A:A,$B$4-1,'Data - Monthly Metrics'!B:B,"Oct",'Data - Monthly Metrics'!C:C,"East King",'Data - Monthly Metrics'!D:D,"Non-Target Members - Lodging (#)"))/(SUMIFS('Data - Monthly Metrics'!E:E,'Data - Monthly Metrics'!A:A,$B$4-1,'Data - Monthly Metrics'!B:B,"Oct",'Data - Monthly Metrics'!C:C,"East King",'Data - Monthly Metrics'!D:D,"Total Target Locations - Restaurant (#)")+SUMIFS('Data - Monthly Metrics'!E:E,'Data - Monthly Metrics'!A:A,$B$4-1,'Data - Monthly Metrics'!B:B,"Oct",'Data - Monthly Metrics'!C:C,"East King",'Data - Monthly Metrics'!D:D,"Total Target Locations - Lodging (#)")+SUMIFS('Data - Monthly Metrics'!E:E,'Data - Monthly Metrics'!A:A,$B$4-1,'Data - Monthly Metrics'!B:B,"Oct",'Data - Monthly Metrics'!C:C,"East King",'Data - Monthly Metrics'!D:D,"Non-Target Locations - Restaurant (#)")+SUMIFS('Data - Monthly Metrics'!E:E,'Data - Monthly Metrics'!A:A,$B$4-1,'Data - Monthly Metrics'!B:B,"Oct",'Data - Monthly Metrics'!C:C,"East King",'Data - Monthly Metrics'!D:D,"Non-Target Locations - Lodging (#)")))</f>
        <v/>
      </c>
      <c r="C31" s="115">
        <f>IF((SUMIFS('Data - Monthly Metrics'!E:E,'Data - Monthly Metrics'!A:A,$B$4-1,'Data - Monthly Metrics'!B:B,"Nov",'Data - Monthly Metrics'!C:C,"East King",'Data - Monthly Metrics'!D:D,"Total Target Locations - Restaurant (#)")+SUMIFS('Data - Monthly Metrics'!E:E,'Data - Monthly Metrics'!A:A,$B$4-1,'Data - Monthly Metrics'!B:B,"Nov",'Data - Monthly Metrics'!C:C,"East King",'Data - Monthly Metrics'!D:D,"Total Target Locations - Lodging (#)")+SUMIFS('Data - Monthly Metrics'!E:E,'Data - Monthly Metrics'!A:A,$B$4-1,'Data - Monthly Metrics'!B:B,"Nov",'Data - Monthly Metrics'!C:C,"East King",'Data - Monthly Metrics'!D:D,"Non-Target Locations - Restaurant (#)")+SUMIFS('Data - Monthly Metrics'!E:E,'Data - Monthly Metrics'!A:A,$B$4-1,'Data - Monthly Metrics'!B:B,"Nov",'Data - Monthly Metrics'!C:C,"East King",'Data - Monthly Metrics'!D:D,"Non-Target Locations - Lodging (#)"))=0,"-",(SUMIFS('Data - Monthly Metrics'!E:E,'Data - Monthly Metrics'!A:A,$B$4-1,'Data - Monthly Metrics'!B:B,"Nov",'Data - Monthly Metrics'!C:C,"East King",'Data - Monthly Metrics'!D:D,"Target Members - Restaurant (#)")+SUMIFS('Data - Monthly Metrics'!E:E,'Data - Monthly Metrics'!A:A,$B$4-1,'Data - Monthly Metrics'!B:B,"Nov",'Data - Monthly Metrics'!C:C,"East King",'Data - Monthly Metrics'!D:D,"Target Members - Lodging (#)")+SUMIFS('Data - Monthly Metrics'!E:E,'Data - Monthly Metrics'!A:A,$B$4-1,'Data - Monthly Metrics'!B:B,"Nov",'Data - Monthly Metrics'!C:C,"East King",'Data - Monthly Metrics'!D:D,"Non-Target Members - Restaurant (#)")+SUMIFS('Data - Monthly Metrics'!E:E,'Data - Monthly Metrics'!A:A,$B$4-1,'Data - Monthly Metrics'!B:B,"Nov",'Data - Monthly Metrics'!C:C,"East King",'Data - Monthly Metrics'!D:D,"Non-Target Members - Lodging (#)"))/(SUMIFS('Data - Monthly Metrics'!E:E,'Data - Monthly Metrics'!A:A,$B$4-1,'Data - Monthly Metrics'!B:B,"Nov",'Data - Monthly Metrics'!C:C,"East King",'Data - Monthly Metrics'!D:D,"Total Target Locations - Restaurant (#)")+SUMIFS('Data - Monthly Metrics'!E:E,'Data - Monthly Metrics'!A:A,$B$4-1,'Data - Monthly Metrics'!B:B,"Nov",'Data - Monthly Metrics'!C:C,"East King",'Data - Monthly Metrics'!D:D,"Total Target Locations - Lodging (#)")+SUMIFS('Data - Monthly Metrics'!E:E,'Data - Monthly Metrics'!A:A,$B$4-1,'Data - Monthly Metrics'!B:B,"Nov",'Data - Monthly Metrics'!C:C,"East King",'Data - Monthly Metrics'!D:D,"Non-Target Locations - Restaurant (#)")+SUMIFS('Data - Monthly Metrics'!E:E,'Data - Monthly Metrics'!A:A,$B$4-1,'Data - Monthly Metrics'!B:B,"Nov",'Data - Monthly Metrics'!C:C,"East King",'Data - Monthly Metrics'!D:D,"Non-Target Locations - Lodging (#)")))</f>
        <v/>
      </c>
      <c r="D31" s="115">
        <f>IF((SUMIFS('Data - Monthly Metrics'!E:E,'Data - Monthly Metrics'!A:A,$B$4-1,'Data - Monthly Metrics'!B:B,"Dec",'Data - Monthly Metrics'!C:C,"East King",'Data - Monthly Metrics'!D:D,"Total Target Locations - Restaurant (#)")+SUMIFS('Data - Monthly Metrics'!E:E,'Data - Monthly Metrics'!A:A,$B$4-1,'Data - Monthly Metrics'!B:B,"Dec",'Data - Monthly Metrics'!C:C,"East King",'Data - Monthly Metrics'!D:D,"Total Target Locations - Lodging (#)")+SUMIFS('Data - Monthly Metrics'!E:E,'Data - Monthly Metrics'!A:A,$B$4-1,'Data - Monthly Metrics'!B:B,"Dec",'Data - Monthly Metrics'!C:C,"East King",'Data - Monthly Metrics'!D:D,"Non-Target Locations - Restaurant (#)")+SUMIFS('Data - Monthly Metrics'!E:E,'Data - Monthly Metrics'!A:A,$B$4-1,'Data - Monthly Metrics'!B:B,"Dec",'Data - Monthly Metrics'!C:C,"East King",'Data - Monthly Metrics'!D:D,"Non-Target Locations - Lodging (#)"))=0,"-",(SUMIFS('Data - Monthly Metrics'!E:E,'Data - Monthly Metrics'!A:A,$B$4-1,'Data - Monthly Metrics'!B:B,"Dec",'Data - Monthly Metrics'!C:C,"East King",'Data - Monthly Metrics'!D:D,"Target Members - Restaurant (#)")+SUMIFS('Data - Monthly Metrics'!E:E,'Data - Monthly Metrics'!A:A,$B$4-1,'Data - Monthly Metrics'!B:B,"Dec",'Data - Monthly Metrics'!C:C,"East King",'Data - Monthly Metrics'!D:D,"Target Members - Lodging (#)")+SUMIFS('Data - Monthly Metrics'!E:E,'Data - Monthly Metrics'!A:A,$B$4-1,'Data - Monthly Metrics'!B:B,"Dec",'Data - Monthly Metrics'!C:C,"East King",'Data - Monthly Metrics'!D:D,"Non-Target Members - Restaurant (#)")+SUMIFS('Data - Monthly Metrics'!E:E,'Data - Monthly Metrics'!A:A,$B$4-1,'Data - Monthly Metrics'!B:B,"Dec",'Data - Monthly Metrics'!C:C,"East King",'Data - Monthly Metrics'!D:D,"Non-Target Members - Lodging (#)"))/(SUMIFS('Data - Monthly Metrics'!E:E,'Data - Monthly Metrics'!A:A,$B$4-1,'Data - Monthly Metrics'!B:B,"Dec",'Data - Monthly Metrics'!C:C,"East King",'Data - Monthly Metrics'!D:D,"Total Target Locations - Restaurant (#)")+SUMIFS('Data - Monthly Metrics'!E:E,'Data - Monthly Metrics'!A:A,$B$4-1,'Data - Monthly Metrics'!B:B,"Dec",'Data - Monthly Metrics'!C:C,"East King",'Data - Monthly Metrics'!D:D,"Total Target Locations - Lodging (#)")+SUMIFS('Data - Monthly Metrics'!E:E,'Data - Monthly Metrics'!A:A,$B$4-1,'Data - Monthly Metrics'!B:B,"Dec",'Data - Monthly Metrics'!C:C,"East King",'Data - Monthly Metrics'!D:D,"Non-Target Locations - Restaurant (#)")+SUMIFS('Data - Monthly Metrics'!E:E,'Data - Monthly Metrics'!A:A,$B$4-1,'Data - Monthly Metrics'!B:B,"Dec",'Data - Monthly Metrics'!C:C,"East King",'Data - Monthly Metrics'!D:D,"Non-Target Locations - Lodging (#)")))</f>
        <v/>
      </c>
      <c r="E31" s="116">
        <f>IF(ISNUMBER(D31),D31,IF(ISNUMBER(C31),C31,IF(ISNUMBER(B31),B31,"-")))</f>
        <v/>
      </c>
      <c r="F31" s="115">
        <f>IF((SUMIFS('Data - Monthly Metrics'!E:E,'Data - Monthly Metrics'!A:A,$B$4,'Data - Monthly Metrics'!B:B,"Jan",'Data - Monthly Metrics'!C:C,"East King",'Data - Monthly Metrics'!D:D,"Total Target Locations - Restaurant (#)")+SUMIFS('Data - Monthly Metrics'!E:E,'Data - Monthly Metrics'!A:A,$B$4,'Data - Monthly Metrics'!B:B,"Jan",'Data - Monthly Metrics'!C:C,"East King",'Data - Monthly Metrics'!D:D,"Total Target Locations - Lodging (#)")+SUMIFS('Data - Monthly Metrics'!E:E,'Data - Monthly Metrics'!A:A,$B$4,'Data - Monthly Metrics'!B:B,"Jan",'Data - Monthly Metrics'!C:C,"East King",'Data - Monthly Metrics'!D:D,"Non-Target Locations - Restaurant (#)")+SUMIFS('Data - Monthly Metrics'!E:E,'Data - Monthly Metrics'!A:A,$B$4,'Data - Monthly Metrics'!B:B,"Jan",'Data - Monthly Metrics'!C:C,"East King",'Data - Monthly Metrics'!D:D,"Non-Target Locations - Lodging (#)"))=0,"-",(SUMIFS('Data - Monthly Metrics'!E:E,'Data - Monthly Metrics'!A:A,$B$4,'Data - Monthly Metrics'!B:B,"Jan",'Data - Monthly Metrics'!C:C,"East King",'Data - Monthly Metrics'!D:D,"Target Members - Restaurant (#)")+SUMIFS('Data - Monthly Metrics'!E:E,'Data - Monthly Metrics'!A:A,$B$4,'Data - Monthly Metrics'!B:B,"Jan",'Data - Monthly Metrics'!C:C,"East King",'Data - Monthly Metrics'!D:D,"Target Members - Lodging (#)")+SUMIFS('Data - Monthly Metrics'!E:E,'Data - Monthly Metrics'!A:A,$B$4,'Data - Monthly Metrics'!B:B,"Jan",'Data - Monthly Metrics'!C:C,"East King",'Data - Monthly Metrics'!D:D,"Non-Target Members - Restaurant (#)")+SUMIFS('Data - Monthly Metrics'!E:E,'Data - Monthly Metrics'!A:A,$B$4,'Data - Monthly Metrics'!B:B,"Jan",'Data - Monthly Metrics'!C:C,"East King",'Data - Monthly Metrics'!D:D,"Non-Target Members - Lodging (#)"))/(SUMIFS('Data - Monthly Metrics'!E:E,'Data - Monthly Metrics'!A:A,$B$4,'Data - Monthly Metrics'!B:B,"Jan",'Data - Monthly Metrics'!C:C,"East King",'Data - Monthly Metrics'!D:D,"Total Target Locations - Restaurant (#)")+SUMIFS('Data - Monthly Metrics'!E:E,'Data - Monthly Metrics'!A:A,$B$4,'Data - Monthly Metrics'!B:B,"Jan",'Data - Monthly Metrics'!C:C,"East King",'Data - Monthly Metrics'!D:D,"Total Target Locations - Lodging (#)")+SUMIFS('Data - Monthly Metrics'!E:E,'Data - Monthly Metrics'!A:A,$B$4,'Data - Monthly Metrics'!B:B,"Jan",'Data - Monthly Metrics'!C:C,"East King",'Data - Monthly Metrics'!D:D,"Non-Target Locations - Restaurant (#)")+SUMIFS('Data - Monthly Metrics'!E:E,'Data - Monthly Metrics'!A:A,$B$4,'Data - Monthly Metrics'!B:B,"Jan",'Data - Monthly Metrics'!C:C,"East King",'Data - Monthly Metrics'!D:D,"Non-Target Locations - Lodging (#)")))</f>
        <v/>
      </c>
      <c r="G31" s="115">
        <f>IF((SUMIFS('Data - Monthly Metrics'!E:E,'Data - Monthly Metrics'!A:A,$B$4,'Data - Monthly Metrics'!B:B,"Feb",'Data - Monthly Metrics'!C:C,"East King",'Data - Monthly Metrics'!D:D,"Total Target Locations - Restaurant (#)")+SUMIFS('Data - Monthly Metrics'!E:E,'Data - Monthly Metrics'!A:A,$B$4,'Data - Monthly Metrics'!B:B,"Feb",'Data - Monthly Metrics'!C:C,"East King",'Data - Monthly Metrics'!D:D,"Total Target Locations - Lodging (#)")+SUMIFS('Data - Monthly Metrics'!E:E,'Data - Monthly Metrics'!A:A,$B$4,'Data - Monthly Metrics'!B:B,"Feb",'Data - Monthly Metrics'!C:C,"East King",'Data - Monthly Metrics'!D:D,"Non-Target Locations - Restaurant (#)")+SUMIFS('Data - Monthly Metrics'!E:E,'Data - Monthly Metrics'!A:A,$B$4,'Data - Monthly Metrics'!B:B,"Feb",'Data - Monthly Metrics'!C:C,"East King",'Data - Monthly Metrics'!D:D,"Non-Target Locations - Lodging (#)"))=0,"-",(SUMIFS('Data - Monthly Metrics'!E:E,'Data - Monthly Metrics'!A:A,$B$4,'Data - Monthly Metrics'!B:B,"Feb",'Data - Monthly Metrics'!C:C,"East King",'Data - Monthly Metrics'!D:D,"Target Members - Restaurant (#)")+SUMIFS('Data - Monthly Metrics'!E:E,'Data - Monthly Metrics'!A:A,$B$4,'Data - Monthly Metrics'!B:B,"Feb",'Data - Monthly Metrics'!C:C,"East King",'Data - Monthly Metrics'!D:D,"Target Members - Lodging (#)")+SUMIFS('Data - Monthly Metrics'!E:E,'Data - Monthly Metrics'!A:A,$B$4,'Data - Monthly Metrics'!B:B,"Feb",'Data - Monthly Metrics'!C:C,"East King",'Data - Monthly Metrics'!D:D,"Non-Target Members - Restaurant (#)")+SUMIFS('Data - Monthly Metrics'!E:E,'Data - Monthly Metrics'!A:A,$B$4,'Data - Monthly Metrics'!B:B,"Feb",'Data - Monthly Metrics'!C:C,"East King",'Data - Monthly Metrics'!D:D,"Non-Target Members - Lodging (#)"))/(SUMIFS('Data - Monthly Metrics'!E:E,'Data - Monthly Metrics'!A:A,$B$4,'Data - Monthly Metrics'!B:B,"Feb",'Data - Monthly Metrics'!C:C,"East King",'Data - Monthly Metrics'!D:D,"Total Target Locations - Restaurant (#)")+SUMIFS('Data - Monthly Metrics'!E:E,'Data - Monthly Metrics'!A:A,$B$4,'Data - Monthly Metrics'!B:B,"Feb",'Data - Monthly Metrics'!C:C,"East King",'Data - Monthly Metrics'!D:D,"Total Target Locations - Lodging (#)")+SUMIFS('Data - Monthly Metrics'!E:E,'Data - Monthly Metrics'!A:A,$B$4,'Data - Monthly Metrics'!B:B,"Feb",'Data - Monthly Metrics'!C:C,"East King",'Data - Monthly Metrics'!D:D,"Non-Target Locations - Restaurant (#)")+SUMIFS('Data - Monthly Metrics'!E:E,'Data - Monthly Metrics'!A:A,$B$4,'Data - Monthly Metrics'!B:B,"Feb",'Data - Monthly Metrics'!C:C,"East King",'Data - Monthly Metrics'!D:D,"Non-Target Locations - Lodging (#)")))</f>
        <v/>
      </c>
      <c r="H31" s="115">
        <f>IF((SUMIFS('Data - Monthly Metrics'!E:E,'Data - Monthly Metrics'!A:A,$B$4,'Data - Monthly Metrics'!B:B,"Mar",'Data - Monthly Metrics'!C:C,"East King",'Data - Monthly Metrics'!D:D,"Total Target Locations - Restaurant (#)")+SUMIFS('Data - Monthly Metrics'!E:E,'Data - Monthly Metrics'!A:A,$B$4,'Data - Monthly Metrics'!B:B,"Mar",'Data - Monthly Metrics'!C:C,"East King",'Data - Monthly Metrics'!D:D,"Total Target Locations - Lodging (#)")+SUMIFS('Data - Monthly Metrics'!E:E,'Data - Monthly Metrics'!A:A,$B$4,'Data - Monthly Metrics'!B:B,"Mar",'Data - Monthly Metrics'!C:C,"East King",'Data - Monthly Metrics'!D:D,"Non-Target Locations - Restaurant (#)")+SUMIFS('Data - Monthly Metrics'!E:E,'Data - Monthly Metrics'!A:A,$B$4,'Data - Monthly Metrics'!B:B,"Mar",'Data - Monthly Metrics'!C:C,"East King",'Data - Monthly Metrics'!D:D,"Non-Target Locations - Lodging (#)"))=0,"-",(SUMIFS('Data - Monthly Metrics'!E:E,'Data - Monthly Metrics'!A:A,$B$4,'Data - Monthly Metrics'!B:B,"Mar",'Data - Monthly Metrics'!C:C,"East King",'Data - Monthly Metrics'!D:D,"Target Members - Restaurant (#)")+SUMIFS('Data - Monthly Metrics'!E:E,'Data - Monthly Metrics'!A:A,$B$4,'Data - Monthly Metrics'!B:B,"Mar",'Data - Monthly Metrics'!C:C,"East King",'Data - Monthly Metrics'!D:D,"Target Members - Lodging (#)")+SUMIFS('Data - Monthly Metrics'!E:E,'Data - Monthly Metrics'!A:A,$B$4,'Data - Monthly Metrics'!B:B,"Mar",'Data - Monthly Metrics'!C:C,"East King",'Data - Monthly Metrics'!D:D,"Non-Target Members - Restaurant (#)")+SUMIFS('Data - Monthly Metrics'!E:E,'Data - Monthly Metrics'!A:A,$B$4,'Data - Monthly Metrics'!B:B,"Mar",'Data - Monthly Metrics'!C:C,"East King",'Data - Monthly Metrics'!D:D,"Non-Target Members - Lodging (#)"))/(SUMIFS('Data - Monthly Metrics'!E:E,'Data - Monthly Metrics'!A:A,$B$4,'Data - Monthly Metrics'!B:B,"Mar",'Data - Monthly Metrics'!C:C,"East King",'Data - Monthly Metrics'!D:D,"Total Target Locations - Restaurant (#)")+SUMIFS('Data - Monthly Metrics'!E:E,'Data - Monthly Metrics'!A:A,$B$4,'Data - Monthly Metrics'!B:B,"Mar",'Data - Monthly Metrics'!C:C,"East King",'Data - Monthly Metrics'!D:D,"Total Target Locations - Lodging (#)")+SUMIFS('Data - Monthly Metrics'!E:E,'Data - Monthly Metrics'!A:A,$B$4,'Data - Monthly Metrics'!B:B,"Mar",'Data - Monthly Metrics'!C:C,"East King",'Data - Monthly Metrics'!D:D,"Non-Target Locations - Restaurant (#)")+SUMIFS('Data - Monthly Metrics'!E:E,'Data - Monthly Metrics'!A:A,$B$4,'Data - Monthly Metrics'!B:B,"Mar",'Data - Monthly Metrics'!C:C,"East King",'Data - Monthly Metrics'!D:D,"Non-Target Locations - Lodging (#)")))</f>
        <v/>
      </c>
      <c r="I31" s="116">
        <f>IF(ISNUMBER(H31),H31,IF(ISNUMBER(G31),G31,IF(ISNUMBER(F31),F31,"-")))</f>
        <v/>
      </c>
      <c r="J31" s="115">
        <f>IF((SUMIFS('Data - Monthly Metrics'!E:E,'Data - Monthly Metrics'!A:A,$B$4,'Data - Monthly Metrics'!B:B,"Apr",'Data - Monthly Metrics'!C:C,"East King",'Data - Monthly Metrics'!D:D,"Total Target Locations - Restaurant (#)")+SUMIFS('Data - Monthly Metrics'!E:E,'Data - Monthly Metrics'!A:A,$B$4,'Data - Monthly Metrics'!B:B,"Apr",'Data - Monthly Metrics'!C:C,"East King",'Data - Monthly Metrics'!D:D,"Total Target Locations - Lodging (#)")+SUMIFS('Data - Monthly Metrics'!E:E,'Data - Monthly Metrics'!A:A,$B$4,'Data - Monthly Metrics'!B:B,"Apr",'Data - Monthly Metrics'!C:C,"East King",'Data - Monthly Metrics'!D:D,"Non-Target Locations - Restaurant (#)")+SUMIFS('Data - Monthly Metrics'!E:E,'Data - Monthly Metrics'!A:A,$B$4,'Data - Monthly Metrics'!B:B,"Apr",'Data - Monthly Metrics'!C:C,"East King",'Data - Monthly Metrics'!D:D,"Non-Target Locations - Lodging (#)"))=0,"-",(SUMIFS('Data - Monthly Metrics'!E:E,'Data - Monthly Metrics'!A:A,$B$4,'Data - Monthly Metrics'!B:B,"Apr",'Data - Monthly Metrics'!C:C,"East King",'Data - Monthly Metrics'!D:D,"Target Members - Restaurant (#)")+SUMIFS('Data - Monthly Metrics'!E:E,'Data - Monthly Metrics'!A:A,$B$4,'Data - Monthly Metrics'!B:B,"Apr",'Data - Monthly Metrics'!C:C,"East King",'Data - Monthly Metrics'!D:D,"Target Members - Lodging (#)")+SUMIFS('Data - Monthly Metrics'!E:E,'Data - Monthly Metrics'!A:A,$B$4,'Data - Monthly Metrics'!B:B,"Apr",'Data - Monthly Metrics'!C:C,"East King",'Data - Monthly Metrics'!D:D,"Non-Target Members - Restaurant (#)")+SUMIFS('Data - Monthly Metrics'!E:E,'Data - Monthly Metrics'!A:A,$B$4,'Data - Monthly Metrics'!B:B,"Apr",'Data - Monthly Metrics'!C:C,"East King",'Data - Monthly Metrics'!D:D,"Non-Target Members - Lodging (#)"))/(SUMIFS('Data - Monthly Metrics'!E:E,'Data - Monthly Metrics'!A:A,$B$4,'Data - Monthly Metrics'!B:B,"Apr",'Data - Monthly Metrics'!C:C,"East King",'Data - Monthly Metrics'!D:D,"Total Target Locations - Restaurant (#)")+SUMIFS('Data - Monthly Metrics'!E:E,'Data - Monthly Metrics'!A:A,$B$4,'Data - Monthly Metrics'!B:B,"Apr",'Data - Monthly Metrics'!C:C,"East King",'Data - Monthly Metrics'!D:D,"Total Target Locations - Lodging (#)")+SUMIFS('Data - Monthly Metrics'!E:E,'Data - Monthly Metrics'!A:A,$B$4,'Data - Monthly Metrics'!B:B,"Apr",'Data - Monthly Metrics'!C:C,"East King",'Data - Monthly Metrics'!D:D,"Non-Target Locations - Restaurant (#)")+SUMIFS('Data - Monthly Metrics'!E:E,'Data - Monthly Metrics'!A:A,$B$4,'Data - Monthly Metrics'!B:B,"Apr",'Data - Monthly Metrics'!C:C,"East King",'Data - Monthly Metrics'!D:D,"Non-Target Locations - Lodging (#)")))</f>
        <v/>
      </c>
      <c r="K31" s="115">
        <f>IF((SUMIFS('Data - Monthly Metrics'!E:E,'Data - Monthly Metrics'!A:A,$B$4,'Data - Monthly Metrics'!B:B,"May",'Data - Monthly Metrics'!C:C,"East King",'Data - Monthly Metrics'!D:D,"Total Target Locations - Restaurant (#)")+SUMIFS('Data - Monthly Metrics'!E:E,'Data - Monthly Metrics'!A:A,$B$4,'Data - Monthly Metrics'!B:B,"May",'Data - Monthly Metrics'!C:C,"East King",'Data - Monthly Metrics'!D:D,"Total Target Locations - Lodging (#)")+SUMIFS('Data - Monthly Metrics'!E:E,'Data - Monthly Metrics'!A:A,$B$4,'Data - Monthly Metrics'!B:B,"May",'Data - Monthly Metrics'!C:C,"East King",'Data - Monthly Metrics'!D:D,"Non-Target Locations - Restaurant (#)")+SUMIFS('Data - Monthly Metrics'!E:E,'Data - Monthly Metrics'!A:A,$B$4,'Data - Monthly Metrics'!B:B,"May",'Data - Monthly Metrics'!C:C,"East King",'Data - Monthly Metrics'!D:D,"Non-Target Locations - Lodging (#)"))=0,"-",(SUMIFS('Data - Monthly Metrics'!E:E,'Data - Monthly Metrics'!A:A,$B$4,'Data - Monthly Metrics'!B:B,"May",'Data - Monthly Metrics'!C:C,"East King",'Data - Monthly Metrics'!D:D,"Target Members - Restaurant (#)")+SUMIFS('Data - Monthly Metrics'!E:E,'Data - Monthly Metrics'!A:A,$B$4,'Data - Monthly Metrics'!B:B,"May",'Data - Monthly Metrics'!C:C,"East King",'Data - Monthly Metrics'!D:D,"Target Members - Lodging (#)")+SUMIFS('Data - Monthly Metrics'!E:E,'Data - Monthly Metrics'!A:A,$B$4,'Data - Monthly Metrics'!B:B,"May",'Data - Monthly Metrics'!C:C,"East King",'Data - Monthly Metrics'!D:D,"Non-Target Members - Restaurant (#)")+SUMIFS('Data - Monthly Metrics'!E:E,'Data - Monthly Metrics'!A:A,$B$4,'Data - Monthly Metrics'!B:B,"May",'Data - Monthly Metrics'!C:C,"East King",'Data - Monthly Metrics'!D:D,"Non-Target Members - Lodging (#)"))/(SUMIFS('Data - Monthly Metrics'!E:E,'Data - Monthly Metrics'!A:A,$B$4,'Data - Monthly Metrics'!B:B,"May",'Data - Monthly Metrics'!C:C,"East King",'Data - Monthly Metrics'!D:D,"Total Target Locations - Restaurant (#)")+SUMIFS('Data - Monthly Metrics'!E:E,'Data - Monthly Metrics'!A:A,$B$4,'Data - Monthly Metrics'!B:B,"May",'Data - Monthly Metrics'!C:C,"East King",'Data - Monthly Metrics'!D:D,"Total Target Locations - Lodging (#)")+SUMIFS('Data - Monthly Metrics'!E:E,'Data - Monthly Metrics'!A:A,$B$4,'Data - Monthly Metrics'!B:B,"May",'Data - Monthly Metrics'!C:C,"East King",'Data - Monthly Metrics'!D:D,"Non-Target Locations - Restaurant (#)")+SUMIFS('Data - Monthly Metrics'!E:E,'Data - Monthly Metrics'!A:A,$B$4,'Data - Monthly Metrics'!B:B,"May",'Data - Monthly Metrics'!C:C,"East King",'Data - Monthly Metrics'!D:D,"Non-Target Locations - Lodging (#)")))</f>
        <v/>
      </c>
      <c r="L31" s="115">
        <f>IF((SUMIFS('Data - Monthly Metrics'!E:E,'Data - Monthly Metrics'!A:A,$B$4,'Data - Monthly Metrics'!B:B,"Jun",'Data - Monthly Metrics'!C:C,"East King",'Data - Monthly Metrics'!D:D,"Total Target Locations - Restaurant (#)")+SUMIFS('Data - Monthly Metrics'!E:E,'Data - Monthly Metrics'!A:A,$B$4,'Data - Monthly Metrics'!B:B,"Jun",'Data - Monthly Metrics'!C:C,"East King",'Data - Monthly Metrics'!D:D,"Total Target Locations - Lodging (#)")+SUMIFS('Data - Monthly Metrics'!E:E,'Data - Monthly Metrics'!A:A,$B$4,'Data - Monthly Metrics'!B:B,"Jun",'Data - Monthly Metrics'!C:C,"East King",'Data - Monthly Metrics'!D:D,"Non-Target Locations - Restaurant (#)")+SUMIFS('Data - Monthly Metrics'!E:E,'Data - Monthly Metrics'!A:A,$B$4,'Data - Monthly Metrics'!B:B,"Jun",'Data - Monthly Metrics'!C:C,"East King",'Data - Monthly Metrics'!D:D,"Non-Target Locations - Lodging (#)"))=0,"-",(SUMIFS('Data - Monthly Metrics'!E:E,'Data - Monthly Metrics'!A:A,$B$4,'Data - Monthly Metrics'!B:B,"Jun",'Data - Monthly Metrics'!C:C,"East King",'Data - Monthly Metrics'!D:D,"Target Members - Restaurant (#)")+SUMIFS('Data - Monthly Metrics'!E:E,'Data - Monthly Metrics'!A:A,$B$4,'Data - Monthly Metrics'!B:B,"Jun",'Data - Monthly Metrics'!C:C,"East King",'Data - Monthly Metrics'!D:D,"Target Members - Lodging (#)")+SUMIFS('Data - Monthly Metrics'!E:E,'Data - Monthly Metrics'!A:A,$B$4,'Data - Monthly Metrics'!B:B,"Jun",'Data - Monthly Metrics'!C:C,"East King",'Data - Monthly Metrics'!D:D,"Non-Target Members - Restaurant (#)")+SUMIFS('Data - Monthly Metrics'!E:E,'Data - Monthly Metrics'!A:A,$B$4,'Data - Monthly Metrics'!B:B,"Jun",'Data - Monthly Metrics'!C:C,"East King",'Data - Monthly Metrics'!D:D,"Non-Target Members - Lodging (#)"))/(SUMIFS('Data - Monthly Metrics'!E:E,'Data - Monthly Metrics'!A:A,$B$4,'Data - Monthly Metrics'!B:B,"Jun",'Data - Monthly Metrics'!C:C,"East King",'Data - Monthly Metrics'!D:D,"Total Target Locations - Restaurant (#)")+SUMIFS('Data - Monthly Metrics'!E:E,'Data - Monthly Metrics'!A:A,$B$4,'Data - Monthly Metrics'!B:B,"Jun",'Data - Monthly Metrics'!C:C,"East King",'Data - Monthly Metrics'!D:D,"Total Target Locations - Lodging (#)")+SUMIFS('Data - Monthly Metrics'!E:E,'Data - Monthly Metrics'!A:A,$B$4,'Data - Monthly Metrics'!B:B,"Jun",'Data - Monthly Metrics'!C:C,"East King",'Data - Monthly Metrics'!D:D,"Non-Target Locations - Restaurant (#)")+SUMIFS('Data - Monthly Metrics'!E:E,'Data - Monthly Metrics'!A:A,$B$4,'Data - Monthly Metrics'!B:B,"Jun",'Data - Monthly Metrics'!C:C,"East King",'Data - Monthly Metrics'!D:D,"Non-Target Locations - Lodging (#)")))</f>
        <v/>
      </c>
      <c r="M31" s="116">
        <f>IF(ISNUMBER(L31),L31,IF(ISNUMBER(K31),K31,IF(ISNUMBER(J31),J31,"-")))</f>
        <v/>
      </c>
      <c r="N31" s="115">
        <f>IF((SUMIFS('Data - Monthly Metrics'!E:E,'Data - Monthly Metrics'!A:A,$B$4,'Data - Monthly Metrics'!B:B,"Jul",'Data - Monthly Metrics'!C:C,"East King",'Data - Monthly Metrics'!D:D,"Total Target Locations - Restaurant (#)")+SUMIFS('Data - Monthly Metrics'!E:E,'Data - Monthly Metrics'!A:A,$B$4,'Data - Monthly Metrics'!B:B,"Jul",'Data - Monthly Metrics'!C:C,"East King",'Data - Monthly Metrics'!D:D,"Total Target Locations - Lodging (#)")+SUMIFS('Data - Monthly Metrics'!E:E,'Data - Monthly Metrics'!A:A,$B$4,'Data - Monthly Metrics'!B:B,"Jul",'Data - Monthly Metrics'!C:C,"East King",'Data - Monthly Metrics'!D:D,"Non-Target Locations - Restaurant (#)")+SUMIFS('Data - Monthly Metrics'!E:E,'Data - Monthly Metrics'!A:A,$B$4,'Data - Monthly Metrics'!B:B,"Jul",'Data - Monthly Metrics'!C:C,"East King",'Data - Monthly Metrics'!D:D,"Non-Target Locations - Lodging (#)"))=0,"-",(SUMIFS('Data - Monthly Metrics'!E:E,'Data - Monthly Metrics'!A:A,$B$4,'Data - Monthly Metrics'!B:B,"Jul",'Data - Monthly Metrics'!C:C,"East King",'Data - Monthly Metrics'!D:D,"Target Members - Restaurant (#)")+SUMIFS('Data - Monthly Metrics'!E:E,'Data - Monthly Metrics'!A:A,$B$4,'Data - Monthly Metrics'!B:B,"Jul",'Data - Monthly Metrics'!C:C,"East King",'Data - Monthly Metrics'!D:D,"Target Members - Lodging (#)")+SUMIFS('Data - Monthly Metrics'!E:E,'Data - Monthly Metrics'!A:A,$B$4,'Data - Monthly Metrics'!B:B,"Jul",'Data - Monthly Metrics'!C:C,"East King",'Data - Monthly Metrics'!D:D,"Non-Target Members - Restaurant (#)")+SUMIFS('Data - Monthly Metrics'!E:E,'Data - Monthly Metrics'!A:A,$B$4,'Data - Monthly Metrics'!B:B,"Jul",'Data - Monthly Metrics'!C:C,"East King",'Data - Monthly Metrics'!D:D,"Non-Target Members - Lodging (#)"))/(SUMIFS('Data - Monthly Metrics'!E:E,'Data - Monthly Metrics'!A:A,$B$4,'Data - Monthly Metrics'!B:B,"Jul",'Data - Monthly Metrics'!C:C,"East King",'Data - Monthly Metrics'!D:D,"Total Target Locations - Restaurant (#)")+SUMIFS('Data - Monthly Metrics'!E:E,'Data - Monthly Metrics'!A:A,$B$4,'Data - Monthly Metrics'!B:B,"Jul",'Data - Monthly Metrics'!C:C,"East King",'Data - Monthly Metrics'!D:D,"Total Target Locations - Lodging (#)")+SUMIFS('Data - Monthly Metrics'!E:E,'Data - Monthly Metrics'!A:A,$B$4,'Data - Monthly Metrics'!B:B,"Jul",'Data - Monthly Metrics'!C:C,"East King",'Data - Monthly Metrics'!D:D,"Non-Target Locations - Restaurant (#)")+SUMIFS('Data - Monthly Metrics'!E:E,'Data - Monthly Metrics'!A:A,$B$4,'Data - Monthly Metrics'!B:B,"Jul",'Data - Monthly Metrics'!C:C,"East King",'Data - Monthly Metrics'!D:D,"Non-Target Locations - Lodging (#)")))</f>
        <v/>
      </c>
      <c r="O31" s="115">
        <f>IF((SUMIFS('Data - Monthly Metrics'!E:E,'Data - Monthly Metrics'!A:A,$B$4,'Data - Monthly Metrics'!B:B,"Aug",'Data - Monthly Metrics'!C:C,"East King",'Data - Monthly Metrics'!D:D,"Total Target Locations - Restaurant (#)")+SUMIFS('Data - Monthly Metrics'!E:E,'Data - Monthly Metrics'!A:A,$B$4,'Data - Monthly Metrics'!B:B,"Aug",'Data - Monthly Metrics'!C:C,"East King",'Data - Monthly Metrics'!D:D,"Total Target Locations - Lodging (#)")+SUMIFS('Data - Monthly Metrics'!E:E,'Data - Monthly Metrics'!A:A,$B$4,'Data - Monthly Metrics'!B:B,"Aug",'Data - Monthly Metrics'!C:C,"East King",'Data - Monthly Metrics'!D:D,"Non-Target Locations - Restaurant (#)")+SUMIFS('Data - Monthly Metrics'!E:E,'Data - Monthly Metrics'!A:A,$B$4,'Data - Monthly Metrics'!B:B,"Aug",'Data - Monthly Metrics'!C:C,"East King",'Data - Monthly Metrics'!D:D,"Non-Target Locations - Lodging (#)"))=0,"-",(SUMIFS('Data - Monthly Metrics'!E:E,'Data - Monthly Metrics'!A:A,$B$4,'Data - Monthly Metrics'!B:B,"Aug",'Data - Monthly Metrics'!C:C,"East King",'Data - Monthly Metrics'!D:D,"Target Members - Restaurant (#)")+SUMIFS('Data - Monthly Metrics'!E:E,'Data - Monthly Metrics'!A:A,$B$4,'Data - Monthly Metrics'!B:B,"Aug",'Data - Monthly Metrics'!C:C,"East King",'Data - Monthly Metrics'!D:D,"Target Members - Lodging (#)")+SUMIFS('Data - Monthly Metrics'!E:E,'Data - Monthly Metrics'!A:A,$B$4,'Data - Monthly Metrics'!B:B,"Aug",'Data - Monthly Metrics'!C:C,"East King",'Data - Monthly Metrics'!D:D,"Non-Target Members - Restaurant (#)")+SUMIFS('Data - Monthly Metrics'!E:E,'Data - Monthly Metrics'!A:A,$B$4,'Data - Monthly Metrics'!B:B,"Aug",'Data - Monthly Metrics'!C:C,"East King",'Data - Monthly Metrics'!D:D,"Non-Target Members - Lodging (#)"))/(SUMIFS('Data - Monthly Metrics'!E:E,'Data - Monthly Metrics'!A:A,$B$4,'Data - Monthly Metrics'!B:B,"Aug",'Data - Monthly Metrics'!C:C,"East King",'Data - Monthly Metrics'!D:D,"Total Target Locations - Restaurant (#)")+SUMIFS('Data - Monthly Metrics'!E:E,'Data - Monthly Metrics'!A:A,$B$4,'Data - Monthly Metrics'!B:B,"Aug",'Data - Monthly Metrics'!C:C,"East King",'Data - Monthly Metrics'!D:D,"Total Target Locations - Lodging (#)")+SUMIFS('Data - Monthly Metrics'!E:E,'Data - Monthly Metrics'!A:A,$B$4,'Data - Monthly Metrics'!B:B,"Aug",'Data - Monthly Metrics'!C:C,"East King",'Data - Monthly Metrics'!D:D,"Non-Target Locations - Restaurant (#)")+SUMIFS('Data - Monthly Metrics'!E:E,'Data - Monthly Metrics'!A:A,$B$4,'Data - Monthly Metrics'!B:B,"Aug",'Data - Monthly Metrics'!C:C,"East King",'Data - Monthly Metrics'!D:D,"Non-Target Locations - Lodging (#)")))</f>
        <v/>
      </c>
      <c r="P31" s="115">
        <f>IF((SUMIFS('Data - Monthly Metrics'!E:E,'Data - Monthly Metrics'!A:A,$B$4,'Data - Monthly Metrics'!B:B,"Sep",'Data - Monthly Metrics'!C:C,"East King",'Data - Monthly Metrics'!D:D,"Total Target Locations - Restaurant (#)")+SUMIFS('Data - Monthly Metrics'!E:E,'Data - Monthly Metrics'!A:A,$B$4,'Data - Monthly Metrics'!B:B,"Sep",'Data - Monthly Metrics'!C:C,"East King",'Data - Monthly Metrics'!D:D,"Total Target Locations - Lodging (#)")+SUMIFS('Data - Monthly Metrics'!E:E,'Data - Monthly Metrics'!A:A,$B$4,'Data - Monthly Metrics'!B:B,"Sep",'Data - Monthly Metrics'!C:C,"East King",'Data - Monthly Metrics'!D:D,"Non-Target Locations - Restaurant (#)")+SUMIFS('Data - Monthly Metrics'!E:E,'Data - Monthly Metrics'!A:A,$B$4,'Data - Monthly Metrics'!B:B,"Sep",'Data - Monthly Metrics'!C:C,"East King",'Data - Monthly Metrics'!D:D,"Non-Target Locations - Lodging (#)"))=0,"-",(SUMIFS('Data - Monthly Metrics'!E:E,'Data - Monthly Metrics'!A:A,$B$4,'Data - Monthly Metrics'!B:B,"Sep",'Data - Monthly Metrics'!C:C,"East King",'Data - Monthly Metrics'!D:D,"Target Members - Restaurant (#)")+SUMIFS('Data - Monthly Metrics'!E:E,'Data - Monthly Metrics'!A:A,$B$4,'Data - Monthly Metrics'!B:B,"Sep",'Data - Monthly Metrics'!C:C,"East King",'Data - Monthly Metrics'!D:D,"Target Members - Lodging (#)")+SUMIFS('Data - Monthly Metrics'!E:E,'Data - Monthly Metrics'!A:A,$B$4,'Data - Monthly Metrics'!B:B,"Sep",'Data - Monthly Metrics'!C:C,"East King",'Data - Monthly Metrics'!D:D,"Non-Target Members - Restaurant (#)")+SUMIFS('Data - Monthly Metrics'!E:E,'Data - Monthly Metrics'!A:A,$B$4,'Data - Monthly Metrics'!B:B,"Sep",'Data - Monthly Metrics'!C:C,"East King",'Data - Monthly Metrics'!D:D,"Non-Target Members - Lodging (#)"))/(SUMIFS('Data - Monthly Metrics'!E:E,'Data - Monthly Metrics'!A:A,$B$4,'Data - Monthly Metrics'!B:B,"Sep",'Data - Monthly Metrics'!C:C,"East King",'Data - Monthly Metrics'!D:D,"Total Target Locations - Restaurant (#)")+SUMIFS('Data - Monthly Metrics'!E:E,'Data - Monthly Metrics'!A:A,$B$4,'Data - Monthly Metrics'!B:B,"Sep",'Data - Monthly Metrics'!C:C,"East King",'Data - Monthly Metrics'!D:D,"Total Target Locations - Lodging (#)")+SUMIFS('Data - Monthly Metrics'!E:E,'Data - Monthly Metrics'!A:A,$B$4,'Data - Monthly Metrics'!B:B,"Sep",'Data - Monthly Metrics'!C:C,"East King",'Data - Monthly Metrics'!D:D,"Non-Target Locations - Restaurant (#)")+SUMIFS('Data - Monthly Metrics'!E:E,'Data - Monthly Metrics'!A:A,$B$4,'Data - Monthly Metrics'!B:B,"Sep",'Data - Monthly Metrics'!C:C,"East King",'Data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SALES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Metrics'!C:C,"East King",'Data - Monthly Metrics'!D:D,"Goal - New Sales Revenue ($)")=0,"-",SUMIFS('Data - Monthly Metrics'!E:E,'Data - Monthly Metrics'!A:A,$B$4-1,'Data - Monthly Metrics'!B:B,"Oct",'Data - Monthly Metrics'!C:C,"East King",'Data - Monthly Metrics'!D:D,"Goal - New Sales Revenue ($)"))</f>
        <v/>
      </c>
      <c r="C37" s="91">
        <f>IF(COUNTIFS('Data - Monthly Metrics'!A:A,$B$4-1,'Data - Monthly Metrics'!B:B,"Nov",'Data - Monthly Metrics'!C:C,"East King",'Data - Monthly Metrics'!D:D,"Goal - New Sales Revenue ($)")=0,"-",SUMIFS('Data - Monthly Metrics'!E:E,'Data - Monthly Metrics'!A:A,$B$4-1,'Data - Monthly Metrics'!B:B,"Nov",'Data - Monthly Metrics'!C:C,"East King",'Data - Monthly Metrics'!D:D,"Goal - New Sales Revenue ($)"))</f>
        <v/>
      </c>
      <c r="D37" s="91">
        <f>IF(COUNTIFS('Data - Monthly Metrics'!A:A,$B$4-1,'Data - Monthly Metrics'!B:B,"Dec",'Data - Monthly Metrics'!C:C,"East King",'Data - Monthly Metrics'!D:D,"Goal - New Sales Revenue ($)")=0,"-",SUMIFS('Data - Monthly Metrics'!E:E,'Data - Monthly Metrics'!A:A,$B$4-1,'Data - Monthly Metrics'!B:B,"Dec",'Data - Monthly Metrics'!C:C,"East King",'Data - Monthly Metrics'!D:D,"Goal - New Sales Revenue ($)"))</f>
        <v/>
      </c>
      <c r="E37" s="101">
        <f>SUM(B37,C37,D37)</f>
        <v/>
      </c>
      <c r="F37" s="91">
        <f>IF(COUNTIFS('Data - Monthly Metrics'!A:A,$B$4,'Data - Monthly Metrics'!B:B,"Jan",'Data - Monthly Metrics'!C:C,"East King",'Data - Monthly Metrics'!D:D,"Goal - New Sales Revenue ($)")=0,"-",SUMIFS('Data - Monthly Metrics'!E:E,'Data - Monthly Metrics'!A:A,$B$4,'Data - Monthly Metrics'!B:B,"Jan",'Data - Monthly Metrics'!C:C,"East King",'Data - Monthly Metrics'!D:D,"Goal - New Sales Revenue ($)"))</f>
        <v/>
      </c>
      <c r="G37" s="91">
        <f>IF(COUNTIFS('Data - Monthly Metrics'!A:A,$B$4,'Data - Monthly Metrics'!B:B,"Feb",'Data - Monthly Metrics'!C:C,"East King",'Data - Monthly Metrics'!D:D,"Goal - New Sales Revenue ($)")=0,"-",SUMIFS('Data - Monthly Metrics'!E:E,'Data - Monthly Metrics'!A:A,$B$4,'Data - Monthly Metrics'!B:B,"Feb",'Data - Monthly Metrics'!C:C,"East King",'Data - Monthly Metrics'!D:D,"Goal - New Sales Revenue ($)"))</f>
        <v/>
      </c>
      <c r="H37" s="91">
        <f>IF(COUNTIFS('Data - Monthly Metrics'!A:A,$B$4,'Data - Monthly Metrics'!B:B,"Mar",'Data - Monthly Metrics'!C:C,"East King",'Data - Monthly Metrics'!D:D,"Goal - New Sales Revenue ($)")=0,"-",SUMIFS('Data - Monthly Metrics'!E:E,'Data - Monthly Metrics'!A:A,$B$4,'Data - Monthly Metrics'!B:B,"Mar",'Data - Monthly Metrics'!C:C,"East King",'Data - Monthly Metrics'!D:D,"Goal - New Sales Revenue ($)"))</f>
        <v/>
      </c>
      <c r="I37" s="101">
        <f>SUM(F37,G37,H37)</f>
        <v/>
      </c>
      <c r="J37" s="91">
        <f>IF(COUNTIFS('Data - Monthly Metrics'!A:A,$B$4,'Data - Monthly Metrics'!B:B,"Apr",'Data - Monthly Metrics'!C:C,"East King",'Data - Monthly Metrics'!D:D,"Goal - New Sales Revenue ($)")=0,"-",SUMIFS('Data - Monthly Metrics'!E:E,'Data - Monthly Metrics'!A:A,$B$4,'Data - Monthly Metrics'!B:B,"Apr",'Data - Monthly Metrics'!C:C,"East King",'Data - Monthly Metrics'!D:D,"Goal - New Sales Revenue ($)"))</f>
        <v/>
      </c>
      <c r="K37" s="91">
        <f>IF(COUNTIFS('Data - Monthly Metrics'!A:A,$B$4,'Data - Monthly Metrics'!B:B,"May",'Data - Monthly Metrics'!C:C,"East King",'Data - Monthly Metrics'!D:D,"Goal - New Sales Revenue ($)")=0,"-",SUMIFS('Data - Monthly Metrics'!E:E,'Data - Monthly Metrics'!A:A,$B$4,'Data - Monthly Metrics'!B:B,"May",'Data - Monthly Metrics'!C:C,"East King",'Data - Monthly Metrics'!D:D,"Goal - New Sales Revenue ($)"))</f>
        <v/>
      </c>
      <c r="L37" s="91">
        <f>IF(COUNTIFS('Data - Monthly Metrics'!A:A,$B$4,'Data - Monthly Metrics'!B:B,"Jun",'Data - Monthly Metrics'!C:C,"East King",'Data - Monthly Metrics'!D:D,"Goal - New Sales Revenue ($)")=0,"-",SUMIFS('Data - Monthly Metrics'!E:E,'Data - Monthly Metrics'!A:A,$B$4,'Data - Monthly Metrics'!B:B,"Jun",'Data - Monthly Metrics'!C:C,"East King",'Data - Monthly Metrics'!D:D,"Goal - New Sales Revenue ($)"))</f>
        <v/>
      </c>
      <c r="M37" s="101">
        <f>SUM(J37,K37,L37)</f>
        <v/>
      </c>
      <c r="N37" s="91">
        <f>IF(COUNTIFS('Data - Monthly Metrics'!A:A,$B$4,'Data - Monthly Metrics'!B:B,"Jul",'Data - Monthly Metrics'!C:C,"East King",'Data - Monthly Metrics'!D:D,"Goal - New Sales Revenue ($)")=0,"-",SUMIFS('Data - Monthly Metrics'!E:E,'Data - Monthly Metrics'!A:A,$B$4,'Data - Monthly Metrics'!B:B,"Jul",'Data - Monthly Metrics'!C:C,"East King",'Data - Monthly Metrics'!D:D,"Goal - New Sales Revenue ($)"))</f>
        <v/>
      </c>
      <c r="O37" s="91">
        <f>IF(COUNTIFS('Data - Monthly Metrics'!A:A,$B$4,'Data - Monthly Metrics'!B:B,"Aug",'Data - Monthly Metrics'!C:C,"East King",'Data - Monthly Metrics'!D:D,"Goal - New Sales Revenue ($)")=0,"-",SUMIFS('Data - Monthly Metrics'!E:E,'Data - Monthly Metrics'!A:A,$B$4,'Data - Monthly Metrics'!B:B,"Aug",'Data - Monthly Metrics'!C:C,"East King",'Data - Monthly Metrics'!D:D,"Goal - New Sales Revenue ($)"))</f>
        <v/>
      </c>
      <c r="P37" s="91">
        <f>IF(COUNTIFS('Data - Monthly Metrics'!A:A,$B$4,'Data - Monthly Metrics'!B:B,"Sep",'Data - Monthly Metrics'!C:C,"East King",'Data - Monthly Metrics'!D:D,"Goal - New Sales Revenue ($)")=0,"-",SUMIFS('Data - Monthly Metrics'!E:E,'Data - Monthly Metrics'!A:A,$B$4,'Data - Monthly Metrics'!B:B,"Sep",'Data - Monthly Metrics'!C:C,"East King",'Data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Metrics'!C:C,"East King",'Data - Monthly Metrics'!D:D,"New Sales Revenue - Target ($)")=0,"-",SUMIFS('Data - Monthly Metrics'!E:E,'Data - Monthly Metrics'!A:A,$B$4-1,'Data - Monthly Metrics'!B:B,"Oct",'Data - Monthly Metrics'!C:C,"East King",'Data - Monthly Metrics'!D:D,"New Sales Revenue - Target ($)"))</f>
        <v/>
      </c>
      <c r="C38" s="96">
        <f>IF(COUNTIFS('Data - Monthly Metrics'!A:A,$B$4-1,'Data - Monthly Metrics'!B:B,"Nov",'Data - Monthly Metrics'!C:C,"East King",'Data - Monthly Metrics'!D:D,"New Sales Revenue - Target ($)")=0,"-",SUMIFS('Data - Monthly Metrics'!E:E,'Data - Monthly Metrics'!A:A,$B$4-1,'Data - Monthly Metrics'!B:B,"Nov",'Data - Monthly Metrics'!C:C,"East King",'Data - Monthly Metrics'!D:D,"New Sales Revenue - Target ($)"))</f>
        <v/>
      </c>
      <c r="D38" s="96">
        <f>IF(COUNTIFS('Data - Monthly Metrics'!A:A,$B$4-1,'Data - Monthly Metrics'!B:B,"Dec",'Data - Monthly Metrics'!C:C,"East King",'Data - Monthly Metrics'!D:D,"New Sales Revenue - Target ($)")=0,"-",SUMIFS('Data - Monthly Metrics'!E:E,'Data - Monthly Metrics'!A:A,$B$4-1,'Data - Monthly Metrics'!B:B,"Dec",'Data - Monthly Metrics'!C:C,"East King",'Data - Monthly Metrics'!D:D,"New Sales Revenue - Target ($)"))</f>
        <v/>
      </c>
      <c r="E38" s="101">
        <f>SUM(B38,C38,D38)</f>
        <v/>
      </c>
      <c r="F38" s="96">
        <f>IF(COUNTIFS('Data - Monthly Metrics'!A:A,$B$4,'Data - Monthly Metrics'!B:B,"Jan",'Data - Monthly Metrics'!C:C,"East King",'Data - Monthly Metrics'!D:D,"New Sales Revenue - Target ($)")=0,"-",SUMIFS('Data - Monthly Metrics'!E:E,'Data - Monthly Metrics'!A:A,$B$4,'Data - Monthly Metrics'!B:B,"Jan",'Data - Monthly Metrics'!C:C,"East King",'Data - Monthly Metrics'!D:D,"New Sales Revenue - Target ($)"))</f>
        <v/>
      </c>
      <c r="G38" s="96">
        <f>IF(COUNTIFS('Data - Monthly Metrics'!A:A,$B$4,'Data - Monthly Metrics'!B:B,"Feb",'Data - Monthly Metrics'!C:C,"East King",'Data - Monthly Metrics'!D:D,"New Sales Revenue - Target ($)")=0,"-",SUMIFS('Data - Monthly Metrics'!E:E,'Data - Monthly Metrics'!A:A,$B$4,'Data - Monthly Metrics'!B:B,"Feb",'Data - Monthly Metrics'!C:C,"East King",'Data - Monthly Metrics'!D:D,"New Sales Revenue - Target ($)"))</f>
        <v/>
      </c>
      <c r="H38" s="96">
        <f>IF(COUNTIFS('Data - Monthly Metrics'!A:A,$B$4,'Data - Monthly Metrics'!B:B,"Mar",'Data - Monthly Metrics'!C:C,"East King",'Data - Monthly Metrics'!D:D,"New Sales Revenue - Target ($)")=0,"-",SUMIFS('Data - Monthly Metrics'!E:E,'Data - Monthly Metrics'!A:A,$B$4,'Data - Monthly Metrics'!B:B,"Mar",'Data - Monthly Metrics'!C:C,"East King",'Data - Monthly Metrics'!D:D,"New Sales Revenue - Target ($)"))</f>
        <v/>
      </c>
      <c r="I38" s="101">
        <f>SUM(F38,G38,H38)</f>
        <v/>
      </c>
      <c r="J38" s="96">
        <f>IF(COUNTIFS('Data - Monthly Metrics'!A:A,$B$4,'Data - Monthly Metrics'!B:B,"Apr",'Data - Monthly Metrics'!C:C,"East King",'Data - Monthly Metrics'!D:D,"New Sales Revenue - Target ($)")=0,"-",SUMIFS('Data - Monthly Metrics'!E:E,'Data - Monthly Metrics'!A:A,$B$4,'Data - Monthly Metrics'!B:B,"Apr",'Data - Monthly Metrics'!C:C,"East King",'Data - Monthly Metrics'!D:D,"New Sales Revenue - Target ($)"))</f>
        <v/>
      </c>
      <c r="K38" s="96">
        <f>IF(COUNTIFS('Data - Monthly Metrics'!A:A,$B$4,'Data - Monthly Metrics'!B:B,"May",'Data - Monthly Metrics'!C:C,"East King",'Data - Monthly Metrics'!D:D,"New Sales Revenue - Target ($)")=0,"-",SUMIFS('Data - Monthly Metrics'!E:E,'Data - Monthly Metrics'!A:A,$B$4,'Data - Monthly Metrics'!B:B,"May",'Data - Monthly Metrics'!C:C,"East King",'Data - Monthly Metrics'!D:D,"New Sales Revenue - Target ($)"))</f>
        <v/>
      </c>
      <c r="L38" s="96">
        <f>IF(COUNTIFS('Data - Monthly Metrics'!A:A,$B$4,'Data - Monthly Metrics'!B:B,"Jun",'Data - Monthly Metrics'!C:C,"East King",'Data - Monthly Metrics'!D:D,"New Sales Revenue - Target ($)")=0,"-",SUMIFS('Data - Monthly Metrics'!E:E,'Data - Monthly Metrics'!A:A,$B$4,'Data - Monthly Metrics'!B:B,"Jun",'Data - Monthly Metrics'!C:C,"East King",'Data - Monthly Metrics'!D:D,"New Sales Revenue - Target ($)"))</f>
        <v/>
      </c>
      <c r="M38" s="101">
        <f>SUM(J38,K38,L38)</f>
        <v/>
      </c>
      <c r="N38" s="96">
        <f>IF(COUNTIFS('Data - Monthly Metrics'!A:A,$B$4,'Data - Monthly Metrics'!B:B,"Jul",'Data - Monthly Metrics'!C:C,"East King",'Data - Monthly Metrics'!D:D,"New Sales Revenue - Target ($)")=0,"-",SUMIFS('Data - Monthly Metrics'!E:E,'Data - Monthly Metrics'!A:A,$B$4,'Data - Monthly Metrics'!B:B,"Jul",'Data - Monthly Metrics'!C:C,"East King",'Data - Monthly Metrics'!D:D,"New Sales Revenue - Target ($)"))</f>
        <v/>
      </c>
      <c r="O38" s="96">
        <f>IF(COUNTIFS('Data - Monthly Metrics'!A:A,$B$4,'Data - Monthly Metrics'!B:B,"Aug",'Data - Monthly Metrics'!C:C,"East King",'Data - Monthly Metrics'!D:D,"New Sales Revenue - Target ($)")=0,"-",SUMIFS('Data - Monthly Metrics'!E:E,'Data - Monthly Metrics'!A:A,$B$4,'Data - Monthly Metrics'!B:B,"Aug",'Data - Monthly Metrics'!C:C,"East King",'Data - Monthly Metrics'!D:D,"New Sales Revenue - Target ($)"))</f>
        <v/>
      </c>
      <c r="P38" s="96">
        <f>IF(COUNTIFS('Data - Monthly Metrics'!A:A,$B$4,'Data - Monthly Metrics'!B:B,"Sep",'Data - Monthly Metrics'!C:C,"East King",'Data - Monthly Metrics'!D:D,"New Sales Revenue - Target ($)")=0,"-",SUMIFS('Data - Monthly Metrics'!E:E,'Data - Monthly Metrics'!A:A,$B$4,'Data - Monthly Metrics'!B:B,"Sep",'Data - Monthly Metrics'!C:C,"East King",'Data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Metrics'!C:C,"East King",'Data - Monthly Metrics'!D:D,"Goal - New Members (#)")=0,"-",SUMIFS('Data - Monthly Metrics'!E:E,'Data - Monthly Metrics'!A:A,$B$4-1,'Data - Monthly Metrics'!B:B,"Oct",'Data - Monthly Metrics'!C:C,"East King",'Data - Monthly Metrics'!D:D,"Goal - New Members (#)"))</f>
        <v/>
      </c>
      <c r="C41" s="93">
        <f>IF(COUNTIFS('Data - Monthly Metrics'!A:A,$B$4-1,'Data - Monthly Metrics'!B:B,"Nov",'Data - Monthly Metrics'!C:C,"East King",'Data - Monthly Metrics'!D:D,"Goal - New Members (#)")=0,"-",SUMIFS('Data - Monthly Metrics'!E:E,'Data - Monthly Metrics'!A:A,$B$4-1,'Data - Monthly Metrics'!B:B,"Nov",'Data - Monthly Metrics'!C:C,"East King",'Data - Monthly Metrics'!D:D,"Goal - New Members (#)"))</f>
        <v/>
      </c>
      <c r="D41" s="93">
        <f>IF(COUNTIFS('Data - Monthly Metrics'!A:A,$B$4-1,'Data - Monthly Metrics'!B:B,"Dec",'Data - Monthly Metrics'!C:C,"East King",'Data - Monthly Metrics'!D:D,"Goal - New Members (#)")=0,"-",SUMIFS('Data - Monthly Metrics'!E:E,'Data - Monthly Metrics'!A:A,$B$4-1,'Data - Monthly Metrics'!B:B,"Dec",'Data - Monthly Metrics'!C:C,"East King",'Data - Monthly Metrics'!D:D,"Goal - New Members (#)"))</f>
        <v/>
      </c>
      <c r="E41" s="103">
        <f>SUM(B41,C41,D41)</f>
        <v/>
      </c>
      <c r="F41" s="93">
        <f>IF(COUNTIFS('Data - Monthly Metrics'!A:A,$B$4,'Data - Monthly Metrics'!B:B,"Jan",'Data - Monthly Metrics'!C:C,"East King",'Data - Monthly Metrics'!D:D,"Goal - New Members (#)")=0,"-",SUMIFS('Data - Monthly Metrics'!E:E,'Data - Monthly Metrics'!A:A,$B$4,'Data - Monthly Metrics'!B:B,"Jan",'Data - Monthly Metrics'!C:C,"East King",'Data - Monthly Metrics'!D:D,"Goal - New Members (#)"))</f>
        <v/>
      </c>
      <c r="G41" s="93">
        <f>IF(COUNTIFS('Data - Monthly Metrics'!A:A,$B$4,'Data - Monthly Metrics'!B:B,"Feb",'Data - Monthly Metrics'!C:C,"East King",'Data - Monthly Metrics'!D:D,"Goal - New Members (#)")=0,"-",SUMIFS('Data - Monthly Metrics'!E:E,'Data - Monthly Metrics'!A:A,$B$4,'Data - Monthly Metrics'!B:B,"Feb",'Data - Monthly Metrics'!C:C,"East King",'Data - Monthly Metrics'!D:D,"Goal - New Members (#)"))</f>
        <v/>
      </c>
      <c r="H41" s="93">
        <f>IF(COUNTIFS('Data - Monthly Metrics'!A:A,$B$4,'Data - Monthly Metrics'!B:B,"Mar",'Data - Monthly Metrics'!C:C,"East King",'Data - Monthly Metrics'!D:D,"Goal - New Members (#)")=0,"-",SUMIFS('Data - Monthly Metrics'!E:E,'Data - Monthly Metrics'!A:A,$B$4,'Data - Monthly Metrics'!B:B,"Mar",'Data - Monthly Metrics'!C:C,"East King",'Data - Monthly Metrics'!D:D,"Goal - New Members (#)"))</f>
        <v/>
      </c>
      <c r="I41" s="103">
        <f>SUM(F41,G41,H41)</f>
        <v/>
      </c>
      <c r="J41" s="93">
        <f>IF(COUNTIFS('Data - Monthly Metrics'!A:A,$B$4,'Data - Monthly Metrics'!B:B,"Apr",'Data - Monthly Metrics'!C:C,"East King",'Data - Monthly Metrics'!D:D,"Goal - New Members (#)")=0,"-",SUMIFS('Data - Monthly Metrics'!E:E,'Data - Monthly Metrics'!A:A,$B$4,'Data - Monthly Metrics'!B:B,"Apr",'Data - Monthly Metrics'!C:C,"East King",'Data - Monthly Metrics'!D:D,"Goal - New Members (#)"))</f>
        <v/>
      </c>
      <c r="K41" s="93">
        <f>IF(COUNTIFS('Data - Monthly Metrics'!A:A,$B$4,'Data - Monthly Metrics'!B:B,"May",'Data - Monthly Metrics'!C:C,"East King",'Data - Monthly Metrics'!D:D,"Goal - New Members (#)")=0,"-",SUMIFS('Data - Monthly Metrics'!E:E,'Data - Monthly Metrics'!A:A,$B$4,'Data - Monthly Metrics'!B:B,"May",'Data - Monthly Metrics'!C:C,"East King",'Data - Monthly Metrics'!D:D,"Goal - New Members (#)"))</f>
        <v/>
      </c>
      <c r="L41" s="93">
        <f>IF(COUNTIFS('Data - Monthly Metrics'!A:A,$B$4,'Data - Monthly Metrics'!B:B,"Jun",'Data - Monthly Metrics'!C:C,"East King",'Data - Monthly Metrics'!D:D,"Goal - New Members (#)")=0,"-",SUMIFS('Data - Monthly Metrics'!E:E,'Data - Monthly Metrics'!A:A,$B$4,'Data - Monthly Metrics'!B:B,"Jun",'Data - Monthly Metrics'!C:C,"East King",'Data - Monthly Metrics'!D:D,"Goal - New Members (#)"))</f>
        <v/>
      </c>
      <c r="M41" s="103">
        <f>SUM(J41,K41,L41)</f>
        <v/>
      </c>
      <c r="N41" s="93">
        <f>IF(COUNTIFS('Data - Monthly Metrics'!A:A,$B$4,'Data - Monthly Metrics'!B:B,"Jul",'Data - Monthly Metrics'!C:C,"East King",'Data - Monthly Metrics'!D:D,"Goal - New Members (#)")=0,"-",SUMIFS('Data - Monthly Metrics'!E:E,'Data - Monthly Metrics'!A:A,$B$4,'Data - Monthly Metrics'!B:B,"Jul",'Data - Monthly Metrics'!C:C,"East King",'Data - Monthly Metrics'!D:D,"Goal - New Members (#)"))</f>
        <v/>
      </c>
      <c r="O41" s="93">
        <f>IF(COUNTIFS('Data - Monthly Metrics'!A:A,$B$4,'Data - Monthly Metrics'!B:B,"Aug",'Data - Monthly Metrics'!C:C,"East King",'Data - Monthly Metrics'!D:D,"Goal - New Members (#)")=0,"-",SUMIFS('Data - Monthly Metrics'!E:E,'Data - Monthly Metrics'!A:A,$B$4,'Data - Monthly Metrics'!B:B,"Aug",'Data - Monthly Metrics'!C:C,"East King",'Data - Monthly Metrics'!D:D,"Goal - New Members (#)"))</f>
        <v/>
      </c>
      <c r="P41" s="93">
        <f>IF(COUNTIFS('Data - Monthly Metrics'!A:A,$B$4,'Data - Monthly Metrics'!B:B,"Sep",'Data - Monthly Metrics'!C:C,"East King",'Data - Monthly Metrics'!D:D,"Goal - New Members (#)")=0,"-",SUMIFS('Data - Monthly Metrics'!E:E,'Data - Monthly Metrics'!A:A,$B$4,'Data - Monthly Metrics'!B:B,"Sep",'Data - Monthly Metrics'!C:C,"East King",'Data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Metrics'!C:C,"East King",'Data - Monthly Metrics'!D:D,"New Members - Target (#)")=0,"-",SUMIFS('Data - Monthly Metrics'!E:E,'Data - Monthly Metrics'!A:A,$B$4-1,'Data - Monthly Metrics'!B:B,"Oct",'Data - Monthly Metrics'!C:C,"East King",'Data - Monthly Metrics'!D:D,"New Members - Target (#)"))</f>
        <v/>
      </c>
      <c r="C42" s="98">
        <f>IF(COUNTIFS('Data - Monthly Metrics'!A:A,$B$4-1,'Data - Monthly Metrics'!B:B,"Nov",'Data - Monthly Metrics'!C:C,"East King",'Data - Monthly Metrics'!D:D,"New Members - Target (#)")=0,"-",SUMIFS('Data - Monthly Metrics'!E:E,'Data - Monthly Metrics'!A:A,$B$4-1,'Data - Monthly Metrics'!B:B,"Nov",'Data - Monthly Metrics'!C:C,"East King",'Data - Monthly Metrics'!D:D,"New Members - Target (#)"))</f>
        <v/>
      </c>
      <c r="D42" s="98">
        <f>IF(COUNTIFS('Data - Monthly Metrics'!A:A,$B$4-1,'Data - Monthly Metrics'!B:B,"Dec",'Data - Monthly Metrics'!C:C,"East King",'Data - Monthly Metrics'!D:D,"New Members - Target (#)")=0,"-",SUMIFS('Data - Monthly Metrics'!E:E,'Data - Monthly Metrics'!A:A,$B$4-1,'Data - Monthly Metrics'!B:B,"Dec",'Data - Monthly Metrics'!C:C,"East King",'Data - Monthly Metrics'!D:D,"New Members - Target (#)"))</f>
        <v/>
      </c>
      <c r="E42" s="103">
        <f>SUM(B42,C42,D42)</f>
        <v/>
      </c>
      <c r="F42" s="98">
        <f>IF(COUNTIFS('Data - Monthly Metrics'!A:A,$B$4,'Data - Monthly Metrics'!B:B,"Jan",'Data - Monthly Metrics'!C:C,"East King",'Data - Monthly Metrics'!D:D,"New Members - Target (#)")=0,"-",SUMIFS('Data - Monthly Metrics'!E:E,'Data - Monthly Metrics'!A:A,$B$4,'Data - Monthly Metrics'!B:B,"Jan",'Data - Monthly Metrics'!C:C,"East King",'Data - Monthly Metrics'!D:D,"New Members - Target (#)"))</f>
        <v/>
      </c>
      <c r="G42" s="98">
        <f>IF(COUNTIFS('Data - Monthly Metrics'!A:A,$B$4,'Data - Monthly Metrics'!B:B,"Feb",'Data - Monthly Metrics'!C:C,"East King",'Data - Monthly Metrics'!D:D,"New Members - Target (#)")=0,"-",SUMIFS('Data - Monthly Metrics'!E:E,'Data - Monthly Metrics'!A:A,$B$4,'Data - Monthly Metrics'!B:B,"Feb",'Data - Monthly Metrics'!C:C,"East King",'Data - Monthly Metrics'!D:D,"New Members - Target (#)"))</f>
        <v/>
      </c>
      <c r="H42" s="98">
        <f>IF(COUNTIFS('Data - Monthly Metrics'!A:A,$B$4,'Data - Monthly Metrics'!B:B,"Mar",'Data - Monthly Metrics'!C:C,"East King",'Data - Monthly Metrics'!D:D,"New Members - Target (#)")=0,"-",SUMIFS('Data - Monthly Metrics'!E:E,'Data - Monthly Metrics'!A:A,$B$4,'Data - Monthly Metrics'!B:B,"Mar",'Data - Monthly Metrics'!C:C,"East King",'Data - Monthly Metrics'!D:D,"New Members - Target (#)"))</f>
        <v/>
      </c>
      <c r="I42" s="103">
        <f>SUM(F42,G42,H42)</f>
        <v/>
      </c>
      <c r="J42" s="98">
        <f>IF(COUNTIFS('Data - Monthly Metrics'!A:A,$B$4,'Data - Monthly Metrics'!B:B,"Apr",'Data - Monthly Metrics'!C:C,"East King",'Data - Monthly Metrics'!D:D,"New Members - Target (#)")=0,"-",SUMIFS('Data - Monthly Metrics'!E:E,'Data - Monthly Metrics'!A:A,$B$4,'Data - Monthly Metrics'!B:B,"Apr",'Data - Monthly Metrics'!C:C,"East King",'Data - Monthly Metrics'!D:D,"New Members - Target (#)"))</f>
        <v/>
      </c>
      <c r="K42" s="98">
        <f>IF(COUNTIFS('Data - Monthly Metrics'!A:A,$B$4,'Data - Monthly Metrics'!B:B,"May",'Data - Monthly Metrics'!C:C,"East King",'Data - Monthly Metrics'!D:D,"New Members - Target (#)")=0,"-",SUMIFS('Data - Monthly Metrics'!E:E,'Data - Monthly Metrics'!A:A,$B$4,'Data - Monthly Metrics'!B:B,"May",'Data - Monthly Metrics'!C:C,"East King",'Data - Monthly Metrics'!D:D,"New Members - Target (#)"))</f>
        <v/>
      </c>
      <c r="L42" s="98">
        <f>IF(COUNTIFS('Data - Monthly Metrics'!A:A,$B$4,'Data - Monthly Metrics'!B:B,"Jun",'Data - Monthly Metrics'!C:C,"East King",'Data - Monthly Metrics'!D:D,"New Members - Target (#)")=0,"-",SUMIFS('Data - Monthly Metrics'!E:E,'Data - Monthly Metrics'!A:A,$B$4,'Data - Monthly Metrics'!B:B,"Jun",'Data - Monthly Metrics'!C:C,"East King",'Data - Monthly Metrics'!D:D,"New Members - Target (#)"))</f>
        <v/>
      </c>
      <c r="M42" s="103">
        <f>SUM(J42,K42,L42)</f>
        <v/>
      </c>
      <c r="N42" s="98">
        <f>IF(COUNTIFS('Data - Monthly Metrics'!A:A,$B$4,'Data - Monthly Metrics'!B:B,"Jul",'Data - Monthly Metrics'!C:C,"East King",'Data - Monthly Metrics'!D:D,"New Members - Target (#)")=0,"-",SUMIFS('Data - Monthly Metrics'!E:E,'Data - Monthly Metrics'!A:A,$B$4,'Data - Monthly Metrics'!B:B,"Jul",'Data - Monthly Metrics'!C:C,"East King",'Data - Monthly Metrics'!D:D,"New Members - Target (#)"))</f>
        <v/>
      </c>
      <c r="O42" s="98">
        <f>IF(COUNTIFS('Data - Monthly Metrics'!A:A,$B$4,'Data - Monthly Metrics'!B:B,"Aug",'Data - Monthly Metrics'!C:C,"East King",'Data - Monthly Metrics'!D:D,"New Members - Target (#)")=0,"-",SUMIFS('Data - Monthly Metrics'!E:E,'Data - Monthly Metrics'!A:A,$B$4,'Data - Monthly Metrics'!B:B,"Aug",'Data - Monthly Metrics'!C:C,"East King",'Data - Monthly Metrics'!D:D,"New Members - Target (#)"))</f>
        <v/>
      </c>
      <c r="P42" s="98">
        <f>IF(COUNTIFS('Data - Monthly Metrics'!A:A,$B$4,'Data - Monthly Metrics'!B:B,"Sep",'Data - Monthly Metrics'!C:C,"East King",'Data - Monthly Metrics'!D:D,"New Members - Target (#)")=0,"-",SUMIFS('Data - Monthly Metrics'!E:E,'Data - Monthly Metrics'!A:A,$B$4,'Data - Monthly Metrics'!B:B,"Sep",'Data - Monthly Metrics'!C:C,"East King",'Data - Monthly Metrics'!D:D,"New Members - Target (#)"))</f>
        <v/>
      </c>
      <c r="Q42" s="103">
        <f>SUM(N42,O42,P42)</f>
        <v/>
      </c>
      <c r="R42" s="103">
        <f>E42+I42+M42+Q42</f>
        <v/>
      </c>
    </row>
    <row r="43" ht="14.25" customHeight="1" s="82">
      <c r="A43" s="125" t="inlineStr">
        <is>
          <t>% to Member Goal</t>
        </is>
      </c>
      <c r="B43" s="115">
        <f>IF(OR(NOT(ISNUMBER(B41)),B41=0),"-",B42/B41)</f>
        <v/>
      </c>
      <c r="C43" s="115">
        <f>IF(OR(NOT(ISNUMBER(C41)),C41=0),"-",C42/C41)</f>
        <v/>
      </c>
      <c r="D43" s="115">
        <f>IF(OR(NOT(ISNUMBER(D41)),D41=0),"-",D42/D41)</f>
        <v/>
      </c>
      <c r="E43" s="116">
        <f>IF(OR(NOT(ISNUMBER(E41)),E41=0),"-",E42/E41)</f>
        <v/>
      </c>
      <c r="F43" s="115">
        <f>IF(OR(NOT(ISNUMBER(F41)),F41=0),"-",F42/F41)</f>
        <v/>
      </c>
      <c r="G43" s="115">
        <f>IF(OR(NOT(ISNUMBER(G41)),G41=0),"-",G42/G41)</f>
        <v/>
      </c>
      <c r="H43" s="115">
        <f>IF(OR(NOT(ISNUMBER(H41)),H41=0),"-",H42/H41)</f>
        <v/>
      </c>
      <c r="I43" s="116">
        <f>IF(OR(NOT(ISNUMBER(I41)),I41=0),"-",I42/I41)</f>
        <v/>
      </c>
      <c r="J43" s="115">
        <f>IF(OR(NOT(ISNUMBER(J41)),J41=0),"-",J42/J41)</f>
        <v/>
      </c>
      <c r="K43" s="115">
        <f>IF(OR(NOT(ISNUMBER(K41)),K41=0),"-",K42/K41)</f>
        <v/>
      </c>
      <c r="L43" s="115">
        <f>IF(OR(NOT(ISNUMBER(L41)),L41=0),"-",L42/L41)</f>
        <v/>
      </c>
      <c r="M43" s="116">
        <f>IF(OR(NOT(ISNUMBER(M41)),M41=0),"-",M42/M41)</f>
        <v/>
      </c>
      <c r="N43" s="115">
        <f>IF(OR(NOT(ISNUMBER(N41)),N41=0),"-",N42/N41)</f>
        <v/>
      </c>
      <c r="O43" s="115">
        <f>IF(OR(NOT(ISNUMBER(O41)),O41=0),"-",O42/O41)</f>
        <v/>
      </c>
      <c r="P43" s="115">
        <f>IF(OR(NOT(ISNUMBER(P41)),P41=0),"-",P42/P41)</f>
        <v/>
      </c>
      <c r="Q43" s="116">
        <f>IF(OR(NOT(ISNUMBER(Q41)),Q41=0),"-",Q42/Q41)</f>
        <v/>
      </c>
      <c r="R43" s="116">
        <f>IF(OR(NOT(ISNUMBER(R41)),R41=0),"-",R42/R41)</f>
        <v/>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idden="1" ht="21.75" customHeight="1" s="82">
      <c r="A44" s="105" t="n"/>
    </row>
    <row r="45" hidden="1" ht="14.25" customHeight="1" s="82">
      <c r="A45" s="126" t="n"/>
      <c r="B45" s="126" t="n"/>
      <c r="C45" s="126" t="n"/>
      <c r="D45" s="126" t="n"/>
      <c r="E45" s="126" t="n"/>
      <c r="F45" s="126" t="n"/>
      <c r="G45" s="126" t="n"/>
      <c r="H45" s="126" t="n"/>
      <c r="I45" s="126" t="n"/>
      <c r="J45" s="126" t="n"/>
      <c r="K45" s="126" t="n"/>
      <c r="L45" s="126" t="n"/>
      <c r="M45" s="126" t="n"/>
      <c r="N45" s="126" t="n"/>
      <c r="O45" s="126" t="n"/>
      <c r="P45" s="126" t="n"/>
      <c r="Q45" s="126" t="n"/>
      <c r="R45" s="126" t="n"/>
    </row>
    <row r="46" hidden="1" ht="14.25" customHeight="1" s="82">
      <c r="A46" s="127" t="n"/>
      <c r="B46" s="128" t="n"/>
      <c r="C46" s="128" t="n"/>
      <c r="D46" s="128" t="n"/>
      <c r="E46" s="129" t="n"/>
      <c r="F46" s="128" t="n"/>
      <c r="G46" s="128" t="n"/>
      <c r="H46" s="128" t="n"/>
      <c r="I46" s="129" t="n"/>
      <c r="J46" s="128" t="n"/>
      <c r="K46" s="128" t="n"/>
      <c r="L46" s="128" t="n"/>
      <c r="M46" s="129" t="n"/>
      <c r="N46" s="128" t="n"/>
      <c r="O46" s="128" t="n"/>
      <c r="P46" s="128" t="n"/>
      <c r="Q46" s="129" t="n"/>
      <c r="R46" s="129" t="n"/>
    </row>
    <row r="47" hidden="1" ht="14.25" customHeight="1" s="82">
      <c r="A47" s="127" t="n"/>
    </row>
    <row r="48" hidden="1" ht="14.25" customHeight="1" s="82">
      <c r="A48" s="127" t="n"/>
      <c r="B48" s="128" t="n"/>
      <c r="C48" s="128" t="n"/>
      <c r="D48" s="128" t="n"/>
      <c r="E48" s="129" t="n"/>
      <c r="F48" s="128" t="n"/>
      <c r="G48" s="128" t="n"/>
      <c r="H48" s="128" t="n"/>
      <c r="I48" s="129" t="n"/>
      <c r="J48" s="128" t="n"/>
      <c r="K48" s="128" t="n"/>
      <c r="L48" s="128" t="n"/>
      <c r="M48" s="129" t="n"/>
      <c r="N48" s="128" t="n"/>
      <c r="O48" s="128" t="n"/>
      <c r="P48" s="128" t="n"/>
      <c r="Q48" s="129" t="n"/>
      <c r="R48" s="129" t="n"/>
    </row>
    <row r="49"/>
    <row r="50" ht="21.75" customHeight="1" s="82">
      <c r="A50" s="87" t="inlineStr">
        <is>
          <t xml:space="preserve">  ▶   T2.  BILLABLES — Target</t>
        </is>
      </c>
    </row>
    <row r="51" ht="14.25" customHeight="1" s="82">
      <c r="A51" s="88" t="inlineStr">
        <is>
          <t>Metric</t>
        </is>
      </c>
      <c r="B51" s="88" t="inlineStr">
        <is>
          <t>Oct</t>
        </is>
      </c>
      <c r="C51" s="88" t="inlineStr">
        <is>
          <t>Nov</t>
        </is>
      </c>
      <c r="D51" s="88" t="inlineStr">
        <is>
          <t>Dec</t>
        </is>
      </c>
      <c r="E51" s="88" t="inlineStr">
        <is>
          <t>Q1</t>
        </is>
      </c>
      <c r="F51" s="88" t="inlineStr">
        <is>
          <t>Jan</t>
        </is>
      </c>
      <c r="G51" s="88" t="inlineStr">
        <is>
          <t>Feb</t>
        </is>
      </c>
      <c r="H51" s="88" t="inlineStr">
        <is>
          <t>Mar</t>
        </is>
      </c>
      <c r="I51" s="88" t="inlineStr">
        <is>
          <t>Q2</t>
        </is>
      </c>
      <c r="J51" s="88" t="inlineStr">
        <is>
          <t>Apr</t>
        </is>
      </c>
      <c r="K51" s="88" t="inlineStr">
        <is>
          <t>May</t>
        </is>
      </c>
      <c r="L51" s="88" t="inlineStr">
        <is>
          <t>Jun</t>
        </is>
      </c>
      <c r="M51" s="88" t="inlineStr">
        <is>
          <t>Q3</t>
        </is>
      </c>
      <c r="N51" s="88" t="inlineStr">
        <is>
          <t>Jul</t>
        </is>
      </c>
      <c r="O51" s="88" t="inlineStr">
        <is>
          <t>Aug</t>
        </is>
      </c>
      <c r="P51" s="88" t="inlineStr">
        <is>
          <t>Sep</t>
        </is>
      </c>
      <c r="Q51" s="88" t="inlineStr">
        <is>
          <t>Q4</t>
        </is>
      </c>
      <c r="R51" s="88" t="inlineStr">
        <is>
          <t>Avg</t>
        </is>
      </c>
    </row>
    <row r="52" ht="14.25" customHeight="1" s="82">
      <c r="A52" s="89" t="inlineStr">
        <is>
          <t>Target (#)</t>
        </is>
      </c>
      <c r="B52" s="93">
        <f>IF(COUNTIFS('Data - Monthly Metrics'!A:A,$B$4-1,'Data - Monthly Metrics'!B:B,"Oct",'Data - Monthly Metrics'!C:C,"East King",'Data - Monthly Metrics'!D:D,"Billables - Hospitality Target (#)")=0,"-",SUMIFS('Data - Monthly Metrics'!E:E,'Data - Monthly Metrics'!A:A,$B$4-1,'Data - Monthly Metrics'!B:B,"Oct",'Data - Monthly Metrics'!C:C,"East King",'Data - Monthly Metrics'!D:D,"Billables - Hospitality Target (#)"))</f>
        <v/>
      </c>
      <c r="C52" s="93">
        <f>IF(COUNTIFS('Data - Monthly Metrics'!A:A,$B$4-1,'Data - Monthly Metrics'!B:B,"Nov",'Data - Monthly Metrics'!C:C,"East King",'Data - Monthly Metrics'!D:D,"Billables - Hospitality Target (#)")=0,"-",SUMIFS('Data - Monthly Metrics'!E:E,'Data - Monthly Metrics'!A:A,$B$4-1,'Data - Monthly Metrics'!B:B,"Nov",'Data - Monthly Metrics'!C:C,"East King",'Data - Monthly Metrics'!D:D,"Billables - Hospitality Target (#)"))</f>
        <v/>
      </c>
      <c r="D52" s="93">
        <f>IF(COUNTIFS('Data - Monthly Metrics'!A:A,$B$4-1,'Data - Monthly Metrics'!B:B,"Dec",'Data - Monthly Metrics'!C:C,"East King",'Data - Monthly Metrics'!D:D,"Billables - Hospitality Target (#)")=0,"-",SUMIFS('Data - Monthly Metrics'!E:E,'Data - Monthly Metrics'!A:A,$B$4-1,'Data - Monthly Metrics'!B:B,"Dec",'Data - Monthly Metrics'!C:C,"East King",'Data - Monthly Metrics'!D:D,"Billables - Hospitality Target (#)"))</f>
        <v/>
      </c>
      <c r="E52" s="103">
        <f>IF(ISNUMBER(D52),D52,IF(ISNUMBER(C52),C52,IF(ISNUMBER(B52),B52,"-")))</f>
        <v/>
      </c>
      <c r="F52" s="93">
        <f>IF(COUNTIFS('Data - Monthly Metrics'!A:A,$B$4,'Data - Monthly Metrics'!B:B,"Jan",'Data - Monthly Metrics'!C:C,"East King",'Data - Monthly Metrics'!D:D,"Billables - Hospitality Target (#)")=0,"-",SUMIFS('Data - Monthly Metrics'!E:E,'Data - Monthly Metrics'!A:A,$B$4,'Data - Monthly Metrics'!B:B,"Jan",'Data - Monthly Metrics'!C:C,"East King",'Data - Monthly Metrics'!D:D,"Billables - Hospitality Target (#)"))</f>
        <v/>
      </c>
      <c r="G52" s="93">
        <f>IF(COUNTIFS('Data - Monthly Metrics'!A:A,$B$4,'Data - Monthly Metrics'!B:B,"Feb",'Data - Monthly Metrics'!C:C,"East King",'Data - Monthly Metrics'!D:D,"Billables - Hospitality Target (#)")=0,"-",SUMIFS('Data - Monthly Metrics'!E:E,'Data - Monthly Metrics'!A:A,$B$4,'Data - Monthly Metrics'!B:B,"Feb",'Data - Monthly Metrics'!C:C,"East King",'Data - Monthly Metrics'!D:D,"Billables - Hospitality Target (#)"))</f>
        <v/>
      </c>
      <c r="H52" s="93">
        <f>IF(COUNTIFS('Data - Monthly Metrics'!A:A,$B$4,'Data - Monthly Metrics'!B:B,"Mar",'Data - Monthly Metrics'!C:C,"East King",'Data - Monthly Metrics'!D:D,"Billables - Hospitality Target (#)")=0,"-",SUMIFS('Data - Monthly Metrics'!E:E,'Data - Monthly Metrics'!A:A,$B$4,'Data - Monthly Metrics'!B:B,"Mar",'Data - Monthly Metrics'!C:C,"East King",'Data - Monthly Metrics'!D:D,"Billables - Hospitality Target (#)"))</f>
        <v/>
      </c>
      <c r="I52" s="103">
        <f>IF(ISNUMBER(H52),H52,IF(ISNUMBER(G52),G52,IF(ISNUMBER(F52),F52,"-")))</f>
        <v/>
      </c>
      <c r="J52" s="93">
        <f>IF(COUNTIFS('Data - Monthly Metrics'!A:A,$B$4,'Data - Monthly Metrics'!B:B,"Apr",'Data - Monthly Metrics'!C:C,"East King",'Data - Monthly Metrics'!D:D,"Billables - Hospitality Target (#)")=0,"-",SUMIFS('Data - Monthly Metrics'!E:E,'Data - Monthly Metrics'!A:A,$B$4,'Data - Monthly Metrics'!B:B,"Apr",'Data - Monthly Metrics'!C:C,"East King",'Data - Monthly Metrics'!D:D,"Billables - Hospitality Target (#)"))</f>
        <v/>
      </c>
      <c r="K52" s="93">
        <f>IF(COUNTIFS('Data - Monthly Metrics'!A:A,$B$4,'Data - Monthly Metrics'!B:B,"May",'Data - Monthly Metrics'!C:C,"East King",'Data - Monthly Metrics'!D:D,"Billables - Hospitality Target (#)")=0,"-",SUMIFS('Data - Monthly Metrics'!E:E,'Data - Monthly Metrics'!A:A,$B$4,'Data - Monthly Metrics'!B:B,"May",'Data - Monthly Metrics'!C:C,"East King",'Data - Monthly Metrics'!D:D,"Billables - Hospitality Target (#)"))</f>
        <v/>
      </c>
      <c r="L52" s="93">
        <f>IF(COUNTIFS('Data - Monthly Metrics'!A:A,$B$4,'Data - Monthly Metrics'!B:B,"Jun",'Data - Monthly Metrics'!C:C,"East King",'Data - Monthly Metrics'!D:D,"Billables - Hospitality Target (#)")=0,"-",SUMIFS('Data - Monthly Metrics'!E:E,'Data - Monthly Metrics'!A:A,$B$4,'Data - Monthly Metrics'!B:B,"Jun",'Data - Monthly Metrics'!C:C,"East King",'Data - Monthly Metrics'!D:D,"Billables - Hospitality Target (#)"))</f>
        <v/>
      </c>
      <c r="M52" s="103">
        <f>IF(ISNUMBER(L52),L52,IF(ISNUMBER(K52),K52,IF(ISNUMBER(J52),J52,"-")))</f>
        <v/>
      </c>
      <c r="N52" s="93">
        <f>IF(COUNTIFS('Data - Monthly Metrics'!A:A,$B$4,'Data - Monthly Metrics'!B:B,"Jul",'Data - Monthly Metrics'!C:C,"East King",'Data - Monthly Metrics'!D:D,"Billables - Hospitality Target (#)")=0,"-",SUMIFS('Data - Monthly Metrics'!E:E,'Data - Monthly Metrics'!A:A,$B$4,'Data - Monthly Metrics'!B:B,"Jul",'Data - Monthly Metrics'!C:C,"East King",'Data - Monthly Metrics'!D:D,"Billables - Hospitality Target (#)"))</f>
        <v/>
      </c>
      <c r="O52" s="93">
        <f>IF(COUNTIFS('Data - Monthly Metrics'!A:A,$B$4,'Data - Monthly Metrics'!B:B,"Aug",'Data - Monthly Metrics'!C:C,"East King",'Data - Monthly Metrics'!D:D,"Billables - Hospitality Target (#)")=0,"-",SUMIFS('Data - Monthly Metrics'!E:E,'Data - Monthly Metrics'!A:A,$B$4,'Data - Monthly Metrics'!B:B,"Aug",'Data - Monthly Metrics'!C:C,"East King",'Data - Monthly Metrics'!D:D,"Billables - Hospitality Target (#)"))</f>
        <v/>
      </c>
      <c r="P52" s="93">
        <f>IF(COUNTIFS('Data - Monthly Metrics'!A:A,$B$4,'Data - Monthly Metrics'!B:B,"Sep",'Data - Monthly Metrics'!C:C,"East King",'Data - Monthly Metrics'!D:D,"Billables - Hospitality Target (#)")=0,"-",SUMIFS('Data - Monthly Metrics'!E:E,'Data - Monthly Metrics'!A:A,$B$4,'Data - Monthly Metrics'!B:B,"Sep",'Data - Monthly Metrics'!C:C,"East King",'Data - Monthly Metrics'!D:D,"Billables - Hospitality Target (#)"))</f>
        <v/>
      </c>
      <c r="Q52" s="103">
        <f>IF(ISNUMBER(P52),P52,IF(ISNUMBER(O52),O52,IF(ISNUMBER(N52),N52,"-")))</f>
        <v/>
      </c>
      <c r="R52" s="103">
        <f>IF(ISNUMBER(Q52),Q52,IF(ISNUMBER(M52),M52,IF(ISNUMBER(I52),I52,IF(ISNUMBER(E52),E52,"-"))))</f>
        <v/>
      </c>
    </row>
    <row r="53" ht="14.25" customHeight="1" s="82">
      <c r="A53" s="89" t="inlineStr">
        <is>
          <t>Member Locations (#)</t>
        </is>
      </c>
      <c r="B53" s="93">
        <f>IF(COUNTIFS('Data - Monthly Metrics'!A:A,$B$4-1,'Data - Monthly Metrics'!B:B,"Oct",'Data - Monthly Metrics'!C:C,"East King",'Data - Monthly Metrics'!D:D,"Member Locations - Target (#)")=0,"-",SUMIFS('Data - Monthly Metrics'!E:E,'Data - Monthly Metrics'!A:A,$B$4-1,'Data - Monthly Metrics'!B:B,"Oct",'Data - Monthly Metrics'!C:C,"East King",'Data - Monthly Metrics'!D:D,"Member Locations - Target (#)"))</f>
        <v/>
      </c>
      <c r="C53" s="93">
        <f>IF(COUNTIFS('Data - Monthly Metrics'!A:A,$B$4-1,'Data - Monthly Metrics'!B:B,"Nov",'Data - Monthly Metrics'!C:C,"East King",'Data - Monthly Metrics'!D:D,"Member Locations - Target (#)")=0,"-",SUMIFS('Data - Monthly Metrics'!E:E,'Data - Monthly Metrics'!A:A,$B$4-1,'Data - Monthly Metrics'!B:B,"Nov",'Data - Monthly Metrics'!C:C,"East King",'Data - Monthly Metrics'!D:D,"Member Locations - Target (#)"))</f>
        <v/>
      </c>
      <c r="D53" s="93">
        <f>IF(COUNTIFS('Data - Monthly Metrics'!A:A,$B$4-1,'Data - Monthly Metrics'!B:B,"Dec",'Data - Monthly Metrics'!C:C,"East King",'Data - Monthly Metrics'!D:D,"Member Locations - Target (#)")=0,"-",SUMIFS('Data - Monthly Metrics'!E:E,'Data - Monthly Metrics'!A:A,$B$4-1,'Data - Monthly Metrics'!B:B,"Dec",'Data - Monthly Metrics'!C:C,"East King",'Data - Monthly Metrics'!D:D,"Member Locations - Target (#)"))</f>
        <v/>
      </c>
      <c r="E53" s="103">
        <f>IF(ISNUMBER(D53),D53,IF(ISNUMBER(C53),C53,IF(ISNUMBER(B53),B53,"-")))</f>
        <v/>
      </c>
      <c r="F53" s="93">
        <f>IF(COUNTIFS('Data - Monthly Metrics'!A:A,$B$4,'Data - Monthly Metrics'!B:B,"Jan",'Data - Monthly Metrics'!C:C,"East King",'Data - Monthly Metrics'!D:D,"Member Locations - Target (#)")=0,"-",SUMIFS('Data - Monthly Metrics'!E:E,'Data - Monthly Metrics'!A:A,$B$4,'Data - Monthly Metrics'!B:B,"Jan",'Data - Monthly Metrics'!C:C,"East King",'Data - Monthly Metrics'!D:D,"Member Locations - Target (#)"))</f>
        <v/>
      </c>
      <c r="G53" s="93">
        <f>IF(COUNTIFS('Data - Monthly Metrics'!A:A,$B$4,'Data - Monthly Metrics'!B:B,"Feb",'Data - Monthly Metrics'!C:C,"East King",'Data - Monthly Metrics'!D:D,"Member Locations - Target (#)")=0,"-",SUMIFS('Data - Monthly Metrics'!E:E,'Data - Monthly Metrics'!A:A,$B$4,'Data - Monthly Metrics'!B:B,"Feb",'Data - Monthly Metrics'!C:C,"East King",'Data - Monthly Metrics'!D:D,"Member Locations - Target (#)"))</f>
        <v/>
      </c>
      <c r="H53" s="93">
        <f>IF(COUNTIFS('Data - Monthly Metrics'!A:A,$B$4,'Data - Monthly Metrics'!B:B,"Mar",'Data - Monthly Metrics'!C:C,"East King",'Data - Monthly Metrics'!D:D,"Member Locations - Target (#)")=0,"-",SUMIFS('Data - Monthly Metrics'!E:E,'Data - Monthly Metrics'!A:A,$B$4,'Data - Monthly Metrics'!B:B,"Mar",'Data - Monthly Metrics'!C:C,"East King",'Data - Monthly Metrics'!D:D,"Member Locations - Target (#)"))</f>
        <v/>
      </c>
      <c r="I53" s="103">
        <f>IF(ISNUMBER(H53),H53,IF(ISNUMBER(G53),G53,IF(ISNUMBER(F53),F53,"-")))</f>
        <v/>
      </c>
      <c r="J53" s="93">
        <f>IF(COUNTIFS('Data - Monthly Metrics'!A:A,$B$4,'Data - Monthly Metrics'!B:B,"Apr",'Data - Monthly Metrics'!C:C,"East King",'Data - Monthly Metrics'!D:D,"Member Locations - Target (#)")=0,"-",SUMIFS('Data - Monthly Metrics'!E:E,'Data - Monthly Metrics'!A:A,$B$4,'Data - Monthly Metrics'!B:B,"Apr",'Data - Monthly Metrics'!C:C,"East King",'Data - Monthly Metrics'!D:D,"Member Locations - Target (#)"))</f>
        <v/>
      </c>
      <c r="K53" s="93">
        <f>IF(COUNTIFS('Data - Monthly Metrics'!A:A,$B$4,'Data - Monthly Metrics'!B:B,"May",'Data - Monthly Metrics'!C:C,"East King",'Data - Monthly Metrics'!D:D,"Member Locations - Target (#)")=0,"-",SUMIFS('Data - Monthly Metrics'!E:E,'Data - Monthly Metrics'!A:A,$B$4,'Data - Monthly Metrics'!B:B,"May",'Data - Monthly Metrics'!C:C,"East King",'Data - Monthly Metrics'!D:D,"Member Locations - Target (#)"))</f>
        <v/>
      </c>
      <c r="L53" s="93">
        <f>IF(COUNTIFS('Data - Monthly Metrics'!A:A,$B$4,'Data - Monthly Metrics'!B:B,"Jun",'Data - Monthly Metrics'!C:C,"East King",'Data - Monthly Metrics'!D:D,"Member Locations - Target (#)")=0,"-",SUMIFS('Data - Monthly Metrics'!E:E,'Data - Monthly Metrics'!A:A,$B$4,'Data - Monthly Metrics'!B:B,"Jun",'Data - Monthly Metrics'!C:C,"East King",'Data - Monthly Metrics'!D:D,"Member Locations - Target (#)"))</f>
        <v/>
      </c>
      <c r="M53" s="103">
        <f>IF(ISNUMBER(L53),L53,IF(ISNUMBER(K53),K53,IF(ISNUMBER(J53),J53,"-")))</f>
        <v/>
      </c>
      <c r="N53" s="93">
        <f>IF(COUNTIFS('Data - Monthly Metrics'!A:A,$B$4,'Data - Monthly Metrics'!B:B,"Jul",'Data - Monthly Metrics'!C:C,"East King",'Data - Monthly Metrics'!D:D,"Member Locations - Target (#)")=0,"-",SUMIFS('Data - Monthly Metrics'!E:E,'Data - Monthly Metrics'!A:A,$B$4,'Data - Monthly Metrics'!B:B,"Jul",'Data - Monthly Metrics'!C:C,"East King",'Data - Monthly Metrics'!D:D,"Member Locations - Target (#)"))</f>
        <v/>
      </c>
      <c r="O53" s="93">
        <f>IF(COUNTIFS('Data - Monthly Metrics'!A:A,$B$4,'Data - Monthly Metrics'!B:B,"Aug",'Data - Monthly Metrics'!C:C,"East King",'Data - Monthly Metrics'!D:D,"Member Locations - Target (#)")=0,"-",SUMIFS('Data - Monthly Metrics'!E:E,'Data - Monthly Metrics'!A:A,$B$4,'Data - Monthly Metrics'!B:B,"Aug",'Data - Monthly Metrics'!C:C,"East King",'Data - Monthly Metrics'!D:D,"Member Locations - Target (#)"))</f>
        <v/>
      </c>
      <c r="P53" s="93">
        <f>IF(COUNTIFS('Data - Monthly Metrics'!A:A,$B$4,'Data - Monthly Metrics'!B:B,"Sep",'Data - Monthly Metrics'!C:C,"East King",'Data - Monthly Metrics'!D:D,"Member Locations - Target (#)")=0,"-",SUMIFS('Data - Monthly Metrics'!E:E,'Data - Monthly Metrics'!A:A,$B$4,'Data - Monthly Metrics'!B:B,"Sep",'Data - Monthly Metrics'!C:C,"East King",'Data - Monthly Metrics'!D:D,"Member Locations - Target (#)"))</f>
        <v/>
      </c>
      <c r="Q53" s="103">
        <f>IF(ISNUMBER(P53),P53,IF(ISNUMBER(O53),O53,IF(ISNUMBER(N53),N53,"-")))</f>
        <v/>
      </c>
      <c r="R53" s="103">
        <f>IF(ISNUMBER(Q53),Q53,IF(ISNUMBER(M53),M53,IF(ISNUMBER(I53),I53,IF(ISNUMBER(E53),E53,"-"))))</f>
        <v/>
      </c>
    </row>
    <row r="54"/>
    <row r="55" ht="21.75" customHeight="1" s="82">
      <c r="A55" s="87" t="inlineStr">
        <is>
          <t xml:space="preserve">  ▶   T3.  RETENTION — Target</t>
        </is>
      </c>
    </row>
    <row r="56" ht="14.25" customHeight="1" s="82">
      <c r="A56" s="88" t="inlineStr">
        <is>
          <t>Metric</t>
        </is>
      </c>
      <c r="B56" s="88" t="inlineStr">
        <is>
          <t>Oct</t>
        </is>
      </c>
      <c r="C56" s="88" t="inlineStr">
        <is>
          <t>Nov</t>
        </is>
      </c>
      <c r="D56" s="88" t="inlineStr">
        <is>
          <t>Dec</t>
        </is>
      </c>
      <c r="E56" s="88" t="inlineStr">
        <is>
          <t>Q1</t>
        </is>
      </c>
      <c r="F56" s="88" t="inlineStr">
        <is>
          <t>Jan</t>
        </is>
      </c>
      <c r="G56" s="88" t="inlineStr">
        <is>
          <t>Feb</t>
        </is>
      </c>
      <c r="H56" s="88" t="inlineStr">
        <is>
          <t>Mar</t>
        </is>
      </c>
      <c r="I56" s="88" t="inlineStr">
        <is>
          <t>Q2</t>
        </is>
      </c>
      <c r="J56" s="88" t="inlineStr">
        <is>
          <t>Apr</t>
        </is>
      </c>
      <c r="K56" s="88" t="inlineStr">
        <is>
          <t>May</t>
        </is>
      </c>
      <c r="L56" s="88" t="inlineStr">
        <is>
          <t>Jun</t>
        </is>
      </c>
      <c r="M56" s="88" t="inlineStr">
        <is>
          <t>Q3</t>
        </is>
      </c>
      <c r="N56" s="88" t="inlineStr">
        <is>
          <t>Jul</t>
        </is>
      </c>
      <c r="O56" s="88" t="inlineStr">
        <is>
          <t>Aug</t>
        </is>
      </c>
      <c r="P56" s="88" t="inlineStr">
        <is>
          <t>Sep</t>
        </is>
      </c>
      <c r="Q56" s="88" t="inlineStr">
        <is>
          <t>Q4</t>
        </is>
      </c>
      <c r="R56" s="88" t="inlineStr">
        <is>
          <t>YTD</t>
        </is>
      </c>
    </row>
    <row r="57" ht="14.25" customHeight="1" s="82">
      <c r="A57" s="89" t="inlineStr">
        <is>
          <t>Up for Renewal - Target (#)</t>
        </is>
      </c>
      <c r="B57" s="93">
        <f>IF(COUNTIFS('Data - Monthly Metrics'!A:A,$B$4-1,'Data - Monthly Metrics'!B:B,"Oct",'Data - Monthly Metrics'!C:C,"East King",'Data - Monthly Metrics'!D:D,"Members Up for Renewal - Target (#)")=0,"-",SUMIFS('Data - Monthly Metrics'!E:E,'Data - Monthly Metrics'!A:A,$B$4-1,'Data - Monthly Metrics'!B:B,"Oct",'Data - Monthly Metrics'!C:C,"East King",'Data - Monthly Metrics'!D:D,"Members Up for Renewal - Target (#)"))</f>
        <v/>
      </c>
      <c r="C57" s="93">
        <f>IF(COUNTIFS('Data - Monthly Metrics'!A:A,$B$4-1,'Data - Monthly Metrics'!B:B,"Nov",'Data - Monthly Metrics'!C:C,"East King",'Data - Monthly Metrics'!D:D,"Members Up for Renewal - Target (#)")=0,"-",SUMIFS('Data - Monthly Metrics'!E:E,'Data - Monthly Metrics'!A:A,$B$4-1,'Data - Monthly Metrics'!B:B,"Nov",'Data - Monthly Metrics'!C:C,"East King",'Data - Monthly Metrics'!D:D,"Members Up for Renewal - Target (#)"))</f>
        <v/>
      </c>
      <c r="D57" s="93">
        <f>IF(COUNTIFS('Data - Monthly Metrics'!A:A,$B$4-1,'Data - Monthly Metrics'!B:B,"Dec",'Data - Monthly Metrics'!C:C,"East King",'Data - Monthly Metrics'!D:D,"Members Up for Renewal - Target (#)")=0,"-",SUMIFS('Data - Monthly Metrics'!E:E,'Data - Monthly Metrics'!A:A,$B$4-1,'Data - Monthly Metrics'!B:B,"Dec",'Data - Monthly Metrics'!C:C,"East King",'Data - Monthly Metrics'!D:D,"Members Up for Renewal - Target (#)"))</f>
        <v/>
      </c>
      <c r="E57" s="103">
        <f>SUM(B57,C57,D57)</f>
        <v/>
      </c>
      <c r="F57" s="93">
        <f>IF(COUNTIFS('Data - Monthly Metrics'!A:A,$B$4,'Data - Monthly Metrics'!B:B,"Jan",'Data - Monthly Metrics'!C:C,"East King",'Data - Monthly Metrics'!D:D,"Members Up for Renewal - Target (#)")=0,"-",SUMIFS('Data - Monthly Metrics'!E:E,'Data - Monthly Metrics'!A:A,$B$4,'Data - Monthly Metrics'!B:B,"Jan",'Data - Monthly Metrics'!C:C,"East King",'Data - Monthly Metrics'!D:D,"Members Up for Renewal - Target (#)"))</f>
        <v/>
      </c>
      <c r="G57" s="93">
        <f>IF(COUNTIFS('Data - Monthly Metrics'!A:A,$B$4,'Data - Monthly Metrics'!B:B,"Feb",'Data - Monthly Metrics'!C:C,"East King",'Data - Monthly Metrics'!D:D,"Members Up for Renewal - Target (#)")=0,"-",SUMIFS('Data - Monthly Metrics'!E:E,'Data - Monthly Metrics'!A:A,$B$4,'Data - Monthly Metrics'!B:B,"Feb",'Data - Monthly Metrics'!C:C,"East King",'Data - Monthly Metrics'!D:D,"Members Up for Renewal - Target (#)"))</f>
        <v/>
      </c>
      <c r="H57" s="93">
        <f>IF(COUNTIFS('Data - Monthly Metrics'!A:A,$B$4,'Data - Monthly Metrics'!B:B,"Mar",'Data - Monthly Metrics'!C:C,"East King",'Data - Monthly Metrics'!D:D,"Members Up for Renewal - Target (#)")=0,"-",SUMIFS('Data - Monthly Metrics'!E:E,'Data - Monthly Metrics'!A:A,$B$4,'Data - Monthly Metrics'!B:B,"Mar",'Data - Monthly Metrics'!C:C,"East King",'Data - Monthly Metrics'!D:D,"Members Up for Renewal - Target (#)"))</f>
        <v/>
      </c>
      <c r="I57" s="103">
        <f>SUM(F57,G57,H57)</f>
        <v/>
      </c>
      <c r="J57" s="93">
        <f>IF(COUNTIFS('Data - Monthly Metrics'!A:A,$B$4,'Data - Monthly Metrics'!B:B,"Apr",'Data - Monthly Metrics'!C:C,"East King",'Data - Monthly Metrics'!D:D,"Members Up for Renewal - Target (#)")=0,"-",SUMIFS('Data - Monthly Metrics'!E:E,'Data - Monthly Metrics'!A:A,$B$4,'Data - Monthly Metrics'!B:B,"Apr",'Data - Monthly Metrics'!C:C,"East King",'Data - Monthly Metrics'!D:D,"Members Up for Renewal - Target (#)"))</f>
        <v/>
      </c>
      <c r="K57" s="93">
        <f>IF(COUNTIFS('Data - Monthly Metrics'!A:A,$B$4,'Data - Monthly Metrics'!B:B,"May",'Data - Monthly Metrics'!C:C,"East King",'Data - Monthly Metrics'!D:D,"Members Up for Renewal - Target (#)")=0,"-",SUMIFS('Data - Monthly Metrics'!E:E,'Data - Monthly Metrics'!A:A,$B$4,'Data - Monthly Metrics'!B:B,"May",'Data - Monthly Metrics'!C:C,"East King",'Data - Monthly Metrics'!D:D,"Members Up for Renewal - Target (#)"))</f>
        <v/>
      </c>
      <c r="L57" s="93">
        <f>IF(COUNTIFS('Data - Monthly Metrics'!A:A,$B$4,'Data - Monthly Metrics'!B:B,"Jun",'Data - Monthly Metrics'!C:C,"East King",'Data - Monthly Metrics'!D:D,"Members Up for Renewal - Target (#)")=0,"-",SUMIFS('Data - Monthly Metrics'!E:E,'Data - Monthly Metrics'!A:A,$B$4,'Data - Monthly Metrics'!B:B,"Jun",'Data - Monthly Metrics'!C:C,"East King",'Data - Monthly Metrics'!D:D,"Members Up for Renewal - Target (#)"))</f>
        <v/>
      </c>
      <c r="M57" s="103">
        <f>SUM(J57,K57,L57)</f>
        <v/>
      </c>
      <c r="N57" s="93">
        <f>IF(COUNTIFS('Data - Monthly Metrics'!A:A,$B$4,'Data - Monthly Metrics'!B:B,"Jul",'Data - Monthly Metrics'!C:C,"East King",'Data - Monthly Metrics'!D:D,"Members Up for Renewal - Target (#)")=0,"-",SUMIFS('Data - Monthly Metrics'!E:E,'Data - Monthly Metrics'!A:A,$B$4,'Data - Monthly Metrics'!B:B,"Jul",'Data - Monthly Metrics'!C:C,"East King",'Data - Monthly Metrics'!D:D,"Members Up for Renewal - Target (#)"))</f>
        <v/>
      </c>
      <c r="O57" s="93">
        <f>IF(COUNTIFS('Data - Monthly Metrics'!A:A,$B$4,'Data - Monthly Metrics'!B:B,"Aug",'Data - Monthly Metrics'!C:C,"East King",'Data - Monthly Metrics'!D:D,"Members Up for Renewal - Target (#)")=0,"-",SUMIFS('Data - Monthly Metrics'!E:E,'Data - Monthly Metrics'!A:A,$B$4,'Data - Monthly Metrics'!B:B,"Aug",'Data - Monthly Metrics'!C:C,"East King",'Data - Monthly Metrics'!D:D,"Members Up for Renewal - Target (#)"))</f>
        <v/>
      </c>
      <c r="P57" s="93">
        <f>IF(COUNTIFS('Data - Monthly Metrics'!A:A,$B$4,'Data - Monthly Metrics'!B:B,"Sep",'Data - Monthly Metrics'!C:C,"East King",'Data - Monthly Metrics'!D:D,"Members Up for Renewal - Target (#)")=0,"-",SUMIFS('Data - Monthly Metrics'!E:E,'Data - Monthly Metrics'!A:A,$B$4,'Data - Monthly Metrics'!B:B,"Sep",'Data - Monthly Metrics'!C:C,"East King",'Data - Monthly Metrics'!D:D,"Members Up for Renewal - Target (#)"))</f>
        <v/>
      </c>
      <c r="Q57" s="103">
        <f>SUM(N57,O57,P57)</f>
        <v/>
      </c>
      <c r="R57" s="103">
        <f>E57+I57+M57+Q57</f>
        <v/>
      </c>
    </row>
    <row r="58" ht="14.25" customHeight="1" s="82">
      <c r="A58" s="94" t="inlineStr">
        <is>
          <t>Retained - Target (#)</t>
        </is>
      </c>
      <c r="B58" s="98">
        <f>IF(COUNTIFS('Data - Monthly Metrics'!A:A,$B$4-1,'Data - Monthly Metrics'!B:B,"Oct",'Data - Monthly Metrics'!C:C,"East King",'Data - Monthly Metrics'!D:D,"Members Retained - Target (#)")=0,"-",SUMIFS('Data - Monthly Metrics'!E:E,'Data - Monthly Metrics'!A:A,$B$4-1,'Data - Monthly Metrics'!B:B,"Oct",'Data - Monthly Metrics'!C:C,"East King",'Data - Monthly Metrics'!D:D,"Members Retained - Target (#)"))</f>
        <v/>
      </c>
      <c r="C58" s="98">
        <f>IF(COUNTIFS('Data - Monthly Metrics'!A:A,$B$4-1,'Data - Monthly Metrics'!B:B,"Nov",'Data - Monthly Metrics'!C:C,"East King",'Data - Monthly Metrics'!D:D,"Members Retained - Target (#)")=0,"-",SUMIFS('Data - Monthly Metrics'!E:E,'Data - Monthly Metrics'!A:A,$B$4-1,'Data - Monthly Metrics'!B:B,"Nov",'Data - Monthly Metrics'!C:C,"East King",'Data - Monthly Metrics'!D:D,"Members Retained - Target (#)"))</f>
        <v/>
      </c>
      <c r="D58" s="98">
        <f>IF(COUNTIFS('Data - Monthly Metrics'!A:A,$B$4-1,'Data - Monthly Metrics'!B:B,"Dec",'Data - Monthly Metrics'!C:C,"East King",'Data - Monthly Metrics'!D:D,"Members Retained - Target (#)")=0,"-",SUMIFS('Data - Monthly Metrics'!E:E,'Data - Monthly Metrics'!A:A,$B$4-1,'Data - Monthly Metrics'!B:B,"Dec",'Data - Monthly Metrics'!C:C,"East King",'Data - Monthly Metrics'!D:D,"Members Retained - Target (#)"))</f>
        <v/>
      </c>
      <c r="E58" s="103">
        <f>SUM(B58,C58,D58)</f>
        <v/>
      </c>
      <c r="F58" s="98">
        <f>IF(COUNTIFS('Data - Monthly Metrics'!A:A,$B$4,'Data - Monthly Metrics'!B:B,"Jan",'Data - Monthly Metrics'!C:C,"East King",'Data - Monthly Metrics'!D:D,"Members Retained - Target (#)")=0,"-",SUMIFS('Data - Monthly Metrics'!E:E,'Data - Monthly Metrics'!A:A,$B$4,'Data - Monthly Metrics'!B:B,"Jan",'Data - Monthly Metrics'!C:C,"East King",'Data - Monthly Metrics'!D:D,"Members Retained - Target (#)"))</f>
        <v/>
      </c>
      <c r="G58" s="98">
        <f>IF(COUNTIFS('Data - Monthly Metrics'!A:A,$B$4,'Data - Monthly Metrics'!B:B,"Feb",'Data - Monthly Metrics'!C:C,"East King",'Data - Monthly Metrics'!D:D,"Members Retained - Target (#)")=0,"-",SUMIFS('Data - Monthly Metrics'!E:E,'Data - Monthly Metrics'!A:A,$B$4,'Data - Monthly Metrics'!B:B,"Feb",'Data - Monthly Metrics'!C:C,"East King",'Data - Monthly Metrics'!D:D,"Members Retained - Target (#)"))</f>
        <v/>
      </c>
      <c r="H58" s="98">
        <f>IF(COUNTIFS('Data - Monthly Metrics'!A:A,$B$4,'Data - Monthly Metrics'!B:B,"Mar",'Data - Monthly Metrics'!C:C,"East King",'Data - Monthly Metrics'!D:D,"Members Retained - Target (#)")=0,"-",SUMIFS('Data - Monthly Metrics'!E:E,'Data - Monthly Metrics'!A:A,$B$4,'Data - Monthly Metrics'!B:B,"Mar",'Data - Monthly Metrics'!C:C,"East King",'Data - Monthly Metrics'!D:D,"Members Retained - Target (#)"))</f>
        <v/>
      </c>
      <c r="I58" s="103">
        <f>SUM(F58,G58,H58)</f>
        <v/>
      </c>
      <c r="J58" s="98">
        <f>IF(COUNTIFS('Data - Monthly Metrics'!A:A,$B$4,'Data - Monthly Metrics'!B:B,"Apr",'Data - Monthly Metrics'!C:C,"East King",'Data - Monthly Metrics'!D:D,"Members Retained - Target (#)")=0,"-",SUMIFS('Data - Monthly Metrics'!E:E,'Data - Monthly Metrics'!A:A,$B$4,'Data - Monthly Metrics'!B:B,"Apr",'Data - Monthly Metrics'!C:C,"East King",'Data - Monthly Metrics'!D:D,"Members Retained - Target (#)"))</f>
        <v/>
      </c>
      <c r="K58" s="98">
        <f>IF(COUNTIFS('Data - Monthly Metrics'!A:A,$B$4,'Data - Monthly Metrics'!B:B,"May",'Data - Monthly Metrics'!C:C,"East King",'Data - Monthly Metrics'!D:D,"Members Retained - Target (#)")=0,"-",SUMIFS('Data - Monthly Metrics'!E:E,'Data - Monthly Metrics'!A:A,$B$4,'Data - Monthly Metrics'!B:B,"May",'Data - Monthly Metrics'!C:C,"East King",'Data - Monthly Metrics'!D:D,"Members Retained - Target (#)"))</f>
        <v/>
      </c>
      <c r="L58" s="98">
        <f>IF(COUNTIFS('Data - Monthly Metrics'!A:A,$B$4,'Data - Monthly Metrics'!B:B,"Jun",'Data - Monthly Metrics'!C:C,"East King",'Data - Monthly Metrics'!D:D,"Members Retained - Target (#)")=0,"-",SUMIFS('Data - Monthly Metrics'!E:E,'Data - Monthly Metrics'!A:A,$B$4,'Data - Monthly Metrics'!B:B,"Jun",'Data - Monthly Metrics'!C:C,"East King",'Data - Monthly Metrics'!D:D,"Members Retained - Target (#)"))</f>
        <v/>
      </c>
      <c r="M58" s="103">
        <f>SUM(J58,K58,L58)</f>
        <v/>
      </c>
      <c r="N58" s="98">
        <f>IF(COUNTIFS('Data - Monthly Metrics'!A:A,$B$4,'Data - Monthly Metrics'!B:B,"Jul",'Data - Monthly Metrics'!C:C,"East King",'Data - Monthly Metrics'!D:D,"Members Retained - Target (#)")=0,"-",SUMIFS('Data - Monthly Metrics'!E:E,'Data - Monthly Metrics'!A:A,$B$4,'Data - Monthly Metrics'!B:B,"Jul",'Data - Monthly Metrics'!C:C,"East King",'Data - Monthly Metrics'!D:D,"Members Retained - Target (#)"))</f>
        <v/>
      </c>
      <c r="O58" s="98">
        <f>IF(COUNTIFS('Data - Monthly Metrics'!A:A,$B$4,'Data - Monthly Metrics'!B:B,"Aug",'Data - Monthly Metrics'!C:C,"East King",'Data - Monthly Metrics'!D:D,"Members Retained - Target (#)")=0,"-",SUMIFS('Data - Monthly Metrics'!E:E,'Data - Monthly Metrics'!A:A,$B$4,'Data - Monthly Metrics'!B:B,"Aug",'Data - Monthly Metrics'!C:C,"East King",'Data - Monthly Metrics'!D:D,"Members Retained - Target (#)"))</f>
        <v/>
      </c>
      <c r="P58" s="98">
        <f>IF(COUNTIFS('Data - Monthly Metrics'!A:A,$B$4,'Data - Monthly Metrics'!B:B,"Sep",'Data - Monthly Metrics'!C:C,"East King",'Data - Monthly Metrics'!D:D,"Members Retained - Target (#)")=0,"-",SUMIFS('Data - Monthly Metrics'!E:E,'Data - Monthly Metrics'!A:A,$B$4,'Data - Monthly Metrics'!B:B,"Sep",'Data - Monthly Metrics'!C:C,"East King",'Data - Monthly Metrics'!D:D,"Members Retained - Target (#)"))</f>
        <v/>
      </c>
      <c r="Q58" s="103">
        <f>SUM(N58,O58,P58)</f>
        <v/>
      </c>
      <c r="R58" s="103">
        <f>E58+I58+M58+Q58</f>
        <v/>
      </c>
    </row>
    <row r="59" ht="14.25" customHeight="1" s="82">
      <c r="A59" s="89" t="inlineStr">
        <is>
          <t>Account Retention % - Target</t>
        </is>
      </c>
      <c r="B59" s="92">
        <f>IF(B57=0,0,B58/B57)</f>
        <v/>
      </c>
      <c r="C59" s="92">
        <f>IF(C57=0,0,C58/C57)</f>
        <v/>
      </c>
      <c r="D59" s="92">
        <f>IF(D57=0,0,D58/D57)</f>
        <v/>
      </c>
      <c r="E59" s="102">
        <f>IF(E57=0,0,E58/E57)</f>
        <v/>
      </c>
      <c r="F59" s="92">
        <f>IF(F57=0,0,F58/F57)</f>
        <v/>
      </c>
      <c r="G59" s="92">
        <f>IF(G57=0,0,G58/G57)</f>
        <v/>
      </c>
      <c r="H59" s="92">
        <f>IF(H57=0,0,H58/H57)</f>
        <v/>
      </c>
      <c r="I59" s="102">
        <f>IF(I57=0,0,I58/I57)</f>
        <v/>
      </c>
      <c r="J59" s="92">
        <f>IF(J57=0,0,J58/J57)</f>
        <v/>
      </c>
      <c r="K59" s="92">
        <f>IF(K57=0,0,K58/K57)</f>
        <v/>
      </c>
      <c r="L59" s="92">
        <f>IF(L57=0,0,L58/L57)</f>
        <v/>
      </c>
      <c r="M59" s="102">
        <f>IF(M57=0,0,M58/M57)</f>
        <v/>
      </c>
      <c r="N59" s="92">
        <f>IF(N57=0,0,N58/N57)</f>
        <v/>
      </c>
      <c r="O59" s="92">
        <f>IF(O57=0,0,O58/O57)</f>
        <v/>
      </c>
      <c r="P59" s="92">
        <f>IF(P57=0,0,P58/P57)</f>
        <v/>
      </c>
      <c r="Q59" s="102">
        <f>IF(Q57=0,0,Q58/Q57)</f>
        <v/>
      </c>
      <c r="R59" s="102">
        <f>IF(R57=0,0,R58/R57)</f>
        <v/>
      </c>
    </row>
    <row r="60" ht="14.25" customHeight="1" s="82">
      <c r="A60" s="94" t="inlineStr">
        <is>
          <t>Status</t>
        </is>
      </c>
      <c r="B60" s="120">
        <f>IF(OR(NOT(ISNUMBER(B59)),B59=0,COUNTIFS('Data - Monthly Metrics'!$A:$A,$B$4-1,'Data - Monthly Metrics'!$B:$B,B$8,'Data - Monthly Metrics'!$C:$C,"East King",'Data - Monthly Metrics'!$D:$D,"Goal - Retention %")=0),"—",IF(B59&gt;=SUMIFS('Data - Monthly Metrics'!$E:$E,'Data - Monthly Metrics'!$A:$A,$B$4-1,'Data - Monthly Metrics'!$B:$B,B$8,'Data - Monthly Metrics'!$C:$C,"East King",'Data - Monthly Metrics'!$D:$D,"Goal - Retention %"),"On Track",IF(B59&gt;=SUMIFS('Data - Monthly Metrics'!$E:$E,'Data - Monthly Metrics'!$A:$A,$B$4-1,'Data - Monthly Metrics'!$B:$B,B$8,'Data - Monthly Metrics'!$C:$C,"East King",'Data - Monthly Metrics'!$D:$D,"Goal - Retention %")-0.05,"Watch","At Risk")))</f>
        <v/>
      </c>
      <c r="C60" s="120">
        <f>IF(OR(NOT(ISNUMBER(C59)),C59=0,COUNTIFS('Data - Monthly Metrics'!$A:$A,$B$4-1,'Data - Monthly Metrics'!$B:$B,C$8,'Data - Monthly Metrics'!$C:$C,"East King",'Data - Monthly Metrics'!$D:$D,"Goal - Retention %")=0),"—",IF(C59&gt;=SUMIFS('Data - Monthly Metrics'!$E:$E,'Data - Monthly Metrics'!$A:$A,$B$4-1,'Data - Monthly Metrics'!$B:$B,C$8,'Data - Monthly Metrics'!$C:$C,"East King",'Data - Monthly Metrics'!$D:$D,"Goal - Retention %"),"On Track",IF(C59&gt;=SUMIFS('Data - Monthly Metrics'!$E:$E,'Data - Monthly Metrics'!$A:$A,$B$4-1,'Data - Monthly Metrics'!$B:$B,C$8,'Data - Monthly Metrics'!$C:$C,"East King",'Data - Monthly Metrics'!$D:$D,"Goal - Retention %")-0.05,"Watch","At Risk")))</f>
        <v/>
      </c>
      <c r="D60" s="120">
        <f>IF(OR(NOT(ISNUMBER(D59)),D59=0,COUNTIFS('Data - Monthly Metrics'!$A:$A,$B$4-1,'Data - Monthly Metrics'!$B:$B,D$8,'Data - Monthly Metrics'!$C:$C,"East King",'Data - Monthly Metrics'!$D:$D,"Goal - Retention %")=0),"—",IF(D59&gt;=SUMIFS('Data - Monthly Metrics'!$E:$E,'Data - Monthly Metrics'!$A:$A,$B$4-1,'Data - Monthly Metrics'!$B:$B,D$8,'Data - Monthly Metrics'!$C:$C,"East King",'Data - Monthly Metrics'!$D:$D,"Goal - Retention %"),"On Track",IF(D59&gt;=SUMIFS('Data - Monthly Metrics'!$E:$E,'Data - Monthly Metrics'!$A:$A,$B$4-1,'Data - Monthly Metrics'!$B:$B,D$8,'Data - Monthly Metrics'!$C:$C,"East King",'Data - Monthly Metrics'!$D:$D,"Goal - Retention %")-0.05,"Watch","At Risk")))</f>
        <v/>
      </c>
      <c r="E60" s="121">
        <f>"—"</f>
        <v/>
      </c>
      <c r="F60" s="120">
        <f>IF(OR(NOT(ISNUMBER(F59)),F59=0,COUNTIFS('Data - Monthly Metrics'!$A:$A,$B$4,'Data - Monthly Metrics'!$B:$B,F$8,'Data - Monthly Metrics'!$C:$C,"East King",'Data - Monthly Metrics'!$D:$D,"Goal - Retention %")=0),"—",IF(F59&gt;=SUMIFS('Data - Monthly Metrics'!$E:$E,'Data - Monthly Metrics'!$A:$A,$B$4,'Data - Monthly Metrics'!$B:$B,F$8,'Data - Monthly Metrics'!$C:$C,"East King",'Data - Monthly Metrics'!$D:$D,"Goal - Retention %"),"On Track",IF(F59&gt;=SUMIFS('Data - Monthly Metrics'!$E:$E,'Data - Monthly Metrics'!$A:$A,$B$4,'Data - Monthly Metrics'!$B:$B,F$8,'Data - Monthly Metrics'!$C:$C,"East King",'Data - Monthly Metrics'!$D:$D,"Goal - Retention %")-0.05,"Watch","At Risk")))</f>
        <v/>
      </c>
      <c r="G60" s="120">
        <f>IF(OR(NOT(ISNUMBER(G59)),G59=0,COUNTIFS('Data - Monthly Metrics'!$A:$A,$B$4,'Data - Monthly Metrics'!$B:$B,G$8,'Data - Monthly Metrics'!$C:$C,"East King",'Data - Monthly Metrics'!$D:$D,"Goal - Retention %")=0),"—",IF(G59&gt;=SUMIFS('Data - Monthly Metrics'!$E:$E,'Data - Monthly Metrics'!$A:$A,$B$4,'Data - Monthly Metrics'!$B:$B,G$8,'Data - Monthly Metrics'!$C:$C,"East King",'Data - Monthly Metrics'!$D:$D,"Goal - Retention %"),"On Track",IF(G59&gt;=SUMIFS('Data - Monthly Metrics'!$E:$E,'Data - Monthly Metrics'!$A:$A,$B$4,'Data - Monthly Metrics'!$B:$B,G$8,'Data - Monthly Metrics'!$C:$C,"East King",'Data - Monthly Metrics'!$D:$D,"Goal - Retention %")-0.05,"Watch","At Risk")))</f>
        <v/>
      </c>
      <c r="H60" s="120">
        <f>IF(OR(NOT(ISNUMBER(H59)),H59=0,COUNTIFS('Data - Monthly Metrics'!$A:$A,$B$4,'Data - Monthly Metrics'!$B:$B,H$8,'Data - Monthly Metrics'!$C:$C,"East King",'Data - Monthly Metrics'!$D:$D,"Goal - Retention %")=0),"—",IF(H59&gt;=SUMIFS('Data - Monthly Metrics'!$E:$E,'Data - Monthly Metrics'!$A:$A,$B$4,'Data - Monthly Metrics'!$B:$B,H$8,'Data - Monthly Metrics'!$C:$C,"East King",'Data - Monthly Metrics'!$D:$D,"Goal - Retention %"),"On Track",IF(H59&gt;=SUMIFS('Data - Monthly Metrics'!$E:$E,'Data - Monthly Metrics'!$A:$A,$B$4,'Data - Monthly Metrics'!$B:$B,H$8,'Data - Monthly Metrics'!$C:$C,"East King",'Data - Monthly Metrics'!$D:$D,"Goal - Retention %")-0.05,"Watch","At Risk")))</f>
        <v/>
      </c>
      <c r="I60" s="121">
        <f>"—"</f>
        <v/>
      </c>
      <c r="J60" s="120">
        <f>IF(OR(NOT(ISNUMBER(J59)),J59=0,COUNTIFS('Data - Monthly Metrics'!$A:$A,$B$4,'Data - Monthly Metrics'!$B:$B,J$8,'Data - Monthly Metrics'!$C:$C,"East King",'Data - Monthly Metrics'!$D:$D,"Goal - Retention %")=0),"—",IF(J59&gt;=SUMIFS('Data - Monthly Metrics'!$E:$E,'Data - Monthly Metrics'!$A:$A,$B$4,'Data - Monthly Metrics'!$B:$B,J$8,'Data - Monthly Metrics'!$C:$C,"East King",'Data - Monthly Metrics'!$D:$D,"Goal - Retention %"),"On Track",IF(J59&gt;=SUMIFS('Data - Monthly Metrics'!$E:$E,'Data - Monthly Metrics'!$A:$A,$B$4,'Data - Monthly Metrics'!$B:$B,J$8,'Data - Monthly Metrics'!$C:$C,"East King",'Data - Monthly Metrics'!$D:$D,"Goal - Retention %")-0.05,"Watch","At Risk")))</f>
        <v/>
      </c>
      <c r="K60" s="120">
        <f>IF(OR(NOT(ISNUMBER(K59)),K59=0,COUNTIFS('Data - Monthly Metrics'!$A:$A,$B$4,'Data - Monthly Metrics'!$B:$B,K$8,'Data - Monthly Metrics'!$C:$C,"East King",'Data - Monthly Metrics'!$D:$D,"Goal - Retention %")=0),"—",IF(K59&gt;=SUMIFS('Data - Monthly Metrics'!$E:$E,'Data - Monthly Metrics'!$A:$A,$B$4,'Data - Monthly Metrics'!$B:$B,K$8,'Data - Monthly Metrics'!$C:$C,"East King",'Data - Monthly Metrics'!$D:$D,"Goal - Retention %"),"On Track",IF(K59&gt;=SUMIFS('Data - Monthly Metrics'!$E:$E,'Data - Monthly Metrics'!$A:$A,$B$4,'Data - Monthly Metrics'!$B:$B,K$8,'Data - Monthly Metrics'!$C:$C,"East King",'Data - Monthly Metrics'!$D:$D,"Goal - Retention %")-0.05,"Watch","At Risk")))</f>
        <v/>
      </c>
      <c r="L60" s="120">
        <f>IF(OR(NOT(ISNUMBER(L59)),L59=0,COUNTIFS('Data - Monthly Metrics'!$A:$A,$B$4,'Data - Monthly Metrics'!$B:$B,L$8,'Data - Monthly Metrics'!$C:$C,"East King",'Data - Monthly Metrics'!$D:$D,"Goal - Retention %")=0),"—",IF(L59&gt;=SUMIFS('Data - Monthly Metrics'!$E:$E,'Data - Monthly Metrics'!$A:$A,$B$4,'Data - Monthly Metrics'!$B:$B,L$8,'Data - Monthly Metrics'!$C:$C,"East King",'Data - Monthly Metrics'!$D:$D,"Goal - Retention %"),"On Track",IF(L59&gt;=SUMIFS('Data - Monthly Metrics'!$E:$E,'Data - Monthly Metrics'!$A:$A,$B$4,'Data - Monthly Metrics'!$B:$B,L$8,'Data - Monthly Metrics'!$C:$C,"East King",'Data - Monthly Metrics'!$D:$D,"Goal - Retention %")-0.05,"Watch","At Risk")))</f>
        <v/>
      </c>
      <c r="M60" s="121">
        <f>"—"</f>
        <v/>
      </c>
      <c r="N60" s="120">
        <f>IF(OR(NOT(ISNUMBER(N59)),N59=0,COUNTIFS('Data - Monthly Metrics'!$A:$A,$B$4,'Data - Monthly Metrics'!$B:$B,N$8,'Data - Monthly Metrics'!$C:$C,"East King",'Data - Monthly Metrics'!$D:$D,"Goal - Retention %")=0),"—",IF(N59&gt;=SUMIFS('Data - Monthly Metrics'!$E:$E,'Data - Monthly Metrics'!$A:$A,$B$4,'Data - Monthly Metrics'!$B:$B,N$8,'Data - Monthly Metrics'!$C:$C,"East King",'Data - Monthly Metrics'!$D:$D,"Goal - Retention %"),"On Track",IF(N59&gt;=SUMIFS('Data - Monthly Metrics'!$E:$E,'Data - Monthly Metrics'!$A:$A,$B$4,'Data - Monthly Metrics'!$B:$B,N$8,'Data - Monthly Metrics'!$C:$C,"East King",'Data - Monthly Metrics'!$D:$D,"Goal - Retention %")-0.05,"Watch","At Risk")))</f>
        <v/>
      </c>
      <c r="O60" s="120">
        <f>IF(OR(NOT(ISNUMBER(O59)),O59=0,COUNTIFS('Data - Monthly Metrics'!$A:$A,$B$4,'Data - Monthly Metrics'!$B:$B,O$8,'Data - Monthly Metrics'!$C:$C,"East King",'Data - Monthly Metrics'!$D:$D,"Goal - Retention %")=0),"—",IF(O59&gt;=SUMIFS('Data - Monthly Metrics'!$E:$E,'Data - Monthly Metrics'!$A:$A,$B$4,'Data - Monthly Metrics'!$B:$B,O$8,'Data - Monthly Metrics'!$C:$C,"East King",'Data - Monthly Metrics'!$D:$D,"Goal - Retention %"),"On Track",IF(O59&gt;=SUMIFS('Data - Monthly Metrics'!$E:$E,'Data - Monthly Metrics'!$A:$A,$B$4,'Data - Monthly Metrics'!$B:$B,O$8,'Data - Monthly Metrics'!$C:$C,"East King",'Data - Monthly Metrics'!$D:$D,"Goal - Retention %")-0.05,"Watch","At Risk")))</f>
        <v/>
      </c>
      <c r="P60" s="120">
        <f>IF(OR(NOT(ISNUMBER(P59)),P59=0,COUNTIFS('Data - Monthly Metrics'!$A:$A,$B$4,'Data - Monthly Metrics'!$B:$B,P$8,'Data - Monthly Metrics'!$C:$C,"East King",'Data - Monthly Metrics'!$D:$D,"Goal - Retention %")=0),"—",IF(P59&gt;=SUMIFS('Data - Monthly Metrics'!$E:$E,'Data - Monthly Metrics'!$A:$A,$B$4,'Data - Monthly Metrics'!$B:$B,P$8,'Data - Monthly Metrics'!$C:$C,"East King",'Data - Monthly Metrics'!$D:$D,"Goal - Retention %"),"On Track",IF(P59&gt;=SUMIFS('Data - Monthly Metrics'!$E:$E,'Data - Monthly Metrics'!$A:$A,$B$4,'Data - Monthly Metrics'!$B:$B,P$8,'Data - Monthly Metrics'!$C:$C,"East King",'Data - Monthly Metrics'!$D:$D,"Goal - Retention %")-0.05,"Watch","At Risk")))</f>
        <v/>
      </c>
      <c r="Q60" s="121">
        <f>"—"</f>
        <v/>
      </c>
      <c r="R60" s="121">
        <f>"—"</f>
        <v/>
      </c>
    </row>
    <row r="61" ht="14.25" customHeight="1" s="82">
      <c r="A61" s="89" t="inlineStr">
        <is>
          <t>Revenue Up for Renewal - Target ($)</t>
        </is>
      </c>
      <c r="B61" s="91">
        <f>IF(COUNTIFS('Data - Monthly Metrics'!A:A,$B$4-1,'Data - Monthly Metrics'!B:B,"Oct",'Data - Monthly Metrics'!C:C,"East King",'Data - Monthly Metrics'!D:D,"Revenue Up for Renewal - Target ($)")=0,"-",SUMIFS('Data - Monthly Metrics'!E:E,'Data - Monthly Metrics'!A:A,$B$4-1,'Data - Monthly Metrics'!B:B,"Oct",'Data - Monthly Metrics'!C:C,"East King",'Data - Monthly Metrics'!D:D,"Revenue Up for Renewal - Target ($)"))</f>
        <v/>
      </c>
      <c r="C61" s="91">
        <f>IF(COUNTIFS('Data - Monthly Metrics'!A:A,$B$4-1,'Data - Monthly Metrics'!B:B,"Nov",'Data - Monthly Metrics'!C:C,"East King",'Data - Monthly Metrics'!D:D,"Revenue Up for Renewal - Target ($)")=0,"-",SUMIFS('Data - Monthly Metrics'!E:E,'Data - Monthly Metrics'!A:A,$B$4-1,'Data - Monthly Metrics'!B:B,"Nov",'Data - Monthly Metrics'!C:C,"East King",'Data - Monthly Metrics'!D:D,"Revenue Up for Renewal - Target ($)"))</f>
        <v/>
      </c>
      <c r="D61" s="91">
        <f>IF(COUNTIFS('Data - Monthly Metrics'!A:A,$B$4-1,'Data - Monthly Metrics'!B:B,"Dec",'Data - Monthly Metrics'!C:C,"East King",'Data - Monthly Metrics'!D:D,"Revenue Up for Renewal - Target ($)")=0,"-",SUMIFS('Data - Monthly Metrics'!E:E,'Data - Monthly Metrics'!A:A,$B$4-1,'Data - Monthly Metrics'!B:B,"Dec",'Data - Monthly Metrics'!C:C,"East King",'Data - Monthly Metrics'!D:D,"Revenue Up for Renewal - Target ($)"))</f>
        <v/>
      </c>
      <c r="E61" s="101">
        <f>SUM(B61,C61,D61)</f>
        <v/>
      </c>
      <c r="F61" s="91">
        <f>IF(COUNTIFS('Data - Monthly Metrics'!A:A,$B$4,'Data - Monthly Metrics'!B:B,"Jan",'Data - Monthly Metrics'!C:C,"East King",'Data - Monthly Metrics'!D:D,"Revenue Up for Renewal - Target ($)")=0,"-",SUMIFS('Data - Monthly Metrics'!E:E,'Data - Monthly Metrics'!A:A,$B$4,'Data - Monthly Metrics'!B:B,"Jan",'Data - Monthly Metrics'!C:C,"East King",'Data - Monthly Metrics'!D:D,"Revenue Up for Renewal - Target ($)"))</f>
        <v/>
      </c>
      <c r="G61" s="91">
        <f>IF(COUNTIFS('Data - Monthly Metrics'!A:A,$B$4,'Data - Monthly Metrics'!B:B,"Feb",'Data - Monthly Metrics'!C:C,"East King",'Data - Monthly Metrics'!D:D,"Revenue Up for Renewal - Target ($)")=0,"-",SUMIFS('Data - Monthly Metrics'!E:E,'Data - Monthly Metrics'!A:A,$B$4,'Data - Monthly Metrics'!B:B,"Feb",'Data - Monthly Metrics'!C:C,"East King",'Data - Monthly Metrics'!D:D,"Revenue Up for Renewal - Target ($)"))</f>
        <v/>
      </c>
      <c r="H61" s="91">
        <f>IF(COUNTIFS('Data - Monthly Metrics'!A:A,$B$4,'Data - Monthly Metrics'!B:B,"Mar",'Data - Monthly Metrics'!C:C,"East King",'Data - Monthly Metrics'!D:D,"Revenue Up for Renewal - Target ($)")=0,"-",SUMIFS('Data - Monthly Metrics'!E:E,'Data - Monthly Metrics'!A:A,$B$4,'Data - Monthly Metrics'!B:B,"Mar",'Data - Monthly Metrics'!C:C,"East King",'Data - Monthly Metrics'!D:D,"Revenue Up for Renewal - Target ($)"))</f>
        <v/>
      </c>
      <c r="I61" s="101">
        <f>SUM(F61,G61,H61)</f>
        <v/>
      </c>
      <c r="J61" s="91">
        <f>IF(COUNTIFS('Data - Monthly Metrics'!A:A,$B$4,'Data - Monthly Metrics'!B:B,"Apr",'Data - Monthly Metrics'!C:C,"East King",'Data - Monthly Metrics'!D:D,"Revenue Up for Renewal - Target ($)")=0,"-",SUMIFS('Data - Monthly Metrics'!E:E,'Data - Monthly Metrics'!A:A,$B$4,'Data - Monthly Metrics'!B:B,"Apr",'Data - Monthly Metrics'!C:C,"East King",'Data - Monthly Metrics'!D:D,"Revenue Up for Renewal - Target ($)"))</f>
        <v/>
      </c>
      <c r="K61" s="91">
        <f>IF(COUNTIFS('Data - Monthly Metrics'!A:A,$B$4,'Data - Monthly Metrics'!B:B,"May",'Data - Monthly Metrics'!C:C,"East King",'Data - Monthly Metrics'!D:D,"Revenue Up for Renewal - Target ($)")=0,"-",SUMIFS('Data - Monthly Metrics'!E:E,'Data - Monthly Metrics'!A:A,$B$4,'Data - Monthly Metrics'!B:B,"May",'Data - Monthly Metrics'!C:C,"East King",'Data - Monthly Metrics'!D:D,"Revenue Up for Renewal - Target ($)"))</f>
        <v/>
      </c>
      <c r="L61" s="91">
        <f>IF(COUNTIFS('Data - Monthly Metrics'!A:A,$B$4,'Data - Monthly Metrics'!B:B,"Jun",'Data - Monthly Metrics'!C:C,"East King",'Data - Monthly Metrics'!D:D,"Revenue Up for Renewal - Target ($)")=0,"-",SUMIFS('Data - Monthly Metrics'!E:E,'Data - Monthly Metrics'!A:A,$B$4,'Data - Monthly Metrics'!B:B,"Jun",'Data - Monthly Metrics'!C:C,"East King",'Data - Monthly Metrics'!D:D,"Revenue Up for Renewal - Target ($)"))</f>
        <v/>
      </c>
      <c r="M61" s="101">
        <f>SUM(J61,K61,L61)</f>
        <v/>
      </c>
      <c r="N61" s="91">
        <f>IF(COUNTIFS('Data - Monthly Metrics'!A:A,$B$4,'Data - Monthly Metrics'!B:B,"Jul",'Data - Monthly Metrics'!C:C,"East King",'Data - Monthly Metrics'!D:D,"Revenue Up for Renewal - Target ($)")=0,"-",SUMIFS('Data - Monthly Metrics'!E:E,'Data - Monthly Metrics'!A:A,$B$4,'Data - Monthly Metrics'!B:B,"Jul",'Data - Monthly Metrics'!C:C,"East King",'Data - Monthly Metrics'!D:D,"Revenue Up for Renewal - Target ($)"))</f>
        <v/>
      </c>
      <c r="O61" s="91">
        <f>IF(COUNTIFS('Data - Monthly Metrics'!A:A,$B$4,'Data - Monthly Metrics'!B:B,"Aug",'Data - Monthly Metrics'!C:C,"East King",'Data - Monthly Metrics'!D:D,"Revenue Up for Renewal - Target ($)")=0,"-",SUMIFS('Data - Monthly Metrics'!E:E,'Data - Monthly Metrics'!A:A,$B$4,'Data - Monthly Metrics'!B:B,"Aug",'Data - Monthly Metrics'!C:C,"East King",'Data - Monthly Metrics'!D:D,"Revenue Up for Renewal - Target ($)"))</f>
        <v/>
      </c>
      <c r="P61" s="91">
        <f>IF(COUNTIFS('Data - Monthly Metrics'!A:A,$B$4,'Data - Monthly Metrics'!B:B,"Sep",'Data - Monthly Metrics'!C:C,"East King",'Data - Monthly Metrics'!D:D,"Revenue Up for Renewal - Target ($)")=0,"-",SUMIFS('Data - Monthly Metrics'!E:E,'Data - Monthly Metrics'!A:A,$B$4,'Data - Monthly Metrics'!B:B,"Sep",'Data - Monthly Metrics'!C:C,"East King",'Data - Monthly Metrics'!D:D,"Revenue Up for Renewal - Target ($)"))</f>
        <v/>
      </c>
      <c r="Q61" s="101">
        <f>SUM(N61,O61,P61)</f>
        <v/>
      </c>
      <c r="R61" s="101">
        <f>E61+I61+M61+Q61</f>
        <v/>
      </c>
    </row>
    <row r="62" ht="14.25" customHeight="1" s="82">
      <c r="A62" s="94" t="inlineStr">
        <is>
          <t>Revenue Retained - Target ($)</t>
        </is>
      </c>
      <c r="B62" s="96">
        <f>IF(COUNTIFS('Data - Monthly Metrics'!A:A,$B$4-1,'Data - Monthly Metrics'!B:B,"Oct",'Data - Monthly Metrics'!C:C,"East King",'Data - Monthly Metrics'!D:D,"Revenue Retained - Target ($)")=0,"-",SUMIFS('Data - Monthly Metrics'!E:E,'Data - Monthly Metrics'!A:A,$B$4-1,'Data - Monthly Metrics'!B:B,"Oct",'Data - Monthly Metrics'!C:C,"East King",'Data - Monthly Metrics'!D:D,"Revenue Retained - Target ($)"))</f>
        <v/>
      </c>
      <c r="C62" s="96">
        <f>IF(COUNTIFS('Data - Monthly Metrics'!A:A,$B$4-1,'Data - Monthly Metrics'!B:B,"Nov",'Data - Monthly Metrics'!C:C,"East King",'Data - Monthly Metrics'!D:D,"Revenue Retained - Target ($)")=0,"-",SUMIFS('Data - Monthly Metrics'!E:E,'Data - Monthly Metrics'!A:A,$B$4-1,'Data - Monthly Metrics'!B:B,"Nov",'Data - Monthly Metrics'!C:C,"East King",'Data - Monthly Metrics'!D:D,"Revenue Retained - Target ($)"))</f>
        <v/>
      </c>
      <c r="D62" s="96">
        <f>IF(COUNTIFS('Data - Monthly Metrics'!A:A,$B$4-1,'Data - Monthly Metrics'!B:B,"Dec",'Data - Monthly Metrics'!C:C,"East King",'Data - Monthly Metrics'!D:D,"Revenue Retained - Target ($)")=0,"-",SUMIFS('Data - Monthly Metrics'!E:E,'Data - Monthly Metrics'!A:A,$B$4-1,'Data - Monthly Metrics'!B:B,"Dec",'Data - Monthly Metrics'!C:C,"East King",'Data - Monthly Metrics'!D:D,"Revenue Retained - Target ($)"))</f>
        <v/>
      </c>
      <c r="E62" s="101">
        <f>SUM(B62,C62,D62)</f>
        <v/>
      </c>
      <c r="F62" s="96">
        <f>IF(COUNTIFS('Data - Monthly Metrics'!A:A,$B$4,'Data - Monthly Metrics'!B:B,"Jan",'Data - Monthly Metrics'!C:C,"East King",'Data - Monthly Metrics'!D:D,"Revenue Retained - Target ($)")=0,"-",SUMIFS('Data - Monthly Metrics'!E:E,'Data - Monthly Metrics'!A:A,$B$4,'Data - Monthly Metrics'!B:B,"Jan",'Data - Monthly Metrics'!C:C,"East King",'Data - Monthly Metrics'!D:D,"Revenue Retained - Target ($)"))</f>
        <v/>
      </c>
      <c r="G62" s="96">
        <f>IF(COUNTIFS('Data - Monthly Metrics'!A:A,$B$4,'Data - Monthly Metrics'!B:B,"Feb",'Data - Monthly Metrics'!C:C,"East King",'Data - Monthly Metrics'!D:D,"Revenue Retained - Target ($)")=0,"-",SUMIFS('Data - Monthly Metrics'!E:E,'Data - Monthly Metrics'!A:A,$B$4,'Data - Monthly Metrics'!B:B,"Feb",'Data - Monthly Metrics'!C:C,"East King",'Data - Monthly Metrics'!D:D,"Revenue Retained - Target ($)"))</f>
        <v/>
      </c>
      <c r="H62" s="96">
        <f>IF(COUNTIFS('Data - Monthly Metrics'!A:A,$B$4,'Data - Monthly Metrics'!B:B,"Mar",'Data - Monthly Metrics'!C:C,"East King",'Data - Monthly Metrics'!D:D,"Revenue Retained - Target ($)")=0,"-",SUMIFS('Data - Monthly Metrics'!E:E,'Data - Monthly Metrics'!A:A,$B$4,'Data - Monthly Metrics'!B:B,"Mar",'Data - Monthly Metrics'!C:C,"East King",'Data - Monthly Metrics'!D:D,"Revenue Retained - Target ($)"))</f>
        <v/>
      </c>
      <c r="I62" s="101">
        <f>SUM(F62,G62,H62)</f>
        <v/>
      </c>
      <c r="J62" s="96">
        <f>IF(COUNTIFS('Data - Monthly Metrics'!A:A,$B$4,'Data - Monthly Metrics'!B:B,"Apr",'Data - Monthly Metrics'!C:C,"East King",'Data - Monthly Metrics'!D:D,"Revenue Retained - Target ($)")=0,"-",SUMIFS('Data - Monthly Metrics'!E:E,'Data - Monthly Metrics'!A:A,$B$4,'Data - Monthly Metrics'!B:B,"Apr",'Data - Monthly Metrics'!C:C,"East King",'Data - Monthly Metrics'!D:D,"Revenue Retained - Target ($)"))</f>
        <v/>
      </c>
      <c r="K62" s="96">
        <f>IF(COUNTIFS('Data - Monthly Metrics'!A:A,$B$4,'Data - Monthly Metrics'!B:B,"May",'Data - Monthly Metrics'!C:C,"East King",'Data - Monthly Metrics'!D:D,"Revenue Retained - Target ($)")=0,"-",SUMIFS('Data - Monthly Metrics'!E:E,'Data - Monthly Metrics'!A:A,$B$4,'Data - Monthly Metrics'!B:B,"May",'Data - Monthly Metrics'!C:C,"East King",'Data - Monthly Metrics'!D:D,"Revenue Retained - Target ($)"))</f>
        <v/>
      </c>
      <c r="L62" s="96">
        <f>IF(COUNTIFS('Data - Monthly Metrics'!A:A,$B$4,'Data - Monthly Metrics'!B:B,"Jun",'Data - Monthly Metrics'!C:C,"East King",'Data - Monthly Metrics'!D:D,"Revenue Retained - Target ($)")=0,"-",SUMIFS('Data - Monthly Metrics'!E:E,'Data - Monthly Metrics'!A:A,$B$4,'Data - Monthly Metrics'!B:B,"Jun",'Data - Monthly Metrics'!C:C,"East King",'Data - Monthly Metrics'!D:D,"Revenue Retained - Target ($)"))</f>
        <v/>
      </c>
      <c r="M62" s="101">
        <f>SUM(J62,K62,L62)</f>
        <v/>
      </c>
      <c r="N62" s="96">
        <f>IF(COUNTIFS('Data - Monthly Metrics'!A:A,$B$4,'Data - Monthly Metrics'!B:B,"Jul",'Data - Monthly Metrics'!C:C,"East King",'Data - Monthly Metrics'!D:D,"Revenue Retained - Target ($)")=0,"-",SUMIFS('Data - Monthly Metrics'!E:E,'Data - Monthly Metrics'!A:A,$B$4,'Data - Monthly Metrics'!B:B,"Jul",'Data - Monthly Metrics'!C:C,"East King",'Data - Monthly Metrics'!D:D,"Revenue Retained - Target ($)"))</f>
        <v/>
      </c>
      <c r="O62" s="96">
        <f>IF(COUNTIFS('Data - Monthly Metrics'!A:A,$B$4,'Data - Monthly Metrics'!B:B,"Aug",'Data - Monthly Metrics'!C:C,"East King",'Data - Monthly Metrics'!D:D,"Revenue Retained - Target ($)")=0,"-",SUMIFS('Data - Monthly Metrics'!E:E,'Data - Monthly Metrics'!A:A,$B$4,'Data - Monthly Metrics'!B:B,"Aug",'Data - Monthly Metrics'!C:C,"East King",'Data - Monthly Metrics'!D:D,"Revenue Retained - Target ($)"))</f>
        <v/>
      </c>
      <c r="P62" s="96">
        <f>IF(COUNTIFS('Data - Monthly Metrics'!A:A,$B$4,'Data - Monthly Metrics'!B:B,"Sep",'Data - Monthly Metrics'!C:C,"East King",'Data - Monthly Metrics'!D:D,"Revenue Retained - Target ($)")=0,"-",SUMIFS('Data - Monthly Metrics'!E:E,'Data - Monthly Metrics'!A:A,$B$4,'Data - Monthly Metrics'!B:B,"Sep",'Data - Monthly Metrics'!C:C,"East King",'Data - Monthly Metrics'!D:D,"Revenue Retained - Target ($)"))</f>
        <v/>
      </c>
      <c r="Q62" s="101">
        <f>SUM(N62,O62,P62)</f>
        <v/>
      </c>
      <c r="R62" s="101">
        <f>E62+I62+M62+Q62</f>
        <v/>
      </c>
    </row>
    <row r="63" ht="14.25" customHeight="1" s="82">
      <c r="A63" s="94" t="inlineStr">
        <is>
          <t xml:space="preserve">   Comped (#)</t>
        </is>
      </c>
      <c r="B63" s="98">
        <f>IF(COUNTIFS('Data - Monthly Metrics'!A:A,$B$4-1,'Data - Monthly Metrics'!B:B,"Oct",'Data - Monthly Metrics'!C:C,"East King",'Data - Monthly Metrics'!D:D,"Retention - Comped Target (#)")=0,"-",SUMIFS('Data - Monthly Metrics'!E:E,'Data - Monthly Metrics'!A:A,$B$4-1,'Data - Monthly Metrics'!B:B,"Oct",'Data - Monthly Metrics'!C:C,"East King",'Data - Monthly Metrics'!D:D,"Retention - Comped Target (#)"))</f>
        <v/>
      </c>
      <c r="C63" s="98">
        <f>IF(COUNTIFS('Data - Monthly Metrics'!A:A,$B$4-1,'Data - Monthly Metrics'!B:B,"Nov",'Data - Monthly Metrics'!C:C,"East King",'Data - Monthly Metrics'!D:D,"Retention - Comped Target (#)")=0,"-",SUMIFS('Data - Monthly Metrics'!E:E,'Data - Monthly Metrics'!A:A,$B$4-1,'Data - Monthly Metrics'!B:B,"Nov",'Data - Monthly Metrics'!C:C,"East King",'Data - Monthly Metrics'!D:D,"Retention - Comped Target (#)"))</f>
        <v/>
      </c>
      <c r="D63" s="98">
        <f>IF(COUNTIFS('Data - Monthly Metrics'!A:A,$B$4-1,'Data - Monthly Metrics'!B:B,"Dec",'Data - Monthly Metrics'!C:C,"East King",'Data - Monthly Metrics'!D:D,"Retention - Comped Target (#)")=0,"-",SUMIFS('Data - Monthly Metrics'!E:E,'Data - Monthly Metrics'!A:A,$B$4-1,'Data - Monthly Metrics'!B:B,"Dec",'Data - Monthly Metrics'!C:C,"East King",'Data - Monthly Metrics'!D:D,"Retention - Comped Target (#)"))</f>
        <v/>
      </c>
      <c r="E63" s="103">
        <f>SUM(B63,C63,D63)</f>
        <v/>
      </c>
      <c r="F63" s="98">
        <f>IF(COUNTIFS('Data - Monthly Metrics'!A:A,$B$4,'Data - Monthly Metrics'!B:B,"Jan",'Data - Monthly Metrics'!C:C,"East King",'Data - Monthly Metrics'!D:D,"Retention - Comped Target (#)")=0,"-",SUMIFS('Data - Monthly Metrics'!E:E,'Data - Monthly Metrics'!A:A,$B$4,'Data - Monthly Metrics'!B:B,"Jan",'Data - Monthly Metrics'!C:C,"East King",'Data - Monthly Metrics'!D:D,"Retention - Comped Target (#)"))</f>
        <v/>
      </c>
      <c r="G63" s="98">
        <f>IF(COUNTIFS('Data - Monthly Metrics'!A:A,$B$4,'Data - Monthly Metrics'!B:B,"Feb",'Data - Monthly Metrics'!C:C,"East King",'Data - Monthly Metrics'!D:D,"Retention - Comped Target (#)")=0,"-",SUMIFS('Data - Monthly Metrics'!E:E,'Data - Monthly Metrics'!A:A,$B$4,'Data - Monthly Metrics'!B:B,"Feb",'Data - Monthly Metrics'!C:C,"East King",'Data - Monthly Metrics'!D:D,"Retention - Comped Target (#)"))</f>
        <v/>
      </c>
      <c r="H63" s="98">
        <f>IF(COUNTIFS('Data - Monthly Metrics'!A:A,$B$4,'Data - Monthly Metrics'!B:B,"Mar",'Data - Monthly Metrics'!C:C,"East King",'Data - Monthly Metrics'!D:D,"Retention - Comped Target (#)")=0,"-",SUMIFS('Data - Monthly Metrics'!E:E,'Data - Monthly Metrics'!A:A,$B$4,'Data - Monthly Metrics'!B:B,"Mar",'Data - Monthly Metrics'!C:C,"East King",'Data - Monthly Metrics'!D:D,"Retention - Comped Target (#)"))</f>
        <v/>
      </c>
      <c r="I63" s="103">
        <f>SUM(F63,G63,H63)</f>
        <v/>
      </c>
      <c r="J63" s="98">
        <f>IF(COUNTIFS('Data - Monthly Metrics'!A:A,$B$4,'Data - Monthly Metrics'!B:B,"Apr",'Data - Monthly Metrics'!C:C,"East King",'Data - Monthly Metrics'!D:D,"Retention - Comped Target (#)")=0,"-",SUMIFS('Data - Monthly Metrics'!E:E,'Data - Monthly Metrics'!A:A,$B$4,'Data - Monthly Metrics'!B:B,"Apr",'Data - Monthly Metrics'!C:C,"East King",'Data - Monthly Metrics'!D:D,"Retention - Comped Target (#)"))</f>
        <v/>
      </c>
      <c r="K63" s="98">
        <f>IF(COUNTIFS('Data - Monthly Metrics'!A:A,$B$4,'Data - Monthly Metrics'!B:B,"May",'Data - Monthly Metrics'!C:C,"East King",'Data - Monthly Metrics'!D:D,"Retention - Comped Target (#)")=0,"-",SUMIFS('Data - Monthly Metrics'!E:E,'Data - Monthly Metrics'!A:A,$B$4,'Data - Monthly Metrics'!B:B,"May",'Data - Monthly Metrics'!C:C,"East King",'Data - Monthly Metrics'!D:D,"Retention - Comped Target (#)"))</f>
        <v/>
      </c>
      <c r="L63" s="98">
        <f>IF(COUNTIFS('Data - Monthly Metrics'!A:A,$B$4,'Data - Monthly Metrics'!B:B,"Jun",'Data - Monthly Metrics'!C:C,"East King",'Data - Monthly Metrics'!D:D,"Retention - Comped Target (#)")=0,"-",SUMIFS('Data - Monthly Metrics'!E:E,'Data - Monthly Metrics'!A:A,$B$4,'Data - Monthly Metrics'!B:B,"Jun",'Data - Monthly Metrics'!C:C,"East King",'Data - Monthly Metrics'!D:D,"Retention - Comped Target (#)"))</f>
        <v/>
      </c>
      <c r="M63" s="103">
        <f>SUM(J63,K63,L63)</f>
        <v/>
      </c>
      <c r="N63" s="98">
        <f>IF(COUNTIFS('Data - Monthly Metrics'!A:A,$B$4,'Data - Monthly Metrics'!B:B,"Jul",'Data - Monthly Metrics'!C:C,"East King",'Data - Monthly Metrics'!D:D,"Retention - Comped Target (#)")=0,"-",SUMIFS('Data - Monthly Metrics'!E:E,'Data - Monthly Metrics'!A:A,$B$4,'Data - Monthly Metrics'!B:B,"Jul",'Data - Monthly Metrics'!C:C,"East King",'Data - Monthly Metrics'!D:D,"Retention - Comped Target (#)"))</f>
        <v/>
      </c>
      <c r="O63" s="98">
        <f>IF(COUNTIFS('Data - Monthly Metrics'!A:A,$B$4,'Data - Monthly Metrics'!B:B,"Aug",'Data - Monthly Metrics'!C:C,"East King",'Data - Monthly Metrics'!D:D,"Retention - Comped Target (#)")=0,"-",SUMIFS('Data - Monthly Metrics'!E:E,'Data - Monthly Metrics'!A:A,$B$4,'Data - Monthly Metrics'!B:B,"Aug",'Data - Monthly Metrics'!C:C,"East King",'Data - Monthly Metrics'!D:D,"Retention - Comped Target (#)"))</f>
        <v/>
      </c>
      <c r="P63" s="98">
        <f>IF(COUNTIFS('Data - Monthly Metrics'!A:A,$B$4,'Data - Monthly Metrics'!B:B,"Sep",'Data - Monthly Metrics'!C:C,"East King",'Data - Monthly Metrics'!D:D,"Retention - Comped Target (#)")=0,"-",SUMIFS('Data - Monthly Metrics'!E:E,'Data - Monthly Metrics'!A:A,$B$4,'Data - Monthly Metrics'!B:B,"Sep",'Data - Monthly Metrics'!C:C,"East King",'Data - Monthly Metrics'!D:D,"Retention - Comped Target (#)"))</f>
        <v/>
      </c>
      <c r="Q63" s="103">
        <f>SUM(N63,O63,P63)</f>
        <v/>
      </c>
      <c r="R63" s="103">
        <f>E63+I63+M63+Q63</f>
        <v/>
      </c>
    </row>
    <row r="64" ht="14.25" customHeight="1" s="82">
      <c r="A64" s="94" t="inlineStr">
        <is>
          <t xml:space="preserve">   Comped ($) — not counted in retention</t>
        </is>
      </c>
      <c r="B64" s="96">
        <f>IF(COUNTIFS('Data - Monthly Metrics'!A:A,$B$4-1,'Data - Monthly Metrics'!B:B,"Oct",'Data - Monthly Metrics'!C:C,"East King",'Data - Monthly Metrics'!D:D,"Retention - Comped Target ($)")=0,"-",SUMIFS('Data - Monthly Metrics'!E:E,'Data - Monthly Metrics'!A:A,$B$4-1,'Data - Monthly Metrics'!B:B,"Oct",'Data - Monthly Metrics'!C:C,"East King",'Data - Monthly Metrics'!D:D,"Retention - Comped Target ($)"))</f>
        <v/>
      </c>
      <c r="C64" s="96">
        <f>IF(COUNTIFS('Data - Monthly Metrics'!A:A,$B$4-1,'Data - Monthly Metrics'!B:B,"Nov",'Data - Monthly Metrics'!C:C,"East King",'Data - Monthly Metrics'!D:D,"Retention - Comped Target ($)")=0,"-",SUMIFS('Data - Monthly Metrics'!E:E,'Data - Monthly Metrics'!A:A,$B$4-1,'Data - Monthly Metrics'!B:B,"Nov",'Data - Monthly Metrics'!C:C,"East King",'Data - Monthly Metrics'!D:D,"Retention - Comped Target ($)"))</f>
        <v/>
      </c>
      <c r="D64" s="96">
        <f>IF(COUNTIFS('Data - Monthly Metrics'!A:A,$B$4-1,'Data - Monthly Metrics'!B:B,"Dec",'Data - Monthly Metrics'!C:C,"East King",'Data - Monthly Metrics'!D:D,"Retention - Comped Target ($)")=0,"-",SUMIFS('Data - Monthly Metrics'!E:E,'Data - Monthly Metrics'!A:A,$B$4-1,'Data - Monthly Metrics'!B:B,"Dec",'Data - Monthly Metrics'!C:C,"East King",'Data - Monthly Metrics'!D:D,"Retention - Comped Target ($)"))</f>
        <v/>
      </c>
      <c r="E64" s="101">
        <f>SUM(B64,C64,D64)</f>
        <v/>
      </c>
      <c r="F64" s="96">
        <f>IF(COUNTIFS('Data - Monthly Metrics'!A:A,$B$4,'Data - Monthly Metrics'!B:B,"Jan",'Data - Monthly Metrics'!C:C,"East King",'Data - Monthly Metrics'!D:D,"Retention - Comped Target ($)")=0,"-",SUMIFS('Data - Monthly Metrics'!E:E,'Data - Monthly Metrics'!A:A,$B$4,'Data - Monthly Metrics'!B:B,"Jan",'Data - Monthly Metrics'!C:C,"East King",'Data - Monthly Metrics'!D:D,"Retention - Comped Target ($)"))</f>
        <v/>
      </c>
      <c r="G64" s="96">
        <f>IF(COUNTIFS('Data - Monthly Metrics'!A:A,$B$4,'Data - Monthly Metrics'!B:B,"Feb",'Data - Monthly Metrics'!C:C,"East King",'Data - Monthly Metrics'!D:D,"Retention - Comped Target ($)")=0,"-",SUMIFS('Data - Monthly Metrics'!E:E,'Data - Monthly Metrics'!A:A,$B$4,'Data - Monthly Metrics'!B:B,"Feb",'Data - Monthly Metrics'!C:C,"East King",'Data - Monthly Metrics'!D:D,"Retention - Comped Target ($)"))</f>
        <v/>
      </c>
      <c r="H64" s="96">
        <f>IF(COUNTIFS('Data - Monthly Metrics'!A:A,$B$4,'Data - Monthly Metrics'!B:B,"Mar",'Data - Monthly Metrics'!C:C,"East King",'Data - Monthly Metrics'!D:D,"Retention - Comped Target ($)")=0,"-",SUMIFS('Data - Monthly Metrics'!E:E,'Data - Monthly Metrics'!A:A,$B$4,'Data - Monthly Metrics'!B:B,"Mar",'Data - Monthly Metrics'!C:C,"East King",'Data - Monthly Metrics'!D:D,"Retention - Comped Target ($)"))</f>
        <v/>
      </c>
      <c r="I64" s="101">
        <f>SUM(F64,G64,H64)</f>
        <v/>
      </c>
      <c r="J64" s="96">
        <f>IF(COUNTIFS('Data - Monthly Metrics'!A:A,$B$4,'Data - Monthly Metrics'!B:B,"Apr",'Data - Monthly Metrics'!C:C,"East King",'Data - Monthly Metrics'!D:D,"Retention - Comped Target ($)")=0,"-",SUMIFS('Data - Monthly Metrics'!E:E,'Data - Monthly Metrics'!A:A,$B$4,'Data - Monthly Metrics'!B:B,"Apr",'Data - Monthly Metrics'!C:C,"East King",'Data - Monthly Metrics'!D:D,"Retention - Comped Target ($)"))</f>
        <v/>
      </c>
      <c r="K64" s="96">
        <f>IF(COUNTIFS('Data - Monthly Metrics'!A:A,$B$4,'Data - Monthly Metrics'!B:B,"May",'Data - Monthly Metrics'!C:C,"East King",'Data - Monthly Metrics'!D:D,"Retention - Comped Target ($)")=0,"-",SUMIFS('Data - Monthly Metrics'!E:E,'Data - Monthly Metrics'!A:A,$B$4,'Data - Monthly Metrics'!B:B,"May",'Data - Monthly Metrics'!C:C,"East King",'Data - Monthly Metrics'!D:D,"Retention - Comped Target ($)"))</f>
        <v/>
      </c>
      <c r="L64" s="96">
        <f>IF(COUNTIFS('Data - Monthly Metrics'!A:A,$B$4,'Data - Monthly Metrics'!B:B,"Jun",'Data - Monthly Metrics'!C:C,"East King",'Data - Monthly Metrics'!D:D,"Retention - Comped Target ($)")=0,"-",SUMIFS('Data - Monthly Metrics'!E:E,'Data - Monthly Metrics'!A:A,$B$4,'Data - Monthly Metrics'!B:B,"Jun",'Data - Monthly Metrics'!C:C,"East King",'Data - Monthly Metrics'!D:D,"Retention - Comped Target ($)"))</f>
        <v/>
      </c>
      <c r="M64" s="101">
        <f>SUM(J64,K64,L64)</f>
        <v/>
      </c>
      <c r="N64" s="96">
        <f>IF(COUNTIFS('Data - Monthly Metrics'!A:A,$B$4,'Data - Monthly Metrics'!B:B,"Jul",'Data - Monthly Metrics'!C:C,"East King",'Data - Monthly Metrics'!D:D,"Retention - Comped Target ($)")=0,"-",SUMIFS('Data - Monthly Metrics'!E:E,'Data - Monthly Metrics'!A:A,$B$4,'Data - Monthly Metrics'!B:B,"Jul",'Data - Monthly Metrics'!C:C,"East King",'Data - Monthly Metrics'!D:D,"Retention - Comped Target ($)"))</f>
        <v/>
      </c>
      <c r="O64" s="96">
        <f>IF(COUNTIFS('Data - Monthly Metrics'!A:A,$B$4,'Data - Monthly Metrics'!B:B,"Aug",'Data - Monthly Metrics'!C:C,"East King",'Data - Monthly Metrics'!D:D,"Retention - Comped Target ($)")=0,"-",SUMIFS('Data - Monthly Metrics'!E:E,'Data - Monthly Metrics'!A:A,$B$4,'Data - Monthly Metrics'!B:B,"Aug",'Data - Monthly Metrics'!C:C,"East King",'Data - Monthly Metrics'!D:D,"Retention - Comped Target ($)"))</f>
        <v/>
      </c>
      <c r="P64" s="96">
        <f>IF(COUNTIFS('Data - Monthly Metrics'!A:A,$B$4,'Data - Monthly Metrics'!B:B,"Sep",'Data - Monthly Metrics'!C:C,"East King",'Data - Monthly Metrics'!D:D,"Retention - Comped Target ($)")=0,"-",SUMIFS('Data - Monthly Metrics'!E:E,'Data - Monthly Metrics'!A:A,$B$4,'Data - Monthly Metrics'!B:B,"Sep",'Data - Monthly Metrics'!C:C,"East King",'Data - Monthly Metrics'!D:D,"Retention - Comped Target ($)"))</f>
        <v/>
      </c>
      <c r="Q64" s="101">
        <f>SUM(N64,O64,P64)</f>
        <v/>
      </c>
      <c r="R64" s="101">
        <f>E64+I64+M64+Q64</f>
        <v/>
      </c>
    </row>
    <row r="65" ht="14.25" customHeight="1" s="82">
      <c r="A65" s="89" t="inlineStr">
        <is>
          <t>Revenue Retention % - Target</t>
        </is>
      </c>
      <c r="B65" s="92">
        <f>IF(B61=0,0,B62/B61)</f>
        <v/>
      </c>
      <c r="C65" s="92">
        <f>IF(C61=0,0,C62/C61)</f>
        <v/>
      </c>
      <c r="D65" s="92">
        <f>IF(D61=0,0,D62/D61)</f>
        <v/>
      </c>
      <c r="E65" s="102">
        <f>IF(E61=0,0,E62/E61)</f>
        <v/>
      </c>
      <c r="F65" s="92">
        <f>IF(F61=0,0,F62/F61)</f>
        <v/>
      </c>
      <c r="G65" s="92">
        <f>IF(G61=0,0,G62/G61)</f>
        <v/>
      </c>
      <c r="H65" s="92">
        <f>IF(H61=0,0,H62/H61)</f>
        <v/>
      </c>
      <c r="I65" s="102">
        <f>IF(I61=0,0,I62/I61)</f>
        <v/>
      </c>
      <c r="J65" s="92">
        <f>IF(J61=0,0,J62/J61)</f>
        <v/>
      </c>
      <c r="K65" s="92">
        <f>IF(K61=0,0,K62/K61)</f>
        <v/>
      </c>
      <c r="L65" s="92">
        <f>IF(L61=0,0,L62/L61)</f>
        <v/>
      </c>
      <c r="M65" s="102">
        <f>IF(M61=0,0,M62/M61)</f>
        <v/>
      </c>
      <c r="N65" s="92">
        <f>IF(N61=0,0,N62/N61)</f>
        <v/>
      </c>
      <c r="O65" s="92">
        <f>IF(O61=0,0,O62/O61)</f>
        <v/>
      </c>
      <c r="P65" s="92">
        <f>IF(P61=0,0,P62/P61)</f>
        <v/>
      </c>
      <c r="Q65" s="102">
        <f>IF(Q61=0,0,Q62/Q61)</f>
        <v/>
      </c>
      <c r="R65" s="102">
        <f>IF(R61=0,0,R62/R61)</f>
        <v/>
      </c>
    </row>
    <row r="66"/>
    <row r="67" ht="21.75" customHeight="1" s="82">
      <c r="A67" s="87" t="inlineStr">
        <is>
          <t xml:space="preserve">  ▶   T4.  DROPS — Target</t>
        </is>
      </c>
    </row>
    <row r="68" ht="14.25" customHeight="1" s="82">
      <c r="A68" s="88" t="inlineStr">
        <is>
          <t>Metric</t>
        </is>
      </c>
      <c r="B68" s="88" t="inlineStr">
        <is>
          <t>Oct</t>
        </is>
      </c>
      <c r="C68" s="88" t="inlineStr">
        <is>
          <t>Nov</t>
        </is>
      </c>
      <c r="D68" s="88" t="inlineStr">
        <is>
          <t>Dec</t>
        </is>
      </c>
      <c r="E68" s="88" t="inlineStr">
        <is>
          <t>Q1</t>
        </is>
      </c>
      <c r="F68" s="88" t="inlineStr">
        <is>
          <t>Jan</t>
        </is>
      </c>
      <c r="G68" s="88" t="inlineStr">
        <is>
          <t>Feb</t>
        </is>
      </c>
      <c r="H68" s="88" t="inlineStr">
        <is>
          <t>Mar</t>
        </is>
      </c>
      <c r="I68" s="88" t="inlineStr">
        <is>
          <t>Q2</t>
        </is>
      </c>
      <c r="J68" s="88" t="inlineStr">
        <is>
          <t>Apr</t>
        </is>
      </c>
      <c r="K68" s="88" t="inlineStr">
        <is>
          <t>May</t>
        </is>
      </c>
      <c r="L68" s="88" t="inlineStr">
        <is>
          <t>Jun</t>
        </is>
      </c>
      <c r="M68" s="88" t="inlineStr">
        <is>
          <t>Q3</t>
        </is>
      </c>
      <c r="N68" s="88" t="inlineStr">
        <is>
          <t>Jul</t>
        </is>
      </c>
      <c r="O68" s="88" t="inlineStr">
        <is>
          <t>Aug</t>
        </is>
      </c>
      <c r="P68" s="88" t="inlineStr">
        <is>
          <t>Sep</t>
        </is>
      </c>
      <c r="Q68" s="88" t="inlineStr">
        <is>
          <t>Q4</t>
        </is>
      </c>
      <c r="R68" s="88" t="inlineStr">
        <is>
          <t>YTD</t>
        </is>
      </c>
    </row>
    <row r="69" ht="14.25" customHeight="1" s="82">
      <c r="A69" s="89" t="inlineStr">
        <is>
          <t>Drops - Target (#)</t>
        </is>
      </c>
      <c r="B69" s="93">
        <f>IF(COUNTIFS('Data - Monthly Metrics'!A:A,$B$4-1,'Data - Monthly Metrics'!B:B,"Oct",'Data - Monthly Metrics'!C:C,"East King",'Data - Monthly Metrics'!D:D,"Drops - Target (#)")=0,"-",SUMIFS('Data - Monthly Metrics'!E:E,'Data - Monthly Metrics'!A:A,$B$4-1,'Data - Monthly Metrics'!B:B,"Oct",'Data - Monthly Metrics'!C:C,"East King",'Data - Monthly Metrics'!D:D,"Drops - Target (#)"))</f>
        <v/>
      </c>
      <c r="C69" s="93">
        <f>IF(COUNTIFS('Data - Monthly Metrics'!A:A,$B$4-1,'Data - Monthly Metrics'!B:B,"Nov",'Data - Monthly Metrics'!C:C,"East King",'Data - Monthly Metrics'!D:D,"Drops - Target (#)")=0,"-",SUMIFS('Data - Monthly Metrics'!E:E,'Data - Monthly Metrics'!A:A,$B$4-1,'Data - Monthly Metrics'!B:B,"Nov",'Data - Monthly Metrics'!C:C,"East King",'Data - Monthly Metrics'!D:D,"Drops - Target (#)"))</f>
        <v/>
      </c>
      <c r="D69" s="93">
        <f>IF(COUNTIFS('Data - Monthly Metrics'!A:A,$B$4-1,'Data - Monthly Metrics'!B:B,"Dec",'Data - Monthly Metrics'!C:C,"East King",'Data - Monthly Metrics'!D:D,"Drops - Target (#)")=0,"-",SUMIFS('Data - Monthly Metrics'!E:E,'Data - Monthly Metrics'!A:A,$B$4-1,'Data - Monthly Metrics'!B:B,"Dec",'Data - Monthly Metrics'!C:C,"East King",'Data - Monthly Metrics'!D:D,"Drops - Target (#)"))</f>
        <v/>
      </c>
      <c r="E69" s="103">
        <f>SUM(B69,C69,D69)</f>
        <v/>
      </c>
      <c r="F69" s="93">
        <f>IF(COUNTIFS('Data - Monthly Metrics'!A:A,$B$4,'Data - Monthly Metrics'!B:B,"Jan",'Data - Monthly Metrics'!C:C,"East King",'Data - Monthly Metrics'!D:D,"Drops - Target (#)")=0,"-",SUMIFS('Data - Monthly Metrics'!E:E,'Data - Monthly Metrics'!A:A,$B$4,'Data - Monthly Metrics'!B:B,"Jan",'Data - Monthly Metrics'!C:C,"East King",'Data - Monthly Metrics'!D:D,"Drops - Target (#)"))</f>
        <v/>
      </c>
      <c r="G69" s="93">
        <f>IF(COUNTIFS('Data - Monthly Metrics'!A:A,$B$4,'Data - Monthly Metrics'!B:B,"Feb",'Data - Monthly Metrics'!C:C,"East King",'Data - Monthly Metrics'!D:D,"Drops - Target (#)")=0,"-",SUMIFS('Data - Monthly Metrics'!E:E,'Data - Monthly Metrics'!A:A,$B$4,'Data - Monthly Metrics'!B:B,"Feb",'Data - Monthly Metrics'!C:C,"East King",'Data - Monthly Metrics'!D:D,"Drops - Target (#)"))</f>
        <v/>
      </c>
      <c r="H69" s="93">
        <f>IF(COUNTIFS('Data - Monthly Metrics'!A:A,$B$4,'Data - Monthly Metrics'!B:B,"Mar",'Data - Monthly Metrics'!C:C,"East King",'Data - Monthly Metrics'!D:D,"Drops - Target (#)")=0,"-",SUMIFS('Data - Monthly Metrics'!E:E,'Data - Monthly Metrics'!A:A,$B$4,'Data - Monthly Metrics'!B:B,"Mar",'Data - Monthly Metrics'!C:C,"East King",'Data - Monthly Metrics'!D:D,"Drops - Target (#)"))</f>
        <v/>
      </c>
      <c r="I69" s="103">
        <f>SUM(F69,G69,H69)</f>
        <v/>
      </c>
      <c r="J69" s="93">
        <f>IF(COUNTIFS('Data - Monthly Metrics'!A:A,$B$4,'Data - Monthly Metrics'!B:B,"Apr",'Data - Monthly Metrics'!C:C,"East King",'Data - Monthly Metrics'!D:D,"Drops - Target (#)")=0,"-",SUMIFS('Data - Monthly Metrics'!E:E,'Data - Monthly Metrics'!A:A,$B$4,'Data - Monthly Metrics'!B:B,"Apr",'Data - Monthly Metrics'!C:C,"East King",'Data - Monthly Metrics'!D:D,"Drops - Target (#)"))</f>
        <v/>
      </c>
      <c r="K69" s="93">
        <f>IF(COUNTIFS('Data - Monthly Metrics'!A:A,$B$4,'Data - Monthly Metrics'!B:B,"May",'Data - Monthly Metrics'!C:C,"East King",'Data - Monthly Metrics'!D:D,"Drops - Target (#)")=0,"-",SUMIFS('Data - Monthly Metrics'!E:E,'Data - Monthly Metrics'!A:A,$B$4,'Data - Monthly Metrics'!B:B,"May",'Data - Monthly Metrics'!C:C,"East King",'Data - Monthly Metrics'!D:D,"Drops - Target (#)"))</f>
        <v/>
      </c>
      <c r="L69" s="93">
        <f>IF(COUNTIFS('Data - Monthly Metrics'!A:A,$B$4,'Data - Monthly Metrics'!B:B,"Jun",'Data - Monthly Metrics'!C:C,"East King",'Data - Monthly Metrics'!D:D,"Drops - Target (#)")=0,"-",SUMIFS('Data - Monthly Metrics'!E:E,'Data - Monthly Metrics'!A:A,$B$4,'Data - Monthly Metrics'!B:B,"Jun",'Data - Monthly Metrics'!C:C,"East King",'Data - Monthly Metrics'!D:D,"Drops - Target (#)"))</f>
        <v/>
      </c>
      <c r="M69" s="103">
        <f>SUM(J69,K69,L69)</f>
        <v/>
      </c>
      <c r="N69" s="93">
        <f>IF(COUNTIFS('Data - Monthly Metrics'!A:A,$B$4,'Data - Monthly Metrics'!B:B,"Jul",'Data - Monthly Metrics'!C:C,"East King",'Data - Monthly Metrics'!D:D,"Drops - Target (#)")=0,"-",SUMIFS('Data - Monthly Metrics'!E:E,'Data - Monthly Metrics'!A:A,$B$4,'Data - Monthly Metrics'!B:B,"Jul",'Data - Monthly Metrics'!C:C,"East King",'Data - Monthly Metrics'!D:D,"Drops - Target (#)"))</f>
        <v/>
      </c>
      <c r="O69" s="93">
        <f>IF(COUNTIFS('Data - Monthly Metrics'!A:A,$B$4,'Data - Monthly Metrics'!B:B,"Aug",'Data - Monthly Metrics'!C:C,"East King",'Data - Monthly Metrics'!D:D,"Drops - Target (#)")=0,"-",SUMIFS('Data - Monthly Metrics'!E:E,'Data - Monthly Metrics'!A:A,$B$4,'Data - Monthly Metrics'!B:B,"Aug",'Data - Monthly Metrics'!C:C,"East King",'Data - Monthly Metrics'!D:D,"Drops - Target (#)"))</f>
        <v/>
      </c>
      <c r="P69" s="93">
        <f>IF(COUNTIFS('Data - Monthly Metrics'!A:A,$B$4,'Data - Monthly Metrics'!B:B,"Sep",'Data - Monthly Metrics'!C:C,"East King",'Data - Monthly Metrics'!D:D,"Drops - Target (#)")=0,"-",SUMIFS('Data - Monthly Metrics'!E:E,'Data - Monthly Metrics'!A:A,$B$4,'Data - Monthly Metrics'!B:B,"Sep",'Data - Monthly Metrics'!C:C,"East King",'Data - Monthly Metrics'!D:D,"Drops - Target (#)"))</f>
        <v/>
      </c>
      <c r="Q69" s="103">
        <f>SUM(N69,O69,P69)</f>
        <v/>
      </c>
      <c r="R69" s="103">
        <f>E69+I69+M69+Q69</f>
        <v/>
      </c>
    </row>
    <row r="70" ht="14.25" customHeight="1" s="82">
      <c r="A70" s="94" t="inlineStr">
        <is>
          <t>Dropped Revenue - Target ($)</t>
        </is>
      </c>
      <c r="B70" s="96">
        <f>IF(COUNTIFS('Data - Monthly Metrics'!A:A,$B$4-1,'Data - Monthly Metrics'!B:B,"Oct",'Data - Monthly Metrics'!C:C,"East King",'Data - Monthly Metrics'!D:D,"Dropped Revenue - Target ($)")=0,"-",SUMIFS('Data - Monthly Metrics'!E:E,'Data - Monthly Metrics'!A:A,$B$4-1,'Data - Monthly Metrics'!B:B,"Oct",'Data - Monthly Metrics'!C:C,"East King",'Data - Monthly Metrics'!D:D,"Dropped Revenue - Target ($)"))</f>
        <v/>
      </c>
      <c r="C70" s="96">
        <f>IF(COUNTIFS('Data - Monthly Metrics'!A:A,$B$4-1,'Data - Monthly Metrics'!B:B,"Nov",'Data - Monthly Metrics'!C:C,"East King",'Data - Monthly Metrics'!D:D,"Dropped Revenue - Target ($)")=0,"-",SUMIFS('Data - Monthly Metrics'!E:E,'Data - Monthly Metrics'!A:A,$B$4-1,'Data - Monthly Metrics'!B:B,"Nov",'Data - Monthly Metrics'!C:C,"East King",'Data - Monthly Metrics'!D:D,"Dropped Revenue - Target ($)"))</f>
        <v/>
      </c>
      <c r="D70" s="96">
        <f>IF(COUNTIFS('Data - Monthly Metrics'!A:A,$B$4-1,'Data - Monthly Metrics'!B:B,"Dec",'Data - Monthly Metrics'!C:C,"East King",'Data - Monthly Metrics'!D:D,"Dropped Revenue - Target ($)")=0,"-",SUMIFS('Data - Monthly Metrics'!E:E,'Data - Monthly Metrics'!A:A,$B$4-1,'Data - Monthly Metrics'!B:B,"Dec",'Data - Monthly Metrics'!C:C,"East King",'Data - Monthly Metrics'!D:D,"Dropped Revenue - Target ($)"))</f>
        <v/>
      </c>
      <c r="E70" s="101">
        <f>SUM(B70,C70,D70)</f>
        <v/>
      </c>
      <c r="F70" s="96">
        <f>IF(COUNTIFS('Data - Monthly Metrics'!A:A,$B$4,'Data - Monthly Metrics'!B:B,"Jan",'Data - Monthly Metrics'!C:C,"East King",'Data - Monthly Metrics'!D:D,"Dropped Revenue - Target ($)")=0,"-",SUMIFS('Data - Monthly Metrics'!E:E,'Data - Monthly Metrics'!A:A,$B$4,'Data - Monthly Metrics'!B:B,"Jan",'Data - Monthly Metrics'!C:C,"East King",'Data - Monthly Metrics'!D:D,"Dropped Revenue - Target ($)"))</f>
        <v/>
      </c>
      <c r="G70" s="96">
        <f>IF(COUNTIFS('Data - Monthly Metrics'!A:A,$B$4,'Data - Monthly Metrics'!B:B,"Feb",'Data - Monthly Metrics'!C:C,"East King",'Data - Monthly Metrics'!D:D,"Dropped Revenue - Target ($)")=0,"-",SUMIFS('Data - Monthly Metrics'!E:E,'Data - Monthly Metrics'!A:A,$B$4,'Data - Monthly Metrics'!B:B,"Feb",'Data - Monthly Metrics'!C:C,"East King",'Data - Monthly Metrics'!D:D,"Dropped Revenue - Target ($)"))</f>
        <v/>
      </c>
      <c r="H70" s="96">
        <f>IF(COUNTIFS('Data - Monthly Metrics'!A:A,$B$4,'Data - Monthly Metrics'!B:B,"Mar",'Data - Monthly Metrics'!C:C,"East King",'Data - Monthly Metrics'!D:D,"Dropped Revenue - Target ($)")=0,"-",SUMIFS('Data - Monthly Metrics'!E:E,'Data - Monthly Metrics'!A:A,$B$4,'Data - Monthly Metrics'!B:B,"Mar",'Data - Monthly Metrics'!C:C,"East King",'Data - Monthly Metrics'!D:D,"Dropped Revenue - Target ($)"))</f>
        <v/>
      </c>
      <c r="I70" s="101">
        <f>SUM(F70,G70,H70)</f>
        <v/>
      </c>
      <c r="J70" s="96">
        <f>IF(COUNTIFS('Data - Monthly Metrics'!A:A,$B$4,'Data - Monthly Metrics'!B:B,"Apr",'Data - Monthly Metrics'!C:C,"East King",'Data - Monthly Metrics'!D:D,"Dropped Revenue - Target ($)")=0,"-",SUMIFS('Data - Monthly Metrics'!E:E,'Data - Monthly Metrics'!A:A,$B$4,'Data - Monthly Metrics'!B:B,"Apr",'Data - Monthly Metrics'!C:C,"East King",'Data - Monthly Metrics'!D:D,"Dropped Revenue - Target ($)"))</f>
        <v/>
      </c>
      <c r="K70" s="96">
        <f>IF(COUNTIFS('Data - Monthly Metrics'!A:A,$B$4,'Data - Monthly Metrics'!B:B,"May",'Data - Monthly Metrics'!C:C,"East King",'Data - Monthly Metrics'!D:D,"Dropped Revenue - Target ($)")=0,"-",SUMIFS('Data - Monthly Metrics'!E:E,'Data - Monthly Metrics'!A:A,$B$4,'Data - Monthly Metrics'!B:B,"May",'Data - Monthly Metrics'!C:C,"East King",'Data - Monthly Metrics'!D:D,"Dropped Revenue - Target ($)"))</f>
        <v/>
      </c>
      <c r="L70" s="96">
        <f>IF(COUNTIFS('Data - Monthly Metrics'!A:A,$B$4,'Data - Monthly Metrics'!B:B,"Jun",'Data - Monthly Metrics'!C:C,"East King",'Data - Monthly Metrics'!D:D,"Dropped Revenue - Target ($)")=0,"-",SUMIFS('Data - Monthly Metrics'!E:E,'Data - Monthly Metrics'!A:A,$B$4,'Data - Monthly Metrics'!B:B,"Jun",'Data - Monthly Metrics'!C:C,"East King",'Data - Monthly Metrics'!D:D,"Dropped Revenue - Target ($)"))</f>
        <v/>
      </c>
      <c r="M70" s="101">
        <f>SUM(J70,K70,L70)</f>
        <v/>
      </c>
      <c r="N70" s="96">
        <f>IF(COUNTIFS('Data - Monthly Metrics'!A:A,$B$4,'Data - Monthly Metrics'!B:B,"Jul",'Data - Monthly Metrics'!C:C,"East King",'Data - Monthly Metrics'!D:D,"Dropped Revenue - Target ($)")=0,"-",SUMIFS('Data - Monthly Metrics'!E:E,'Data - Monthly Metrics'!A:A,$B$4,'Data - Monthly Metrics'!B:B,"Jul",'Data - Monthly Metrics'!C:C,"East King",'Data - Monthly Metrics'!D:D,"Dropped Revenue - Target ($)"))</f>
        <v/>
      </c>
      <c r="O70" s="96">
        <f>IF(COUNTIFS('Data - Monthly Metrics'!A:A,$B$4,'Data - Monthly Metrics'!B:B,"Aug",'Data - Monthly Metrics'!C:C,"East King",'Data - Monthly Metrics'!D:D,"Dropped Revenue - Target ($)")=0,"-",SUMIFS('Data - Monthly Metrics'!E:E,'Data - Monthly Metrics'!A:A,$B$4,'Data - Monthly Metrics'!B:B,"Aug",'Data - Monthly Metrics'!C:C,"East King",'Data - Monthly Metrics'!D:D,"Dropped Revenue - Target ($)"))</f>
        <v/>
      </c>
      <c r="P70" s="96">
        <f>IF(COUNTIFS('Data - Monthly Metrics'!A:A,$B$4,'Data - Monthly Metrics'!B:B,"Sep",'Data - Monthly Metrics'!C:C,"East King",'Data - Monthly Metrics'!D:D,"Dropped Revenue - Target ($)")=0,"-",SUMIFS('Data - Monthly Metrics'!E:E,'Data - Monthly Metrics'!A:A,$B$4,'Data - Monthly Metrics'!B:B,"Sep",'Data - Monthly Metrics'!C:C,"East King",'Data - Monthly Metrics'!D:D,"Dropped Revenue - Target ($)"))</f>
        <v/>
      </c>
      <c r="Q70" s="101">
        <f>SUM(N70,O70,P70)</f>
        <v/>
      </c>
      <c r="R70" s="101">
        <f>E70+I70+M70+Q70</f>
        <v/>
      </c>
    </row>
    <row r="71" hidden="1" ht="14.25" customHeight="1" s="82">
      <c r="A71" s="127" t="n"/>
    </row>
    <row r="72" hidden="1" ht="14.25" customHeight="1" s="82">
      <c r="A72" s="127" t="n"/>
      <c r="B72" s="128" t="n"/>
      <c r="C72" s="128" t="n"/>
      <c r="D72" s="128" t="n"/>
      <c r="E72" s="129" t="n"/>
      <c r="F72" s="128" t="n"/>
      <c r="G72" s="128" t="n"/>
      <c r="H72" s="128" t="n"/>
      <c r="I72" s="129" t="n"/>
      <c r="J72" s="128" t="n"/>
      <c r="K72" s="128" t="n"/>
      <c r="L72" s="128" t="n"/>
      <c r="M72" s="129" t="n"/>
      <c r="N72" s="128" t="n"/>
      <c r="O72" s="128" t="n"/>
      <c r="P72" s="128" t="n"/>
      <c r="Q72" s="129" t="n"/>
      <c r="R72" s="129" t="n"/>
    </row>
    <row r="74" hidden="1" ht="14.25" customHeight="1" s="82">
      <c r="A74" s="127" t="n"/>
      <c r="B74" s="128" t="n"/>
      <c r="C74" s="128" t="n"/>
      <c r="D74" s="128" t="n"/>
      <c r="E74" s="129" t="n"/>
      <c r="F74" s="128" t="n"/>
      <c r="G74" s="128" t="n"/>
      <c r="H74" s="128" t="n"/>
      <c r="I74" s="129" t="n"/>
      <c r="J74" s="128" t="n"/>
      <c r="K74" s="128" t="n"/>
      <c r="L74" s="128" t="n"/>
      <c r="M74" s="129" t="n"/>
      <c r="N74" s="128" t="n"/>
      <c r="O74" s="128" t="n"/>
      <c r="P74" s="128" t="n"/>
      <c r="Q74" s="129" t="n"/>
      <c r="R74" s="129" t="n"/>
    </row>
    <row r="75"/>
    <row r="76" ht="21.75" customHeight="1" s="82">
      <c r="A76" s="87" t="inlineStr">
        <is>
          <t xml:space="preserve">  ▶   T5.  PENETRATION — Restaurant / Lodging / Combined</t>
        </is>
      </c>
    </row>
    <row r="77" ht="14.25" customHeight="1" s="82">
      <c r="A77" s="88" t="inlineStr">
        <is>
          <t>Metric</t>
        </is>
      </c>
      <c r="B77" s="88" t="inlineStr">
        <is>
          <t>Oct</t>
        </is>
      </c>
      <c r="C77" s="88" t="inlineStr">
        <is>
          <t>Nov</t>
        </is>
      </c>
      <c r="D77" s="88" t="inlineStr">
        <is>
          <t>Dec</t>
        </is>
      </c>
      <c r="E77" s="88" t="inlineStr">
        <is>
          <t>Q1</t>
        </is>
      </c>
      <c r="F77" s="88" t="inlineStr">
        <is>
          <t>Jan</t>
        </is>
      </c>
      <c r="G77" s="88" t="inlineStr">
        <is>
          <t>Feb</t>
        </is>
      </c>
      <c r="H77" s="88" t="inlineStr">
        <is>
          <t>Mar</t>
        </is>
      </c>
      <c r="I77" s="88" t="inlineStr">
        <is>
          <t>Q2</t>
        </is>
      </c>
      <c r="J77" s="88" t="inlineStr">
        <is>
          <t>Apr</t>
        </is>
      </c>
      <c r="K77" s="88" t="inlineStr">
        <is>
          <t>May</t>
        </is>
      </c>
      <c r="L77" s="88" t="inlineStr">
        <is>
          <t>Jun</t>
        </is>
      </c>
      <c r="M77" s="88" t="inlineStr">
        <is>
          <t>Q3</t>
        </is>
      </c>
      <c r="N77" s="88" t="inlineStr">
        <is>
          <t>Jul</t>
        </is>
      </c>
      <c r="O77" s="88" t="inlineStr">
        <is>
          <t>Aug</t>
        </is>
      </c>
      <c r="P77" s="88" t="inlineStr">
        <is>
          <t>Sep</t>
        </is>
      </c>
      <c r="Q77" s="88" t="inlineStr">
        <is>
          <t>Q4</t>
        </is>
      </c>
      <c r="R77" s="88" t="inlineStr">
        <is>
          <t>Avg</t>
        </is>
      </c>
    </row>
    <row r="78" ht="14.25" customHeight="1" s="82">
      <c r="A78" s="89" t="inlineStr">
        <is>
          <t>Penetration - Restaurant</t>
        </is>
      </c>
      <c r="B78" s="92">
        <f>IF(COUNTIFS('Data - Monthly Metrics'!A:A,$B$4-1,'Data - Monthly Metrics'!B:B,"Oct",'Data - Monthly Metrics'!C:C,"East King",'Data - Monthly Metrics'!D:D,"Penetration - Restaurant %")=0,"-",SUMIFS('Data - Monthly Metrics'!E:E,'Data - Monthly Metrics'!A:A,$B$4-1,'Data - Monthly Metrics'!B:B,"Oct",'Data - Monthly Metrics'!C:C,"East King",'Data - Monthly Metrics'!D:D,"Penetration - Restaurant %"))</f>
        <v/>
      </c>
      <c r="C78" s="92">
        <f>IF(COUNTIFS('Data - Monthly Metrics'!A:A,$B$4-1,'Data - Monthly Metrics'!B:B,"Nov",'Data - Monthly Metrics'!C:C,"East King",'Data - Monthly Metrics'!D:D,"Penetration - Restaurant %")=0,"-",SUMIFS('Data - Monthly Metrics'!E:E,'Data - Monthly Metrics'!A:A,$B$4-1,'Data - Monthly Metrics'!B:B,"Nov",'Data - Monthly Metrics'!C:C,"East King",'Data - Monthly Metrics'!D:D,"Penetration - Restaurant %"))</f>
        <v/>
      </c>
      <c r="D78" s="92">
        <f>IF(COUNTIFS('Data - Monthly Metrics'!A:A,$B$4-1,'Data - Monthly Metrics'!B:B,"Dec",'Data - Monthly Metrics'!C:C,"East King",'Data - Monthly Metrics'!D:D,"Penetration - Restaurant %")=0,"-",SUMIFS('Data - Monthly Metrics'!E:E,'Data - Monthly Metrics'!A:A,$B$4-1,'Data - Monthly Metrics'!B:B,"Dec",'Data - Monthly Metrics'!C:C,"East King",'Data - Monthly Metrics'!D:D,"Penetration - Restaurant %"))</f>
        <v/>
      </c>
      <c r="E78" s="102">
        <f>IF(ISNUMBER(D78),D78,IF(ISNUMBER(C78),C78,IF(ISNUMBER(B78),B78,"-")))</f>
        <v/>
      </c>
      <c r="F78" s="92">
        <f>IF(COUNTIFS('Data - Monthly Metrics'!A:A,$B$4,'Data - Monthly Metrics'!B:B,"Jan",'Data - Monthly Metrics'!C:C,"East King",'Data - Monthly Metrics'!D:D,"Penetration - Restaurant %")=0,"-",SUMIFS('Data - Monthly Metrics'!E:E,'Data - Monthly Metrics'!A:A,$B$4,'Data - Monthly Metrics'!B:B,"Jan",'Data - Monthly Metrics'!C:C,"East King",'Data - Monthly Metrics'!D:D,"Penetration - Restaurant %"))</f>
        <v/>
      </c>
      <c r="G78" s="92">
        <f>IF(COUNTIFS('Data - Monthly Metrics'!A:A,$B$4,'Data - Monthly Metrics'!B:B,"Feb",'Data - Monthly Metrics'!C:C,"East King",'Data - Monthly Metrics'!D:D,"Penetration - Restaurant %")=0,"-",SUMIFS('Data - Monthly Metrics'!E:E,'Data - Monthly Metrics'!A:A,$B$4,'Data - Monthly Metrics'!B:B,"Feb",'Data - Monthly Metrics'!C:C,"East King",'Data - Monthly Metrics'!D:D,"Penetration - Restaurant %"))</f>
        <v/>
      </c>
      <c r="H78" s="92">
        <f>IF(COUNTIFS('Data - Monthly Metrics'!A:A,$B$4,'Data - Monthly Metrics'!B:B,"Mar",'Data - Monthly Metrics'!C:C,"East King",'Data - Monthly Metrics'!D:D,"Penetration - Restaurant %")=0,"-",SUMIFS('Data - Monthly Metrics'!E:E,'Data - Monthly Metrics'!A:A,$B$4,'Data - Monthly Metrics'!B:B,"Mar",'Data - Monthly Metrics'!C:C,"East King",'Data - Monthly Metrics'!D:D,"Penetration - Restaurant %"))</f>
        <v/>
      </c>
      <c r="I78" s="102">
        <f>IF(ISNUMBER(H78),H78,IF(ISNUMBER(G78),G78,IF(ISNUMBER(F78),F78,"-")))</f>
        <v/>
      </c>
      <c r="J78" s="92">
        <f>IF(COUNTIFS('Data - Monthly Metrics'!A:A,$B$4,'Data - Monthly Metrics'!B:B,"Apr",'Data - Monthly Metrics'!C:C,"East King",'Data - Monthly Metrics'!D:D,"Penetration - Restaurant %")=0,"-",SUMIFS('Data - Monthly Metrics'!E:E,'Data - Monthly Metrics'!A:A,$B$4,'Data - Monthly Metrics'!B:B,"Apr",'Data - Monthly Metrics'!C:C,"East King",'Data - Monthly Metrics'!D:D,"Penetration - Restaurant %"))</f>
        <v/>
      </c>
      <c r="K78" s="92">
        <f>IF(COUNTIFS('Data - Monthly Metrics'!A:A,$B$4,'Data - Monthly Metrics'!B:B,"May",'Data - Monthly Metrics'!C:C,"East King",'Data - Monthly Metrics'!D:D,"Penetration - Restaurant %")=0,"-",SUMIFS('Data - Monthly Metrics'!E:E,'Data - Monthly Metrics'!A:A,$B$4,'Data - Monthly Metrics'!B:B,"May",'Data - Monthly Metrics'!C:C,"East King",'Data - Monthly Metrics'!D:D,"Penetration - Restaurant %"))</f>
        <v/>
      </c>
      <c r="L78" s="92">
        <f>IF(COUNTIFS('Data - Monthly Metrics'!A:A,$B$4,'Data - Monthly Metrics'!B:B,"Jun",'Data - Monthly Metrics'!C:C,"East King",'Data - Monthly Metrics'!D:D,"Penetration - Restaurant %")=0,"-",SUMIFS('Data - Monthly Metrics'!E:E,'Data - Monthly Metrics'!A:A,$B$4,'Data - Monthly Metrics'!B:B,"Jun",'Data - Monthly Metrics'!C:C,"East King",'Data - Monthly Metrics'!D:D,"Penetration - Restaurant %"))</f>
        <v/>
      </c>
      <c r="M78" s="102">
        <f>IF(ISNUMBER(L78),L78,IF(ISNUMBER(K78),K78,IF(ISNUMBER(J78),J78,"-")))</f>
        <v/>
      </c>
      <c r="N78" s="92">
        <f>IF(COUNTIFS('Data - Monthly Metrics'!A:A,$B$4,'Data - Monthly Metrics'!B:B,"Jul",'Data - Monthly Metrics'!C:C,"East King",'Data - Monthly Metrics'!D:D,"Penetration - Restaurant %")=0,"-",SUMIFS('Data - Monthly Metrics'!E:E,'Data - Monthly Metrics'!A:A,$B$4,'Data - Monthly Metrics'!B:B,"Jul",'Data - Monthly Metrics'!C:C,"East King",'Data - Monthly Metrics'!D:D,"Penetration - Restaurant %"))</f>
        <v/>
      </c>
      <c r="O78" s="92">
        <f>IF(COUNTIFS('Data - Monthly Metrics'!A:A,$B$4,'Data - Monthly Metrics'!B:B,"Aug",'Data - Monthly Metrics'!C:C,"East King",'Data - Monthly Metrics'!D:D,"Penetration - Restaurant %")=0,"-",SUMIFS('Data - Monthly Metrics'!E:E,'Data - Monthly Metrics'!A:A,$B$4,'Data - Monthly Metrics'!B:B,"Aug",'Data - Monthly Metrics'!C:C,"East King",'Data - Monthly Metrics'!D:D,"Penetration - Restaurant %"))</f>
        <v/>
      </c>
      <c r="P78" s="92">
        <f>IF(COUNTIFS('Data - Monthly Metrics'!A:A,$B$4,'Data - Monthly Metrics'!B:B,"Sep",'Data - Monthly Metrics'!C:C,"East King",'Data - Monthly Metrics'!D:D,"Penetration - Restaurant %")=0,"-",SUMIFS('Data - Monthly Metrics'!E:E,'Data - Monthly Metrics'!A:A,$B$4,'Data - Monthly Metrics'!B:B,"Sep",'Data - Monthly Metrics'!C:C,"East King",'Data - Monthly Metrics'!D:D,"Penetration - Restaurant %"))</f>
        <v/>
      </c>
      <c r="Q78" s="102">
        <f>IF(ISNUMBER(P78),P78,IF(ISNUMBER(O78),O78,IF(ISNUMBER(N78),N78,"-")))</f>
        <v/>
      </c>
      <c r="R78" s="102">
        <f>IF(ISNUMBER(Q78),Q78,IF(ISNUMBER(M78),M78,IF(ISNUMBER(I78),I78,IF(ISNUMBER(E78),E78,"-"))))</f>
        <v/>
      </c>
    </row>
    <row r="79" ht="14.25" customHeight="1" s="82">
      <c r="A79" s="94" t="inlineStr">
        <is>
          <t>Penetration - Lodging</t>
        </is>
      </c>
      <c r="B79" s="97">
        <f>IF(COUNTIFS('Data - Monthly Metrics'!A:A,$B$4-1,'Data - Monthly Metrics'!B:B,"Oct",'Data - Monthly Metrics'!C:C,"East King",'Data - Monthly Metrics'!D:D,"Penetration - Lodging %")=0,"-",SUMIFS('Data - Monthly Metrics'!E:E,'Data - Monthly Metrics'!A:A,$B$4-1,'Data - Monthly Metrics'!B:B,"Oct",'Data - Monthly Metrics'!C:C,"East King",'Data - Monthly Metrics'!D:D,"Penetration - Lodging %"))</f>
        <v/>
      </c>
      <c r="C79" s="97">
        <f>IF(COUNTIFS('Data - Monthly Metrics'!A:A,$B$4-1,'Data - Monthly Metrics'!B:B,"Nov",'Data - Monthly Metrics'!C:C,"East King",'Data - Monthly Metrics'!D:D,"Penetration - Lodging %")=0,"-",SUMIFS('Data - Monthly Metrics'!E:E,'Data - Monthly Metrics'!A:A,$B$4-1,'Data - Monthly Metrics'!B:B,"Nov",'Data - Monthly Metrics'!C:C,"East King",'Data - Monthly Metrics'!D:D,"Penetration - Lodging %"))</f>
        <v/>
      </c>
      <c r="D79" s="97">
        <f>IF(COUNTIFS('Data - Monthly Metrics'!A:A,$B$4-1,'Data - Monthly Metrics'!B:B,"Dec",'Data - Monthly Metrics'!C:C,"East King",'Data - Monthly Metrics'!D:D,"Penetration - Lodging %")=0,"-",SUMIFS('Data - Monthly Metrics'!E:E,'Data - Monthly Metrics'!A:A,$B$4-1,'Data - Monthly Metrics'!B:B,"Dec",'Data - Monthly Metrics'!C:C,"East King",'Data - Monthly Metrics'!D:D,"Penetration - Lodging %"))</f>
        <v/>
      </c>
      <c r="E79" s="102">
        <f>IF(ISNUMBER(D79),D79,IF(ISNUMBER(C79),C79,IF(ISNUMBER(B79),B79,"-")))</f>
        <v/>
      </c>
      <c r="F79" s="97">
        <f>IF(COUNTIFS('Data - Monthly Metrics'!A:A,$B$4,'Data - Monthly Metrics'!B:B,"Jan",'Data - Monthly Metrics'!C:C,"East King",'Data - Monthly Metrics'!D:D,"Penetration - Lodging %")=0,"-",SUMIFS('Data - Monthly Metrics'!E:E,'Data - Monthly Metrics'!A:A,$B$4,'Data - Monthly Metrics'!B:B,"Jan",'Data - Monthly Metrics'!C:C,"East King",'Data - Monthly Metrics'!D:D,"Penetration - Lodging %"))</f>
        <v/>
      </c>
      <c r="G79" s="97">
        <f>IF(COUNTIFS('Data - Monthly Metrics'!A:A,$B$4,'Data - Monthly Metrics'!B:B,"Feb",'Data - Monthly Metrics'!C:C,"East King",'Data - Monthly Metrics'!D:D,"Penetration - Lodging %")=0,"-",SUMIFS('Data - Monthly Metrics'!E:E,'Data - Monthly Metrics'!A:A,$B$4,'Data - Monthly Metrics'!B:B,"Feb",'Data - Monthly Metrics'!C:C,"East King",'Data - Monthly Metrics'!D:D,"Penetration - Lodging %"))</f>
        <v/>
      </c>
      <c r="H79" s="97">
        <f>IF(COUNTIFS('Data - Monthly Metrics'!A:A,$B$4,'Data - Monthly Metrics'!B:B,"Mar",'Data - Monthly Metrics'!C:C,"East King",'Data - Monthly Metrics'!D:D,"Penetration - Lodging %")=0,"-",SUMIFS('Data - Monthly Metrics'!E:E,'Data - Monthly Metrics'!A:A,$B$4,'Data - Monthly Metrics'!B:B,"Mar",'Data - Monthly Metrics'!C:C,"East King",'Data - Monthly Metrics'!D:D,"Penetration - Lodging %"))</f>
        <v/>
      </c>
      <c r="I79" s="102">
        <f>IF(ISNUMBER(H79),H79,IF(ISNUMBER(G79),G79,IF(ISNUMBER(F79),F79,"-")))</f>
        <v/>
      </c>
      <c r="J79" s="97">
        <f>IF(COUNTIFS('Data - Monthly Metrics'!A:A,$B$4,'Data - Monthly Metrics'!B:B,"Apr",'Data - Monthly Metrics'!C:C,"East King",'Data - Monthly Metrics'!D:D,"Penetration - Lodging %")=0,"-",SUMIFS('Data - Monthly Metrics'!E:E,'Data - Monthly Metrics'!A:A,$B$4,'Data - Monthly Metrics'!B:B,"Apr",'Data - Monthly Metrics'!C:C,"East King",'Data - Monthly Metrics'!D:D,"Penetration - Lodging %"))</f>
        <v/>
      </c>
      <c r="K79" s="97">
        <f>IF(COUNTIFS('Data - Monthly Metrics'!A:A,$B$4,'Data - Monthly Metrics'!B:B,"May",'Data - Monthly Metrics'!C:C,"East King",'Data - Monthly Metrics'!D:D,"Penetration - Lodging %")=0,"-",SUMIFS('Data - Monthly Metrics'!E:E,'Data - Monthly Metrics'!A:A,$B$4,'Data - Monthly Metrics'!B:B,"May",'Data - Monthly Metrics'!C:C,"East King",'Data - Monthly Metrics'!D:D,"Penetration - Lodging %"))</f>
        <v/>
      </c>
      <c r="L79" s="97">
        <f>IF(COUNTIFS('Data - Monthly Metrics'!A:A,$B$4,'Data - Monthly Metrics'!B:B,"Jun",'Data - Monthly Metrics'!C:C,"East King",'Data - Monthly Metrics'!D:D,"Penetration - Lodging %")=0,"-",SUMIFS('Data - Monthly Metrics'!E:E,'Data - Monthly Metrics'!A:A,$B$4,'Data - Monthly Metrics'!B:B,"Jun",'Data - Monthly Metrics'!C:C,"East King",'Data - Monthly Metrics'!D:D,"Penetration - Lodging %"))</f>
        <v/>
      </c>
      <c r="M79" s="102">
        <f>IF(ISNUMBER(L79),L79,IF(ISNUMBER(K79),K79,IF(ISNUMBER(J79),J79,"-")))</f>
        <v/>
      </c>
      <c r="N79" s="97">
        <f>IF(COUNTIFS('Data - Monthly Metrics'!A:A,$B$4,'Data - Monthly Metrics'!B:B,"Jul",'Data - Monthly Metrics'!C:C,"East King",'Data - Monthly Metrics'!D:D,"Penetration - Lodging %")=0,"-",SUMIFS('Data - Monthly Metrics'!E:E,'Data - Monthly Metrics'!A:A,$B$4,'Data - Monthly Metrics'!B:B,"Jul",'Data - Monthly Metrics'!C:C,"East King",'Data - Monthly Metrics'!D:D,"Penetration - Lodging %"))</f>
        <v/>
      </c>
      <c r="O79" s="97">
        <f>IF(COUNTIFS('Data - Monthly Metrics'!A:A,$B$4,'Data - Monthly Metrics'!B:B,"Aug",'Data - Monthly Metrics'!C:C,"East King",'Data - Monthly Metrics'!D:D,"Penetration - Lodging %")=0,"-",SUMIFS('Data - Monthly Metrics'!E:E,'Data - Monthly Metrics'!A:A,$B$4,'Data - Monthly Metrics'!B:B,"Aug",'Data - Monthly Metrics'!C:C,"East King",'Data - Monthly Metrics'!D:D,"Penetration - Lodging %"))</f>
        <v/>
      </c>
      <c r="P79" s="97">
        <f>IF(COUNTIFS('Data - Monthly Metrics'!A:A,$B$4,'Data - Monthly Metrics'!B:B,"Sep",'Data - Monthly Metrics'!C:C,"East King",'Data - Monthly Metrics'!D:D,"Penetration - Lodging %")=0,"-",SUMIFS('Data - Monthly Metrics'!E:E,'Data - Monthly Metrics'!A:A,$B$4,'Data - Monthly Metrics'!B:B,"Sep",'Data - Monthly Metrics'!C:C,"East King",'Data - Monthly Metrics'!D:D,"Penetration - Lodging %"))</f>
        <v/>
      </c>
      <c r="Q79" s="102">
        <f>IF(ISNUMBER(P79),P79,IF(ISNUMBER(O79),O79,IF(ISNUMBER(N79),N79,"-")))</f>
        <v/>
      </c>
      <c r="R79" s="102">
        <f>IF(ISNUMBER(Q79),Q79,IF(ISNUMBER(M79),M79,IF(ISNUMBER(I79),I79,IF(ISNUMBER(E79),E79,"-"))))</f>
        <v/>
      </c>
    </row>
    <row r="80" ht="14.25" customHeight="1" s="82">
      <c r="A80" s="89" t="inlineStr">
        <is>
          <t>Penetration - Combined</t>
        </is>
      </c>
      <c r="B80" s="92">
        <f>IF(COUNTIFS('Data - Monthly Metrics'!A:A,$B$4-1,'Data - Monthly Metrics'!B:B,"Oct",'Data - Monthly Metrics'!C:C,"East King",'Data - Monthly Metrics'!D:D,"Penetration - Combined %")=0,"-",SUMIFS('Data - Monthly Metrics'!E:E,'Data - Monthly Metrics'!A:A,$B$4-1,'Data - Monthly Metrics'!B:B,"Oct",'Data - Monthly Metrics'!C:C,"East King",'Data - Monthly Metrics'!D:D,"Penetration - Combined %"))</f>
        <v/>
      </c>
      <c r="C80" s="92">
        <f>IF(COUNTIFS('Data - Monthly Metrics'!A:A,$B$4-1,'Data - Monthly Metrics'!B:B,"Nov",'Data - Monthly Metrics'!C:C,"East King",'Data - Monthly Metrics'!D:D,"Penetration - Combined %")=0,"-",SUMIFS('Data - Monthly Metrics'!E:E,'Data - Monthly Metrics'!A:A,$B$4-1,'Data - Monthly Metrics'!B:B,"Nov",'Data - Monthly Metrics'!C:C,"East King",'Data - Monthly Metrics'!D:D,"Penetration - Combined %"))</f>
        <v/>
      </c>
      <c r="D80" s="92">
        <f>IF(COUNTIFS('Data - Monthly Metrics'!A:A,$B$4-1,'Data - Monthly Metrics'!B:B,"Dec",'Data - Monthly Metrics'!C:C,"East King",'Data - Monthly Metrics'!D:D,"Penetration - Combined %")=0,"-",SUMIFS('Data - Monthly Metrics'!E:E,'Data - Monthly Metrics'!A:A,$B$4-1,'Data - Monthly Metrics'!B:B,"Dec",'Data - Monthly Metrics'!C:C,"East King",'Data - Monthly Metrics'!D:D,"Penetration - Combined %"))</f>
        <v/>
      </c>
      <c r="E80" s="102">
        <f>IF(ISNUMBER(D80),D80,IF(ISNUMBER(C80),C80,IF(ISNUMBER(B80),B80,"-")))</f>
        <v/>
      </c>
      <c r="F80" s="92">
        <f>IF(COUNTIFS('Data - Monthly Metrics'!A:A,$B$4,'Data - Monthly Metrics'!B:B,"Jan",'Data - Monthly Metrics'!C:C,"East King",'Data - Monthly Metrics'!D:D,"Penetration - Combined %")=0,"-",SUMIFS('Data - Monthly Metrics'!E:E,'Data - Monthly Metrics'!A:A,$B$4,'Data - Monthly Metrics'!B:B,"Jan",'Data - Monthly Metrics'!C:C,"East King",'Data - Monthly Metrics'!D:D,"Penetration - Combined %"))</f>
        <v/>
      </c>
      <c r="G80" s="92">
        <f>IF(COUNTIFS('Data - Monthly Metrics'!A:A,$B$4,'Data - Monthly Metrics'!B:B,"Feb",'Data - Monthly Metrics'!C:C,"East King",'Data - Monthly Metrics'!D:D,"Penetration - Combined %")=0,"-",SUMIFS('Data - Monthly Metrics'!E:E,'Data - Monthly Metrics'!A:A,$B$4,'Data - Monthly Metrics'!B:B,"Feb",'Data - Monthly Metrics'!C:C,"East King",'Data - Monthly Metrics'!D:D,"Penetration - Combined %"))</f>
        <v/>
      </c>
      <c r="H80" s="92">
        <f>IF(COUNTIFS('Data - Monthly Metrics'!A:A,$B$4,'Data - Monthly Metrics'!B:B,"Mar",'Data - Monthly Metrics'!C:C,"East King",'Data - Monthly Metrics'!D:D,"Penetration - Combined %")=0,"-",SUMIFS('Data - Monthly Metrics'!E:E,'Data - Monthly Metrics'!A:A,$B$4,'Data - Monthly Metrics'!B:B,"Mar",'Data - Monthly Metrics'!C:C,"East King",'Data - Monthly Metrics'!D:D,"Penetration - Combined %"))</f>
        <v/>
      </c>
      <c r="I80" s="102">
        <f>IF(ISNUMBER(H80),H80,IF(ISNUMBER(G80),G80,IF(ISNUMBER(F80),F80,"-")))</f>
        <v/>
      </c>
      <c r="J80" s="92">
        <f>IF(COUNTIFS('Data - Monthly Metrics'!A:A,$B$4,'Data - Monthly Metrics'!B:B,"Apr",'Data - Monthly Metrics'!C:C,"East King",'Data - Monthly Metrics'!D:D,"Penetration - Combined %")=0,"-",SUMIFS('Data - Monthly Metrics'!E:E,'Data - Monthly Metrics'!A:A,$B$4,'Data - Monthly Metrics'!B:B,"Apr",'Data - Monthly Metrics'!C:C,"East King",'Data - Monthly Metrics'!D:D,"Penetration - Combined %"))</f>
        <v/>
      </c>
      <c r="K80" s="92">
        <f>IF(COUNTIFS('Data - Monthly Metrics'!A:A,$B$4,'Data - Monthly Metrics'!B:B,"May",'Data - Monthly Metrics'!C:C,"East King",'Data - Monthly Metrics'!D:D,"Penetration - Combined %")=0,"-",SUMIFS('Data - Monthly Metrics'!E:E,'Data - Monthly Metrics'!A:A,$B$4,'Data - Monthly Metrics'!B:B,"May",'Data - Monthly Metrics'!C:C,"East King",'Data - Monthly Metrics'!D:D,"Penetration - Combined %"))</f>
        <v/>
      </c>
      <c r="L80" s="92">
        <f>IF(COUNTIFS('Data - Monthly Metrics'!A:A,$B$4,'Data - Monthly Metrics'!B:B,"Jun",'Data - Monthly Metrics'!C:C,"East King",'Data - Monthly Metrics'!D:D,"Penetration - Combined %")=0,"-",SUMIFS('Data - Monthly Metrics'!E:E,'Data - Monthly Metrics'!A:A,$B$4,'Data - Monthly Metrics'!B:B,"Jun",'Data - Monthly Metrics'!C:C,"East King",'Data - Monthly Metrics'!D:D,"Penetration - Combined %"))</f>
        <v/>
      </c>
      <c r="M80" s="102">
        <f>IF(ISNUMBER(L80),L80,IF(ISNUMBER(K80),K80,IF(ISNUMBER(J80),J80,"-")))</f>
        <v/>
      </c>
      <c r="N80" s="92">
        <f>IF(COUNTIFS('Data - Monthly Metrics'!A:A,$B$4,'Data - Monthly Metrics'!B:B,"Jul",'Data - Monthly Metrics'!C:C,"East King",'Data - Monthly Metrics'!D:D,"Penetration - Combined %")=0,"-",SUMIFS('Data - Monthly Metrics'!E:E,'Data - Monthly Metrics'!A:A,$B$4,'Data - Monthly Metrics'!B:B,"Jul",'Data - Monthly Metrics'!C:C,"East King",'Data - Monthly Metrics'!D:D,"Penetration - Combined %"))</f>
        <v/>
      </c>
      <c r="O80" s="92">
        <f>IF(COUNTIFS('Data - Monthly Metrics'!A:A,$B$4,'Data - Monthly Metrics'!B:B,"Aug",'Data - Monthly Metrics'!C:C,"East King",'Data - Monthly Metrics'!D:D,"Penetration - Combined %")=0,"-",SUMIFS('Data - Monthly Metrics'!E:E,'Data - Monthly Metrics'!A:A,$B$4,'Data - Monthly Metrics'!B:B,"Aug",'Data - Monthly Metrics'!C:C,"East King",'Data - Monthly Metrics'!D:D,"Penetration - Combined %"))</f>
        <v/>
      </c>
      <c r="P80" s="92">
        <f>IF(COUNTIFS('Data - Monthly Metrics'!A:A,$B$4,'Data - Monthly Metrics'!B:B,"Sep",'Data - Monthly Metrics'!C:C,"East King",'Data - Monthly Metrics'!D:D,"Penetration - Combined %")=0,"-",SUMIFS('Data - Monthly Metrics'!E:E,'Data - Monthly Metrics'!A:A,$B$4,'Data - Monthly Metrics'!B:B,"Sep",'Data - Monthly Metrics'!C:C,"East King",'Data - Monthly Metrics'!D:D,"Penetration - Combined %"))</f>
        <v/>
      </c>
      <c r="Q80" s="102">
        <f>IF(ISNUMBER(P80),P80,IF(ISNUMBER(O80),O80,IF(ISNUMBER(N80),N80,"-")))</f>
        <v/>
      </c>
      <c r="R80" s="102">
        <f>IF(ISNUMBER(Q80),Q80,IF(ISNUMBER(M80),M80,IF(ISNUMBER(I80),I80,IF(ISNUMBER(E80),E80,"-"))))</f>
        <v/>
      </c>
    </row>
    <row r="81" ht="14.25" customHeight="1" s="82">
      <c r="A81" s="94" t="inlineStr">
        <is>
          <t>Status (Combined)</t>
        </is>
      </c>
      <c r="B81" s="120">
        <f>IF(OR(NOT(ISNUMBER(B80)),B80=0,COUNTIFS('Data - Monthly Metrics'!$A:$A,$B$4-1,'Data - Monthly Metrics'!$B:$B,B$8,'Data - Monthly Metrics'!$C:$C,"East King",'Data - Monthly Metrics'!$D:$D,"Goal - Penetration %")=0),"—",IF(B80&gt;=SUMIFS('Data - Monthly Metrics'!$E:$E,'Data - Monthly Metrics'!$A:$A,$B$4-1,'Data - Monthly Metrics'!$B:$B,B$8,'Data - Monthly Metrics'!$C:$C,"East King",'Data - Monthly Metrics'!$D:$D,"Goal - Penetration %"),"On Track",IF(B80&gt;=SUMIFS('Data - Monthly Metrics'!$E:$E,'Data - Monthly Metrics'!$A:$A,$B$4-1,'Data - Monthly Metrics'!$B:$B,B$8,'Data - Monthly Metrics'!$C:$C,"East King",'Data - Monthly Metrics'!$D:$D,"Goal - Penetration %")-0.05,"Watch","At Risk")))</f>
        <v/>
      </c>
      <c r="C81" s="120">
        <f>IF(OR(NOT(ISNUMBER(C80)),C80=0,COUNTIFS('Data - Monthly Metrics'!$A:$A,$B$4-1,'Data - Monthly Metrics'!$B:$B,C$8,'Data - Monthly Metrics'!$C:$C,"East King",'Data - Monthly Metrics'!$D:$D,"Goal - Penetration %")=0),"—",IF(C80&gt;=SUMIFS('Data - Monthly Metrics'!$E:$E,'Data - Monthly Metrics'!$A:$A,$B$4-1,'Data - Monthly Metrics'!$B:$B,C$8,'Data - Monthly Metrics'!$C:$C,"East King",'Data - Monthly Metrics'!$D:$D,"Goal - Penetration %"),"On Track",IF(C80&gt;=SUMIFS('Data - Monthly Metrics'!$E:$E,'Data - Monthly Metrics'!$A:$A,$B$4-1,'Data - Monthly Metrics'!$B:$B,C$8,'Data - Monthly Metrics'!$C:$C,"East King",'Data - Monthly Metrics'!$D:$D,"Goal - Penetration %")-0.05,"Watch","At Risk")))</f>
        <v/>
      </c>
      <c r="D81" s="120">
        <f>IF(OR(NOT(ISNUMBER(D80)),D80=0,COUNTIFS('Data - Monthly Metrics'!$A:$A,$B$4-1,'Data - Monthly Metrics'!$B:$B,D$8,'Data - Monthly Metrics'!$C:$C,"East King",'Data - Monthly Metrics'!$D:$D,"Goal - Penetration %")=0),"—",IF(D80&gt;=SUMIFS('Data - Monthly Metrics'!$E:$E,'Data - Monthly Metrics'!$A:$A,$B$4-1,'Data - Monthly Metrics'!$B:$B,D$8,'Data - Monthly Metrics'!$C:$C,"East King",'Data - Monthly Metrics'!$D:$D,"Goal - Penetration %"),"On Track",IF(D80&gt;=SUMIFS('Data - Monthly Metrics'!$E:$E,'Data - Monthly Metrics'!$A:$A,$B$4-1,'Data - Monthly Metrics'!$B:$B,D$8,'Data - Monthly Metrics'!$C:$C,"East King",'Data - Monthly Metrics'!$D:$D,"Goal - Penetration %")-0.05,"Watch","At Risk")))</f>
        <v/>
      </c>
      <c r="E81" s="121">
        <f>"—"</f>
        <v/>
      </c>
      <c r="F81" s="120">
        <f>IF(OR(NOT(ISNUMBER(F80)),F80=0,COUNTIFS('Data - Monthly Metrics'!$A:$A,$B$4,'Data - Monthly Metrics'!$B:$B,F$8,'Data - Monthly Metrics'!$C:$C,"East King",'Data - Monthly Metrics'!$D:$D,"Goal - Penetration %")=0),"—",IF(F80&gt;=SUMIFS('Data - Monthly Metrics'!$E:$E,'Data - Monthly Metrics'!$A:$A,$B$4,'Data - Monthly Metrics'!$B:$B,F$8,'Data - Monthly Metrics'!$C:$C,"East King",'Data - Monthly Metrics'!$D:$D,"Goal - Penetration %"),"On Track",IF(F80&gt;=SUMIFS('Data - Monthly Metrics'!$E:$E,'Data - Monthly Metrics'!$A:$A,$B$4,'Data - Monthly Metrics'!$B:$B,F$8,'Data - Monthly Metrics'!$C:$C,"East King",'Data - Monthly Metrics'!$D:$D,"Goal - Penetration %")-0.05,"Watch","At Risk")))</f>
        <v/>
      </c>
      <c r="G81" s="120">
        <f>IF(OR(NOT(ISNUMBER(G80)),G80=0,COUNTIFS('Data - Monthly Metrics'!$A:$A,$B$4,'Data - Monthly Metrics'!$B:$B,G$8,'Data - Monthly Metrics'!$C:$C,"East King",'Data - Monthly Metrics'!$D:$D,"Goal - Penetration %")=0),"—",IF(G80&gt;=SUMIFS('Data - Monthly Metrics'!$E:$E,'Data - Monthly Metrics'!$A:$A,$B$4,'Data - Monthly Metrics'!$B:$B,G$8,'Data - Monthly Metrics'!$C:$C,"East King",'Data - Monthly Metrics'!$D:$D,"Goal - Penetration %"),"On Track",IF(G80&gt;=SUMIFS('Data - Monthly Metrics'!$E:$E,'Data - Monthly Metrics'!$A:$A,$B$4,'Data - Monthly Metrics'!$B:$B,G$8,'Data - Monthly Metrics'!$C:$C,"East King",'Data - Monthly Metrics'!$D:$D,"Goal - Penetration %")-0.05,"Watch","At Risk")))</f>
        <v/>
      </c>
      <c r="H81" s="120">
        <f>IF(OR(NOT(ISNUMBER(H80)),H80=0,COUNTIFS('Data - Monthly Metrics'!$A:$A,$B$4,'Data - Monthly Metrics'!$B:$B,H$8,'Data - Monthly Metrics'!$C:$C,"East King",'Data - Monthly Metrics'!$D:$D,"Goal - Penetration %")=0),"—",IF(H80&gt;=SUMIFS('Data - Monthly Metrics'!$E:$E,'Data - Monthly Metrics'!$A:$A,$B$4,'Data - Monthly Metrics'!$B:$B,H$8,'Data - Monthly Metrics'!$C:$C,"East King",'Data - Monthly Metrics'!$D:$D,"Goal - Penetration %"),"On Track",IF(H80&gt;=SUMIFS('Data - Monthly Metrics'!$E:$E,'Data - Monthly Metrics'!$A:$A,$B$4,'Data - Monthly Metrics'!$B:$B,H$8,'Data - Monthly Metrics'!$C:$C,"East King",'Data - Monthly Metrics'!$D:$D,"Goal - Penetration %")-0.05,"Watch","At Risk")))</f>
        <v/>
      </c>
      <c r="I81" s="121">
        <f>"—"</f>
        <v/>
      </c>
      <c r="J81" s="120">
        <f>IF(OR(NOT(ISNUMBER(J80)),J80=0,COUNTIFS('Data - Monthly Metrics'!$A:$A,$B$4,'Data - Monthly Metrics'!$B:$B,J$8,'Data - Monthly Metrics'!$C:$C,"East King",'Data - Monthly Metrics'!$D:$D,"Goal - Penetration %")=0),"—",IF(J80&gt;=SUMIFS('Data - Monthly Metrics'!$E:$E,'Data - Monthly Metrics'!$A:$A,$B$4,'Data - Monthly Metrics'!$B:$B,J$8,'Data - Monthly Metrics'!$C:$C,"East King",'Data - Monthly Metrics'!$D:$D,"Goal - Penetration %"),"On Track",IF(J80&gt;=SUMIFS('Data - Monthly Metrics'!$E:$E,'Data - Monthly Metrics'!$A:$A,$B$4,'Data - Monthly Metrics'!$B:$B,J$8,'Data - Monthly Metrics'!$C:$C,"East King",'Data - Monthly Metrics'!$D:$D,"Goal - Penetration %")-0.05,"Watch","At Risk")))</f>
        <v/>
      </c>
      <c r="K81" s="120">
        <f>IF(OR(NOT(ISNUMBER(K80)),K80=0,COUNTIFS('Data - Monthly Metrics'!$A:$A,$B$4,'Data - Monthly Metrics'!$B:$B,K$8,'Data - Monthly Metrics'!$C:$C,"East King",'Data - Monthly Metrics'!$D:$D,"Goal - Penetration %")=0),"—",IF(K80&gt;=SUMIFS('Data - Monthly Metrics'!$E:$E,'Data - Monthly Metrics'!$A:$A,$B$4,'Data - Monthly Metrics'!$B:$B,K$8,'Data - Monthly Metrics'!$C:$C,"East King",'Data - Monthly Metrics'!$D:$D,"Goal - Penetration %"),"On Track",IF(K80&gt;=SUMIFS('Data - Monthly Metrics'!$E:$E,'Data - Monthly Metrics'!$A:$A,$B$4,'Data - Monthly Metrics'!$B:$B,K$8,'Data - Monthly Metrics'!$C:$C,"East King",'Data - Monthly Metrics'!$D:$D,"Goal - Penetration %")-0.05,"Watch","At Risk")))</f>
        <v/>
      </c>
      <c r="L81" s="120">
        <f>IF(OR(NOT(ISNUMBER(L80)),L80=0,COUNTIFS('Data - Monthly Metrics'!$A:$A,$B$4,'Data - Monthly Metrics'!$B:$B,L$8,'Data - Monthly Metrics'!$C:$C,"East King",'Data - Monthly Metrics'!$D:$D,"Goal - Penetration %")=0),"—",IF(L80&gt;=SUMIFS('Data - Monthly Metrics'!$E:$E,'Data - Monthly Metrics'!$A:$A,$B$4,'Data - Monthly Metrics'!$B:$B,L$8,'Data - Monthly Metrics'!$C:$C,"East King",'Data - Monthly Metrics'!$D:$D,"Goal - Penetration %"),"On Track",IF(L80&gt;=SUMIFS('Data - Monthly Metrics'!$E:$E,'Data - Monthly Metrics'!$A:$A,$B$4,'Data - Monthly Metrics'!$B:$B,L$8,'Data - Monthly Metrics'!$C:$C,"East King",'Data - Monthly Metrics'!$D:$D,"Goal - Penetration %")-0.05,"Watch","At Risk")))</f>
        <v/>
      </c>
      <c r="M81" s="121">
        <f>"—"</f>
        <v/>
      </c>
      <c r="N81" s="120">
        <f>IF(OR(NOT(ISNUMBER(N80)),N80=0,COUNTIFS('Data - Monthly Metrics'!$A:$A,$B$4,'Data - Monthly Metrics'!$B:$B,N$8,'Data - Monthly Metrics'!$C:$C,"East King",'Data - Monthly Metrics'!$D:$D,"Goal - Penetration %")=0),"—",IF(N80&gt;=SUMIFS('Data - Monthly Metrics'!$E:$E,'Data - Monthly Metrics'!$A:$A,$B$4,'Data - Monthly Metrics'!$B:$B,N$8,'Data - Monthly Metrics'!$C:$C,"East King",'Data - Monthly Metrics'!$D:$D,"Goal - Penetration %"),"On Track",IF(N80&gt;=SUMIFS('Data - Monthly Metrics'!$E:$E,'Data - Monthly Metrics'!$A:$A,$B$4,'Data - Monthly Metrics'!$B:$B,N$8,'Data - Monthly Metrics'!$C:$C,"East King",'Data - Monthly Metrics'!$D:$D,"Goal - Penetration %")-0.05,"Watch","At Risk")))</f>
        <v/>
      </c>
      <c r="O81" s="120">
        <f>IF(OR(NOT(ISNUMBER(O80)),O80=0,COUNTIFS('Data - Monthly Metrics'!$A:$A,$B$4,'Data - Monthly Metrics'!$B:$B,O$8,'Data - Monthly Metrics'!$C:$C,"East King",'Data - Monthly Metrics'!$D:$D,"Goal - Penetration %")=0),"—",IF(O80&gt;=SUMIFS('Data - Monthly Metrics'!$E:$E,'Data - Monthly Metrics'!$A:$A,$B$4,'Data - Monthly Metrics'!$B:$B,O$8,'Data - Monthly Metrics'!$C:$C,"East King",'Data - Monthly Metrics'!$D:$D,"Goal - Penetration %"),"On Track",IF(O80&gt;=SUMIFS('Data - Monthly Metrics'!$E:$E,'Data - Monthly Metrics'!$A:$A,$B$4,'Data - Monthly Metrics'!$B:$B,O$8,'Data - Monthly Metrics'!$C:$C,"East King",'Data - Monthly Metrics'!$D:$D,"Goal - Penetration %")-0.05,"Watch","At Risk")))</f>
        <v/>
      </c>
      <c r="P81" s="120">
        <f>IF(OR(NOT(ISNUMBER(P80)),P80=0,COUNTIFS('Data - Monthly Metrics'!$A:$A,$B$4,'Data - Monthly Metrics'!$B:$B,P$8,'Data - Monthly Metrics'!$C:$C,"East King",'Data - Monthly Metrics'!$D:$D,"Goal - Penetration %")=0),"—",IF(P80&gt;=SUMIFS('Data - Monthly Metrics'!$E:$E,'Data - Monthly Metrics'!$A:$A,$B$4,'Data - Monthly Metrics'!$B:$B,P$8,'Data - Monthly Metrics'!$C:$C,"East King",'Data - Monthly Metrics'!$D:$D,"Goal - Penetration %"),"On Track",IF(P80&gt;=SUMIFS('Data - Monthly Metrics'!$E:$E,'Data - Monthly Metrics'!$A:$A,$B$4,'Data - Monthly Metrics'!$B:$B,P$8,'Data - Monthly Metrics'!$C:$C,"East King",'Data - Monthly Metrics'!$D:$D,"Goal - Penetration %")-0.05,"Watch","At Risk")))</f>
        <v/>
      </c>
      <c r="Q81" s="121">
        <f>"—"</f>
        <v/>
      </c>
      <c r="R81" s="121">
        <f>"—"</f>
        <v/>
      </c>
    </row>
    <row r="82" ht="14.25" customHeight="1" s="82">
      <c r="A82" s="151" t="inlineStr">
        <is>
          <t>Goal</t>
        </is>
      </c>
      <c r="B82" s="152">
        <f>IF(COUNTIFS('Data - Monthly Metrics'!$A:$A,$B$4-1,'Data - Monthly Metrics'!$B:$B,B$8,'Data - Monthly Metrics'!$C:$C,"East King",'Data - Monthly Metrics'!$D:$D,"Goal - Penetration %")=0,"-",SUMIFS('Data - Monthly Metrics'!$E:$E,'Data - Monthly Metrics'!$A:$A,$B$4-1,'Data - Monthly Metrics'!$B:$B,B$8,'Data - Monthly Metrics'!$C:$C,"East King",'Data - Monthly Metrics'!$D:$D,"Goal - Penetration %"))</f>
        <v/>
      </c>
      <c r="C82" s="152">
        <f>IF(COUNTIFS('Data - Monthly Metrics'!$A:$A,$B$4-1,'Data - Monthly Metrics'!$B:$B,C$8,'Data - Monthly Metrics'!$C:$C,"East King",'Data - Monthly Metrics'!$D:$D,"Goal - Penetration %")=0,"-",SUMIFS('Data - Monthly Metrics'!$E:$E,'Data - Monthly Metrics'!$A:$A,$B$4-1,'Data - Monthly Metrics'!$B:$B,C$8,'Data - Monthly Metrics'!$C:$C,"East King",'Data - Monthly Metrics'!$D:$D,"Goal - Penetration %"))</f>
        <v/>
      </c>
      <c r="D82" s="152">
        <f>IF(COUNTIFS('Data - Monthly Metrics'!$A:$A,$B$4-1,'Data - Monthly Metrics'!$B:$B,D$8,'Data - Monthly Metrics'!$C:$C,"East King",'Data - Monthly Metrics'!$D:$D,"Goal - Penetration %")=0,"-",SUMIFS('Data - Monthly Metrics'!$E:$E,'Data - Monthly Metrics'!$A:$A,$B$4-1,'Data - Monthly Metrics'!$B:$B,D$8,'Data - Monthly Metrics'!$C:$C,"East King",'Data - Monthly Metrics'!$D:$D,"Goal - Penetration %"))</f>
        <v/>
      </c>
      <c r="E82" s="153" t="n"/>
      <c r="F82" s="152">
        <f>IF(COUNTIFS('Data - Monthly Metrics'!$A:$A,$B$4,'Data - Monthly Metrics'!$B:$B,F$8,'Data - Monthly Metrics'!$C:$C,"East King",'Data - Monthly Metrics'!$D:$D,"Goal - Penetration %")=0,"-",SUMIFS('Data - Monthly Metrics'!$E:$E,'Data - Monthly Metrics'!$A:$A,$B$4,'Data - Monthly Metrics'!$B:$B,F$8,'Data - Monthly Metrics'!$C:$C,"East King",'Data - Monthly Metrics'!$D:$D,"Goal - Penetration %"))</f>
        <v/>
      </c>
      <c r="G82" s="152">
        <f>IF(COUNTIFS('Data - Monthly Metrics'!$A:$A,$B$4,'Data - Monthly Metrics'!$B:$B,G$8,'Data - Monthly Metrics'!$C:$C,"East King",'Data - Monthly Metrics'!$D:$D,"Goal - Penetration %")=0,"-",SUMIFS('Data - Monthly Metrics'!$E:$E,'Data - Monthly Metrics'!$A:$A,$B$4,'Data - Monthly Metrics'!$B:$B,G$8,'Data - Monthly Metrics'!$C:$C,"East King",'Data - Monthly Metrics'!$D:$D,"Goal - Penetration %"))</f>
        <v/>
      </c>
      <c r="H82" s="152">
        <f>IF(COUNTIFS('Data - Monthly Metrics'!$A:$A,$B$4,'Data - Monthly Metrics'!$B:$B,H$8,'Data - Monthly Metrics'!$C:$C,"East King",'Data - Monthly Metrics'!$D:$D,"Goal - Penetration %")=0,"-",SUMIFS('Data - Monthly Metrics'!$E:$E,'Data - Monthly Metrics'!$A:$A,$B$4,'Data - Monthly Metrics'!$B:$B,H$8,'Data - Monthly Metrics'!$C:$C,"East King",'Data - Monthly Metrics'!$D:$D,"Goal - Penetration %"))</f>
        <v/>
      </c>
      <c r="I82" s="153" t="n"/>
      <c r="J82" s="152">
        <f>IF(COUNTIFS('Data - Monthly Metrics'!$A:$A,$B$4,'Data - Monthly Metrics'!$B:$B,J$8,'Data - Monthly Metrics'!$C:$C,"East King",'Data - Monthly Metrics'!$D:$D,"Goal - Penetration %")=0,"-",SUMIFS('Data - Monthly Metrics'!$E:$E,'Data - Monthly Metrics'!$A:$A,$B$4,'Data - Monthly Metrics'!$B:$B,J$8,'Data - Monthly Metrics'!$C:$C,"East King",'Data - Monthly Metrics'!$D:$D,"Goal - Penetration %"))</f>
        <v/>
      </c>
      <c r="K82" s="152">
        <f>IF(COUNTIFS('Data - Monthly Metrics'!$A:$A,$B$4,'Data - Monthly Metrics'!$B:$B,K$8,'Data - Monthly Metrics'!$C:$C,"East King",'Data - Monthly Metrics'!$D:$D,"Goal - Penetration %")=0,"-",SUMIFS('Data - Monthly Metrics'!$E:$E,'Data - Monthly Metrics'!$A:$A,$B$4,'Data - Monthly Metrics'!$B:$B,K$8,'Data - Monthly Metrics'!$C:$C,"East King",'Data - Monthly Metrics'!$D:$D,"Goal - Penetration %"))</f>
        <v/>
      </c>
      <c r="L82" s="152">
        <f>IF(COUNTIFS('Data - Monthly Metrics'!$A:$A,$B$4,'Data - Monthly Metrics'!$B:$B,L$8,'Data - Monthly Metrics'!$C:$C,"East King",'Data - Monthly Metrics'!$D:$D,"Goal - Penetration %")=0,"-",SUMIFS('Data - Monthly Metrics'!$E:$E,'Data - Monthly Metrics'!$A:$A,$B$4,'Data - Monthly Metrics'!$B:$B,L$8,'Data - Monthly Metrics'!$C:$C,"East King",'Data - Monthly Metrics'!$D:$D,"Goal - Penetration %"))</f>
        <v/>
      </c>
      <c r="M82" s="153" t="n"/>
      <c r="N82" s="152">
        <f>IF(COUNTIFS('Data - Monthly Metrics'!$A:$A,$B$4,'Data - Monthly Metrics'!$B:$B,N$8,'Data - Monthly Metrics'!$C:$C,"East King",'Data - Monthly Metrics'!$D:$D,"Goal - Penetration %")=0,"-",SUMIFS('Data - Monthly Metrics'!$E:$E,'Data - Monthly Metrics'!$A:$A,$B$4,'Data - Monthly Metrics'!$B:$B,N$8,'Data - Monthly Metrics'!$C:$C,"East King",'Data - Monthly Metrics'!$D:$D,"Goal - Penetration %"))</f>
        <v/>
      </c>
      <c r="O82" s="152">
        <f>IF(COUNTIFS('Data - Monthly Metrics'!$A:$A,$B$4,'Data - Monthly Metrics'!$B:$B,O$8,'Data - Monthly Metrics'!$C:$C,"East King",'Data - Monthly Metrics'!$D:$D,"Goal - Penetration %")=0,"-",SUMIFS('Data - Monthly Metrics'!$E:$E,'Data - Monthly Metrics'!$A:$A,$B$4,'Data - Monthly Metrics'!$B:$B,O$8,'Data - Monthly Metrics'!$C:$C,"East King",'Data - Monthly Metrics'!$D:$D,"Goal - Penetration %"))</f>
        <v/>
      </c>
      <c r="P82" s="152">
        <f>IF(COUNTIFS('Data - Monthly Metrics'!$A:$A,$B$4,'Data - Monthly Metrics'!$B:$B,P$8,'Data - Monthly Metrics'!$C:$C,"East King",'Data - Monthly Metrics'!$D:$D,"Goal - Penetration %")=0,"-",SUMIFS('Data - Monthly Metrics'!$E:$E,'Data - Monthly Metrics'!$A:$A,$B$4,'Data - Monthly Metrics'!$B:$B,P$8,'Data - Monthly Metrics'!$C:$C,"East King",'Data - Monthly Metrics'!$D:$D,"Goal - Penetration %"))</f>
        <v/>
      </c>
      <c r="Q82" s="153" t="n"/>
      <c r="R82" s="153" t="n"/>
    </row>
    <row r="83" ht="14.25" customHeight="1" s="82">
      <c r="A83" s="94" t="inlineStr">
        <is>
          <t>Gap to Goal (Combined)</t>
        </is>
      </c>
      <c r="B83" s="97">
        <f>B82-B80</f>
        <v/>
      </c>
      <c r="C83" s="97">
        <f>C82-C80</f>
        <v/>
      </c>
      <c r="D83" s="97">
        <f>D82-D80</f>
        <v/>
      </c>
      <c r="E83" s="102">
        <f>E82-E80</f>
        <v/>
      </c>
      <c r="F83" s="97">
        <f>F82-F80</f>
        <v/>
      </c>
      <c r="G83" s="97">
        <f>G82-G80</f>
        <v/>
      </c>
      <c r="H83" s="97">
        <f>H82-H80</f>
        <v/>
      </c>
      <c r="I83" s="102">
        <f>I82-I80</f>
        <v/>
      </c>
      <c r="J83" s="97">
        <f>J82-J80</f>
        <v/>
      </c>
      <c r="K83" s="97">
        <f>K82-K80</f>
        <v/>
      </c>
      <c r="L83" s="97">
        <f>L82-L80</f>
        <v/>
      </c>
      <c r="M83" s="102">
        <f>M82-M80</f>
        <v/>
      </c>
      <c r="N83" s="97">
        <f>N82-N80</f>
        <v/>
      </c>
      <c r="O83" s="97">
        <f>O82-O80</f>
        <v/>
      </c>
      <c r="P83" s="97">
        <f>P82-P80</f>
        <v/>
      </c>
      <c r="Q83" s="102">
        <f>Q82-Q80</f>
        <v/>
      </c>
      <c r="R83" s="102">
        <f>R82-R80</f>
        <v/>
      </c>
    </row>
    <row r="84"/>
    <row r="85" ht="25.5" customHeight="1" s="82">
      <c r="A85" s="146" t="inlineStr">
        <is>
          <t>▼  NON-TARGET MEMBERS  ▼</t>
        </is>
      </c>
    </row>
    <row r="86"/>
    <row r="87" ht="21.75" customHeight="1" s="82">
      <c r="A87" s="87" t="inlineStr">
        <is>
          <t xml:space="preserve">  ▶   N1.  SALES — Non-Target</t>
        </is>
      </c>
    </row>
    <row r="88" ht="14.25" customHeight="1" s="82">
      <c r="A88" s="88" t="inlineStr">
        <is>
          <t>Metric</t>
        </is>
      </c>
      <c r="B88" s="88" t="inlineStr">
        <is>
          <t>Oct</t>
        </is>
      </c>
      <c r="C88" s="88" t="inlineStr">
        <is>
          <t>Nov</t>
        </is>
      </c>
      <c r="D88" s="88" t="inlineStr">
        <is>
          <t>Dec</t>
        </is>
      </c>
      <c r="E88" s="88" t="inlineStr">
        <is>
          <t>Q1</t>
        </is>
      </c>
      <c r="F88" s="88" t="inlineStr">
        <is>
          <t>Jan</t>
        </is>
      </c>
      <c r="G88" s="88" t="inlineStr">
        <is>
          <t>Feb</t>
        </is>
      </c>
      <c r="H88" s="88" t="inlineStr">
        <is>
          <t>Mar</t>
        </is>
      </c>
      <c r="I88" s="88" t="inlineStr">
        <is>
          <t>Q2</t>
        </is>
      </c>
      <c r="J88" s="88" t="inlineStr">
        <is>
          <t>Apr</t>
        </is>
      </c>
      <c r="K88" s="88" t="inlineStr">
        <is>
          <t>May</t>
        </is>
      </c>
      <c r="L88" s="88" t="inlineStr">
        <is>
          <t>Jun</t>
        </is>
      </c>
      <c r="M88" s="88" t="inlineStr">
        <is>
          <t>Q3</t>
        </is>
      </c>
      <c r="N88" s="88" t="inlineStr">
        <is>
          <t>Jul</t>
        </is>
      </c>
      <c r="O88" s="88" t="inlineStr">
        <is>
          <t>Aug</t>
        </is>
      </c>
      <c r="P88" s="88" t="inlineStr">
        <is>
          <t>Sep</t>
        </is>
      </c>
      <c r="Q88" s="88" t="inlineStr">
        <is>
          <t>Q4</t>
        </is>
      </c>
      <c r="R88" s="88" t="inlineStr">
        <is>
          <t>YTD</t>
        </is>
      </c>
    </row>
    <row r="89" ht="14.25" customHeight="1" s="82">
      <c r="A89" s="89" t="inlineStr">
        <is>
          <t>New Sales Revenue - Non-Target ($)</t>
        </is>
      </c>
      <c r="B89" s="91">
        <f>IF(COUNTIFS('Data - Monthly Metrics'!A:A,$B$4-1,'Data - Monthly Metrics'!B:B,"Oct",'Data - Monthly Metrics'!C:C,"East King",'Data - Monthly Metrics'!D:D,"New Sales Revenue - Non-Target ($)")=0,"-",SUMIFS('Data - Monthly Metrics'!E:E,'Data - Monthly Metrics'!A:A,$B$4-1,'Data - Monthly Metrics'!B:B,"Oct",'Data - Monthly Metrics'!C:C,"East King",'Data - Monthly Metrics'!D:D,"New Sales Revenue - Non-Target ($)"))</f>
        <v/>
      </c>
      <c r="C89" s="91">
        <f>IF(COUNTIFS('Data - Monthly Metrics'!A:A,$B$4-1,'Data - Monthly Metrics'!B:B,"Nov",'Data - Monthly Metrics'!C:C,"East King",'Data - Monthly Metrics'!D:D,"New Sales Revenue - Non-Target ($)")=0,"-",SUMIFS('Data - Monthly Metrics'!E:E,'Data - Monthly Metrics'!A:A,$B$4-1,'Data - Monthly Metrics'!B:B,"Nov",'Data - Monthly Metrics'!C:C,"East King",'Data - Monthly Metrics'!D:D,"New Sales Revenue - Non-Target ($)"))</f>
        <v/>
      </c>
      <c r="D89" s="91">
        <f>IF(COUNTIFS('Data - Monthly Metrics'!A:A,$B$4-1,'Data - Monthly Metrics'!B:B,"Dec",'Data - Monthly Metrics'!C:C,"East King",'Data - Monthly Metrics'!D:D,"New Sales Revenue - Non-Target ($)")=0,"-",SUMIFS('Data - Monthly Metrics'!E:E,'Data - Monthly Metrics'!A:A,$B$4-1,'Data - Monthly Metrics'!B:B,"Dec",'Data - Monthly Metrics'!C:C,"East King",'Data - Monthly Metrics'!D:D,"New Sales Revenue - Non-Target ($)"))</f>
        <v/>
      </c>
      <c r="E89" s="101">
        <f>SUM(B89,C89,D89)</f>
        <v/>
      </c>
      <c r="F89" s="91">
        <f>IF(COUNTIFS('Data - Monthly Metrics'!A:A,$B$4,'Data - Monthly Metrics'!B:B,"Jan",'Data - Monthly Metrics'!C:C,"East King",'Data - Monthly Metrics'!D:D,"New Sales Revenue - Non-Target ($)")=0,"-",SUMIFS('Data - Monthly Metrics'!E:E,'Data - Monthly Metrics'!A:A,$B$4,'Data - Monthly Metrics'!B:B,"Jan",'Data - Monthly Metrics'!C:C,"East King",'Data - Monthly Metrics'!D:D,"New Sales Revenue - Non-Target ($)"))</f>
        <v/>
      </c>
      <c r="G89" s="91">
        <f>IF(COUNTIFS('Data - Monthly Metrics'!A:A,$B$4,'Data - Monthly Metrics'!B:B,"Feb",'Data - Monthly Metrics'!C:C,"East King",'Data - Monthly Metrics'!D:D,"New Sales Revenue - Non-Target ($)")=0,"-",SUMIFS('Data - Monthly Metrics'!E:E,'Data - Monthly Metrics'!A:A,$B$4,'Data - Monthly Metrics'!B:B,"Feb",'Data - Monthly Metrics'!C:C,"East King",'Data - Monthly Metrics'!D:D,"New Sales Revenue - Non-Target ($)"))</f>
        <v/>
      </c>
      <c r="H89" s="91">
        <f>IF(COUNTIFS('Data - Monthly Metrics'!A:A,$B$4,'Data - Monthly Metrics'!B:B,"Mar",'Data - Monthly Metrics'!C:C,"East King",'Data - Monthly Metrics'!D:D,"New Sales Revenue - Non-Target ($)")=0,"-",SUMIFS('Data - Monthly Metrics'!E:E,'Data - Monthly Metrics'!A:A,$B$4,'Data - Monthly Metrics'!B:B,"Mar",'Data - Monthly Metrics'!C:C,"East King",'Data - Monthly Metrics'!D:D,"New Sales Revenue - Non-Target ($)"))</f>
        <v/>
      </c>
      <c r="I89" s="101">
        <f>SUM(F89,G89,H89)</f>
        <v/>
      </c>
      <c r="J89" s="91">
        <f>IF(COUNTIFS('Data - Monthly Metrics'!A:A,$B$4,'Data - Monthly Metrics'!B:B,"Apr",'Data - Monthly Metrics'!C:C,"East King",'Data - Monthly Metrics'!D:D,"New Sales Revenue - Non-Target ($)")=0,"-",SUMIFS('Data - Monthly Metrics'!E:E,'Data - Monthly Metrics'!A:A,$B$4,'Data - Monthly Metrics'!B:B,"Apr",'Data - Monthly Metrics'!C:C,"East King",'Data - Monthly Metrics'!D:D,"New Sales Revenue - Non-Target ($)"))</f>
        <v/>
      </c>
      <c r="K89" s="91">
        <f>IF(COUNTIFS('Data - Monthly Metrics'!A:A,$B$4,'Data - Monthly Metrics'!B:B,"May",'Data - Monthly Metrics'!C:C,"East King",'Data - Monthly Metrics'!D:D,"New Sales Revenue - Non-Target ($)")=0,"-",SUMIFS('Data - Monthly Metrics'!E:E,'Data - Monthly Metrics'!A:A,$B$4,'Data - Monthly Metrics'!B:B,"May",'Data - Monthly Metrics'!C:C,"East King",'Data - Monthly Metrics'!D:D,"New Sales Revenue - Non-Target ($)"))</f>
        <v/>
      </c>
      <c r="L89" s="91">
        <f>IF(COUNTIFS('Data - Monthly Metrics'!A:A,$B$4,'Data - Monthly Metrics'!B:B,"Jun",'Data - Monthly Metrics'!C:C,"East King",'Data - Monthly Metrics'!D:D,"New Sales Revenue - Non-Target ($)")=0,"-",SUMIFS('Data - Monthly Metrics'!E:E,'Data - Monthly Metrics'!A:A,$B$4,'Data - Monthly Metrics'!B:B,"Jun",'Data - Monthly Metrics'!C:C,"East King",'Data - Monthly Metrics'!D:D,"New Sales Revenue - Non-Target ($)"))</f>
        <v/>
      </c>
      <c r="M89" s="101">
        <f>SUM(J89,K89,L89)</f>
        <v/>
      </c>
      <c r="N89" s="91">
        <f>IF(COUNTIFS('Data - Monthly Metrics'!A:A,$B$4,'Data - Monthly Metrics'!B:B,"Jul",'Data - Monthly Metrics'!C:C,"East King",'Data - Monthly Metrics'!D:D,"New Sales Revenue - Non-Target ($)")=0,"-",SUMIFS('Data - Monthly Metrics'!E:E,'Data - Monthly Metrics'!A:A,$B$4,'Data - Monthly Metrics'!B:B,"Jul",'Data - Monthly Metrics'!C:C,"East King",'Data - Monthly Metrics'!D:D,"New Sales Revenue - Non-Target ($)"))</f>
        <v/>
      </c>
      <c r="O89" s="91">
        <f>IF(COUNTIFS('Data - Monthly Metrics'!A:A,$B$4,'Data - Monthly Metrics'!B:B,"Aug",'Data - Monthly Metrics'!C:C,"East King",'Data - Monthly Metrics'!D:D,"New Sales Revenue - Non-Target ($)")=0,"-",SUMIFS('Data - Monthly Metrics'!E:E,'Data - Monthly Metrics'!A:A,$B$4,'Data - Monthly Metrics'!B:B,"Aug",'Data - Monthly Metrics'!C:C,"East King",'Data - Monthly Metrics'!D:D,"New Sales Revenue - Non-Target ($)"))</f>
        <v/>
      </c>
      <c r="P89" s="91">
        <f>IF(COUNTIFS('Data - Monthly Metrics'!A:A,$B$4,'Data - Monthly Metrics'!B:B,"Sep",'Data - Monthly Metrics'!C:C,"East King",'Data - Monthly Metrics'!D:D,"New Sales Revenue - Non-Target ($)")=0,"-",SUMIFS('Data - Monthly Metrics'!E:E,'Data - Monthly Metrics'!A:A,$B$4,'Data - Monthly Metrics'!B:B,"Sep",'Data - Monthly Metrics'!C:C,"East King",'Data - Monthly Metrics'!D:D,"New Sales Revenue - Non-Target ($)"))</f>
        <v/>
      </c>
      <c r="Q89" s="101">
        <f>SUM(N89,O89,P89)</f>
        <v/>
      </c>
      <c r="R89" s="101">
        <f>E89+I89+M89+Q89</f>
        <v/>
      </c>
    </row>
    <row r="90" ht="14.25" customHeight="1" s="82">
      <c r="A90" s="94" t="inlineStr">
        <is>
          <t>New Members - Non-Target (#)</t>
        </is>
      </c>
      <c r="B90" s="98">
        <f>IF(COUNTIFS('Data - Monthly Metrics'!A:A,$B$4-1,'Data - Monthly Metrics'!B:B,"Oct",'Data - Monthly Metrics'!C:C,"East King",'Data - Monthly Metrics'!D:D,"New Members - Non-Target (#)")=0,"-",SUMIFS('Data - Monthly Metrics'!E:E,'Data - Monthly Metrics'!A:A,$B$4-1,'Data - Monthly Metrics'!B:B,"Oct",'Data - Monthly Metrics'!C:C,"East King",'Data - Monthly Metrics'!D:D,"New Members - Non-Target (#)"))</f>
        <v/>
      </c>
      <c r="C90" s="98">
        <f>IF(COUNTIFS('Data - Monthly Metrics'!A:A,$B$4-1,'Data - Monthly Metrics'!B:B,"Nov",'Data - Monthly Metrics'!C:C,"East King",'Data - Monthly Metrics'!D:D,"New Members - Non-Target (#)")=0,"-",SUMIFS('Data - Monthly Metrics'!E:E,'Data - Monthly Metrics'!A:A,$B$4-1,'Data - Monthly Metrics'!B:B,"Nov",'Data - Monthly Metrics'!C:C,"East King",'Data - Monthly Metrics'!D:D,"New Members - Non-Target (#)"))</f>
        <v/>
      </c>
      <c r="D90" s="98">
        <f>IF(COUNTIFS('Data - Monthly Metrics'!A:A,$B$4-1,'Data - Monthly Metrics'!B:B,"Dec",'Data - Monthly Metrics'!C:C,"East King",'Data - Monthly Metrics'!D:D,"New Members - Non-Target (#)")=0,"-",SUMIFS('Data - Monthly Metrics'!E:E,'Data - Monthly Metrics'!A:A,$B$4-1,'Data - Monthly Metrics'!B:B,"Dec",'Data - Monthly Metrics'!C:C,"East King",'Data - Monthly Metrics'!D:D,"New Members - Non-Target (#)"))</f>
        <v/>
      </c>
      <c r="E90" s="103">
        <f>SUM(B90,C90,D90)</f>
        <v/>
      </c>
      <c r="F90" s="98">
        <f>IF(COUNTIFS('Data - Monthly Metrics'!A:A,$B$4,'Data - Monthly Metrics'!B:B,"Jan",'Data - Monthly Metrics'!C:C,"East King",'Data - Monthly Metrics'!D:D,"New Members - Non-Target (#)")=0,"-",SUMIFS('Data - Monthly Metrics'!E:E,'Data - Monthly Metrics'!A:A,$B$4,'Data - Monthly Metrics'!B:B,"Jan",'Data - Monthly Metrics'!C:C,"East King",'Data - Monthly Metrics'!D:D,"New Members - Non-Target (#)"))</f>
        <v/>
      </c>
      <c r="G90" s="98">
        <f>IF(COUNTIFS('Data - Monthly Metrics'!A:A,$B$4,'Data - Monthly Metrics'!B:B,"Feb",'Data - Monthly Metrics'!C:C,"East King",'Data - Monthly Metrics'!D:D,"New Members - Non-Target (#)")=0,"-",SUMIFS('Data - Monthly Metrics'!E:E,'Data - Monthly Metrics'!A:A,$B$4,'Data - Monthly Metrics'!B:B,"Feb",'Data - Monthly Metrics'!C:C,"East King",'Data - Monthly Metrics'!D:D,"New Members - Non-Target (#)"))</f>
        <v/>
      </c>
      <c r="H90" s="98">
        <f>IF(COUNTIFS('Data - Monthly Metrics'!A:A,$B$4,'Data - Monthly Metrics'!B:B,"Mar",'Data - Monthly Metrics'!C:C,"East King",'Data - Monthly Metrics'!D:D,"New Members - Non-Target (#)")=0,"-",SUMIFS('Data - Monthly Metrics'!E:E,'Data - Monthly Metrics'!A:A,$B$4,'Data - Monthly Metrics'!B:B,"Mar",'Data - Monthly Metrics'!C:C,"East King",'Data - Monthly Metrics'!D:D,"New Members - Non-Target (#)"))</f>
        <v/>
      </c>
      <c r="I90" s="103">
        <f>SUM(F90,G90,H90)</f>
        <v/>
      </c>
      <c r="J90" s="98">
        <f>IF(COUNTIFS('Data - Monthly Metrics'!A:A,$B$4,'Data - Monthly Metrics'!B:B,"Apr",'Data - Monthly Metrics'!C:C,"East King",'Data - Monthly Metrics'!D:D,"New Members - Non-Target (#)")=0,"-",SUMIFS('Data - Monthly Metrics'!E:E,'Data - Monthly Metrics'!A:A,$B$4,'Data - Monthly Metrics'!B:B,"Apr",'Data - Monthly Metrics'!C:C,"East King",'Data - Monthly Metrics'!D:D,"New Members - Non-Target (#)"))</f>
        <v/>
      </c>
      <c r="K90" s="98">
        <f>IF(COUNTIFS('Data - Monthly Metrics'!A:A,$B$4,'Data - Monthly Metrics'!B:B,"May",'Data - Monthly Metrics'!C:C,"East King",'Data - Monthly Metrics'!D:D,"New Members - Non-Target (#)")=0,"-",SUMIFS('Data - Monthly Metrics'!E:E,'Data - Monthly Metrics'!A:A,$B$4,'Data - Monthly Metrics'!B:B,"May",'Data - Monthly Metrics'!C:C,"East King",'Data - Monthly Metrics'!D:D,"New Members - Non-Target (#)"))</f>
        <v/>
      </c>
      <c r="L90" s="98">
        <f>IF(COUNTIFS('Data - Monthly Metrics'!A:A,$B$4,'Data - Monthly Metrics'!B:B,"Jun",'Data - Monthly Metrics'!C:C,"East King",'Data - Monthly Metrics'!D:D,"New Members - Non-Target (#)")=0,"-",SUMIFS('Data - Monthly Metrics'!E:E,'Data - Monthly Metrics'!A:A,$B$4,'Data - Monthly Metrics'!B:B,"Jun",'Data - Monthly Metrics'!C:C,"East King",'Data - Monthly Metrics'!D:D,"New Members - Non-Target (#)"))</f>
        <v/>
      </c>
      <c r="M90" s="103">
        <f>SUM(J90,K90,L90)</f>
        <v/>
      </c>
      <c r="N90" s="98">
        <f>IF(COUNTIFS('Data - Monthly Metrics'!A:A,$B$4,'Data - Monthly Metrics'!B:B,"Jul",'Data - Monthly Metrics'!C:C,"East King",'Data - Monthly Metrics'!D:D,"New Members - Non-Target (#)")=0,"-",SUMIFS('Data - Monthly Metrics'!E:E,'Data - Monthly Metrics'!A:A,$B$4,'Data - Monthly Metrics'!B:B,"Jul",'Data - Monthly Metrics'!C:C,"East King",'Data - Monthly Metrics'!D:D,"New Members - Non-Target (#)"))</f>
        <v/>
      </c>
      <c r="O90" s="98">
        <f>IF(COUNTIFS('Data - Monthly Metrics'!A:A,$B$4,'Data - Monthly Metrics'!B:B,"Aug",'Data - Monthly Metrics'!C:C,"East King",'Data - Monthly Metrics'!D:D,"New Members - Non-Target (#)")=0,"-",SUMIFS('Data - Monthly Metrics'!E:E,'Data - Monthly Metrics'!A:A,$B$4,'Data - Monthly Metrics'!B:B,"Aug",'Data - Monthly Metrics'!C:C,"East King",'Data - Monthly Metrics'!D:D,"New Members - Non-Target (#)"))</f>
        <v/>
      </c>
      <c r="P90" s="98">
        <f>IF(COUNTIFS('Data - Monthly Metrics'!A:A,$B$4,'Data - Monthly Metrics'!B:B,"Sep",'Data - Monthly Metrics'!C:C,"East King",'Data - Monthly Metrics'!D:D,"New Members - Non-Target (#)")=0,"-",SUMIFS('Data - Monthly Metrics'!E:E,'Data - Monthly Metrics'!A:A,$B$4,'Data - Monthly Metrics'!B:B,"Sep",'Data - Monthly Metrics'!C:C,"East King",'Data - Monthly Metrics'!D:D,"New Members - Non-Target (#)"))</f>
        <v/>
      </c>
      <c r="Q90" s="103">
        <f>SUM(N90,O90,P90)</f>
        <v/>
      </c>
      <c r="R90" s="103">
        <f>E90+I90+M90+Q90</f>
        <v/>
      </c>
    </row>
    <row r="91"/>
    <row r="92" ht="21.75" customHeight="1" s="82">
      <c r="A92" s="87" t="inlineStr">
        <is>
          <t xml:space="preserve">  ▶   N2.  BILLABLES — Non-Target + Allied</t>
        </is>
      </c>
    </row>
    <row r="93" ht="14.25" customHeight="1" s="82">
      <c r="A93" s="88" t="inlineStr">
        <is>
          <t>Metric</t>
        </is>
      </c>
      <c r="B93" s="88" t="inlineStr">
        <is>
          <t>Oct</t>
        </is>
      </c>
      <c r="C93" s="88" t="inlineStr">
        <is>
          <t>Nov</t>
        </is>
      </c>
      <c r="D93" s="88" t="inlineStr">
        <is>
          <t>Dec</t>
        </is>
      </c>
      <c r="E93" s="88" t="inlineStr">
        <is>
          <t>Q1</t>
        </is>
      </c>
      <c r="F93" s="88" t="inlineStr">
        <is>
          <t>Jan</t>
        </is>
      </c>
      <c r="G93" s="88" t="inlineStr">
        <is>
          <t>Feb</t>
        </is>
      </c>
      <c r="H93" s="88" t="inlineStr">
        <is>
          <t>Mar</t>
        </is>
      </c>
      <c r="I93" s="88" t="inlineStr">
        <is>
          <t>Q2</t>
        </is>
      </c>
      <c r="J93" s="88" t="inlineStr">
        <is>
          <t>Apr</t>
        </is>
      </c>
      <c r="K93" s="88" t="inlineStr">
        <is>
          <t>May</t>
        </is>
      </c>
      <c r="L93" s="88" t="inlineStr">
        <is>
          <t>Jun</t>
        </is>
      </c>
      <c r="M93" s="88" t="inlineStr">
        <is>
          <t>Q3</t>
        </is>
      </c>
      <c r="N93" s="88" t="inlineStr">
        <is>
          <t>Jul</t>
        </is>
      </c>
      <c r="O93" s="88" t="inlineStr">
        <is>
          <t>Aug</t>
        </is>
      </c>
      <c r="P93" s="88" t="inlineStr">
        <is>
          <t>Sep</t>
        </is>
      </c>
      <c r="Q93" s="88" t="inlineStr">
        <is>
          <t>Q4</t>
        </is>
      </c>
      <c r="R93" s="88" t="inlineStr">
        <is>
          <t>Avg</t>
        </is>
      </c>
    </row>
    <row r="94" ht="14.25" customHeight="1" s="82">
      <c r="A94" s="89" t="inlineStr">
        <is>
          <t>Non-Target (#)</t>
        </is>
      </c>
      <c r="B94" s="93">
        <f>IF(COUNTIFS('Data - Monthly Metrics'!A:A,$B$4-1,'Data - Monthly Metrics'!B:B,"Oct",'Data - Monthly Metrics'!C:C,"East King",'Data - Monthly Metrics'!D:D,"Billables - Hospitality Non-Target (#)")=0,"-",SUMIFS('Data - Monthly Metrics'!E:E,'Data - Monthly Metrics'!A:A,$B$4-1,'Data - Monthly Metrics'!B:B,"Oct",'Data - Monthly Metrics'!C:C,"East King",'Data - Monthly Metrics'!D:D,"Billables - Hospitality Non-Target (#)"))</f>
        <v/>
      </c>
      <c r="C94" s="93">
        <f>IF(COUNTIFS('Data - Monthly Metrics'!A:A,$B$4-1,'Data - Monthly Metrics'!B:B,"Nov",'Data - Monthly Metrics'!C:C,"East King",'Data - Monthly Metrics'!D:D,"Billables - Hospitality Non-Target (#)")=0,"-",SUMIFS('Data - Monthly Metrics'!E:E,'Data - Monthly Metrics'!A:A,$B$4-1,'Data - Monthly Metrics'!B:B,"Nov",'Data - Monthly Metrics'!C:C,"East King",'Data - Monthly Metrics'!D:D,"Billables - Hospitality Non-Target (#)"))</f>
        <v/>
      </c>
      <c r="D94" s="93">
        <f>IF(COUNTIFS('Data - Monthly Metrics'!A:A,$B$4-1,'Data - Monthly Metrics'!B:B,"Dec",'Data - Monthly Metrics'!C:C,"East King",'Data - Monthly Metrics'!D:D,"Billables - Hospitality Non-Target (#)")=0,"-",SUMIFS('Data - Monthly Metrics'!E:E,'Data - Monthly Metrics'!A:A,$B$4-1,'Data - Monthly Metrics'!B:B,"Dec",'Data - Monthly Metrics'!C:C,"East King",'Data - Monthly Metrics'!D:D,"Billables - Hospitality Non-Target (#)"))</f>
        <v/>
      </c>
      <c r="E94" s="103">
        <f>IF(ISNUMBER(D94),D94,IF(ISNUMBER(C94),C94,IF(ISNUMBER(B94),B94,"-")))</f>
        <v/>
      </c>
      <c r="F94" s="93">
        <f>IF(COUNTIFS('Data - Monthly Metrics'!A:A,$B$4,'Data - Monthly Metrics'!B:B,"Jan",'Data - Monthly Metrics'!C:C,"East King",'Data - Monthly Metrics'!D:D,"Billables - Hospitality Non-Target (#)")=0,"-",SUMIFS('Data - Monthly Metrics'!E:E,'Data - Monthly Metrics'!A:A,$B$4,'Data - Monthly Metrics'!B:B,"Jan",'Data - Monthly Metrics'!C:C,"East King",'Data - Monthly Metrics'!D:D,"Billables - Hospitality Non-Target (#)"))</f>
        <v/>
      </c>
      <c r="G94" s="93">
        <f>IF(COUNTIFS('Data - Monthly Metrics'!A:A,$B$4,'Data - Monthly Metrics'!B:B,"Feb",'Data - Monthly Metrics'!C:C,"East King",'Data - Monthly Metrics'!D:D,"Billables - Hospitality Non-Target (#)")=0,"-",SUMIFS('Data - Monthly Metrics'!E:E,'Data - Monthly Metrics'!A:A,$B$4,'Data - Monthly Metrics'!B:B,"Feb",'Data - Monthly Metrics'!C:C,"East King",'Data - Monthly Metrics'!D:D,"Billables - Hospitality Non-Target (#)"))</f>
        <v/>
      </c>
      <c r="H94" s="93">
        <f>IF(COUNTIFS('Data - Monthly Metrics'!A:A,$B$4,'Data - Monthly Metrics'!B:B,"Mar",'Data - Monthly Metrics'!C:C,"East King",'Data - Monthly Metrics'!D:D,"Billables - Hospitality Non-Target (#)")=0,"-",SUMIFS('Data - Monthly Metrics'!E:E,'Data - Monthly Metrics'!A:A,$B$4,'Data - Monthly Metrics'!B:B,"Mar",'Data - Monthly Metrics'!C:C,"East King",'Data - Monthly Metrics'!D:D,"Billables - Hospitality Non-Target (#)"))</f>
        <v/>
      </c>
      <c r="I94" s="103">
        <f>IF(ISNUMBER(H94),H94,IF(ISNUMBER(G94),G94,IF(ISNUMBER(F94),F94,"-")))</f>
        <v/>
      </c>
      <c r="J94" s="93">
        <f>IF(COUNTIFS('Data - Monthly Metrics'!A:A,$B$4,'Data - Monthly Metrics'!B:B,"Apr",'Data - Monthly Metrics'!C:C,"East King",'Data - Monthly Metrics'!D:D,"Billables - Hospitality Non-Target (#)")=0,"-",SUMIFS('Data - Monthly Metrics'!E:E,'Data - Monthly Metrics'!A:A,$B$4,'Data - Monthly Metrics'!B:B,"Apr",'Data - Monthly Metrics'!C:C,"East King",'Data - Monthly Metrics'!D:D,"Billables - Hospitality Non-Target (#)"))</f>
        <v/>
      </c>
      <c r="K94" s="93">
        <f>IF(COUNTIFS('Data - Monthly Metrics'!A:A,$B$4,'Data - Monthly Metrics'!B:B,"May",'Data - Monthly Metrics'!C:C,"East King",'Data - Monthly Metrics'!D:D,"Billables - Hospitality Non-Target (#)")=0,"-",SUMIFS('Data - Monthly Metrics'!E:E,'Data - Monthly Metrics'!A:A,$B$4,'Data - Monthly Metrics'!B:B,"May",'Data - Monthly Metrics'!C:C,"East King",'Data - Monthly Metrics'!D:D,"Billables - Hospitality Non-Target (#)"))</f>
        <v/>
      </c>
      <c r="L94" s="93">
        <f>IF(COUNTIFS('Data - Monthly Metrics'!A:A,$B$4,'Data - Monthly Metrics'!B:B,"Jun",'Data - Monthly Metrics'!C:C,"East King",'Data - Monthly Metrics'!D:D,"Billables - Hospitality Non-Target (#)")=0,"-",SUMIFS('Data - Monthly Metrics'!E:E,'Data - Monthly Metrics'!A:A,$B$4,'Data - Monthly Metrics'!B:B,"Jun",'Data - Monthly Metrics'!C:C,"East King",'Data - Monthly Metrics'!D:D,"Billables - Hospitality Non-Target (#)"))</f>
        <v/>
      </c>
      <c r="M94" s="103">
        <f>IF(ISNUMBER(L94),L94,IF(ISNUMBER(K94),K94,IF(ISNUMBER(J94),J94,"-")))</f>
        <v/>
      </c>
      <c r="N94" s="93">
        <f>IF(COUNTIFS('Data - Monthly Metrics'!A:A,$B$4,'Data - Monthly Metrics'!B:B,"Jul",'Data - Monthly Metrics'!C:C,"East King",'Data - Monthly Metrics'!D:D,"Billables - Hospitality Non-Target (#)")=0,"-",SUMIFS('Data - Monthly Metrics'!E:E,'Data - Monthly Metrics'!A:A,$B$4,'Data - Monthly Metrics'!B:B,"Jul",'Data - Monthly Metrics'!C:C,"East King",'Data - Monthly Metrics'!D:D,"Billables - Hospitality Non-Target (#)"))</f>
        <v/>
      </c>
      <c r="O94" s="93">
        <f>IF(COUNTIFS('Data - Monthly Metrics'!A:A,$B$4,'Data - Monthly Metrics'!B:B,"Aug",'Data - Monthly Metrics'!C:C,"East King",'Data - Monthly Metrics'!D:D,"Billables - Hospitality Non-Target (#)")=0,"-",SUMIFS('Data - Monthly Metrics'!E:E,'Data - Monthly Metrics'!A:A,$B$4,'Data - Monthly Metrics'!B:B,"Aug",'Data - Monthly Metrics'!C:C,"East King",'Data - Monthly Metrics'!D:D,"Billables - Hospitality Non-Target (#)"))</f>
        <v/>
      </c>
      <c r="P94" s="93">
        <f>IF(COUNTIFS('Data - Monthly Metrics'!A:A,$B$4,'Data - Monthly Metrics'!B:B,"Sep",'Data - Monthly Metrics'!C:C,"East King",'Data - Monthly Metrics'!D:D,"Billables - Hospitality Non-Target (#)")=0,"-",SUMIFS('Data - Monthly Metrics'!E:E,'Data - Monthly Metrics'!A:A,$B$4,'Data - Monthly Metrics'!B:B,"Sep",'Data - Monthly Metrics'!C:C,"East King",'Data - Monthly Metrics'!D:D,"Billables - Hospitality Non-Target (#)"))</f>
        <v/>
      </c>
      <c r="Q94" s="103">
        <f>IF(ISNUMBER(P94),P94,IF(ISNUMBER(O94),O94,IF(ISNUMBER(N94),N94,"-")))</f>
        <v/>
      </c>
      <c r="R94" s="103">
        <f>IF(ISNUMBER(Q94),Q94,IF(ISNUMBER(M94),M94,IF(ISNUMBER(I94),I94,IF(ISNUMBER(E94),E94,"-"))))</f>
        <v/>
      </c>
    </row>
    <row r="95" ht="14.25" customHeight="1" s="82">
      <c r="A95" s="89" t="inlineStr">
        <is>
          <t>Member Locations (#)</t>
        </is>
      </c>
      <c r="B95" s="93">
        <f>IF(COUNTIFS('Data - Monthly Metrics'!A:A,$B$4-1,'Data - Monthly Metrics'!B:B,"Oct",'Data - Monthly Metrics'!C:C,"East King",'Data - Monthly Metrics'!D:D,"Member Locations - Non-Target (#)")=0,"-",SUMIFS('Data - Monthly Metrics'!E:E,'Data - Monthly Metrics'!A:A,$B$4-1,'Data - Monthly Metrics'!B:B,"Oct",'Data - Monthly Metrics'!C:C,"East King",'Data - Monthly Metrics'!D:D,"Member Locations - Non-Target (#)"))</f>
        <v/>
      </c>
      <c r="C95" s="93">
        <f>IF(COUNTIFS('Data - Monthly Metrics'!A:A,$B$4-1,'Data - Monthly Metrics'!B:B,"Nov",'Data - Monthly Metrics'!C:C,"East King",'Data - Monthly Metrics'!D:D,"Member Locations - Non-Target (#)")=0,"-",SUMIFS('Data - Monthly Metrics'!E:E,'Data - Monthly Metrics'!A:A,$B$4-1,'Data - Monthly Metrics'!B:B,"Nov",'Data - Monthly Metrics'!C:C,"East King",'Data - Monthly Metrics'!D:D,"Member Locations - Non-Target (#)"))</f>
        <v/>
      </c>
      <c r="D95" s="93">
        <f>IF(COUNTIFS('Data - Monthly Metrics'!A:A,$B$4-1,'Data - Monthly Metrics'!B:B,"Dec",'Data - Monthly Metrics'!C:C,"East King",'Data - Monthly Metrics'!D:D,"Member Locations - Non-Target (#)")=0,"-",SUMIFS('Data - Monthly Metrics'!E:E,'Data - Monthly Metrics'!A:A,$B$4-1,'Data - Monthly Metrics'!B:B,"Dec",'Data - Monthly Metrics'!C:C,"East King",'Data - Monthly Metrics'!D:D,"Member Locations - Non-Target (#)"))</f>
        <v/>
      </c>
      <c r="E95" s="103">
        <f>IF(ISNUMBER(D95),D95,IF(ISNUMBER(C95),C95,IF(ISNUMBER(B95),B95,"-")))</f>
        <v/>
      </c>
      <c r="F95" s="93">
        <f>IF(COUNTIFS('Data - Monthly Metrics'!A:A,$B$4,'Data - Monthly Metrics'!B:B,"Jan",'Data - Monthly Metrics'!C:C,"East King",'Data - Monthly Metrics'!D:D,"Member Locations - Non-Target (#)")=0,"-",SUMIFS('Data - Monthly Metrics'!E:E,'Data - Monthly Metrics'!A:A,$B$4,'Data - Monthly Metrics'!B:B,"Jan",'Data - Monthly Metrics'!C:C,"East King",'Data - Monthly Metrics'!D:D,"Member Locations - Non-Target (#)"))</f>
        <v/>
      </c>
      <c r="G95" s="93">
        <f>IF(COUNTIFS('Data - Monthly Metrics'!A:A,$B$4,'Data - Monthly Metrics'!B:B,"Feb",'Data - Monthly Metrics'!C:C,"East King",'Data - Monthly Metrics'!D:D,"Member Locations - Non-Target (#)")=0,"-",SUMIFS('Data - Monthly Metrics'!E:E,'Data - Monthly Metrics'!A:A,$B$4,'Data - Monthly Metrics'!B:B,"Feb",'Data - Monthly Metrics'!C:C,"East King",'Data - Monthly Metrics'!D:D,"Member Locations - Non-Target (#)"))</f>
        <v/>
      </c>
      <c r="H95" s="93">
        <f>IF(COUNTIFS('Data - Monthly Metrics'!A:A,$B$4,'Data - Monthly Metrics'!B:B,"Mar",'Data - Monthly Metrics'!C:C,"East King",'Data - Monthly Metrics'!D:D,"Member Locations - Non-Target (#)")=0,"-",SUMIFS('Data - Monthly Metrics'!E:E,'Data - Monthly Metrics'!A:A,$B$4,'Data - Monthly Metrics'!B:B,"Mar",'Data - Monthly Metrics'!C:C,"East King",'Data - Monthly Metrics'!D:D,"Member Locations - Non-Target (#)"))</f>
        <v/>
      </c>
      <c r="I95" s="103">
        <f>IF(ISNUMBER(H95),H95,IF(ISNUMBER(G95),G95,IF(ISNUMBER(F95),F95,"-")))</f>
        <v/>
      </c>
      <c r="J95" s="93">
        <f>IF(COUNTIFS('Data - Monthly Metrics'!A:A,$B$4,'Data - Monthly Metrics'!B:B,"Apr",'Data - Monthly Metrics'!C:C,"East King",'Data - Monthly Metrics'!D:D,"Member Locations - Non-Target (#)")=0,"-",SUMIFS('Data - Monthly Metrics'!E:E,'Data - Monthly Metrics'!A:A,$B$4,'Data - Monthly Metrics'!B:B,"Apr",'Data - Monthly Metrics'!C:C,"East King",'Data - Monthly Metrics'!D:D,"Member Locations - Non-Target (#)"))</f>
        <v/>
      </c>
      <c r="K95" s="93">
        <f>IF(COUNTIFS('Data - Monthly Metrics'!A:A,$B$4,'Data - Monthly Metrics'!B:B,"May",'Data - Monthly Metrics'!C:C,"East King",'Data - Monthly Metrics'!D:D,"Member Locations - Non-Target (#)")=0,"-",SUMIFS('Data - Monthly Metrics'!E:E,'Data - Monthly Metrics'!A:A,$B$4,'Data - Monthly Metrics'!B:B,"May",'Data - Monthly Metrics'!C:C,"East King",'Data - Monthly Metrics'!D:D,"Member Locations - Non-Target (#)"))</f>
        <v/>
      </c>
      <c r="L95" s="93">
        <f>IF(COUNTIFS('Data - Monthly Metrics'!A:A,$B$4,'Data - Monthly Metrics'!B:B,"Jun",'Data - Monthly Metrics'!C:C,"East King",'Data - Monthly Metrics'!D:D,"Member Locations - Non-Target (#)")=0,"-",SUMIFS('Data - Monthly Metrics'!E:E,'Data - Monthly Metrics'!A:A,$B$4,'Data - Monthly Metrics'!B:B,"Jun",'Data - Monthly Metrics'!C:C,"East King",'Data - Monthly Metrics'!D:D,"Member Locations - Non-Target (#)"))</f>
        <v/>
      </c>
      <c r="M95" s="103">
        <f>IF(ISNUMBER(L95),L95,IF(ISNUMBER(K95),K95,IF(ISNUMBER(J95),J95,"-")))</f>
        <v/>
      </c>
      <c r="N95" s="93">
        <f>IF(COUNTIFS('Data - Monthly Metrics'!A:A,$B$4,'Data - Monthly Metrics'!B:B,"Jul",'Data - Monthly Metrics'!C:C,"East King",'Data - Monthly Metrics'!D:D,"Member Locations - Non-Target (#)")=0,"-",SUMIFS('Data - Monthly Metrics'!E:E,'Data - Monthly Metrics'!A:A,$B$4,'Data - Monthly Metrics'!B:B,"Jul",'Data - Monthly Metrics'!C:C,"East King",'Data - Monthly Metrics'!D:D,"Member Locations - Non-Target (#)"))</f>
        <v/>
      </c>
      <c r="O95" s="93">
        <f>IF(COUNTIFS('Data - Monthly Metrics'!A:A,$B$4,'Data - Monthly Metrics'!B:B,"Aug",'Data - Monthly Metrics'!C:C,"East King",'Data - Monthly Metrics'!D:D,"Member Locations - Non-Target (#)")=0,"-",SUMIFS('Data - Monthly Metrics'!E:E,'Data - Monthly Metrics'!A:A,$B$4,'Data - Monthly Metrics'!B:B,"Aug",'Data - Monthly Metrics'!C:C,"East King",'Data - Monthly Metrics'!D:D,"Member Locations - Non-Target (#)"))</f>
        <v/>
      </c>
      <c r="P95" s="93">
        <f>IF(COUNTIFS('Data - Monthly Metrics'!A:A,$B$4,'Data - Monthly Metrics'!B:B,"Sep",'Data - Monthly Metrics'!C:C,"East King",'Data - Monthly Metrics'!D:D,"Member Locations - Non-Target (#)")=0,"-",SUMIFS('Data - Monthly Metrics'!E:E,'Data - Monthly Metrics'!A:A,$B$4,'Data - Monthly Metrics'!B:B,"Sep",'Data - Monthly Metrics'!C:C,"East King",'Data - Monthly Metrics'!D:D,"Member Locations - Non-Target (#)"))</f>
        <v/>
      </c>
      <c r="Q95" s="103">
        <f>IF(ISNUMBER(P95),P95,IF(ISNUMBER(O95),O95,IF(ISNUMBER(N95),N95,"-")))</f>
        <v/>
      </c>
      <c r="R95" s="103">
        <f>IF(ISNUMBER(Q95),Q95,IF(ISNUMBER(M95),M95,IF(ISNUMBER(I95),I95,IF(ISNUMBER(E95),E95,"-"))))</f>
        <v/>
      </c>
    </row>
    <row r="96" ht="14.25" customHeight="1" s="82">
      <c r="A96" s="94" t="inlineStr">
        <is>
          <t>Allied (#)</t>
        </is>
      </c>
      <c r="B96" s="98">
        <f>IF(COUNTIFS('Data - Monthly Metrics'!A:A,$B$4-1,'Data - Monthly Metrics'!B:B,"Oct",'Data - Monthly Metrics'!C:C,"East King",'Data - Monthly Metrics'!D:D,"Billables - Allied (#)")=0,"-",SUMIFS('Data - Monthly Metrics'!E:E,'Data - Monthly Metrics'!A:A,$B$4-1,'Data - Monthly Metrics'!B:B,"Oct",'Data - Monthly Metrics'!C:C,"East King",'Data - Monthly Metrics'!D:D,"Billables - Allied (#)"))</f>
        <v/>
      </c>
      <c r="C96" s="98">
        <f>IF(COUNTIFS('Data - Monthly Metrics'!A:A,$B$4-1,'Data - Monthly Metrics'!B:B,"Nov",'Data - Monthly Metrics'!C:C,"East King",'Data - Monthly Metrics'!D:D,"Billables - Allied (#)")=0,"-",SUMIFS('Data - Monthly Metrics'!E:E,'Data - Monthly Metrics'!A:A,$B$4-1,'Data - Monthly Metrics'!B:B,"Nov",'Data - Monthly Metrics'!C:C,"East King",'Data - Monthly Metrics'!D:D,"Billables - Allied (#)"))</f>
        <v/>
      </c>
      <c r="D96" s="98">
        <f>IF(COUNTIFS('Data - Monthly Metrics'!A:A,$B$4-1,'Data - Monthly Metrics'!B:B,"Dec",'Data - Monthly Metrics'!C:C,"East King",'Data - Monthly Metrics'!D:D,"Billables - Allied (#)")=0,"-",SUMIFS('Data - Monthly Metrics'!E:E,'Data - Monthly Metrics'!A:A,$B$4-1,'Data - Monthly Metrics'!B:B,"Dec",'Data - Monthly Metrics'!C:C,"East King",'Data - Monthly Metrics'!D:D,"Billables - Allied (#)"))</f>
        <v/>
      </c>
      <c r="E96" s="103">
        <f>IF(ISNUMBER(D96),D96,IF(ISNUMBER(C96),C96,IF(ISNUMBER(B96),B96,"-")))</f>
        <v/>
      </c>
      <c r="F96" s="98">
        <f>IF(COUNTIFS('Data - Monthly Metrics'!A:A,$B$4,'Data - Monthly Metrics'!B:B,"Jan",'Data - Monthly Metrics'!C:C,"East King",'Data - Monthly Metrics'!D:D,"Billables - Allied (#)")=0,"-",SUMIFS('Data - Monthly Metrics'!E:E,'Data - Monthly Metrics'!A:A,$B$4,'Data - Monthly Metrics'!B:B,"Jan",'Data - Monthly Metrics'!C:C,"East King",'Data - Monthly Metrics'!D:D,"Billables - Allied (#)"))</f>
        <v/>
      </c>
      <c r="G96" s="98">
        <f>IF(COUNTIFS('Data - Monthly Metrics'!A:A,$B$4,'Data - Monthly Metrics'!B:B,"Feb",'Data - Monthly Metrics'!C:C,"East King",'Data - Monthly Metrics'!D:D,"Billables - Allied (#)")=0,"-",SUMIFS('Data - Monthly Metrics'!E:E,'Data - Monthly Metrics'!A:A,$B$4,'Data - Monthly Metrics'!B:B,"Feb",'Data - Monthly Metrics'!C:C,"East King",'Data - Monthly Metrics'!D:D,"Billables - Allied (#)"))</f>
        <v/>
      </c>
      <c r="H96" s="98">
        <f>IF(COUNTIFS('Data - Monthly Metrics'!A:A,$B$4,'Data - Monthly Metrics'!B:B,"Mar",'Data - Monthly Metrics'!C:C,"East King",'Data - Monthly Metrics'!D:D,"Billables - Allied (#)")=0,"-",SUMIFS('Data - Monthly Metrics'!E:E,'Data - Monthly Metrics'!A:A,$B$4,'Data - Monthly Metrics'!B:B,"Mar",'Data - Monthly Metrics'!C:C,"East King",'Data - Monthly Metrics'!D:D,"Billables - Allied (#)"))</f>
        <v/>
      </c>
      <c r="I96" s="103">
        <f>IF(ISNUMBER(H96),H96,IF(ISNUMBER(G96),G96,IF(ISNUMBER(F96),F96,"-")))</f>
        <v/>
      </c>
      <c r="J96" s="98">
        <f>IF(COUNTIFS('Data - Monthly Metrics'!A:A,$B$4,'Data - Monthly Metrics'!B:B,"Apr",'Data - Monthly Metrics'!C:C,"East King",'Data - Monthly Metrics'!D:D,"Billables - Allied (#)")=0,"-",SUMIFS('Data - Monthly Metrics'!E:E,'Data - Monthly Metrics'!A:A,$B$4,'Data - Monthly Metrics'!B:B,"Apr",'Data - Monthly Metrics'!C:C,"East King",'Data - Monthly Metrics'!D:D,"Billables - Allied (#)"))</f>
        <v/>
      </c>
      <c r="K96" s="98">
        <f>IF(COUNTIFS('Data - Monthly Metrics'!A:A,$B$4,'Data - Monthly Metrics'!B:B,"May",'Data - Monthly Metrics'!C:C,"East King",'Data - Monthly Metrics'!D:D,"Billables - Allied (#)")=0,"-",SUMIFS('Data - Monthly Metrics'!E:E,'Data - Monthly Metrics'!A:A,$B$4,'Data - Monthly Metrics'!B:B,"May",'Data - Monthly Metrics'!C:C,"East King",'Data - Monthly Metrics'!D:D,"Billables - Allied (#)"))</f>
        <v/>
      </c>
      <c r="L96" s="98">
        <f>IF(COUNTIFS('Data - Monthly Metrics'!A:A,$B$4,'Data - Monthly Metrics'!B:B,"Jun",'Data - Monthly Metrics'!C:C,"East King",'Data - Monthly Metrics'!D:D,"Billables - Allied (#)")=0,"-",SUMIFS('Data - Monthly Metrics'!E:E,'Data - Monthly Metrics'!A:A,$B$4,'Data - Monthly Metrics'!B:B,"Jun",'Data - Monthly Metrics'!C:C,"East King",'Data - Monthly Metrics'!D:D,"Billables - Allied (#)"))</f>
        <v/>
      </c>
      <c r="M96" s="103">
        <f>IF(ISNUMBER(L96),L96,IF(ISNUMBER(K96),K96,IF(ISNUMBER(J96),J96,"-")))</f>
        <v/>
      </c>
      <c r="N96" s="98">
        <f>IF(COUNTIFS('Data - Monthly Metrics'!A:A,$B$4,'Data - Monthly Metrics'!B:B,"Jul",'Data - Monthly Metrics'!C:C,"East King",'Data - Monthly Metrics'!D:D,"Billables - Allied (#)")=0,"-",SUMIFS('Data - Monthly Metrics'!E:E,'Data - Monthly Metrics'!A:A,$B$4,'Data - Monthly Metrics'!B:B,"Jul",'Data - Monthly Metrics'!C:C,"East King",'Data - Monthly Metrics'!D:D,"Billables - Allied (#)"))</f>
        <v/>
      </c>
      <c r="O96" s="98">
        <f>IF(COUNTIFS('Data - Monthly Metrics'!A:A,$B$4,'Data - Monthly Metrics'!B:B,"Aug",'Data - Monthly Metrics'!C:C,"East King",'Data - Monthly Metrics'!D:D,"Billables - Allied (#)")=0,"-",SUMIFS('Data - Monthly Metrics'!E:E,'Data - Monthly Metrics'!A:A,$B$4,'Data - Monthly Metrics'!B:B,"Aug",'Data - Monthly Metrics'!C:C,"East King",'Data - Monthly Metrics'!D:D,"Billables - Allied (#)"))</f>
        <v/>
      </c>
      <c r="P96" s="98">
        <f>IF(COUNTIFS('Data - Monthly Metrics'!A:A,$B$4,'Data - Monthly Metrics'!B:B,"Sep",'Data - Monthly Metrics'!C:C,"East King",'Data - Monthly Metrics'!D:D,"Billables - Allied (#)")=0,"-",SUMIFS('Data - Monthly Metrics'!E:E,'Data - Monthly Metrics'!A:A,$B$4,'Data - Monthly Metrics'!B:B,"Sep",'Data - Monthly Metrics'!C:C,"East King",'Data - Monthly Metrics'!D:D,"Billables - Allied (#)"))</f>
        <v/>
      </c>
      <c r="Q96" s="103">
        <f>IF(ISNUMBER(P96),P96,IF(ISNUMBER(O96),O96,IF(ISNUMBER(N96),N96,"-")))</f>
        <v/>
      </c>
      <c r="R96" s="103">
        <f>IF(ISNUMBER(Q96),Q96,IF(ISNUMBER(M96),M96,IF(ISNUMBER(I96),I96,IF(ISNUMBER(E96),E96,"-"))))</f>
        <v/>
      </c>
    </row>
    <row r="97" ht="14.25" customHeight="1" s="82">
      <c r="A97" s="89" t="inlineStr">
        <is>
          <t>TOTAL Non-Target + Allied</t>
        </is>
      </c>
      <c r="B97" s="93">
        <f>IF(OR(ISNUMBER(B94),ISNUMBER(B96)),N(B94)+N(B96),"-")</f>
        <v/>
      </c>
      <c r="C97" s="93">
        <f>IF(OR(ISNUMBER(C94),ISNUMBER(C96)),N(C94)+N(C96),"-")</f>
        <v/>
      </c>
      <c r="D97" s="93">
        <f>IF(OR(ISNUMBER(D94),ISNUMBER(D96)),N(D94)+N(D96),"-")</f>
        <v/>
      </c>
      <c r="E97" s="103">
        <f>IF(ISNUMBER(D97),D97,IF(ISNUMBER(C97),C97,IF(ISNUMBER(B97),B97,"-")))</f>
        <v/>
      </c>
      <c r="F97" s="93">
        <f>IF(OR(ISNUMBER(F94),ISNUMBER(F96)),N(F94)+N(F96),"-")</f>
        <v/>
      </c>
      <c r="G97" s="93">
        <f>IF(OR(ISNUMBER(G94),ISNUMBER(G96)),N(G94)+N(G96),"-")</f>
        <v/>
      </c>
      <c r="H97" s="93">
        <f>IF(OR(ISNUMBER(H94),ISNUMBER(H96)),N(H94)+N(H96),"-")</f>
        <v/>
      </c>
      <c r="I97" s="103">
        <f>IF(ISNUMBER(H97),H97,IF(ISNUMBER(G97),G97,IF(ISNUMBER(F97),F97,"-")))</f>
        <v/>
      </c>
      <c r="J97" s="93">
        <f>IF(OR(ISNUMBER(J94),ISNUMBER(J96)),N(J94)+N(J96),"-")</f>
        <v/>
      </c>
      <c r="K97" s="93">
        <f>IF(OR(ISNUMBER(K94),ISNUMBER(K96)),N(K94)+N(K96),"-")</f>
        <v/>
      </c>
      <c r="L97" s="93">
        <f>IF(OR(ISNUMBER(L94),ISNUMBER(L96)),N(L94)+N(L96),"-")</f>
        <v/>
      </c>
      <c r="M97" s="103">
        <f>IF(ISNUMBER(L97),L97,IF(ISNUMBER(K97),K97,IF(ISNUMBER(J97),J97,"-")))</f>
        <v/>
      </c>
      <c r="N97" s="93">
        <f>IF(OR(ISNUMBER(N94),ISNUMBER(N96)),N(N94)+N(N96),"-")</f>
        <v/>
      </c>
      <c r="O97" s="93">
        <f>IF(OR(ISNUMBER(O94),ISNUMBER(O96)),N(O94)+N(O96),"-")</f>
        <v/>
      </c>
      <c r="P97" s="93">
        <f>IF(OR(ISNUMBER(P94),ISNUMBER(P96)),N(P94)+N(P96),"-")</f>
        <v/>
      </c>
      <c r="Q97" s="103">
        <f>IF(ISNUMBER(P97),P97,IF(ISNUMBER(O97),O97,IF(ISNUMBER(N97),N97,"-")))</f>
        <v/>
      </c>
      <c r="R97" s="103">
        <f>IF(ISNUMBER(Q97),Q97,IF(ISNUMBER(M97),M97,IF(ISNUMBER(I97),I97,IF(ISNUMBER(E97),E97,"-"))))</f>
        <v/>
      </c>
    </row>
    <row r="98"/>
    <row r="99" ht="21.75" customHeight="1" s="82">
      <c r="A99" s="87" t="inlineStr">
        <is>
          <t xml:space="preserve">  ▶   N3.  RETENTION — Non-Target</t>
        </is>
      </c>
    </row>
    <row r="100" ht="14.25" customHeight="1" s="82">
      <c r="A100" s="88" t="inlineStr">
        <is>
          <t>Metric</t>
        </is>
      </c>
      <c r="B100" s="88" t="inlineStr">
        <is>
          <t>Oct</t>
        </is>
      </c>
      <c r="C100" s="88" t="inlineStr">
        <is>
          <t>Nov</t>
        </is>
      </c>
      <c r="D100" s="88" t="inlineStr">
        <is>
          <t>Dec</t>
        </is>
      </c>
      <c r="E100" s="88" t="inlineStr">
        <is>
          <t>Q1</t>
        </is>
      </c>
      <c r="F100" s="88" t="inlineStr">
        <is>
          <t>Jan</t>
        </is>
      </c>
      <c r="G100" s="88" t="inlineStr">
        <is>
          <t>Feb</t>
        </is>
      </c>
      <c r="H100" s="88" t="inlineStr">
        <is>
          <t>Mar</t>
        </is>
      </c>
      <c r="I100" s="88" t="inlineStr">
        <is>
          <t>Q2</t>
        </is>
      </c>
      <c r="J100" s="88" t="inlineStr">
        <is>
          <t>Apr</t>
        </is>
      </c>
      <c r="K100" s="88" t="inlineStr">
        <is>
          <t>May</t>
        </is>
      </c>
      <c r="L100" s="88" t="inlineStr">
        <is>
          <t>Jun</t>
        </is>
      </c>
      <c r="M100" s="88" t="inlineStr">
        <is>
          <t>Q3</t>
        </is>
      </c>
      <c r="N100" s="88" t="inlineStr">
        <is>
          <t>Jul</t>
        </is>
      </c>
      <c r="O100" s="88" t="inlineStr">
        <is>
          <t>Aug</t>
        </is>
      </c>
      <c r="P100" s="88" t="inlineStr">
        <is>
          <t>Sep</t>
        </is>
      </c>
      <c r="Q100" s="88" t="inlineStr">
        <is>
          <t>Q4</t>
        </is>
      </c>
      <c r="R100" s="88" t="inlineStr">
        <is>
          <t>YTD</t>
        </is>
      </c>
    </row>
    <row r="101" ht="14.25" customHeight="1" s="82">
      <c r="A101" s="89" t="inlineStr">
        <is>
          <t>Up for Renewal - Non-Target (#)</t>
        </is>
      </c>
      <c r="B101" s="93">
        <f>IF(COUNTIFS('Data - Monthly Metrics'!A:A,$B$4-1,'Data - Monthly Metrics'!B:B,"Oct",'Data - Monthly Metrics'!C:C,"East King",'Data - Monthly Metrics'!D:D,"Members Up for Renewal - Non-Target (#)")=0,"-",SUMIFS('Data - Monthly Metrics'!E:E,'Data - Monthly Metrics'!A:A,$B$4-1,'Data - Monthly Metrics'!B:B,"Oct",'Data - Monthly Metrics'!C:C,"East King",'Data - Monthly Metrics'!D:D,"Members Up for Renewal - Non-Target (#)"))</f>
        <v/>
      </c>
      <c r="C101" s="93">
        <f>IF(COUNTIFS('Data - Monthly Metrics'!A:A,$B$4-1,'Data - Monthly Metrics'!B:B,"Nov",'Data - Monthly Metrics'!C:C,"East King",'Data - Monthly Metrics'!D:D,"Members Up for Renewal - Non-Target (#)")=0,"-",SUMIFS('Data - Monthly Metrics'!E:E,'Data - Monthly Metrics'!A:A,$B$4-1,'Data - Monthly Metrics'!B:B,"Nov",'Data - Monthly Metrics'!C:C,"East King",'Data - Monthly Metrics'!D:D,"Members Up for Renewal - Non-Target (#)"))</f>
        <v/>
      </c>
      <c r="D101" s="93">
        <f>IF(COUNTIFS('Data - Monthly Metrics'!A:A,$B$4-1,'Data - Monthly Metrics'!B:B,"Dec",'Data - Monthly Metrics'!C:C,"East King",'Data - Monthly Metrics'!D:D,"Members Up for Renewal - Non-Target (#)")=0,"-",SUMIFS('Data - Monthly Metrics'!E:E,'Data - Monthly Metrics'!A:A,$B$4-1,'Data - Monthly Metrics'!B:B,"Dec",'Data - Monthly Metrics'!C:C,"East King",'Data - Monthly Metrics'!D:D,"Members Up for Renewal - Non-Target (#)"))</f>
        <v/>
      </c>
      <c r="E101" s="103">
        <f>SUM(B101,C101,D101)</f>
        <v/>
      </c>
      <c r="F101" s="93">
        <f>IF(COUNTIFS('Data - Monthly Metrics'!A:A,$B$4,'Data - Monthly Metrics'!B:B,"Jan",'Data - Monthly Metrics'!C:C,"East King",'Data - Monthly Metrics'!D:D,"Members Up for Renewal - Non-Target (#)")=0,"-",SUMIFS('Data - Monthly Metrics'!E:E,'Data - Monthly Metrics'!A:A,$B$4,'Data - Monthly Metrics'!B:B,"Jan",'Data - Monthly Metrics'!C:C,"East King",'Data - Monthly Metrics'!D:D,"Members Up for Renewal - Non-Target (#)"))</f>
        <v/>
      </c>
      <c r="G101" s="93">
        <f>IF(COUNTIFS('Data - Monthly Metrics'!A:A,$B$4,'Data - Monthly Metrics'!B:B,"Feb",'Data - Monthly Metrics'!C:C,"East King",'Data - Monthly Metrics'!D:D,"Members Up for Renewal - Non-Target (#)")=0,"-",SUMIFS('Data - Monthly Metrics'!E:E,'Data - Monthly Metrics'!A:A,$B$4,'Data - Monthly Metrics'!B:B,"Feb",'Data - Monthly Metrics'!C:C,"East King",'Data - Monthly Metrics'!D:D,"Members Up for Renewal - Non-Target (#)"))</f>
        <v/>
      </c>
      <c r="H101" s="93">
        <f>IF(COUNTIFS('Data - Monthly Metrics'!A:A,$B$4,'Data - Monthly Metrics'!B:B,"Mar",'Data - Monthly Metrics'!C:C,"East King",'Data - Monthly Metrics'!D:D,"Members Up for Renewal - Non-Target (#)")=0,"-",SUMIFS('Data - Monthly Metrics'!E:E,'Data - Monthly Metrics'!A:A,$B$4,'Data - Monthly Metrics'!B:B,"Mar",'Data - Monthly Metrics'!C:C,"East King",'Data - Monthly Metrics'!D:D,"Members Up for Renewal - Non-Target (#)"))</f>
        <v/>
      </c>
      <c r="I101" s="103">
        <f>SUM(F101,G101,H101)</f>
        <v/>
      </c>
      <c r="J101" s="93">
        <f>IF(COUNTIFS('Data - Monthly Metrics'!A:A,$B$4,'Data - Monthly Metrics'!B:B,"Apr",'Data - Monthly Metrics'!C:C,"East King",'Data - Monthly Metrics'!D:D,"Members Up for Renewal - Non-Target (#)")=0,"-",SUMIFS('Data - Monthly Metrics'!E:E,'Data - Monthly Metrics'!A:A,$B$4,'Data - Monthly Metrics'!B:B,"Apr",'Data - Monthly Metrics'!C:C,"East King",'Data - Monthly Metrics'!D:D,"Members Up for Renewal - Non-Target (#)"))</f>
        <v/>
      </c>
      <c r="K101" s="93">
        <f>IF(COUNTIFS('Data - Monthly Metrics'!A:A,$B$4,'Data - Monthly Metrics'!B:B,"May",'Data - Monthly Metrics'!C:C,"East King",'Data - Monthly Metrics'!D:D,"Members Up for Renewal - Non-Target (#)")=0,"-",SUMIFS('Data - Monthly Metrics'!E:E,'Data - Monthly Metrics'!A:A,$B$4,'Data - Monthly Metrics'!B:B,"May",'Data - Monthly Metrics'!C:C,"East King",'Data - Monthly Metrics'!D:D,"Members Up for Renewal - Non-Target (#)"))</f>
        <v/>
      </c>
      <c r="L101" s="93">
        <f>IF(COUNTIFS('Data - Monthly Metrics'!A:A,$B$4,'Data - Monthly Metrics'!B:B,"Jun",'Data - Monthly Metrics'!C:C,"East King",'Data - Monthly Metrics'!D:D,"Members Up for Renewal - Non-Target (#)")=0,"-",SUMIFS('Data - Monthly Metrics'!E:E,'Data - Monthly Metrics'!A:A,$B$4,'Data - Monthly Metrics'!B:B,"Jun",'Data - Monthly Metrics'!C:C,"East King",'Data - Monthly Metrics'!D:D,"Members Up for Renewal - Non-Target (#)"))</f>
        <v/>
      </c>
      <c r="M101" s="103">
        <f>SUM(J101,K101,L101)</f>
        <v/>
      </c>
      <c r="N101" s="93">
        <f>IF(COUNTIFS('Data - Monthly Metrics'!A:A,$B$4,'Data - Monthly Metrics'!B:B,"Jul",'Data - Monthly Metrics'!C:C,"East King",'Data - Monthly Metrics'!D:D,"Members Up for Renewal - Non-Target (#)")=0,"-",SUMIFS('Data - Monthly Metrics'!E:E,'Data - Monthly Metrics'!A:A,$B$4,'Data - Monthly Metrics'!B:B,"Jul",'Data - Monthly Metrics'!C:C,"East King",'Data - Monthly Metrics'!D:D,"Members Up for Renewal - Non-Target (#)"))</f>
        <v/>
      </c>
      <c r="O101" s="93">
        <f>IF(COUNTIFS('Data - Monthly Metrics'!A:A,$B$4,'Data - Monthly Metrics'!B:B,"Aug",'Data - Monthly Metrics'!C:C,"East King",'Data - Monthly Metrics'!D:D,"Members Up for Renewal - Non-Target (#)")=0,"-",SUMIFS('Data - Monthly Metrics'!E:E,'Data - Monthly Metrics'!A:A,$B$4,'Data - Monthly Metrics'!B:B,"Aug",'Data - Monthly Metrics'!C:C,"East King",'Data - Monthly Metrics'!D:D,"Members Up for Renewal - Non-Target (#)"))</f>
        <v/>
      </c>
      <c r="P101" s="93">
        <f>IF(COUNTIFS('Data - Monthly Metrics'!A:A,$B$4,'Data - Monthly Metrics'!B:B,"Sep",'Data - Monthly Metrics'!C:C,"East King",'Data - Monthly Metrics'!D:D,"Members Up for Renewal - Non-Target (#)")=0,"-",SUMIFS('Data - Monthly Metrics'!E:E,'Data - Monthly Metrics'!A:A,$B$4,'Data - Monthly Metrics'!B:B,"Sep",'Data - Monthly Metrics'!C:C,"East King",'Data - Monthly Metrics'!D:D,"Members Up for Renewal - Non-Target (#)"))</f>
        <v/>
      </c>
      <c r="Q101" s="103">
        <f>SUM(N101,O101,P101)</f>
        <v/>
      </c>
      <c r="R101" s="103">
        <f>E101+I101+M101+Q101</f>
        <v/>
      </c>
    </row>
    <row r="102" ht="14.25" customHeight="1" s="82">
      <c r="A102" s="94" t="inlineStr">
        <is>
          <t>Retained - Non-Target (#)</t>
        </is>
      </c>
      <c r="B102" s="98">
        <f>IF(COUNTIFS('Data - Monthly Metrics'!A:A,$B$4-1,'Data - Monthly Metrics'!B:B,"Oct",'Data - Monthly Metrics'!C:C,"East King",'Data - Monthly Metrics'!D:D,"Members Retained - Non-Target (#)")=0,"-",SUMIFS('Data - Monthly Metrics'!E:E,'Data - Monthly Metrics'!A:A,$B$4-1,'Data - Monthly Metrics'!B:B,"Oct",'Data - Monthly Metrics'!C:C,"East King",'Data - Monthly Metrics'!D:D,"Members Retained - Non-Target (#)"))</f>
        <v/>
      </c>
      <c r="C102" s="98">
        <f>IF(COUNTIFS('Data - Monthly Metrics'!A:A,$B$4-1,'Data - Monthly Metrics'!B:B,"Nov",'Data - Monthly Metrics'!C:C,"East King",'Data - Monthly Metrics'!D:D,"Members Retained - Non-Target (#)")=0,"-",SUMIFS('Data - Monthly Metrics'!E:E,'Data - Monthly Metrics'!A:A,$B$4-1,'Data - Monthly Metrics'!B:B,"Nov",'Data - Monthly Metrics'!C:C,"East King",'Data - Monthly Metrics'!D:D,"Members Retained - Non-Target (#)"))</f>
        <v/>
      </c>
      <c r="D102" s="98">
        <f>IF(COUNTIFS('Data - Monthly Metrics'!A:A,$B$4-1,'Data - Monthly Metrics'!B:B,"Dec",'Data - Monthly Metrics'!C:C,"East King",'Data - Monthly Metrics'!D:D,"Members Retained - Non-Target (#)")=0,"-",SUMIFS('Data - Monthly Metrics'!E:E,'Data - Monthly Metrics'!A:A,$B$4-1,'Data - Monthly Metrics'!B:B,"Dec",'Data - Monthly Metrics'!C:C,"East King",'Data - Monthly Metrics'!D:D,"Members Retained - Non-Target (#)"))</f>
        <v/>
      </c>
      <c r="E102" s="103">
        <f>SUM(B102,C102,D102)</f>
        <v/>
      </c>
      <c r="F102" s="98">
        <f>IF(COUNTIFS('Data - Monthly Metrics'!A:A,$B$4,'Data - Monthly Metrics'!B:B,"Jan",'Data - Monthly Metrics'!C:C,"East King",'Data - Monthly Metrics'!D:D,"Members Retained - Non-Target (#)")=0,"-",SUMIFS('Data - Monthly Metrics'!E:E,'Data - Monthly Metrics'!A:A,$B$4,'Data - Monthly Metrics'!B:B,"Jan",'Data - Monthly Metrics'!C:C,"East King",'Data - Monthly Metrics'!D:D,"Members Retained - Non-Target (#)"))</f>
        <v/>
      </c>
      <c r="G102" s="98">
        <f>IF(COUNTIFS('Data - Monthly Metrics'!A:A,$B$4,'Data - Monthly Metrics'!B:B,"Feb",'Data - Monthly Metrics'!C:C,"East King",'Data - Monthly Metrics'!D:D,"Members Retained - Non-Target (#)")=0,"-",SUMIFS('Data - Monthly Metrics'!E:E,'Data - Monthly Metrics'!A:A,$B$4,'Data - Monthly Metrics'!B:B,"Feb",'Data - Monthly Metrics'!C:C,"East King",'Data - Monthly Metrics'!D:D,"Members Retained - Non-Target (#)"))</f>
        <v/>
      </c>
      <c r="H102" s="98">
        <f>IF(COUNTIFS('Data - Monthly Metrics'!A:A,$B$4,'Data - Monthly Metrics'!B:B,"Mar",'Data - Monthly Metrics'!C:C,"East King",'Data - Monthly Metrics'!D:D,"Members Retained - Non-Target (#)")=0,"-",SUMIFS('Data - Monthly Metrics'!E:E,'Data - Monthly Metrics'!A:A,$B$4,'Data - Monthly Metrics'!B:B,"Mar",'Data - Monthly Metrics'!C:C,"East King",'Data - Monthly Metrics'!D:D,"Members Retained - Non-Target (#)"))</f>
        <v/>
      </c>
      <c r="I102" s="103">
        <f>SUM(F102,G102,H102)</f>
        <v/>
      </c>
      <c r="J102" s="98">
        <f>IF(COUNTIFS('Data - Monthly Metrics'!A:A,$B$4,'Data - Monthly Metrics'!B:B,"Apr",'Data - Monthly Metrics'!C:C,"East King",'Data - Monthly Metrics'!D:D,"Members Retained - Non-Target (#)")=0,"-",SUMIFS('Data - Monthly Metrics'!E:E,'Data - Monthly Metrics'!A:A,$B$4,'Data - Monthly Metrics'!B:B,"Apr",'Data - Monthly Metrics'!C:C,"East King",'Data - Monthly Metrics'!D:D,"Members Retained - Non-Target (#)"))</f>
        <v/>
      </c>
      <c r="K102" s="98">
        <f>IF(COUNTIFS('Data - Monthly Metrics'!A:A,$B$4,'Data - Monthly Metrics'!B:B,"May",'Data - Monthly Metrics'!C:C,"East King",'Data - Monthly Metrics'!D:D,"Members Retained - Non-Target (#)")=0,"-",SUMIFS('Data - Monthly Metrics'!E:E,'Data - Monthly Metrics'!A:A,$B$4,'Data - Monthly Metrics'!B:B,"May",'Data - Monthly Metrics'!C:C,"East King",'Data - Monthly Metrics'!D:D,"Members Retained - Non-Target (#)"))</f>
        <v/>
      </c>
      <c r="L102" s="98">
        <f>IF(COUNTIFS('Data - Monthly Metrics'!A:A,$B$4,'Data - Monthly Metrics'!B:B,"Jun",'Data - Monthly Metrics'!C:C,"East King",'Data - Monthly Metrics'!D:D,"Members Retained - Non-Target (#)")=0,"-",SUMIFS('Data - Monthly Metrics'!E:E,'Data - Monthly Metrics'!A:A,$B$4,'Data - Monthly Metrics'!B:B,"Jun",'Data - Monthly Metrics'!C:C,"East King",'Data - Monthly Metrics'!D:D,"Members Retained - Non-Target (#)"))</f>
        <v/>
      </c>
      <c r="M102" s="103">
        <f>SUM(J102,K102,L102)</f>
        <v/>
      </c>
      <c r="N102" s="98">
        <f>IF(COUNTIFS('Data - Monthly Metrics'!A:A,$B$4,'Data - Monthly Metrics'!B:B,"Jul",'Data - Monthly Metrics'!C:C,"East King",'Data - Monthly Metrics'!D:D,"Members Retained - Non-Target (#)")=0,"-",SUMIFS('Data - Monthly Metrics'!E:E,'Data - Monthly Metrics'!A:A,$B$4,'Data - Monthly Metrics'!B:B,"Jul",'Data - Monthly Metrics'!C:C,"East King",'Data - Monthly Metrics'!D:D,"Members Retained - Non-Target (#)"))</f>
        <v/>
      </c>
      <c r="O102" s="98">
        <f>IF(COUNTIFS('Data - Monthly Metrics'!A:A,$B$4,'Data - Monthly Metrics'!B:B,"Aug",'Data - Monthly Metrics'!C:C,"East King",'Data - Monthly Metrics'!D:D,"Members Retained - Non-Target (#)")=0,"-",SUMIFS('Data - Monthly Metrics'!E:E,'Data - Monthly Metrics'!A:A,$B$4,'Data - Monthly Metrics'!B:B,"Aug",'Data - Monthly Metrics'!C:C,"East King",'Data - Monthly Metrics'!D:D,"Members Retained - Non-Target (#)"))</f>
        <v/>
      </c>
      <c r="P102" s="98">
        <f>IF(COUNTIFS('Data - Monthly Metrics'!A:A,$B$4,'Data - Monthly Metrics'!B:B,"Sep",'Data - Monthly Metrics'!C:C,"East King",'Data - Monthly Metrics'!D:D,"Members Retained - Non-Target (#)")=0,"-",SUMIFS('Data - Monthly Metrics'!E:E,'Data - Monthly Metrics'!A:A,$B$4,'Data - Monthly Metrics'!B:B,"Sep",'Data - Monthly Metrics'!C:C,"East King",'Data - Monthly Metrics'!D:D,"Members Retained - Non-Target (#)"))</f>
        <v/>
      </c>
      <c r="Q102" s="103">
        <f>SUM(N102,O102,P102)</f>
        <v/>
      </c>
      <c r="R102" s="103">
        <f>E102+I102+M102+Q102</f>
        <v/>
      </c>
    </row>
    <row r="103" ht="14.25" customHeight="1" s="82">
      <c r="A103" s="89" t="inlineStr">
        <is>
          <t>Account Retention % - Non-Target</t>
        </is>
      </c>
      <c r="B103" s="92">
        <f>IF(B101=0,0,B102/B101)</f>
        <v/>
      </c>
      <c r="C103" s="92">
        <f>IF(C101=0,0,C102/C101)</f>
        <v/>
      </c>
      <c r="D103" s="92">
        <f>IF(D101=0,0,D102/D101)</f>
        <v/>
      </c>
      <c r="E103" s="102">
        <f>IF(E101=0,0,E102/E101)</f>
        <v/>
      </c>
      <c r="F103" s="92">
        <f>IF(F101=0,0,F102/F101)</f>
        <v/>
      </c>
      <c r="G103" s="92">
        <f>IF(G101=0,0,G102/G101)</f>
        <v/>
      </c>
      <c r="H103" s="92">
        <f>IF(H101=0,0,H102/H101)</f>
        <v/>
      </c>
      <c r="I103" s="102">
        <f>IF(I101=0,0,I102/I101)</f>
        <v/>
      </c>
      <c r="J103" s="92">
        <f>IF(J101=0,0,J102/J101)</f>
        <v/>
      </c>
      <c r="K103" s="92">
        <f>IF(K101=0,0,K102/K101)</f>
        <v/>
      </c>
      <c r="L103" s="92">
        <f>IF(L101=0,0,L102/L101)</f>
        <v/>
      </c>
      <c r="M103" s="102">
        <f>IF(M101=0,0,M102/M101)</f>
        <v/>
      </c>
      <c r="N103" s="92">
        <f>IF(N101=0,0,N102/N101)</f>
        <v/>
      </c>
      <c r="O103" s="92">
        <f>IF(O101=0,0,O102/O101)</f>
        <v/>
      </c>
      <c r="P103" s="92">
        <f>IF(P101=0,0,P102/P101)</f>
        <v/>
      </c>
      <c r="Q103" s="102">
        <f>IF(Q101=0,0,Q102/Q101)</f>
        <v/>
      </c>
      <c r="R103" s="102">
        <f>IF(R101=0,0,R102/R101)</f>
        <v/>
      </c>
    </row>
    <row r="104" ht="14.25" customHeight="1" s="82">
      <c r="A104" s="94" t="inlineStr">
        <is>
          <t>Status</t>
        </is>
      </c>
      <c r="B104" s="120">
        <f>IF(OR(NOT(ISNUMBER(B103)),B103=0,COUNTIFS('Data - Monthly Metrics'!$A:$A,$B$4-1,'Data - Monthly Metrics'!$B:$B,B$8,'Data - Monthly Metrics'!$C:$C,"East King",'Data - Monthly Metrics'!$D:$D,"Goal - Retention %")=0),"—",IF(B103&gt;=SUMIFS('Data - Monthly Metrics'!$E:$E,'Data - Monthly Metrics'!$A:$A,$B$4-1,'Data - Monthly Metrics'!$B:$B,B$8,'Data - Monthly Metrics'!$C:$C,"East King",'Data - Monthly Metrics'!$D:$D,"Goal - Retention %"),"On Track",IF(B103&gt;=SUMIFS('Data - Monthly Metrics'!$E:$E,'Data - Monthly Metrics'!$A:$A,$B$4-1,'Data - Monthly Metrics'!$B:$B,B$8,'Data - Monthly Metrics'!$C:$C,"East King",'Data - Monthly Metrics'!$D:$D,"Goal - Retention %")-0.05,"Watch","At Risk")))</f>
        <v/>
      </c>
      <c r="C104" s="120">
        <f>IF(OR(NOT(ISNUMBER(C103)),C103=0,COUNTIFS('Data - Monthly Metrics'!$A:$A,$B$4-1,'Data - Monthly Metrics'!$B:$B,C$8,'Data - Monthly Metrics'!$C:$C,"East King",'Data - Monthly Metrics'!$D:$D,"Goal - Retention %")=0),"—",IF(C103&gt;=SUMIFS('Data - Monthly Metrics'!$E:$E,'Data - Monthly Metrics'!$A:$A,$B$4-1,'Data - Monthly Metrics'!$B:$B,C$8,'Data - Monthly Metrics'!$C:$C,"East King",'Data - Monthly Metrics'!$D:$D,"Goal - Retention %"),"On Track",IF(C103&gt;=SUMIFS('Data - Monthly Metrics'!$E:$E,'Data - Monthly Metrics'!$A:$A,$B$4-1,'Data - Monthly Metrics'!$B:$B,C$8,'Data - Monthly Metrics'!$C:$C,"East King",'Data - Monthly Metrics'!$D:$D,"Goal - Retention %")-0.05,"Watch","At Risk")))</f>
        <v/>
      </c>
      <c r="D104" s="120">
        <f>IF(OR(NOT(ISNUMBER(D103)),D103=0,COUNTIFS('Data - Monthly Metrics'!$A:$A,$B$4-1,'Data - Monthly Metrics'!$B:$B,D$8,'Data - Monthly Metrics'!$C:$C,"East King",'Data - Monthly Metrics'!$D:$D,"Goal - Retention %")=0),"—",IF(D103&gt;=SUMIFS('Data - Monthly Metrics'!$E:$E,'Data - Monthly Metrics'!$A:$A,$B$4-1,'Data - Monthly Metrics'!$B:$B,D$8,'Data - Monthly Metrics'!$C:$C,"East King",'Data - Monthly Metrics'!$D:$D,"Goal - Retention %"),"On Track",IF(D103&gt;=SUMIFS('Data - Monthly Metrics'!$E:$E,'Data - Monthly Metrics'!$A:$A,$B$4-1,'Data - Monthly Metrics'!$B:$B,D$8,'Data - Monthly Metrics'!$C:$C,"East King",'Data - Monthly Metrics'!$D:$D,"Goal - Retention %")-0.05,"Watch","At Risk")))</f>
        <v/>
      </c>
      <c r="E104" s="121">
        <f>"—"</f>
        <v/>
      </c>
      <c r="F104" s="120">
        <f>IF(OR(NOT(ISNUMBER(F103)),F103=0,COUNTIFS('Data - Monthly Metrics'!$A:$A,$B$4,'Data - Monthly Metrics'!$B:$B,F$8,'Data - Monthly Metrics'!$C:$C,"East King",'Data - Monthly Metrics'!$D:$D,"Goal - Retention %")=0),"—",IF(F103&gt;=SUMIFS('Data - Monthly Metrics'!$E:$E,'Data - Monthly Metrics'!$A:$A,$B$4,'Data - Monthly Metrics'!$B:$B,F$8,'Data - Monthly Metrics'!$C:$C,"East King",'Data - Monthly Metrics'!$D:$D,"Goal - Retention %"),"On Track",IF(F103&gt;=SUMIFS('Data - Monthly Metrics'!$E:$E,'Data - Monthly Metrics'!$A:$A,$B$4,'Data - Monthly Metrics'!$B:$B,F$8,'Data - Monthly Metrics'!$C:$C,"East King",'Data - Monthly Metrics'!$D:$D,"Goal - Retention %")-0.05,"Watch","At Risk")))</f>
        <v/>
      </c>
      <c r="G104" s="120">
        <f>IF(OR(NOT(ISNUMBER(G103)),G103=0,COUNTIFS('Data - Monthly Metrics'!$A:$A,$B$4,'Data - Monthly Metrics'!$B:$B,G$8,'Data - Monthly Metrics'!$C:$C,"East King",'Data - Monthly Metrics'!$D:$D,"Goal - Retention %")=0),"—",IF(G103&gt;=SUMIFS('Data - Monthly Metrics'!$E:$E,'Data - Monthly Metrics'!$A:$A,$B$4,'Data - Monthly Metrics'!$B:$B,G$8,'Data - Monthly Metrics'!$C:$C,"East King",'Data - Monthly Metrics'!$D:$D,"Goal - Retention %"),"On Track",IF(G103&gt;=SUMIFS('Data - Monthly Metrics'!$E:$E,'Data - Monthly Metrics'!$A:$A,$B$4,'Data - Monthly Metrics'!$B:$B,G$8,'Data - Monthly Metrics'!$C:$C,"East King",'Data - Monthly Metrics'!$D:$D,"Goal - Retention %")-0.05,"Watch","At Risk")))</f>
        <v/>
      </c>
      <c r="H104" s="120">
        <f>IF(OR(NOT(ISNUMBER(H103)),H103=0,COUNTIFS('Data - Monthly Metrics'!$A:$A,$B$4,'Data - Monthly Metrics'!$B:$B,H$8,'Data - Monthly Metrics'!$C:$C,"East King",'Data - Monthly Metrics'!$D:$D,"Goal - Retention %")=0),"—",IF(H103&gt;=SUMIFS('Data - Monthly Metrics'!$E:$E,'Data - Monthly Metrics'!$A:$A,$B$4,'Data - Monthly Metrics'!$B:$B,H$8,'Data - Monthly Metrics'!$C:$C,"East King",'Data - Monthly Metrics'!$D:$D,"Goal - Retention %"),"On Track",IF(H103&gt;=SUMIFS('Data - Monthly Metrics'!$E:$E,'Data - Monthly Metrics'!$A:$A,$B$4,'Data - Monthly Metrics'!$B:$B,H$8,'Data - Monthly Metrics'!$C:$C,"East King",'Data - Monthly Metrics'!$D:$D,"Goal - Retention %")-0.05,"Watch","At Risk")))</f>
        <v/>
      </c>
      <c r="I104" s="121">
        <f>"—"</f>
        <v/>
      </c>
      <c r="J104" s="120">
        <f>IF(OR(NOT(ISNUMBER(J103)),J103=0,COUNTIFS('Data - Monthly Metrics'!$A:$A,$B$4,'Data - Monthly Metrics'!$B:$B,J$8,'Data - Monthly Metrics'!$C:$C,"East King",'Data - Monthly Metrics'!$D:$D,"Goal - Retention %")=0),"—",IF(J103&gt;=SUMIFS('Data - Monthly Metrics'!$E:$E,'Data - Monthly Metrics'!$A:$A,$B$4,'Data - Monthly Metrics'!$B:$B,J$8,'Data - Monthly Metrics'!$C:$C,"East King",'Data - Monthly Metrics'!$D:$D,"Goal - Retention %"),"On Track",IF(J103&gt;=SUMIFS('Data - Monthly Metrics'!$E:$E,'Data - Monthly Metrics'!$A:$A,$B$4,'Data - Monthly Metrics'!$B:$B,J$8,'Data - Monthly Metrics'!$C:$C,"East King",'Data - Monthly Metrics'!$D:$D,"Goal - Retention %")-0.05,"Watch","At Risk")))</f>
        <v/>
      </c>
      <c r="K104" s="120">
        <f>IF(OR(NOT(ISNUMBER(K103)),K103=0,COUNTIFS('Data - Monthly Metrics'!$A:$A,$B$4,'Data - Monthly Metrics'!$B:$B,K$8,'Data - Monthly Metrics'!$C:$C,"East King",'Data - Monthly Metrics'!$D:$D,"Goal - Retention %")=0),"—",IF(K103&gt;=SUMIFS('Data - Monthly Metrics'!$E:$E,'Data - Monthly Metrics'!$A:$A,$B$4,'Data - Monthly Metrics'!$B:$B,K$8,'Data - Monthly Metrics'!$C:$C,"East King",'Data - Monthly Metrics'!$D:$D,"Goal - Retention %"),"On Track",IF(K103&gt;=SUMIFS('Data - Monthly Metrics'!$E:$E,'Data - Monthly Metrics'!$A:$A,$B$4,'Data - Monthly Metrics'!$B:$B,K$8,'Data - Monthly Metrics'!$C:$C,"East King",'Data - Monthly Metrics'!$D:$D,"Goal - Retention %")-0.05,"Watch","At Risk")))</f>
        <v/>
      </c>
      <c r="L104" s="120">
        <f>IF(OR(NOT(ISNUMBER(L103)),L103=0,COUNTIFS('Data - Monthly Metrics'!$A:$A,$B$4,'Data - Monthly Metrics'!$B:$B,L$8,'Data - Monthly Metrics'!$C:$C,"East King",'Data - Monthly Metrics'!$D:$D,"Goal - Retention %")=0),"—",IF(L103&gt;=SUMIFS('Data - Monthly Metrics'!$E:$E,'Data - Monthly Metrics'!$A:$A,$B$4,'Data - Monthly Metrics'!$B:$B,L$8,'Data - Monthly Metrics'!$C:$C,"East King",'Data - Monthly Metrics'!$D:$D,"Goal - Retention %"),"On Track",IF(L103&gt;=SUMIFS('Data - Monthly Metrics'!$E:$E,'Data - Monthly Metrics'!$A:$A,$B$4,'Data - Monthly Metrics'!$B:$B,L$8,'Data - Monthly Metrics'!$C:$C,"East King",'Data - Monthly Metrics'!$D:$D,"Goal - Retention %")-0.05,"Watch","At Risk")))</f>
        <v/>
      </c>
      <c r="M104" s="121">
        <f>"—"</f>
        <v/>
      </c>
      <c r="N104" s="120">
        <f>IF(OR(NOT(ISNUMBER(N103)),N103=0,COUNTIFS('Data - Monthly Metrics'!$A:$A,$B$4,'Data - Monthly Metrics'!$B:$B,N$8,'Data - Monthly Metrics'!$C:$C,"East King",'Data - Monthly Metrics'!$D:$D,"Goal - Retention %")=0),"—",IF(N103&gt;=SUMIFS('Data - Monthly Metrics'!$E:$E,'Data - Monthly Metrics'!$A:$A,$B$4,'Data - Monthly Metrics'!$B:$B,N$8,'Data - Monthly Metrics'!$C:$C,"East King",'Data - Monthly Metrics'!$D:$D,"Goal - Retention %"),"On Track",IF(N103&gt;=SUMIFS('Data - Monthly Metrics'!$E:$E,'Data - Monthly Metrics'!$A:$A,$B$4,'Data - Monthly Metrics'!$B:$B,N$8,'Data - Monthly Metrics'!$C:$C,"East King",'Data - Monthly Metrics'!$D:$D,"Goal - Retention %")-0.05,"Watch","At Risk")))</f>
        <v/>
      </c>
      <c r="O104" s="120">
        <f>IF(OR(NOT(ISNUMBER(O103)),O103=0,COUNTIFS('Data - Monthly Metrics'!$A:$A,$B$4,'Data - Monthly Metrics'!$B:$B,O$8,'Data - Monthly Metrics'!$C:$C,"East King",'Data - Monthly Metrics'!$D:$D,"Goal - Retention %")=0),"—",IF(O103&gt;=SUMIFS('Data - Monthly Metrics'!$E:$E,'Data - Monthly Metrics'!$A:$A,$B$4,'Data - Monthly Metrics'!$B:$B,O$8,'Data - Monthly Metrics'!$C:$C,"East King",'Data - Monthly Metrics'!$D:$D,"Goal - Retention %"),"On Track",IF(O103&gt;=SUMIFS('Data - Monthly Metrics'!$E:$E,'Data - Monthly Metrics'!$A:$A,$B$4,'Data - Monthly Metrics'!$B:$B,O$8,'Data - Monthly Metrics'!$C:$C,"East King",'Data - Monthly Metrics'!$D:$D,"Goal - Retention %")-0.05,"Watch","At Risk")))</f>
        <v/>
      </c>
      <c r="P104" s="120">
        <f>IF(OR(NOT(ISNUMBER(P103)),P103=0,COUNTIFS('Data - Monthly Metrics'!$A:$A,$B$4,'Data - Monthly Metrics'!$B:$B,P$8,'Data - Monthly Metrics'!$C:$C,"East King",'Data - Monthly Metrics'!$D:$D,"Goal - Retention %")=0),"—",IF(P103&gt;=SUMIFS('Data - Monthly Metrics'!$E:$E,'Data - Monthly Metrics'!$A:$A,$B$4,'Data - Monthly Metrics'!$B:$B,P$8,'Data - Monthly Metrics'!$C:$C,"East King",'Data - Monthly Metrics'!$D:$D,"Goal - Retention %"),"On Track",IF(P103&gt;=SUMIFS('Data - Monthly Metrics'!$E:$E,'Data - Monthly Metrics'!$A:$A,$B$4,'Data - Monthly Metrics'!$B:$B,P$8,'Data - Monthly Metrics'!$C:$C,"East King",'Data - Monthly Metrics'!$D:$D,"Goal - Retention %")-0.05,"Watch","At Risk")))</f>
        <v/>
      </c>
      <c r="Q104" s="121">
        <f>"—"</f>
        <v/>
      </c>
      <c r="R104" s="121">
        <f>"—"</f>
        <v/>
      </c>
    </row>
    <row r="105" ht="14.25" customHeight="1" s="82">
      <c r="A105" s="94" t="inlineStr">
        <is>
          <t xml:space="preserve">   Comped (#)</t>
        </is>
      </c>
      <c r="B105" s="98">
        <f>IF(COUNTIFS('Data - Monthly Metrics'!A:A,$B$4-1,'Data - Monthly Metrics'!B:B,"Oct",'Data - Monthly Metrics'!C:C,"East King",'Data - Monthly Metrics'!D:D,"Retention - Comped Non-Target (#)")=0,"-",SUMIFS('Data - Monthly Metrics'!E:E,'Data - Monthly Metrics'!A:A,$B$4-1,'Data - Monthly Metrics'!B:B,"Oct",'Data - Monthly Metrics'!C:C,"East King",'Data - Monthly Metrics'!D:D,"Retention - Comped Non-Target (#)"))</f>
        <v/>
      </c>
      <c r="C105" s="98">
        <f>IF(COUNTIFS('Data - Monthly Metrics'!A:A,$B$4-1,'Data - Monthly Metrics'!B:B,"Nov",'Data - Monthly Metrics'!C:C,"East King",'Data - Monthly Metrics'!D:D,"Retention - Comped Non-Target (#)")=0,"-",SUMIFS('Data - Monthly Metrics'!E:E,'Data - Monthly Metrics'!A:A,$B$4-1,'Data - Monthly Metrics'!B:B,"Nov",'Data - Monthly Metrics'!C:C,"East King",'Data - Monthly Metrics'!D:D,"Retention - Comped Non-Target (#)"))</f>
        <v/>
      </c>
      <c r="D105" s="98">
        <f>IF(COUNTIFS('Data - Monthly Metrics'!A:A,$B$4-1,'Data - Monthly Metrics'!B:B,"Dec",'Data - Monthly Metrics'!C:C,"East King",'Data - Monthly Metrics'!D:D,"Retention - Comped Non-Target (#)")=0,"-",SUMIFS('Data - Monthly Metrics'!E:E,'Data - Monthly Metrics'!A:A,$B$4-1,'Data - Monthly Metrics'!B:B,"Dec",'Data - Monthly Metrics'!C:C,"East King",'Data - Monthly Metrics'!D:D,"Retention - Comped Non-Target (#)"))</f>
        <v/>
      </c>
      <c r="E105" s="103">
        <f>SUM(B105,C105,D105)</f>
        <v/>
      </c>
      <c r="F105" s="98">
        <f>IF(COUNTIFS('Data - Monthly Metrics'!A:A,$B$4,'Data - Monthly Metrics'!B:B,"Jan",'Data - Monthly Metrics'!C:C,"East King",'Data - Monthly Metrics'!D:D,"Retention - Comped Non-Target (#)")=0,"-",SUMIFS('Data - Monthly Metrics'!E:E,'Data - Monthly Metrics'!A:A,$B$4,'Data - Monthly Metrics'!B:B,"Jan",'Data - Monthly Metrics'!C:C,"East King",'Data - Monthly Metrics'!D:D,"Retention - Comped Non-Target (#)"))</f>
        <v/>
      </c>
      <c r="G105" s="98">
        <f>IF(COUNTIFS('Data - Monthly Metrics'!A:A,$B$4,'Data - Monthly Metrics'!B:B,"Feb",'Data - Monthly Metrics'!C:C,"East King",'Data - Monthly Metrics'!D:D,"Retention - Comped Non-Target (#)")=0,"-",SUMIFS('Data - Monthly Metrics'!E:E,'Data - Monthly Metrics'!A:A,$B$4,'Data - Monthly Metrics'!B:B,"Feb",'Data - Monthly Metrics'!C:C,"East King",'Data - Monthly Metrics'!D:D,"Retention - Comped Non-Target (#)"))</f>
        <v/>
      </c>
      <c r="H105" s="98">
        <f>IF(COUNTIFS('Data - Monthly Metrics'!A:A,$B$4,'Data - Monthly Metrics'!B:B,"Mar",'Data - Monthly Metrics'!C:C,"East King",'Data - Monthly Metrics'!D:D,"Retention - Comped Non-Target (#)")=0,"-",SUMIFS('Data - Monthly Metrics'!E:E,'Data - Monthly Metrics'!A:A,$B$4,'Data - Monthly Metrics'!B:B,"Mar",'Data - Monthly Metrics'!C:C,"East King",'Data - Monthly Metrics'!D:D,"Retention - Comped Non-Target (#)"))</f>
        <v/>
      </c>
      <c r="I105" s="103">
        <f>SUM(F105,G105,H105)</f>
        <v/>
      </c>
      <c r="J105" s="98">
        <f>IF(COUNTIFS('Data - Monthly Metrics'!A:A,$B$4,'Data - Monthly Metrics'!B:B,"Apr",'Data - Monthly Metrics'!C:C,"East King",'Data - Monthly Metrics'!D:D,"Retention - Comped Non-Target (#)")=0,"-",SUMIFS('Data - Monthly Metrics'!E:E,'Data - Monthly Metrics'!A:A,$B$4,'Data - Monthly Metrics'!B:B,"Apr",'Data - Monthly Metrics'!C:C,"East King",'Data - Monthly Metrics'!D:D,"Retention - Comped Non-Target (#)"))</f>
        <v/>
      </c>
      <c r="K105" s="98">
        <f>IF(COUNTIFS('Data - Monthly Metrics'!A:A,$B$4,'Data - Monthly Metrics'!B:B,"May",'Data - Monthly Metrics'!C:C,"East King",'Data - Monthly Metrics'!D:D,"Retention - Comped Non-Target (#)")=0,"-",SUMIFS('Data - Monthly Metrics'!E:E,'Data - Monthly Metrics'!A:A,$B$4,'Data - Monthly Metrics'!B:B,"May",'Data - Monthly Metrics'!C:C,"East King",'Data - Monthly Metrics'!D:D,"Retention - Comped Non-Target (#)"))</f>
        <v/>
      </c>
      <c r="L105" s="98">
        <f>IF(COUNTIFS('Data - Monthly Metrics'!A:A,$B$4,'Data - Monthly Metrics'!B:B,"Jun",'Data - Monthly Metrics'!C:C,"East King",'Data - Monthly Metrics'!D:D,"Retention - Comped Non-Target (#)")=0,"-",SUMIFS('Data - Monthly Metrics'!E:E,'Data - Monthly Metrics'!A:A,$B$4,'Data - Monthly Metrics'!B:B,"Jun",'Data - Monthly Metrics'!C:C,"East King",'Data - Monthly Metrics'!D:D,"Retention - Comped Non-Target (#)"))</f>
        <v/>
      </c>
      <c r="M105" s="103">
        <f>SUM(J105,K105,L105)</f>
        <v/>
      </c>
      <c r="N105" s="98">
        <f>IF(COUNTIFS('Data - Monthly Metrics'!A:A,$B$4,'Data - Monthly Metrics'!B:B,"Jul",'Data - Monthly Metrics'!C:C,"East King",'Data - Monthly Metrics'!D:D,"Retention - Comped Non-Target (#)")=0,"-",SUMIFS('Data - Monthly Metrics'!E:E,'Data - Monthly Metrics'!A:A,$B$4,'Data - Monthly Metrics'!B:B,"Jul",'Data - Monthly Metrics'!C:C,"East King",'Data - Monthly Metrics'!D:D,"Retention - Comped Non-Target (#)"))</f>
        <v/>
      </c>
      <c r="O105" s="98">
        <f>IF(COUNTIFS('Data - Monthly Metrics'!A:A,$B$4,'Data - Monthly Metrics'!B:B,"Aug",'Data - Monthly Metrics'!C:C,"East King",'Data - Monthly Metrics'!D:D,"Retention - Comped Non-Target (#)")=0,"-",SUMIFS('Data - Monthly Metrics'!E:E,'Data - Monthly Metrics'!A:A,$B$4,'Data - Monthly Metrics'!B:B,"Aug",'Data - Monthly Metrics'!C:C,"East King",'Data - Monthly Metrics'!D:D,"Retention - Comped Non-Target (#)"))</f>
        <v/>
      </c>
      <c r="P105" s="98">
        <f>IF(COUNTIFS('Data - Monthly Metrics'!A:A,$B$4,'Data - Monthly Metrics'!B:B,"Sep",'Data - Monthly Metrics'!C:C,"East King",'Data - Monthly Metrics'!D:D,"Retention - Comped Non-Target (#)")=0,"-",SUMIFS('Data - Monthly Metrics'!E:E,'Data - Monthly Metrics'!A:A,$B$4,'Data - Monthly Metrics'!B:B,"Sep",'Data - Monthly Metrics'!C:C,"East King",'Data - Monthly Metrics'!D:D,"Retention - Comped Non-Target (#)"))</f>
        <v/>
      </c>
      <c r="Q105" s="103">
        <f>SUM(N105,O105,P105)</f>
        <v/>
      </c>
      <c r="R105" s="103">
        <f>E105+I105+M105+Q105</f>
        <v/>
      </c>
    </row>
    <row r="106" ht="14.25" customHeight="1" s="82">
      <c r="A106" s="94" t="inlineStr">
        <is>
          <t xml:space="preserve">   Comped ($) — not counted in retention</t>
        </is>
      </c>
      <c r="B106" s="96">
        <f>IF(COUNTIFS('Data - Monthly Metrics'!A:A,$B$4-1,'Data - Monthly Metrics'!B:B,"Oct",'Data - Monthly Metrics'!C:C,"East King",'Data - Monthly Metrics'!D:D,"Retention - Comped Non-Target ($)")=0,"-",SUMIFS('Data - Monthly Metrics'!E:E,'Data - Monthly Metrics'!A:A,$B$4-1,'Data - Monthly Metrics'!B:B,"Oct",'Data - Monthly Metrics'!C:C,"East King",'Data - Monthly Metrics'!D:D,"Retention - Comped Non-Target ($)"))</f>
        <v/>
      </c>
      <c r="C106" s="96">
        <f>IF(COUNTIFS('Data - Monthly Metrics'!A:A,$B$4-1,'Data - Monthly Metrics'!B:B,"Nov",'Data - Monthly Metrics'!C:C,"East King",'Data - Monthly Metrics'!D:D,"Retention - Comped Non-Target ($)")=0,"-",SUMIFS('Data - Monthly Metrics'!E:E,'Data - Monthly Metrics'!A:A,$B$4-1,'Data - Monthly Metrics'!B:B,"Nov",'Data - Monthly Metrics'!C:C,"East King",'Data - Monthly Metrics'!D:D,"Retention - Comped Non-Target ($)"))</f>
        <v/>
      </c>
      <c r="D106" s="96">
        <f>IF(COUNTIFS('Data - Monthly Metrics'!A:A,$B$4-1,'Data - Monthly Metrics'!B:B,"Dec",'Data - Monthly Metrics'!C:C,"East King",'Data - Monthly Metrics'!D:D,"Retention - Comped Non-Target ($)")=0,"-",SUMIFS('Data - Monthly Metrics'!E:E,'Data - Monthly Metrics'!A:A,$B$4-1,'Data - Monthly Metrics'!B:B,"Dec",'Data - Monthly Metrics'!C:C,"East King",'Data - Monthly Metrics'!D:D,"Retention - Comped Non-Target ($)"))</f>
        <v/>
      </c>
      <c r="E106" s="101">
        <f>SUM(B106,C106,D106)</f>
        <v/>
      </c>
      <c r="F106" s="96">
        <f>IF(COUNTIFS('Data - Monthly Metrics'!A:A,$B$4,'Data - Monthly Metrics'!B:B,"Jan",'Data - Monthly Metrics'!C:C,"East King",'Data - Monthly Metrics'!D:D,"Retention - Comped Non-Target ($)")=0,"-",SUMIFS('Data - Monthly Metrics'!E:E,'Data - Monthly Metrics'!A:A,$B$4,'Data - Monthly Metrics'!B:B,"Jan",'Data - Monthly Metrics'!C:C,"East King",'Data - Monthly Metrics'!D:D,"Retention - Comped Non-Target ($)"))</f>
        <v/>
      </c>
      <c r="G106" s="96">
        <f>IF(COUNTIFS('Data - Monthly Metrics'!A:A,$B$4,'Data - Monthly Metrics'!B:B,"Feb",'Data - Monthly Metrics'!C:C,"East King",'Data - Monthly Metrics'!D:D,"Retention - Comped Non-Target ($)")=0,"-",SUMIFS('Data - Monthly Metrics'!E:E,'Data - Monthly Metrics'!A:A,$B$4,'Data - Monthly Metrics'!B:B,"Feb",'Data - Monthly Metrics'!C:C,"East King",'Data - Monthly Metrics'!D:D,"Retention - Comped Non-Target ($)"))</f>
        <v/>
      </c>
      <c r="H106" s="96">
        <f>IF(COUNTIFS('Data - Monthly Metrics'!A:A,$B$4,'Data - Monthly Metrics'!B:B,"Mar",'Data - Monthly Metrics'!C:C,"East King",'Data - Monthly Metrics'!D:D,"Retention - Comped Non-Target ($)")=0,"-",SUMIFS('Data - Monthly Metrics'!E:E,'Data - Monthly Metrics'!A:A,$B$4,'Data - Monthly Metrics'!B:B,"Mar",'Data - Monthly Metrics'!C:C,"East King",'Data - Monthly Metrics'!D:D,"Retention - Comped Non-Target ($)"))</f>
        <v/>
      </c>
      <c r="I106" s="101">
        <f>SUM(F106,G106,H106)</f>
        <v/>
      </c>
      <c r="J106" s="96">
        <f>IF(COUNTIFS('Data - Monthly Metrics'!A:A,$B$4,'Data - Monthly Metrics'!B:B,"Apr",'Data - Monthly Metrics'!C:C,"East King",'Data - Monthly Metrics'!D:D,"Retention - Comped Non-Target ($)")=0,"-",SUMIFS('Data - Monthly Metrics'!E:E,'Data - Monthly Metrics'!A:A,$B$4,'Data - Monthly Metrics'!B:B,"Apr",'Data - Monthly Metrics'!C:C,"East King",'Data - Monthly Metrics'!D:D,"Retention - Comped Non-Target ($)"))</f>
        <v/>
      </c>
      <c r="K106" s="96">
        <f>IF(COUNTIFS('Data - Monthly Metrics'!A:A,$B$4,'Data - Monthly Metrics'!B:B,"May",'Data - Monthly Metrics'!C:C,"East King",'Data - Monthly Metrics'!D:D,"Retention - Comped Non-Target ($)")=0,"-",SUMIFS('Data - Monthly Metrics'!E:E,'Data - Monthly Metrics'!A:A,$B$4,'Data - Monthly Metrics'!B:B,"May",'Data - Monthly Metrics'!C:C,"East King",'Data - Monthly Metrics'!D:D,"Retention - Comped Non-Target ($)"))</f>
        <v/>
      </c>
      <c r="L106" s="96">
        <f>IF(COUNTIFS('Data - Monthly Metrics'!A:A,$B$4,'Data - Monthly Metrics'!B:B,"Jun",'Data - Monthly Metrics'!C:C,"East King",'Data - Monthly Metrics'!D:D,"Retention - Comped Non-Target ($)")=0,"-",SUMIFS('Data - Monthly Metrics'!E:E,'Data - Monthly Metrics'!A:A,$B$4,'Data - Monthly Metrics'!B:B,"Jun",'Data - Monthly Metrics'!C:C,"East King",'Data - Monthly Metrics'!D:D,"Retention - Comped Non-Target ($)"))</f>
        <v/>
      </c>
      <c r="M106" s="101">
        <f>SUM(J106,K106,L106)</f>
        <v/>
      </c>
      <c r="N106" s="96">
        <f>IF(COUNTIFS('Data - Monthly Metrics'!A:A,$B$4,'Data - Monthly Metrics'!B:B,"Jul",'Data - Monthly Metrics'!C:C,"East King",'Data - Monthly Metrics'!D:D,"Retention - Comped Non-Target ($)")=0,"-",SUMIFS('Data - Monthly Metrics'!E:E,'Data - Monthly Metrics'!A:A,$B$4,'Data - Monthly Metrics'!B:B,"Jul",'Data - Monthly Metrics'!C:C,"East King",'Data - Monthly Metrics'!D:D,"Retention - Comped Non-Target ($)"))</f>
        <v/>
      </c>
      <c r="O106" s="96">
        <f>IF(COUNTIFS('Data - Monthly Metrics'!A:A,$B$4,'Data - Monthly Metrics'!B:B,"Aug",'Data - Monthly Metrics'!C:C,"East King",'Data - Monthly Metrics'!D:D,"Retention - Comped Non-Target ($)")=0,"-",SUMIFS('Data - Monthly Metrics'!E:E,'Data - Monthly Metrics'!A:A,$B$4,'Data - Monthly Metrics'!B:B,"Aug",'Data - Monthly Metrics'!C:C,"East King",'Data - Monthly Metrics'!D:D,"Retention - Comped Non-Target ($)"))</f>
        <v/>
      </c>
      <c r="P106" s="96">
        <f>IF(COUNTIFS('Data - Monthly Metrics'!A:A,$B$4,'Data - Monthly Metrics'!B:B,"Sep",'Data - Monthly Metrics'!C:C,"East King",'Data - Monthly Metrics'!D:D,"Retention - Comped Non-Target ($)")=0,"-",SUMIFS('Data - Monthly Metrics'!E:E,'Data - Monthly Metrics'!A:A,$B$4,'Data - Monthly Metrics'!B:B,"Sep",'Data - Monthly Metrics'!C:C,"East King",'Data - Monthly Metrics'!D:D,"Retention - Comped Non-Target ($)"))</f>
        <v/>
      </c>
      <c r="Q106" s="101">
        <f>SUM(N106,O106,P106)</f>
        <v/>
      </c>
      <c r="R106" s="101">
        <f>E106+I106+M106+Q106</f>
        <v/>
      </c>
    </row>
    <row r="107"/>
    <row r="108" ht="21.75" customHeight="1" s="82">
      <c r="A108" s="87" t="inlineStr">
        <is>
          <t xml:space="preserve">  ▶   N4.  DROPS — Non-Target</t>
        </is>
      </c>
    </row>
    <row r="109" ht="14.25" customHeight="1" s="82">
      <c r="A109" s="88" t="inlineStr">
        <is>
          <t>Metric</t>
        </is>
      </c>
      <c r="B109" s="88" t="inlineStr">
        <is>
          <t>Oct</t>
        </is>
      </c>
      <c r="C109" s="88" t="inlineStr">
        <is>
          <t>Nov</t>
        </is>
      </c>
      <c r="D109" s="88" t="inlineStr">
        <is>
          <t>Dec</t>
        </is>
      </c>
      <c r="E109" s="88" t="inlineStr">
        <is>
          <t>Q1</t>
        </is>
      </c>
      <c r="F109" s="88" t="inlineStr">
        <is>
          <t>Jan</t>
        </is>
      </c>
      <c r="G109" s="88" t="inlineStr">
        <is>
          <t>Feb</t>
        </is>
      </c>
      <c r="H109" s="88" t="inlineStr">
        <is>
          <t>Mar</t>
        </is>
      </c>
      <c r="I109" s="88" t="inlineStr">
        <is>
          <t>Q2</t>
        </is>
      </c>
      <c r="J109" s="88" t="inlineStr">
        <is>
          <t>Apr</t>
        </is>
      </c>
      <c r="K109" s="88" t="inlineStr">
        <is>
          <t>May</t>
        </is>
      </c>
      <c r="L109" s="88" t="inlineStr">
        <is>
          <t>Jun</t>
        </is>
      </c>
      <c r="M109" s="88" t="inlineStr">
        <is>
          <t>Q3</t>
        </is>
      </c>
      <c r="N109" s="88" t="inlineStr">
        <is>
          <t>Jul</t>
        </is>
      </c>
      <c r="O109" s="88" t="inlineStr">
        <is>
          <t>Aug</t>
        </is>
      </c>
      <c r="P109" s="88" t="inlineStr">
        <is>
          <t>Sep</t>
        </is>
      </c>
      <c r="Q109" s="88" t="inlineStr">
        <is>
          <t>Q4</t>
        </is>
      </c>
      <c r="R109" s="88" t="inlineStr">
        <is>
          <t>YTD</t>
        </is>
      </c>
    </row>
    <row r="110" ht="14.25" customHeight="1" s="82">
      <c r="A110" s="89" t="inlineStr">
        <is>
          <t>Drops - Non-Target (#)</t>
        </is>
      </c>
      <c r="B110" s="93">
        <f>IF(COUNTIFS('Data - Monthly Metrics'!A:A,$B$4-1,'Data - Monthly Metrics'!B:B,"Oct",'Data - Monthly Metrics'!C:C,"East King",'Data - Monthly Metrics'!D:D,"Drops - Non-Target (#)")=0,"-",SUMIFS('Data - Monthly Metrics'!E:E,'Data - Monthly Metrics'!A:A,$B$4-1,'Data - Monthly Metrics'!B:B,"Oct",'Data - Monthly Metrics'!C:C,"East King",'Data - Monthly Metrics'!D:D,"Drops - Non-Target (#)"))</f>
        <v/>
      </c>
      <c r="C110" s="93">
        <f>IF(COUNTIFS('Data - Monthly Metrics'!A:A,$B$4-1,'Data - Monthly Metrics'!B:B,"Nov",'Data - Monthly Metrics'!C:C,"East King",'Data - Monthly Metrics'!D:D,"Drops - Non-Target (#)")=0,"-",SUMIFS('Data - Monthly Metrics'!E:E,'Data - Monthly Metrics'!A:A,$B$4-1,'Data - Monthly Metrics'!B:B,"Nov",'Data - Monthly Metrics'!C:C,"East King",'Data - Monthly Metrics'!D:D,"Drops - Non-Target (#)"))</f>
        <v/>
      </c>
      <c r="D110" s="93">
        <f>IF(COUNTIFS('Data - Monthly Metrics'!A:A,$B$4-1,'Data - Monthly Metrics'!B:B,"Dec",'Data - Monthly Metrics'!C:C,"East King",'Data - Monthly Metrics'!D:D,"Drops - Non-Target (#)")=0,"-",SUMIFS('Data - Monthly Metrics'!E:E,'Data - Monthly Metrics'!A:A,$B$4-1,'Data - Monthly Metrics'!B:B,"Dec",'Data - Monthly Metrics'!C:C,"East King",'Data - Monthly Metrics'!D:D,"Drops - Non-Target (#)"))</f>
        <v/>
      </c>
      <c r="E110" s="103">
        <f>SUM(B110,C110,D110)</f>
        <v/>
      </c>
      <c r="F110" s="93">
        <f>IF(COUNTIFS('Data - Monthly Metrics'!A:A,$B$4,'Data - Monthly Metrics'!B:B,"Jan",'Data - Monthly Metrics'!C:C,"East King",'Data - Monthly Metrics'!D:D,"Drops - Non-Target (#)")=0,"-",SUMIFS('Data - Monthly Metrics'!E:E,'Data - Monthly Metrics'!A:A,$B$4,'Data - Monthly Metrics'!B:B,"Jan",'Data - Monthly Metrics'!C:C,"East King",'Data - Monthly Metrics'!D:D,"Drops - Non-Target (#)"))</f>
        <v/>
      </c>
      <c r="G110" s="93">
        <f>IF(COUNTIFS('Data - Monthly Metrics'!A:A,$B$4,'Data - Monthly Metrics'!B:B,"Feb",'Data - Monthly Metrics'!C:C,"East King",'Data - Monthly Metrics'!D:D,"Drops - Non-Target (#)")=0,"-",SUMIFS('Data - Monthly Metrics'!E:E,'Data - Monthly Metrics'!A:A,$B$4,'Data - Monthly Metrics'!B:B,"Feb",'Data - Monthly Metrics'!C:C,"East King",'Data - Monthly Metrics'!D:D,"Drops - Non-Target (#)"))</f>
        <v/>
      </c>
      <c r="H110" s="93">
        <f>IF(COUNTIFS('Data - Monthly Metrics'!A:A,$B$4,'Data - Monthly Metrics'!B:B,"Mar",'Data - Monthly Metrics'!C:C,"East King",'Data - Monthly Metrics'!D:D,"Drops - Non-Target (#)")=0,"-",SUMIFS('Data - Monthly Metrics'!E:E,'Data - Monthly Metrics'!A:A,$B$4,'Data - Monthly Metrics'!B:B,"Mar",'Data - Monthly Metrics'!C:C,"East King",'Data - Monthly Metrics'!D:D,"Drops - Non-Target (#)"))</f>
        <v/>
      </c>
      <c r="I110" s="103">
        <f>SUM(F110,G110,H110)</f>
        <v/>
      </c>
      <c r="J110" s="93">
        <f>IF(COUNTIFS('Data - Monthly Metrics'!A:A,$B$4,'Data - Monthly Metrics'!B:B,"Apr",'Data - Monthly Metrics'!C:C,"East King",'Data - Monthly Metrics'!D:D,"Drops - Non-Target (#)")=0,"-",SUMIFS('Data - Monthly Metrics'!E:E,'Data - Monthly Metrics'!A:A,$B$4,'Data - Monthly Metrics'!B:B,"Apr",'Data - Monthly Metrics'!C:C,"East King",'Data - Monthly Metrics'!D:D,"Drops - Non-Target (#)"))</f>
        <v/>
      </c>
      <c r="K110" s="93">
        <f>IF(COUNTIFS('Data - Monthly Metrics'!A:A,$B$4,'Data - Monthly Metrics'!B:B,"May",'Data - Monthly Metrics'!C:C,"East King",'Data - Monthly Metrics'!D:D,"Drops - Non-Target (#)")=0,"-",SUMIFS('Data - Monthly Metrics'!E:E,'Data - Monthly Metrics'!A:A,$B$4,'Data - Monthly Metrics'!B:B,"May",'Data - Monthly Metrics'!C:C,"East King",'Data - Monthly Metrics'!D:D,"Drops - Non-Target (#)"))</f>
        <v/>
      </c>
      <c r="L110" s="93">
        <f>IF(COUNTIFS('Data - Monthly Metrics'!A:A,$B$4,'Data - Monthly Metrics'!B:B,"Jun",'Data - Monthly Metrics'!C:C,"East King",'Data - Monthly Metrics'!D:D,"Drops - Non-Target (#)")=0,"-",SUMIFS('Data - Monthly Metrics'!E:E,'Data - Monthly Metrics'!A:A,$B$4,'Data - Monthly Metrics'!B:B,"Jun",'Data - Monthly Metrics'!C:C,"East King",'Data - Monthly Metrics'!D:D,"Drops - Non-Target (#)"))</f>
        <v/>
      </c>
      <c r="M110" s="103">
        <f>SUM(J110,K110,L110)</f>
        <v/>
      </c>
      <c r="N110" s="93">
        <f>IF(COUNTIFS('Data - Monthly Metrics'!A:A,$B$4,'Data - Monthly Metrics'!B:B,"Jul",'Data - Monthly Metrics'!C:C,"East King",'Data - Monthly Metrics'!D:D,"Drops - Non-Target (#)")=0,"-",SUMIFS('Data - Monthly Metrics'!E:E,'Data - Monthly Metrics'!A:A,$B$4,'Data - Monthly Metrics'!B:B,"Jul",'Data - Monthly Metrics'!C:C,"East King",'Data - Monthly Metrics'!D:D,"Drops - Non-Target (#)"))</f>
        <v/>
      </c>
      <c r="O110" s="93">
        <f>IF(COUNTIFS('Data - Monthly Metrics'!A:A,$B$4,'Data - Monthly Metrics'!B:B,"Aug",'Data - Monthly Metrics'!C:C,"East King",'Data - Monthly Metrics'!D:D,"Drops - Non-Target (#)")=0,"-",SUMIFS('Data - Monthly Metrics'!E:E,'Data - Monthly Metrics'!A:A,$B$4,'Data - Monthly Metrics'!B:B,"Aug",'Data - Monthly Metrics'!C:C,"East King",'Data - Monthly Metrics'!D:D,"Drops - Non-Target (#)"))</f>
        <v/>
      </c>
      <c r="P110" s="93">
        <f>IF(COUNTIFS('Data - Monthly Metrics'!A:A,$B$4,'Data - Monthly Metrics'!B:B,"Sep",'Data - Monthly Metrics'!C:C,"East King",'Data - Monthly Metrics'!D:D,"Drops - Non-Target (#)")=0,"-",SUMIFS('Data - Monthly Metrics'!E:E,'Data - Monthly Metrics'!A:A,$B$4,'Data - Monthly Metrics'!B:B,"Sep",'Data - Monthly Metrics'!C:C,"East King",'Data - Monthly Metrics'!D:D,"Drops - Non-Target (#)"))</f>
        <v/>
      </c>
      <c r="Q110" s="103">
        <f>SUM(N110,O110,P110)</f>
        <v/>
      </c>
      <c r="R110" s="103">
        <f>E110+I110+M110+Q110</f>
        <v/>
      </c>
    </row>
    <row r="111" ht="14.25" customHeight="1" s="82">
      <c r="A111" s="94" t="inlineStr">
        <is>
          <t>Dropped Revenue - Non-Target ($)</t>
        </is>
      </c>
      <c r="B111" s="96">
        <f>IF(COUNTIFS('Data - Monthly Metrics'!A:A,$B$4-1,'Data - Monthly Metrics'!B:B,"Oct",'Data - Monthly Metrics'!C:C,"East King",'Data - Monthly Metrics'!D:D,"Dropped Revenue - Non-Target ($)")=0,"-",SUMIFS('Data - Monthly Metrics'!E:E,'Data - Monthly Metrics'!A:A,$B$4-1,'Data - Monthly Metrics'!B:B,"Oct",'Data - Monthly Metrics'!C:C,"East King",'Data - Monthly Metrics'!D:D,"Dropped Revenue - Non-Target ($)"))</f>
        <v/>
      </c>
      <c r="C111" s="96">
        <f>IF(COUNTIFS('Data - Monthly Metrics'!A:A,$B$4-1,'Data - Monthly Metrics'!B:B,"Nov",'Data - Monthly Metrics'!C:C,"East King",'Data - Monthly Metrics'!D:D,"Dropped Revenue - Non-Target ($)")=0,"-",SUMIFS('Data - Monthly Metrics'!E:E,'Data - Monthly Metrics'!A:A,$B$4-1,'Data - Monthly Metrics'!B:B,"Nov",'Data - Monthly Metrics'!C:C,"East King",'Data - Monthly Metrics'!D:D,"Dropped Revenue - Non-Target ($)"))</f>
        <v/>
      </c>
      <c r="D111" s="96">
        <f>IF(COUNTIFS('Data - Monthly Metrics'!A:A,$B$4-1,'Data - Monthly Metrics'!B:B,"Dec",'Data - Monthly Metrics'!C:C,"East King",'Data - Monthly Metrics'!D:D,"Dropped Revenue - Non-Target ($)")=0,"-",SUMIFS('Data - Monthly Metrics'!E:E,'Data - Monthly Metrics'!A:A,$B$4-1,'Data - Monthly Metrics'!B:B,"Dec",'Data - Monthly Metrics'!C:C,"East King",'Data - Monthly Metrics'!D:D,"Dropped Revenue - Non-Target ($)"))</f>
        <v/>
      </c>
      <c r="E111" s="101">
        <f>SUM(B111,C111,D111)</f>
        <v/>
      </c>
      <c r="F111" s="96">
        <f>IF(COUNTIFS('Data - Monthly Metrics'!A:A,$B$4,'Data - Monthly Metrics'!B:B,"Jan",'Data - Monthly Metrics'!C:C,"East King",'Data - Monthly Metrics'!D:D,"Dropped Revenue - Non-Target ($)")=0,"-",SUMIFS('Data - Monthly Metrics'!E:E,'Data - Monthly Metrics'!A:A,$B$4,'Data - Monthly Metrics'!B:B,"Jan",'Data - Monthly Metrics'!C:C,"East King",'Data - Monthly Metrics'!D:D,"Dropped Revenue - Non-Target ($)"))</f>
        <v/>
      </c>
      <c r="G111" s="96">
        <f>IF(COUNTIFS('Data - Monthly Metrics'!A:A,$B$4,'Data - Monthly Metrics'!B:B,"Feb",'Data - Monthly Metrics'!C:C,"East King",'Data - Monthly Metrics'!D:D,"Dropped Revenue - Non-Target ($)")=0,"-",SUMIFS('Data - Monthly Metrics'!E:E,'Data - Monthly Metrics'!A:A,$B$4,'Data - Monthly Metrics'!B:B,"Feb",'Data - Monthly Metrics'!C:C,"East King",'Data - Monthly Metrics'!D:D,"Dropped Revenue - Non-Target ($)"))</f>
        <v/>
      </c>
      <c r="H111" s="96">
        <f>IF(COUNTIFS('Data - Monthly Metrics'!A:A,$B$4,'Data - Monthly Metrics'!B:B,"Mar",'Data - Monthly Metrics'!C:C,"East King",'Data - Monthly Metrics'!D:D,"Dropped Revenue - Non-Target ($)")=0,"-",SUMIFS('Data - Monthly Metrics'!E:E,'Data - Monthly Metrics'!A:A,$B$4,'Data - Monthly Metrics'!B:B,"Mar",'Data - Monthly Metrics'!C:C,"East King",'Data - Monthly Metrics'!D:D,"Dropped Revenue - Non-Target ($)"))</f>
        <v/>
      </c>
      <c r="I111" s="101">
        <f>SUM(F111,G111,H111)</f>
        <v/>
      </c>
      <c r="J111" s="96">
        <f>IF(COUNTIFS('Data - Monthly Metrics'!A:A,$B$4,'Data - Monthly Metrics'!B:B,"Apr",'Data - Monthly Metrics'!C:C,"East King",'Data - Monthly Metrics'!D:D,"Dropped Revenue - Non-Target ($)")=0,"-",SUMIFS('Data - Monthly Metrics'!E:E,'Data - Monthly Metrics'!A:A,$B$4,'Data - Monthly Metrics'!B:B,"Apr",'Data - Monthly Metrics'!C:C,"East King",'Data - Monthly Metrics'!D:D,"Dropped Revenue - Non-Target ($)"))</f>
        <v/>
      </c>
      <c r="K111" s="96">
        <f>IF(COUNTIFS('Data - Monthly Metrics'!A:A,$B$4,'Data - Monthly Metrics'!B:B,"May",'Data - Monthly Metrics'!C:C,"East King",'Data - Monthly Metrics'!D:D,"Dropped Revenue - Non-Target ($)")=0,"-",SUMIFS('Data - Monthly Metrics'!E:E,'Data - Monthly Metrics'!A:A,$B$4,'Data - Monthly Metrics'!B:B,"May",'Data - Monthly Metrics'!C:C,"East King",'Data - Monthly Metrics'!D:D,"Dropped Revenue - Non-Target ($)"))</f>
        <v/>
      </c>
      <c r="L111" s="96">
        <f>IF(COUNTIFS('Data - Monthly Metrics'!A:A,$B$4,'Data - Monthly Metrics'!B:B,"Jun",'Data - Monthly Metrics'!C:C,"East King",'Data - Monthly Metrics'!D:D,"Dropped Revenue - Non-Target ($)")=0,"-",SUMIFS('Data - Monthly Metrics'!E:E,'Data - Monthly Metrics'!A:A,$B$4,'Data - Monthly Metrics'!B:B,"Jun",'Data - Monthly Metrics'!C:C,"East King",'Data - Monthly Metrics'!D:D,"Dropped Revenue - Non-Target ($)"))</f>
        <v/>
      </c>
      <c r="M111" s="101">
        <f>SUM(J111,K111,L111)</f>
        <v/>
      </c>
      <c r="N111" s="96">
        <f>IF(COUNTIFS('Data - Monthly Metrics'!A:A,$B$4,'Data - Monthly Metrics'!B:B,"Jul",'Data - Monthly Metrics'!C:C,"East King",'Data - Monthly Metrics'!D:D,"Dropped Revenue - Non-Target ($)")=0,"-",SUMIFS('Data - Monthly Metrics'!E:E,'Data - Monthly Metrics'!A:A,$B$4,'Data - Monthly Metrics'!B:B,"Jul",'Data - Monthly Metrics'!C:C,"East King",'Data - Monthly Metrics'!D:D,"Dropped Revenue - Non-Target ($)"))</f>
        <v/>
      </c>
      <c r="O111" s="96">
        <f>IF(COUNTIFS('Data - Monthly Metrics'!A:A,$B$4,'Data - Monthly Metrics'!B:B,"Aug",'Data - Monthly Metrics'!C:C,"East King",'Data - Monthly Metrics'!D:D,"Dropped Revenue - Non-Target ($)")=0,"-",SUMIFS('Data - Monthly Metrics'!E:E,'Data - Monthly Metrics'!A:A,$B$4,'Data - Monthly Metrics'!B:B,"Aug",'Data - Monthly Metrics'!C:C,"East King",'Data - Monthly Metrics'!D:D,"Dropped Revenue - Non-Target ($)"))</f>
        <v/>
      </c>
      <c r="P111" s="96">
        <f>IF(COUNTIFS('Data - Monthly Metrics'!A:A,$B$4,'Data - Monthly Metrics'!B:B,"Sep",'Data - Monthly Metrics'!C:C,"East King",'Data - Monthly Metrics'!D:D,"Dropped Revenue - Non-Target ($)")=0,"-",SUMIFS('Data - Monthly Metrics'!E:E,'Data - Monthly Metrics'!A:A,$B$4,'Data - Monthly Metrics'!B:B,"Sep",'Data - Monthly Metrics'!C:C,"East King",'Data - Monthly Metrics'!D:D,"Dropped Revenue - Non-Target ($)"))</f>
        <v/>
      </c>
      <c r="Q111" s="101">
        <f>SUM(N111,O111,P111)</f>
        <v/>
      </c>
      <c r="R111" s="101">
        <f>E111+I111+M111+Q111</f>
        <v/>
      </c>
    </row>
    <row r="112"/>
    <row r="113" ht="21.75" customHeight="1" s="82">
      <c r="A113" s="87" t="inlineStr">
        <is>
          <t xml:space="preserve">  ▶   N5.  PENETRATION — Non-Target</t>
        </is>
      </c>
    </row>
    <row r="114" ht="14.25" customHeight="1" s="82">
      <c r="A114" s="149" t="inlineStr">
        <is>
          <t>Metric</t>
        </is>
      </c>
      <c r="B114" s="149" t="inlineStr">
        <is>
          <t>Oct</t>
        </is>
      </c>
      <c r="C114" s="149" t="inlineStr">
        <is>
          <t>Nov</t>
        </is>
      </c>
      <c r="D114" s="149" t="inlineStr">
        <is>
          <t>Dec</t>
        </is>
      </c>
      <c r="E114" s="149" t="inlineStr">
        <is>
          <t>Q1</t>
        </is>
      </c>
      <c r="F114" s="149" t="inlineStr">
        <is>
          <t>Jan</t>
        </is>
      </c>
      <c r="G114" s="149" t="inlineStr">
        <is>
          <t>Feb</t>
        </is>
      </c>
      <c r="H114" s="149" t="inlineStr">
        <is>
          <t>Mar</t>
        </is>
      </c>
      <c r="I114" s="149" t="inlineStr">
        <is>
          <t>Q2</t>
        </is>
      </c>
      <c r="J114" s="149" t="inlineStr">
        <is>
          <t>Apr</t>
        </is>
      </c>
      <c r="K114" s="149" t="inlineStr">
        <is>
          <t>May</t>
        </is>
      </c>
      <c r="L114" s="149" t="inlineStr">
        <is>
          <t>Jun</t>
        </is>
      </c>
      <c r="M114" s="149" t="inlineStr">
        <is>
          <t>Q3</t>
        </is>
      </c>
      <c r="N114" s="149" t="inlineStr">
        <is>
          <t>Jul</t>
        </is>
      </c>
      <c r="O114" s="149" t="inlineStr">
        <is>
          <t>Aug</t>
        </is>
      </c>
      <c r="P114" s="149" t="inlineStr">
        <is>
          <t>Sep</t>
        </is>
      </c>
      <c r="Q114" s="149" t="inlineStr">
        <is>
          <t>Q4</t>
        </is>
      </c>
      <c r="R114" s="149" t="inlineStr">
        <is>
          <t>Avg</t>
        </is>
      </c>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c r="AN114" s="81" t="n"/>
      <c r="AO114" s="81" t="n"/>
      <c r="AP114" s="81" t="n"/>
      <c r="AQ114" s="81" t="n"/>
      <c r="AR114" s="81" t="n"/>
    </row>
    <row r="115" ht="14.25" customHeight="1" s="82">
      <c r="A115" s="125" t="inlineStr">
        <is>
          <t>Penetration - Restaurant %</t>
        </is>
      </c>
      <c r="B115" s="115">
        <f>IF(COUNTIFS('Data - Monthly Metrics'!A:A,$B$4-1,'Data - Monthly Metrics'!B:B,"Oct",'Data - Monthly Metrics'!C:C,"East King",'Data - Monthly Metrics'!D:D,"Penetration - Restaurant Non-Target %")=0,"-",SUMIFS('Data - Monthly Metrics'!E:E,'Data - Monthly Metrics'!A:A,$B$4-1,'Data - Monthly Metrics'!B:B,"Oct",'Data - Monthly Metrics'!C:C,"East King",'Data - Monthly Metrics'!D:D,"Penetration - Restaurant Non-Target %"))</f>
        <v/>
      </c>
      <c r="C115" s="115">
        <f>IF(COUNTIFS('Data - Monthly Metrics'!A:A,$B$4-1,'Data - Monthly Metrics'!B:B,"Nov",'Data - Monthly Metrics'!C:C,"East King",'Data - Monthly Metrics'!D:D,"Penetration - Restaurant Non-Target %")=0,"-",SUMIFS('Data - Monthly Metrics'!E:E,'Data - Monthly Metrics'!A:A,$B$4-1,'Data - Monthly Metrics'!B:B,"Nov",'Data - Monthly Metrics'!C:C,"East King",'Data - Monthly Metrics'!D:D,"Penetration - Restaurant Non-Target %"))</f>
        <v/>
      </c>
      <c r="D115" s="115">
        <f>IF(COUNTIFS('Data - Monthly Metrics'!A:A,$B$4-1,'Data - Monthly Metrics'!B:B,"Dec",'Data - Monthly Metrics'!C:C,"East King",'Data - Monthly Metrics'!D:D,"Penetration - Restaurant Non-Target %")=0,"-",SUMIFS('Data - Monthly Metrics'!E:E,'Data - Monthly Metrics'!A:A,$B$4-1,'Data - Monthly Metrics'!B:B,"Dec",'Data - Monthly Metrics'!C:C,"East King",'Data - Monthly Metrics'!D:D,"Penetration - Restaurant Non-Target %"))</f>
        <v/>
      </c>
      <c r="E115" s="116">
        <f>IF(ISNUMBER(D115),D115,IF(ISNUMBER(C115),C115,IF(ISNUMBER(B115),B115,"-")))</f>
        <v/>
      </c>
      <c r="F115" s="115">
        <f>IF(COUNTIFS('Data - Monthly Metrics'!A:A,$B$4,'Data - Monthly Metrics'!B:B,"Jan",'Data - Monthly Metrics'!C:C,"East King",'Data - Monthly Metrics'!D:D,"Penetration - Restaurant Non-Target %")=0,"-",SUMIFS('Data - Monthly Metrics'!E:E,'Data - Monthly Metrics'!A:A,$B$4,'Data - Monthly Metrics'!B:B,"Jan",'Data - Monthly Metrics'!C:C,"East King",'Data - Monthly Metrics'!D:D,"Penetration - Restaurant Non-Target %"))</f>
        <v/>
      </c>
      <c r="G115" s="115">
        <f>IF(COUNTIFS('Data - Monthly Metrics'!A:A,$B$4,'Data - Monthly Metrics'!B:B,"Feb",'Data - Monthly Metrics'!C:C,"East King",'Data - Monthly Metrics'!D:D,"Penetration - Restaurant Non-Target %")=0,"-",SUMIFS('Data - Monthly Metrics'!E:E,'Data - Monthly Metrics'!A:A,$B$4,'Data - Monthly Metrics'!B:B,"Feb",'Data - Monthly Metrics'!C:C,"East King",'Data - Monthly Metrics'!D:D,"Penetration - Restaurant Non-Target %"))</f>
        <v/>
      </c>
      <c r="H115" s="115">
        <f>IF(COUNTIFS('Data - Monthly Metrics'!A:A,$B$4,'Data - Monthly Metrics'!B:B,"Mar",'Data - Monthly Metrics'!C:C,"East King",'Data - Monthly Metrics'!D:D,"Penetration - Restaurant Non-Target %")=0,"-",SUMIFS('Data - Monthly Metrics'!E:E,'Data - Monthly Metrics'!A:A,$B$4,'Data - Monthly Metrics'!B:B,"Mar",'Data - Monthly Metrics'!C:C,"East King",'Data - Monthly Metrics'!D:D,"Penetration - Restaurant Non-Target %"))</f>
        <v/>
      </c>
      <c r="I115" s="116">
        <f>IF(ISNUMBER(H115),H115,IF(ISNUMBER(G115),G115,IF(ISNUMBER(F115),F115,"-")))</f>
        <v/>
      </c>
      <c r="J115" s="115">
        <f>IF(COUNTIFS('Data - Monthly Metrics'!A:A,$B$4,'Data - Monthly Metrics'!B:B,"Apr",'Data - Monthly Metrics'!C:C,"East King",'Data - Monthly Metrics'!D:D,"Penetration - Restaurant Non-Target %")=0,"-",SUMIFS('Data - Monthly Metrics'!E:E,'Data - Monthly Metrics'!A:A,$B$4,'Data - Monthly Metrics'!B:B,"Apr",'Data - Monthly Metrics'!C:C,"East King",'Data - Monthly Metrics'!D:D,"Penetration - Restaurant Non-Target %"))</f>
        <v/>
      </c>
      <c r="K115" s="115">
        <f>IF(COUNTIFS('Data - Monthly Metrics'!A:A,$B$4,'Data - Monthly Metrics'!B:B,"May",'Data - Monthly Metrics'!C:C,"East King",'Data - Monthly Metrics'!D:D,"Penetration - Restaurant Non-Target %")=0,"-",SUMIFS('Data - Monthly Metrics'!E:E,'Data - Monthly Metrics'!A:A,$B$4,'Data - Monthly Metrics'!B:B,"May",'Data - Monthly Metrics'!C:C,"East King",'Data - Monthly Metrics'!D:D,"Penetration - Restaurant Non-Target %"))</f>
        <v/>
      </c>
      <c r="L115" s="115">
        <f>IF(COUNTIFS('Data - Monthly Metrics'!A:A,$B$4,'Data - Monthly Metrics'!B:B,"Jun",'Data - Monthly Metrics'!C:C,"East King",'Data - Monthly Metrics'!D:D,"Penetration - Restaurant Non-Target %")=0,"-",SUMIFS('Data - Monthly Metrics'!E:E,'Data - Monthly Metrics'!A:A,$B$4,'Data - Monthly Metrics'!B:B,"Jun",'Data - Monthly Metrics'!C:C,"East King",'Data - Monthly Metrics'!D:D,"Penetration - Restaurant Non-Target %"))</f>
        <v/>
      </c>
      <c r="M115" s="116">
        <f>IF(ISNUMBER(L115),L115,IF(ISNUMBER(K115),K115,IF(ISNUMBER(J115),J115,"-")))</f>
        <v/>
      </c>
      <c r="N115" s="115">
        <f>IF(COUNTIFS('Data - Monthly Metrics'!A:A,$B$4,'Data - Monthly Metrics'!B:B,"Jul",'Data - Monthly Metrics'!C:C,"East King",'Data - Monthly Metrics'!D:D,"Penetration - Restaurant Non-Target %")=0,"-",SUMIFS('Data - Monthly Metrics'!E:E,'Data - Monthly Metrics'!A:A,$B$4,'Data - Monthly Metrics'!B:B,"Jul",'Data - Monthly Metrics'!C:C,"East King",'Data - Monthly Metrics'!D:D,"Penetration - Restaurant Non-Target %"))</f>
        <v/>
      </c>
      <c r="O115" s="115">
        <f>IF(COUNTIFS('Data - Monthly Metrics'!A:A,$B$4,'Data - Monthly Metrics'!B:B,"Aug",'Data - Monthly Metrics'!C:C,"East King",'Data - Monthly Metrics'!D:D,"Penetration - Restaurant Non-Target %")=0,"-",SUMIFS('Data - Monthly Metrics'!E:E,'Data - Monthly Metrics'!A:A,$B$4,'Data - Monthly Metrics'!B:B,"Aug",'Data - Monthly Metrics'!C:C,"East King",'Data - Monthly Metrics'!D:D,"Penetration - Restaurant Non-Target %"))</f>
        <v/>
      </c>
      <c r="P115" s="115">
        <f>IF(COUNTIFS('Data - Monthly Metrics'!A:A,$B$4,'Data - Monthly Metrics'!B:B,"Sep",'Data - Monthly Metrics'!C:C,"East King",'Data - Monthly Metrics'!D:D,"Penetration - Restaurant Non-Target %")=0,"-",SUMIFS('Data - Monthly Metrics'!E:E,'Data - Monthly Metrics'!A:A,$B$4,'Data - Monthly Metrics'!B:B,"Sep",'Data - Monthly Metrics'!C:C,"East King",'Data - Monthly Metrics'!D:D,"Penetration - Restaurant Non-Target %"))</f>
        <v/>
      </c>
      <c r="Q115" s="116">
        <f>IF(ISNUMBER(P115),P115,IF(ISNUMBER(O115),O115,IF(ISNUMBER(N115),N115,"-")))</f>
        <v/>
      </c>
      <c r="R115" s="116">
        <f>IF(ISNUMBER(Q115),Q115,IF(ISNUMBER(M115),M115,IF(ISNUMBER(I115),I115,IF(ISNUMBER(E115),E115,"-"))))</f>
        <v/>
      </c>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c r="AN115" s="81" t="n"/>
      <c r="AO115" s="81" t="n"/>
      <c r="AP115" s="81" t="n"/>
      <c r="AQ115" s="81" t="n"/>
      <c r="AR115" s="81" t="n"/>
    </row>
    <row r="116" ht="14.25" customHeight="1" s="82">
      <c r="A116" s="150" t="inlineStr">
        <is>
          <t>Penetration - Lodging %</t>
        </is>
      </c>
      <c r="B116" s="118">
        <f>IF(COUNTIFS('Data - Monthly Metrics'!A:A,$B$4-1,'Data - Monthly Metrics'!B:B,"Oct",'Data - Monthly Metrics'!C:C,"East King",'Data - Monthly Metrics'!D:D,"Penetration - Lodging Non-Target %")=0,"-",SUMIFS('Data - Monthly Metrics'!E:E,'Data - Monthly Metrics'!A:A,$B$4-1,'Data - Monthly Metrics'!B:B,"Oct",'Data - Monthly Metrics'!C:C,"East King",'Data - Monthly Metrics'!D:D,"Penetration - Lodging Non-Target %"))</f>
        <v/>
      </c>
      <c r="C116" s="118">
        <f>IF(COUNTIFS('Data - Monthly Metrics'!A:A,$B$4-1,'Data - Monthly Metrics'!B:B,"Nov",'Data - Monthly Metrics'!C:C,"East King",'Data - Monthly Metrics'!D:D,"Penetration - Lodging Non-Target %")=0,"-",SUMIFS('Data - Monthly Metrics'!E:E,'Data - Monthly Metrics'!A:A,$B$4-1,'Data - Monthly Metrics'!B:B,"Nov",'Data - Monthly Metrics'!C:C,"East King",'Data - Monthly Metrics'!D:D,"Penetration - Lodging Non-Target %"))</f>
        <v/>
      </c>
      <c r="D116" s="118">
        <f>IF(COUNTIFS('Data - Monthly Metrics'!A:A,$B$4-1,'Data - Monthly Metrics'!B:B,"Dec",'Data - Monthly Metrics'!C:C,"East King",'Data - Monthly Metrics'!D:D,"Penetration - Lodging Non-Target %")=0,"-",SUMIFS('Data - Monthly Metrics'!E:E,'Data - Monthly Metrics'!A:A,$B$4-1,'Data - Monthly Metrics'!B:B,"Dec",'Data - Monthly Metrics'!C:C,"East King",'Data - Monthly Metrics'!D:D,"Penetration - Lodging Non-Target %"))</f>
        <v/>
      </c>
      <c r="E116" s="116">
        <f>IF(ISNUMBER(D116),D116,IF(ISNUMBER(C116),C116,IF(ISNUMBER(B116),B116,"-")))</f>
        <v/>
      </c>
      <c r="F116" s="118">
        <f>IF(COUNTIFS('Data - Monthly Metrics'!A:A,$B$4,'Data - Monthly Metrics'!B:B,"Jan",'Data - Monthly Metrics'!C:C,"East King",'Data - Monthly Metrics'!D:D,"Penetration - Lodging Non-Target %")=0,"-",SUMIFS('Data - Monthly Metrics'!E:E,'Data - Monthly Metrics'!A:A,$B$4,'Data - Monthly Metrics'!B:B,"Jan",'Data - Monthly Metrics'!C:C,"East King",'Data - Monthly Metrics'!D:D,"Penetration - Lodging Non-Target %"))</f>
        <v/>
      </c>
      <c r="G116" s="118">
        <f>IF(COUNTIFS('Data - Monthly Metrics'!A:A,$B$4,'Data - Monthly Metrics'!B:B,"Feb",'Data - Monthly Metrics'!C:C,"East King",'Data - Monthly Metrics'!D:D,"Penetration - Lodging Non-Target %")=0,"-",SUMIFS('Data - Monthly Metrics'!E:E,'Data - Monthly Metrics'!A:A,$B$4,'Data - Monthly Metrics'!B:B,"Feb",'Data - Monthly Metrics'!C:C,"East King",'Data - Monthly Metrics'!D:D,"Penetration - Lodging Non-Target %"))</f>
        <v/>
      </c>
      <c r="H116" s="118">
        <f>IF(COUNTIFS('Data - Monthly Metrics'!A:A,$B$4,'Data - Monthly Metrics'!B:B,"Mar",'Data - Monthly Metrics'!C:C,"East King",'Data - Monthly Metrics'!D:D,"Penetration - Lodging Non-Target %")=0,"-",SUMIFS('Data - Monthly Metrics'!E:E,'Data - Monthly Metrics'!A:A,$B$4,'Data - Monthly Metrics'!B:B,"Mar",'Data - Monthly Metrics'!C:C,"East King",'Data - Monthly Metrics'!D:D,"Penetration - Lodging Non-Target %"))</f>
        <v/>
      </c>
      <c r="I116" s="116">
        <f>IF(ISNUMBER(H116),H116,IF(ISNUMBER(G116),G116,IF(ISNUMBER(F116),F116,"-")))</f>
        <v/>
      </c>
      <c r="J116" s="118">
        <f>IF(COUNTIFS('Data - Monthly Metrics'!A:A,$B$4,'Data - Monthly Metrics'!B:B,"Apr",'Data - Monthly Metrics'!C:C,"East King",'Data - Monthly Metrics'!D:D,"Penetration - Lodging Non-Target %")=0,"-",SUMIFS('Data - Monthly Metrics'!E:E,'Data - Monthly Metrics'!A:A,$B$4,'Data - Monthly Metrics'!B:B,"Apr",'Data - Monthly Metrics'!C:C,"East King",'Data - Monthly Metrics'!D:D,"Penetration - Lodging Non-Target %"))</f>
        <v/>
      </c>
      <c r="K116" s="118">
        <f>IF(COUNTIFS('Data - Monthly Metrics'!A:A,$B$4,'Data - Monthly Metrics'!B:B,"May",'Data - Monthly Metrics'!C:C,"East King",'Data - Monthly Metrics'!D:D,"Penetration - Lodging Non-Target %")=0,"-",SUMIFS('Data - Monthly Metrics'!E:E,'Data - Monthly Metrics'!A:A,$B$4,'Data - Monthly Metrics'!B:B,"May",'Data - Monthly Metrics'!C:C,"East King",'Data - Monthly Metrics'!D:D,"Penetration - Lodging Non-Target %"))</f>
        <v/>
      </c>
      <c r="L116" s="118">
        <f>IF(COUNTIFS('Data - Monthly Metrics'!A:A,$B$4,'Data - Monthly Metrics'!B:B,"Jun",'Data - Monthly Metrics'!C:C,"East King",'Data - Monthly Metrics'!D:D,"Penetration - Lodging Non-Target %")=0,"-",SUMIFS('Data - Monthly Metrics'!E:E,'Data - Monthly Metrics'!A:A,$B$4,'Data - Monthly Metrics'!B:B,"Jun",'Data - Monthly Metrics'!C:C,"East King",'Data - Monthly Metrics'!D:D,"Penetration - Lodging Non-Target %"))</f>
        <v/>
      </c>
      <c r="M116" s="116">
        <f>IF(ISNUMBER(L116),L116,IF(ISNUMBER(K116),K116,IF(ISNUMBER(J116),J116,"-")))</f>
        <v/>
      </c>
      <c r="N116" s="118">
        <f>IF(COUNTIFS('Data - Monthly Metrics'!A:A,$B$4,'Data - Monthly Metrics'!B:B,"Jul",'Data - Monthly Metrics'!C:C,"East King",'Data - Monthly Metrics'!D:D,"Penetration - Lodging Non-Target %")=0,"-",SUMIFS('Data - Monthly Metrics'!E:E,'Data - Monthly Metrics'!A:A,$B$4,'Data - Monthly Metrics'!B:B,"Jul",'Data - Monthly Metrics'!C:C,"East King",'Data - Monthly Metrics'!D:D,"Penetration - Lodging Non-Target %"))</f>
        <v/>
      </c>
      <c r="O116" s="118">
        <f>IF(COUNTIFS('Data - Monthly Metrics'!A:A,$B$4,'Data - Monthly Metrics'!B:B,"Aug",'Data - Monthly Metrics'!C:C,"East King",'Data - Monthly Metrics'!D:D,"Penetration - Lodging Non-Target %")=0,"-",SUMIFS('Data - Monthly Metrics'!E:E,'Data - Monthly Metrics'!A:A,$B$4,'Data - Monthly Metrics'!B:B,"Aug",'Data - Monthly Metrics'!C:C,"East King",'Data - Monthly Metrics'!D:D,"Penetration - Lodging Non-Target %"))</f>
        <v/>
      </c>
      <c r="P116" s="118">
        <f>IF(COUNTIFS('Data - Monthly Metrics'!A:A,$B$4,'Data - Monthly Metrics'!B:B,"Sep",'Data - Monthly Metrics'!C:C,"East King",'Data - Monthly Metrics'!D:D,"Penetration - Lodging Non-Target %")=0,"-",SUMIFS('Data - Monthly Metrics'!E:E,'Data - Monthly Metrics'!A:A,$B$4,'Data - Monthly Metrics'!B:B,"Sep",'Data - Monthly Metrics'!C:C,"East King",'Data - Monthly Metrics'!D:D,"Penetration - Lodging Non-Target %"))</f>
        <v/>
      </c>
      <c r="Q116" s="116">
        <f>IF(ISNUMBER(P116),P116,IF(ISNUMBER(O116),O116,IF(ISNUMBER(N116),N116,"-")))</f>
        <v/>
      </c>
      <c r="R116" s="116">
        <f>IF(ISNUMBER(Q116),Q116,IF(ISNUMBER(M116),M116,IF(ISNUMBER(I116),I116,IF(ISNUMBER(E116),E116,"-"))))</f>
        <v/>
      </c>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c r="AN116" s="81" t="n"/>
      <c r="AO116" s="81" t="n"/>
      <c r="AP116" s="81" t="n"/>
      <c r="AQ116" s="81" t="n"/>
      <c r="AR116" s="81" t="n"/>
    </row>
    <row r="117" ht="14.25" customHeight="1" s="82">
      <c r="A117" s="125" t="inlineStr">
        <is>
          <t>Penetration - Combined %</t>
        </is>
      </c>
      <c r="B117" s="115">
        <f>IF(COUNTIFS('Data - Monthly Metrics'!A:A,$B$4-1,'Data - Monthly Metrics'!B:B,"Oct",'Data - Monthly Metrics'!C:C,"East King",'Data - Monthly Metrics'!D:D,"Penetration - Combined Non-Target %")=0,"-",SUMIFS('Data - Monthly Metrics'!E:E,'Data - Monthly Metrics'!A:A,$B$4-1,'Data - Monthly Metrics'!B:B,"Oct",'Data - Monthly Metrics'!C:C,"East King",'Data - Monthly Metrics'!D:D,"Penetration - Combined Non-Target %"))</f>
        <v/>
      </c>
      <c r="C117" s="115">
        <f>IF(COUNTIFS('Data - Monthly Metrics'!A:A,$B$4-1,'Data - Monthly Metrics'!B:B,"Nov",'Data - Monthly Metrics'!C:C,"East King",'Data - Monthly Metrics'!D:D,"Penetration - Combined Non-Target %")=0,"-",SUMIFS('Data - Monthly Metrics'!E:E,'Data - Monthly Metrics'!A:A,$B$4-1,'Data - Monthly Metrics'!B:B,"Nov",'Data - Monthly Metrics'!C:C,"East King",'Data - Monthly Metrics'!D:D,"Penetration - Combined Non-Target %"))</f>
        <v/>
      </c>
      <c r="D117" s="115">
        <f>IF(COUNTIFS('Data - Monthly Metrics'!A:A,$B$4-1,'Data - Monthly Metrics'!B:B,"Dec",'Data - Monthly Metrics'!C:C,"East King",'Data - Monthly Metrics'!D:D,"Penetration - Combined Non-Target %")=0,"-",SUMIFS('Data - Monthly Metrics'!E:E,'Data - Monthly Metrics'!A:A,$B$4-1,'Data - Monthly Metrics'!B:B,"Dec",'Data - Monthly Metrics'!C:C,"East King",'Data - Monthly Metrics'!D:D,"Penetration - Combined Non-Target %"))</f>
        <v/>
      </c>
      <c r="E117" s="116">
        <f>IF(ISNUMBER(D117),D117,IF(ISNUMBER(C117),C117,IF(ISNUMBER(B117),B117,"-")))</f>
        <v/>
      </c>
      <c r="F117" s="115">
        <f>IF(COUNTIFS('Data - Monthly Metrics'!A:A,$B$4,'Data - Monthly Metrics'!B:B,"Jan",'Data - Monthly Metrics'!C:C,"East King",'Data - Monthly Metrics'!D:D,"Penetration - Combined Non-Target %")=0,"-",SUMIFS('Data - Monthly Metrics'!E:E,'Data - Monthly Metrics'!A:A,$B$4,'Data - Monthly Metrics'!B:B,"Jan",'Data - Monthly Metrics'!C:C,"East King",'Data - Monthly Metrics'!D:D,"Penetration - Combined Non-Target %"))</f>
        <v/>
      </c>
      <c r="G117" s="115">
        <f>IF(COUNTIFS('Data - Monthly Metrics'!A:A,$B$4,'Data - Monthly Metrics'!B:B,"Feb",'Data - Monthly Metrics'!C:C,"East King",'Data - Monthly Metrics'!D:D,"Penetration - Combined Non-Target %")=0,"-",SUMIFS('Data - Monthly Metrics'!E:E,'Data - Monthly Metrics'!A:A,$B$4,'Data - Monthly Metrics'!B:B,"Feb",'Data - Monthly Metrics'!C:C,"East King",'Data - Monthly Metrics'!D:D,"Penetration - Combined Non-Target %"))</f>
        <v/>
      </c>
      <c r="H117" s="115">
        <f>IF(COUNTIFS('Data - Monthly Metrics'!A:A,$B$4,'Data - Monthly Metrics'!B:B,"Mar",'Data - Monthly Metrics'!C:C,"East King",'Data - Monthly Metrics'!D:D,"Penetration - Combined Non-Target %")=0,"-",SUMIFS('Data - Monthly Metrics'!E:E,'Data - Monthly Metrics'!A:A,$B$4,'Data - Monthly Metrics'!B:B,"Mar",'Data - Monthly Metrics'!C:C,"East King",'Data - Monthly Metrics'!D:D,"Penetration - Combined Non-Target %"))</f>
        <v/>
      </c>
      <c r="I117" s="116">
        <f>IF(ISNUMBER(H117),H117,IF(ISNUMBER(G117),G117,IF(ISNUMBER(F117),F117,"-")))</f>
        <v/>
      </c>
      <c r="J117" s="115">
        <f>IF(COUNTIFS('Data - Monthly Metrics'!A:A,$B$4,'Data - Monthly Metrics'!B:B,"Apr",'Data - Monthly Metrics'!C:C,"East King",'Data - Monthly Metrics'!D:D,"Penetration - Combined Non-Target %")=0,"-",SUMIFS('Data - Monthly Metrics'!E:E,'Data - Monthly Metrics'!A:A,$B$4,'Data - Monthly Metrics'!B:B,"Apr",'Data - Monthly Metrics'!C:C,"East King",'Data - Monthly Metrics'!D:D,"Penetration - Combined Non-Target %"))</f>
        <v/>
      </c>
      <c r="K117" s="115">
        <f>IF(COUNTIFS('Data - Monthly Metrics'!A:A,$B$4,'Data - Monthly Metrics'!B:B,"May",'Data - Monthly Metrics'!C:C,"East King",'Data - Monthly Metrics'!D:D,"Penetration - Combined Non-Target %")=0,"-",SUMIFS('Data - Monthly Metrics'!E:E,'Data - Monthly Metrics'!A:A,$B$4,'Data - Monthly Metrics'!B:B,"May",'Data - Monthly Metrics'!C:C,"East King",'Data - Monthly Metrics'!D:D,"Penetration - Combined Non-Target %"))</f>
        <v/>
      </c>
      <c r="L117" s="115">
        <f>IF(COUNTIFS('Data - Monthly Metrics'!A:A,$B$4,'Data - Monthly Metrics'!B:B,"Jun",'Data - Monthly Metrics'!C:C,"East King",'Data - Monthly Metrics'!D:D,"Penetration - Combined Non-Target %")=0,"-",SUMIFS('Data - Monthly Metrics'!E:E,'Data - Monthly Metrics'!A:A,$B$4,'Data - Monthly Metrics'!B:B,"Jun",'Data - Monthly Metrics'!C:C,"East King",'Data - Monthly Metrics'!D:D,"Penetration - Combined Non-Target %"))</f>
        <v/>
      </c>
      <c r="M117" s="116">
        <f>IF(ISNUMBER(L117),L117,IF(ISNUMBER(K117),K117,IF(ISNUMBER(J117),J117,"-")))</f>
        <v/>
      </c>
      <c r="N117" s="115">
        <f>IF(COUNTIFS('Data - Monthly Metrics'!A:A,$B$4,'Data - Monthly Metrics'!B:B,"Jul",'Data - Monthly Metrics'!C:C,"East King",'Data - Monthly Metrics'!D:D,"Penetration - Combined Non-Target %")=0,"-",SUMIFS('Data - Monthly Metrics'!E:E,'Data - Monthly Metrics'!A:A,$B$4,'Data - Monthly Metrics'!B:B,"Jul",'Data - Monthly Metrics'!C:C,"East King",'Data - Monthly Metrics'!D:D,"Penetration - Combined Non-Target %"))</f>
        <v/>
      </c>
      <c r="O117" s="115">
        <f>IF(COUNTIFS('Data - Monthly Metrics'!A:A,$B$4,'Data - Monthly Metrics'!B:B,"Aug",'Data - Monthly Metrics'!C:C,"East King",'Data - Monthly Metrics'!D:D,"Penetration - Combined Non-Target %")=0,"-",SUMIFS('Data - Monthly Metrics'!E:E,'Data - Monthly Metrics'!A:A,$B$4,'Data - Monthly Metrics'!B:B,"Aug",'Data - Monthly Metrics'!C:C,"East King",'Data - Monthly Metrics'!D:D,"Penetration - Combined Non-Target %"))</f>
        <v/>
      </c>
      <c r="P117" s="115">
        <f>IF(COUNTIFS('Data - Monthly Metrics'!A:A,$B$4,'Data - Monthly Metrics'!B:B,"Sep",'Data - Monthly Metrics'!C:C,"East King",'Data - Monthly Metrics'!D:D,"Penetration - Combined Non-Target %")=0,"-",SUMIFS('Data - Monthly Metrics'!E:E,'Data - Monthly Metrics'!A:A,$B$4,'Data - Monthly Metrics'!B:B,"Sep",'Data - Monthly Metrics'!C:C,"East King",'Data - Monthly Metrics'!D:D,"Penetration - Combined Non-Target %"))</f>
        <v/>
      </c>
      <c r="Q117" s="116">
        <f>IF(ISNUMBER(P117),P117,IF(ISNUMBER(O117),O117,IF(ISNUMBER(N117),N117,"-")))</f>
        <v/>
      </c>
      <c r="R117" s="116">
        <f>IF(ISNUMBER(Q117),Q117,IF(ISNUMBER(M117),M117,IF(ISNUMBER(I117),I117,IF(ISNUMBER(E117),E117,"-"))))</f>
        <v/>
      </c>
      <c r="S117" s="81" t="n"/>
      <c r="T117" s="81" t="n"/>
      <c r="U117" s="81" t="n"/>
      <c r="V117" s="81" t="n"/>
      <c r="W117" s="81" t="n"/>
      <c r="X117" s="81" t="n"/>
      <c r="Y117" s="81" t="n"/>
      <c r="Z117" s="81" t="n"/>
      <c r="AA117" s="81" t="n"/>
      <c r="AB117" s="81" t="n"/>
      <c r="AC117" s="81" t="n"/>
      <c r="AD117" s="81" t="n"/>
      <c r="AE117" s="81" t="n"/>
      <c r="AF117" s="81" t="n"/>
      <c r="AG117" s="81" t="n"/>
      <c r="AH117" s="81" t="n"/>
      <c r="AI117" s="81" t="n"/>
      <c r="AJ117" s="81" t="n"/>
      <c r="AK117" s="81" t="n"/>
      <c r="AL117" s="81" t="n"/>
      <c r="AM117" s="81" t="n"/>
      <c r="AN117" s="81" t="n"/>
      <c r="AO117" s="81" t="n"/>
      <c r="AP117" s="81" t="n"/>
      <c r="AQ117" s="81" t="n"/>
      <c r="AR11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86:R86"/>
    <mergeCell ref="A2:R2"/>
    <mergeCell ref="C4:F4"/>
    <mergeCell ref="A49:R49"/>
    <mergeCell ref="A54:R54"/>
    <mergeCell ref="A107:R107"/>
    <mergeCell ref="A98:R98"/>
    <mergeCell ref="A32:R32"/>
    <mergeCell ref="A84:R84"/>
    <mergeCell ref="A66:R66"/>
    <mergeCell ref="A112:R112"/>
    <mergeCell ref="A1:R1"/>
    <mergeCell ref="A75:R75"/>
    <mergeCell ref="A6:R6"/>
    <mergeCell ref="A91:R91"/>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104:R10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9">
    <cfRule type="expression" rank="0" priority="10" equalAverage="0" aboveAverage="0" dxfId="0" stopIfTrue="1" text="" percent="0" bottom="0">
      <formula>AND(ISNUMBER(B59),COUNTIFS('Data - Monthly Metrics'!$A:$A,$B$4-1,'Data - Monthly Metrics'!$B:$B,B$8,'Data - Monthly Metrics'!$C:$C,"East King",'Data - Monthly Metrics'!$D:$D,"Goal - Retention %")&gt;0,B59&gt;=SUMIFS('Data - Monthly Metrics'!$E:$E,'Data - Monthly Metrics'!$A:$A,$B$4-1,'Data - Monthly Metrics'!$B:$B,B$8,'Data - Monthly Metrics'!$C:$C,"East King",'Data - Monthly Metrics'!$D:$D,"Goal - Retention %"))</formula>
    </cfRule>
    <cfRule type="expression" rank="0" priority="11" equalAverage="0" aboveAverage="0" dxfId="2" stopIfTrue="1" text="" percent="0" bottom="0">
      <formula>AND(ISNUMBER(B59),COUNTIFS('Data - Monthly Metrics'!$A:$A,$B$4-1,'Data - Monthly Metrics'!$B:$B,B$8,'Data - Monthly Metrics'!$C:$C,"East King",'Data - Monthly Metrics'!$D:$D,"Goal - Retention %")&gt;0,B59&gt;=SUMIFS('Data - Monthly Metrics'!$E:$E,'Data - Monthly Metrics'!$A:$A,$B$4-1,'Data - Monthly Metrics'!$B:$B,B$8,'Data - Monthly Metrics'!$C:$C,"East King",'Data - Monthly Metrics'!$D:$D,"Goal - Retention %")-0.05)</formula>
    </cfRule>
    <cfRule type="expression" rank="0" priority="12" equalAverage="0" aboveAverage="0" dxfId="1" stopIfTrue="1" text="" percent="0" bottom="0">
      <formula>AND(ISNUMBER(B59),COUNTIFS('Data - Monthly Metrics'!$A:$A,$B$4-1,'Data - Monthly Metrics'!$B:$B,B$8,'Data - Monthly Metrics'!$C:$C,"East King",'Data - Monthly Metrics'!$D:$D,"Goal - Retention %")&gt;0)</formula>
    </cfRule>
  </conditionalFormatting>
  <conditionalFormatting sqref="C59">
    <cfRule type="expression" rank="0" priority="13" equalAverage="0" aboveAverage="0" dxfId="0" stopIfTrue="1" text="" percent="0" bottom="0">
      <formula>AND(ISNUMBER(C59),COUNTIFS('Data - Monthly Metrics'!$A:$A,$B$4-1,'Data - Monthly Metrics'!$B:$B,C$8,'Data - Monthly Metrics'!$C:$C,"East King",'Data - Monthly Metrics'!$D:$D,"Goal - Retention %")&gt;0,C59&gt;=SUMIFS('Data - Monthly Metrics'!$E:$E,'Data - Monthly Metrics'!$A:$A,$B$4-1,'Data - Monthly Metrics'!$B:$B,C$8,'Data - Monthly Metrics'!$C:$C,"East King",'Data - Monthly Metrics'!$D:$D,"Goal - Retention %"))</formula>
    </cfRule>
    <cfRule type="expression" rank="0" priority="14" equalAverage="0" aboveAverage="0" dxfId="2" stopIfTrue="1" text="" percent="0" bottom="0">
      <formula>AND(ISNUMBER(C59),COUNTIFS('Data - Monthly Metrics'!$A:$A,$B$4-1,'Data - Monthly Metrics'!$B:$B,C$8,'Data - Monthly Metrics'!$C:$C,"East King",'Data - Monthly Metrics'!$D:$D,"Goal - Retention %")&gt;0,C59&gt;=SUMIFS('Data - Monthly Metrics'!$E:$E,'Data - Monthly Metrics'!$A:$A,$B$4-1,'Data - Monthly Metrics'!$B:$B,C$8,'Data - Monthly Metrics'!$C:$C,"East King",'Data - Monthly Metrics'!$D:$D,"Goal - Retention %")-0.05)</formula>
    </cfRule>
    <cfRule type="expression" rank="0" priority="15" equalAverage="0" aboveAverage="0" dxfId="1" stopIfTrue="1" text="" percent="0" bottom="0">
      <formula>AND(ISNUMBER(C59),COUNTIFS('Data - Monthly Metrics'!$A:$A,$B$4-1,'Data - Monthly Metrics'!$B:$B,C$8,'Data - Monthly Metrics'!$C:$C,"East King",'Data - Monthly Metrics'!$D:$D,"Goal - Retention %")&gt;0)</formula>
    </cfRule>
  </conditionalFormatting>
  <conditionalFormatting sqref="D59">
    <cfRule type="expression" rank="0" priority="16" equalAverage="0" aboveAverage="0" dxfId="0" stopIfTrue="1" text="" percent="0" bottom="0">
      <formula>AND(ISNUMBER(D59),COUNTIFS('Data - Monthly Metrics'!$A:$A,$B$4-1,'Data - Monthly Metrics'!$B:$B,D$8,'Data - Monthly Metrics'!$C:$C,"East King",'Data - Monthly Metrics'!$D:$D,"Goal - Retention %")&gt;0,D59&gt;=SUMIFS('Data - Monthly Metrics'!$E:$E,'Data - Monthly Metrics'!$A:$A,$B$4-1,'Data - Monthly Metrics'!$B:$B,D$8,'Data - Monthly Metrics'!$C:$C,"East King",'Data - Monthly Metrics'!$D:$D,"Goal - Retention %"))</formula>
    </cfRule>
    <cfRule type="expression" rank="0" priority="17" equalAverage="0" aboveAverage="0" dxfId="2" stopIfTrue="1" text="" percent="0" bottom="0">
      <formula>AND(ISNUMBER(D59),COUNTIFS('Data - Monthly Metrics'!$A:$A,$B$4-1,'Data - Monthly Metrics'!$B:$B,D$8,'Data - Monthly Metrics'!$C:$C,"East King",'Data - Monthly Metrics'!$D:$D,"Goal - Retention %")&gt;0,D59&gt;=SUMIFS('Data - Monthly Metrics'!$E:$E,'Data - Monthly Metrics'!$A:$A,$B$4-1,'Data - Monthly Metrics'!$B:$B,D$8,'Data - Monthly Metrics'!$C:$C,"East King",'Data - Monthly Metrics'!$D:$D,"Goal - Retention %")-0.05)</formula>
    </cfRule>
    <cfRule type="expression" rank="0" priority="18" equalAverage="0" aboveAverage="0" dxfId="1" stopIfTrue="1" text="" percent="0" bottom="0">
      <formula>AND(ISNUMBER(D59),COUNTIFS('Data - Monthly Metrics'!$A:$A,$B$4-1,'Data - Monthly Metrics'!$B:$B,D$8,'Data - Monthly Metrics'!$C:$C,"East King",'Data - Monthly Metrics'!$D:$D,"Goal - Retention %")&gt;0)</formula>
    </cfRule>
  </conditionalFormatting>
  <conditionalFormatting sqref="F59">
    <cfRule type="expression" rank="0" priority="19" equalAverage="0" aboveAverage="0" dxfId="0" stopIfTrue="1" text="" percent="0" bottom="0">
      <formula>AND(ISNUMBER(F59),COUNTIFS('Data - Monthly Metrics'!$A:$A,$B$4,'Data - Monthly Metrics'!$B:$B,F$8,'Data - Monthly Metrics'!$C:$C,"East King",'Data - Monthly Metrics'!$D:$D,"Goal - Retention %")&gt;0,F59&gt;=SUMIFS('Data - Monthly Metrics'!$E:$E,'Data - Monthly Metrics'!$A:$A,$B$4,'Data - Monthly Metrics'!$B:$B,F$8,'Data - Monthly Metrics'!$C:$C,"East King",'Data - Monthly Metrics'!$D:$D,"Goal - Retention %"))</formula>
    </cfRule>
    <cfRule type="expression" rank="0" priority="20" equalAverage="0" aboveAverage="0" dxfId="2" stopIfTrue="1" text="" percent="0" bottom="0">
      <formula>AND(ISNUMBER(F59),COUNTIFS('Data - Monthly Metrics'!$A:$A,$B$4,'Data - Monthly Metrics'!$B:$B,F$8,'Data - Monthly Metrics'!$C:$C,"East King",'Data - Monthly Metrics'!$D:$D,"Goal - Retention %")&gt;0,F59&gt;=SUMIFS('Data - Monthly Metrics'!$E:$E,'Data - Monthly Metrics'!$A:$A,$B$4,'Data - Monthly Metrics'!$B:$B,F$8,'Data - Monthly Metrics'!$C:$C,"East King",'Data - Monthly Metrics'!$D:$D,"Goal - Retention %")-0.05)</formula>
    </cfRule>
    <cfRule type="expression" rank="0" priority="21" equalAverage="0" aboveAverage="0" dxfId="1" stopIfTrue="1" text="" percent="0" bottom="0">
      <formula>AND(ISNUMBER(F59),COUNTIFS('Data - Monthly Metrics'!$A:$A,$B$4,'Data - Monthly Metrics'!$B:$B,F$8,'Data - Monthly Metrics'!$C:$C,"East King",'Data - Monthly Metrics'!$D:$D,"Goal - Retention %")&gt;0)</formula>
    </cfRule>
  </conditionalFormatting>
  <conditionalFormatting sqref="G59">
    <cfRule type="expression" rank="0" priority="22" equalAverage="0" aboveAverage="0" dxfId="0" stopIfTrue="1" text="" percent="0" bottom="0">
      <formula>AND(ISNUMBER(G59),COUNTIFS('Data - Monthly Metrics'!$A:$A,$B$4,'Data - Monthly Metrics'!$B:$B,G$8,'Data - Monthly Metrics'!$C:$C,"East King",'Data - Monthly Metrics'!$D:$D,"Goal - Retention %")&gt;0,G59&gt;=SUMIFS('Data - Monthly Metrics'!$E:$E,'Data - Monthly Metrics'!$A:$A,$B$4,'Data - Monthly Metrics'!$B:$B,G$8,'Data - Monthly Metrics'!$C:$C,"East King",'Data - Monthly Metrics'!$D:$D,"Goal - Retention %"))</formula>
    </cfRule>
    <cfRule type="expression" rank="0" priority="23" equalAverage="0" aboveAverage="0" dxfId="2" stopIfTrue="1" text="" percent="0" bottom="0">
      <formula>AND(ISNUMBER(G59),COUNTIFS('Data - Monthly Metrics'!$A:$A,$B$4,'Data - Monthly Metrics'!$B:$B,G$8,'Data - Monthly Metrics'!$C:$C,"East King",'Data - Monthly Metrics'!$D:$D,"Goal - Retention %")&gt;0,G59&gt;=SUMIFS('Data - Monthly Metrics'!$E:$E,'Data - Monthly Metrics'!$A:$A,$B$4,'Data - Monthly Metrics'!$B:$B,G$8,'Data - Monthly Metrics'!$C:$C,"East King",'Data - Monthly Metrics'!$D:$D,"Goal - Retention %")-0.05)</formula>
    </cfRule>
    <cfRule type="expression" rank="0" priority="24" equalAverage="0" aboveAverage="0" dxfId="1" stopIfTrue="1" text="" percent="0" bottom="0">
      <formula>AND(ISNUMBER(G59),COUNTIFS('Data - Monthly Metrics'!$A:$A,$B$4,'Data - Monthly Metrics'!$B:$B,G$8,'Data - Monthly Metrics'!$C:$C,"East King",'Data - Monthly Metrics'!$D:$D,"Goal - Retention %")&gt;0)</formula>
    </cfRule>
  </conditionalFormatting>
  <conditionalFormatting sqref="H59">
    <cfRule type="expression" rank="0" priority="25" equalAverage="0" aboveAverage="0" dxfId="0" stopIfTrue="1" text="" percent="0" bottom="0">
      <formula>AND(ISNUMBER(H59),COUNTIFS('Data - Monthly Metrics'!$A:$A,$B$4,'Data - Monthly Metrics'!$B:$B,H$8,'Data - Monthly Metrics'!$C:$C,"East King",'Data - Monthly Metrics'!$D:$D,"Goal - Retention %")&gt;0,H59&gt;=SUMIFS('Data - Monthly Metrics'!$E:$E,'Data - Monthly Metrics'!$A:$A,$B$4,'Data - Monthly Metrics'!$B:$B,H$8,'Data - Monthly Metrics'!$C:$C,"East King",'Data - Monthly Metrics'!$D:$D,"Goal - Retention %"))</formula>
    </cfRule>
    <cfRule type="expression" rank="0" priority="26" equalAverage="0" aboveAverage="0" dxfId="2" stopIfTrue="1" text="" percent="0" bottom="0">
      <formula>AND(ISNUMBER(H59),COUNTIFS('Data - Monthly Metrics'!$A:$A,$B$4,'Data - Monthly Metrics'!$B:$B,H$8,'Data - Monthly Metrics'!$C:$C,"East King",'Data - Monthly Metrics'!$D:$D,"Goal - Retention %")&gt;0,H59&gt;=SUMIFS('Data - Monthly Metrics'!$E:$E,'Data - Monthly Metrics'!$A:$A,$B$4,'Data - Monthly Metrics'!$B:$B,H$8,'Data - Monthly Metrics'!$C:$C,"East King",'Data - Monthly Metrics'!$D:$D,"Goal - Retention %")-0.05)</formula>
    </cfRule>
    <cfRule type="expression" rank="0" priority="27" equalAverage="0" aboveAverage="0" dxfId="1" stopIfTrue="1" text="" percent="0" bottom="0">
      <formula>AND(ISNUMBER(H59),COUNTIFS('Data - Monthly Metrics'!$A:$A,$B$4,'Data - Monthly Metrics'!$B:$B,H$8,'Data - Monthly Metrics'!$C:$C,"East King",'Data - Monthly Metrics'!$D:$D,"Goal - Retention %")&gt;0)</formula>
    </cfRule>
  </conditionalFormatting>
  <conditionalFormatting sqref="J59">
    <cfRule type="expression" rank="0" priority="28" equalAverage="0" aboveAverage="0" dxfId="0" stopIfTrue="1" text="" percent="0" bottom="0">
      <formula>AND(ISNUMBER(J59),COUNTIFS('Data - Monthly Metrics'!$A:$A,$B$4,'Data - Monthly Metrics'!$B:$B,J$8,'Data - Monthly Metrics'!$C:$C,"East King",'Data - Monthly Metrics'!$D:$D,"Goal - Retention %")&gt;0,J59&gt;=SUMIFS('Data - Monthly Metrics'!$E:$E,'Data - Monthly Metrics'!$A:$A,$B$4,'Data - Monthly Metrics'!$B:$B,J$8,'Data - Monthly Metrics'!$C:$C,"East King",'Data - Monthly Metrics'!$D:$D,"Goal - Retention %"))</formula>
    </cfRule>
    <cfRule type="expression" rank="0" priority="29" equalAverage="0" aboveAverage="0" dxfId="2" stopIfTrue="1" text="" percent="0" bottom="0">
      <formula>AND(ISNUMBER(J59),COUNTIFS('Data - Monthly Metrics'!$A:$A,$B$4,'Data - Monthly Metrics'!$B:$B,J$8,'Data - Monthly Metrics'!$C:$C,"East King",'Data - Monthly Metrics'!$D:$D,"Goal - Retention %")&gt;0,J59&gt;=SUMIFS('Data - Monthly Metrics'!$E:$E,'Data - Monthly Metrics'!$A:$A,$B$4,'Data - Monthly Metrics'!$B:$B,J$8,'Data - Monthly Metrics'!$C:$C,"East King",'Data - Monthly Metrics'!$D:$D,"Goal - Retention %")-0.05)</formula>
    </cfRule>
    <cfRule type="expression" rank="0" priority="30" equalAverage="0" aboveAverage="0" dxfId="1" stopIfTrue="1" text="" percent="0" bottom="0">
      <formula>AND(ISNUMBER(J59),COUNTIFS('Data - Monthly Metrics'!$A:$A,$B$4,'Data - Monthly Metrics'!$B:$B,J$8,'Data - Monthly Metrics'!$C:$C,"East King",'Data - Monthly Metrics'!$D:$D,"Goal - Retention %")&gt;0)</formula>
    </cfRule>
  </conditionalFormatting>
  <conditionalFormatting sqref="K59">
    <cfRule type="expression" rank="0" priority="31" equalAverage="0" aboveAverage="0" dxfId="0" stopIfTrue="1" text="" percent="0" bottom="0">
      <formula>AND(ISNUMBER(K59),COUNTIFS('Data - Monthly Metrics'!$A:$A,$B$4,'Data - Monthly Metrics'!$B:$B,K$8,'Data - Monthly Metrics'!$C:$C,"East King",'Data - Monthly Metrics'!$D:$D,"Goal - Retention %")&gt;0,K59&gt;=SUMIFS('Data - Monthly Metrics'!$E:$E,'Data - Monthly Metrics'!$A:$A,$B$4,'Data - Monthly Metrics'!$B:$B,K$8,'Data - Monthly Metrics'!$C:$C,"East King",'Data - Monthly Metrics'!$D:$D,"Goal - Retention %"))</formula>
    </cfRule>
    <cfRule type="expression" rank="0" priority="32" equalAverage="0" aboveAverage="0" dxfId="2" stopIfTrue="1" text="" percent="0" bottom="0">
      <formula>AND(ISNUMBER(K59),COUNTIFS('Data - Monthly Metrics'!$A:$A,$B$4,'Data - Monthly Metrics'!$B:$B,K$8,'Data - Monthly Metrics'!$C:$C,"East King",'Data - Monthly Metrics'!$D:$D,"Goal - Retention %")&gt;0,K59&gt;=SUMIFS('Data - Monthly Metrics'!$E:$E,'Data - Monthly Metrics'!$A:$A,$B$4,'Data - Monthly Metrics'!$B:$B,K$8,'Data - Monthly Metrics'!$C:$C,"East King",'Data - Monthly Metrics'!$D:$D,"Goal - Retention %")-0.05)</formula>
    </cfRule>
    <cfRule type="expression" rank="0" priority="33" equalAverage="0" aboveAverage="0" dxfId="1" stopIfTrue="1" text="" percent="0" bottom="0">
      <formula>AND(ISNUMBER(K59),COUNTIFS('Data - Monthly Metrics'!$A:$A,$B$4,'Data - Monthly Metrics'!$B:$B,K$8,'Data - Monthly Metrics'!$C:$C,"East King",'Data - Monthly Metrics'!$D:$D,"Goal - Retention %")&gt;0)</formula>
    </cfRule>
  </conditionalFormatting>
  <conditionalFormatting sqref="L59">
    <cfRule type="expression" rank="0" priority="34" equalAverage="0" aboveAverage="0" dxfId="0" stopIfTrue="1" text="" percent="0" bottom="0">
      <formula>AND(ISNUMBER(L59),COUNTIFS('Data - Monthly Metrics'!$A:$A,$B$4,'Data - Monthly Metrics'!$B:$B,L$8,'Data - Monthly Metrics'!$C:$C,"East King",'Data - Monthly Metrics'!$D:$D,"Goal - Retention %")&gt;0,L59&gt;=SUMIFS('Data - Monthly Metrics'!$E:$E,'Data - Monthly Metrics'!$A:$A,$B$4,'Data - Monthly Metrics'!$B:$B,L$8,'Data - Monthly Metrics'!$C:$C,"East King",'Data - Monthly Metrics'!$D:$D,"Goal - Retention %"))</formula>
    </cfRule>
    <cfRule type="expression" rank="0" priority="35" equalAverage="0" aboveAverage="0" dxfId="2" stopIfTrue="1" text="" percent="0" bottom="0">
      <formula>AND(ISNUMBER(L59),COUNTIFS('Data - Monthly Metrics'!$A:$A,$B$4,'Data - Monthly Metrics'!$B:$B,L$8,'Data - Monthly Metrics'!$C:$C,"East King",'Data - Monthly Metrics'!$D:$D,"Goal - Retention %")&gt;0,L59&gt;=SUMIFS('Data - Monthly Metrics'!$E:$E,'Data - Monthly Metrics'!$A:$A,$B$4,'Data - Monthly Metrics'!$B:$B,L$8,'Data - Monthly Metrics'!$C:$C,"East King",'Data - Monthly Metrics'!$D:$D,"Goal - Retention %")-0.05)</formula>
    </cfRule>
    <cfRule type="expression" rank="0" priority="36" equalAverage="0" aboveAverage="0" dxfId="1" stopIfTrue="1" text="" percent="0" bottom="0">
      <formula>AND(ISNUMBER(L59),COUNTIFS('Data - Monthly Metrics'!$A:$A,$B$4,'Data - Monthly Metrics'!$B:$B,L$8,'Data - Monthly Metrics'!$C:$C,"East King",'Data - Monthly Metrics'!$D:$D,"Goal - Retention %")&gt;0)</formula>
    </cfRule>
  </conditionalFormatting>
  <conditionalFormatting sqref="N59">
    <cfRule type="expression" rank="0" priority="37" equalAverage="0" aboveAverage="0" dxfId="0" stopIfTrue="1" text="" percent="0" bottom="0">
      <formula>AND(ISNUMBER(N59),COUNTIFS('Data - Monthly Metrics'!$A:$A,$B$4,'Data - Monthly Metrics'!$B:$B,N$8,'Data - Monthly Metrics'!$C:$C,"East King",'Data - Monthly Metrics'!$D:$D,"Goal - Retention %")&gt;0,N59&gt;=SUMIFS('Data - Monthly Metrics'!$E:$E,'Data - Monthly Metrics'!$A:$A,$B$4,'Data - Monthly Metrics'!$B:$B,N$8,'Data - Monthly Metrics'!$C:$C,"East King",'Data - Monthly Metrics'!$D:$D,"Goal - Retention %"))</formula>
    </cfRule>
    <cfRule type="expression" rank="0" priority="38" equalAverage="0" aboveAverage="0" dxfId="2" stopIfTrue="1" text="" percent="0" bottom="0">
      <formula>AND(ISNUMBER(N59),COUNTIFS('Data - Monthly Metrics'!$A:$A,$B$4,'Data - Monthly Metrics'!$B:$B,N$8,'Data - Monthly Metrics'!$C:$C,"East King",'Data - Monthly Metrics'!$D:$D,"Goal - Retention %")&gt;0,N59&gt;=SUMIFS('Data - Monthly Metrics'!$E:$E,'Data - Monthly Metrics'!$A:$A,$B$4,'Data - Monthly Metrics'!$B:$B,N$8,'Data - Monthly Metrics'!$C:$C,"East King",'Data - Monthly Metrics'!$D:$D,"Goal - Retention %")-0.05)</formula>
    </cfRule>
    <cfRule type="expression" rank="0" priority="39" equalAverage="0" aboveAverage="0" dxfId="1" stopIfTrue="1" text="" percent="0" bottom="0">
      <formula>AND(ISNUMBER(N59),COUNTIFS('Data - Monthly Metrics'!$A:$A,$B$4,'Data - Monthly Metrics'!$B:$B,N$8,'Data - Monthly Metrics'!$C:$C,"East King",'Data - Monthly Metrics'!$D:$D,"Goal - Retention %")&gt;0)</formula>
    </cfRule>
  </conditionalFormatting>
  <conditionalFormatting sqref="O59">
    <cfRule type="expression" rank="0" priority="40" equalAverage="0" aboveAverage="0" dxfId="0" stopIfTrue="1" text="" percent="0" bottom="0">
      <formula>AND(ISNUMBER(O59),COUNTIFS('Data - Monthly Metrics'!$A:$A,$B$4,'Data - Monthly Metrics'!$B:$B,O$8,'Data - Monthly Metrics'!$C:$C,"East King",'Data - Monthly Metrics'!$D:$D,"Goal - Retention %")&gt;0,O59&gt;=SUMIFS('Data - Monthly Metrics'!$E:$E,'Data - Monthly Metrics'!$A:$A,$B$4,'Data - Monthly Metrics'!$B:$B,O$8,'Data - Monthly Metrics'!$C:$C,"East King",'Data - Monthly Metrics'!$D:$D,"Goal - Retention %"))</formula>
    </cfRule>
    <cfRule type="expression" rank="0" priority="41" equalAverage="0" aboveAverage="0" dxfId="2" stopIfTrue="1" text="" percent="0" bottom="0">
      <formula>AND(ISNUMBER(O59),COUNTIFS('Data - Monthly Metrics'!$A:$A,$B$4,'Data - Monthly Metrics'!$B:$B,O$8,'Data - Monthly Metrics'!$C:$C,"East King",'Data - Monthly Metrics'!$D:$D,"Goal - Retention %")&gt;0,O59&gt;=SUMIFS('Data - Monthly Metrics'!$E:$E,'Data - Monthly Metrics'!$A:$A,$B$4,'Data - Monthly Metrics'!$B:$B,O$8,'Data - Monthly Metrics'!$C:$C,"East King",'Data - Monthly Metrics'!$D:$D,"Goal - Retention %")-0.05)</formula>
    </cfRule>
    <cfRule type="expression" rank="0" priority="42" equalAverage="0" aboveAverage="0" dxfId="1" stopIfTrue="1" text="" percent="0" bottom="0">
      <formula>AND(ISNUMBER(O59),COUNTIFS('Data - Monthly Metrics'!$A:$A,$B$4,'Data - Monthly Metrics'!$B:$B,O$8,'Data - Monthly Metrics'!$C:$C,"East King",'Data - Monthly Metrics'!$D:$D,"Goal - Retention %")&gt;0)</formula>
    </cfRule>
  </conditionalFormatting>
  <conditionalFormatting sqref="P59">
    <cfRule type="expression" rank="0" priority="43" equalAverage="0" aboveAverage="0" dxfId="0" stopIfTrue="1" text="" percent="0" bottom="0">
      <formula>AND(ISNUMBER(P59),COUNTIFS('Data - Monthly Metrics'!$A:$A,$B$4,'Data - Monthly Metrics'!$B:$B,P$8,'Data - Monthly Metrics'!$C:$C,"East King",'Data - Monthly Metrics'!$D:$D,"Goal - Retention %")&gt;0,P59&gt;=SUMIFS('Data - Monthly Metrics'!$E:$E,'Data - Monthly Metrics'!$A:$A,$B$4,'Data - Monthly Metrics'!$B:$B,P$8,'Data - Monthly Metrics'!$C:$C,"East King",'Data - Monthly Metrics'!$D:$D,"Goal - Retention %"))</formula>
    </cfRule>
    <cfRule type="expression" rank="0" priority="44" equalAverage="0" aboveAverage="0" dxfId="2" stopIfTrue="1" text="" percent="0" bottom="0">
      <formula>AND(ISNUMBER(P59),COUNTIFS('Data - Monthly Metrics'!$A:$A,$B$4,'Data - Monthly Metrics'!$B:$B,P$8,'Data - Monthly Metrics'!$C:$C,"East King",'Data - Monthly Metrics'!$D:$D,"Goal - Retention %")&gt;0,P59&gt;=SUMIFS('Data - Monthly Metrics'!$E:$E,'Data - Monthly Metrics'!$A:$A,$B$4,'Data - Monthly Metrics'!$B:$B,P$8,'Data - Monthly Metrics'!$C:$C,"East King",'Data - Monthly Metrics'!$D:$D,"Goal - Retention %")-0.05)</formula>
    </cfRule>
    <cfRule type="expression" rank="0" priority="45" equalAverage="0" aboveAverage="0" dxfId="1" stopIfTrue="1" text="" percent="0" bottom="0">
      <formula>AND(ISNUMBER(P59),COUNTIFS('Data - Monthly Metrics'!$A:$A,$B$4,'Data - Monthly Metrics'!$B:$B,P$8,'Data - Monthly Metrics'!$C:$C,"East King",'Data - Monthly Metrics'!$D:$D,"Goal - Retention %")&gt;0)</formula>
    </cfRule>
  </conditionalFormatting>
  <conditionalFormatting sqref="B103">
    <cfRule type="expression" rank="0" priority="46" equalAverage="0" aboveAverage="0" dxfId="0" stopIfTrue="1" text="" percent="0" bottom="0">
      <formula>AND(ISNUMBER(B103),COUNTIFS('Data - Monthly Metrics'!$A:$A,$B$4-1,'Data - Monthly Metrics'!$B:$B,B$8,'Data - Monthly Metrics'!$C:$C,"East King",'Data - Monthly Metrics'!$D:$D,"Goal - Retention %")&gt;0,B103&gt;=SUMIFS('Data - Monthly Metrics'!$E:$E,'Data - Monthly Metrics'!$A:$A,$B$4-1,'Data - Monthly Metrics'!$B:$B,B$8,'Data - Monthly Metrics'!$C:$C,"East King",'Data - Monthly Metrics'!$D:$D,"Goal - Retention %"))</formula>
    </cfRule>
    <cfRule type="expression" rank="0" priority="47" equalAverage="0" aboveAverage="0" dxfId="2" stopIfTrue="1" text="" percent="0" bottom="0">
      <formula>AND(ISNUMBER(B103),COUNTIFS('Data - Monthly Metrics'!$A:$A,$B$4-1,'Data - Monthly Metrics'!$B:$B,B$8,'Data - Monthly Metrics'!$C:$C,"East King",'Data - Monthly Metrics'!$D:$D,"Goal - Retention %")&gt;0,B103&gt;=SUMIFS('Data - Monthly Metrics'!$E:$E,'Data - Monthly Metrics'!$A:$A,$B$4-1,'Data - Monthly Metrics'!$B:$B,B$8,'Data - Monthly Metrics'!$C:$C,"East King",'Data - Monthly Metrics'!$D:$D,"Goal - Retention %")-0.05)</formula>
    </cfRule>
    <cfRule type="expression" rank="0" priority="48" equalAverage="0" aboveAverage="0" dxfId="1" stopIfTrue="1" text="" percent="0" bottom="0">
      <formula>AND(ISNUMBER(B103),COUNTIFS('Data - Monthly Metrics'!$A:$A,$B$4-1,'Data - Monthly Metrics'!$B:$B,B$8,'Data - Monthly Metrics'!$C:$C,"East King",'Data - Monthly Metrics'!$D:$D,"Goal - Retention %")&gt;0)</formula>
    </cfRule>
  </conditionalFormatting>
  <conditionalFormatting sqref="C103">
    <cfRule type="expression" rank="0" priority="49" equalAverage="0" aboveAverage="0" dxfId="0" stopIfTrue="1" text="" percent="0" bottom="0">
      <formula>AND(ISNUMBER(C103),COUNTIFS('Data - Monthly Metrics'!$A:$A,$B$4-1,'Data - Monthly Metrics'!$B:$B,C$8,'Data - Monthly Metrics'!$C:$C,"East King",'Data - Monthly Metrics'!$D:$D,"Goal - Retention %")&gt;0,C103&gt;=SUMIFS('Data - Monthly Metrics'!$E:$E,'Data - Monthly Metrics'!$A:$A,$B$4-1,'Data - Monthly Metrics'!$B:$B,C$8,'Data - Monthly Metrics'!$C:$C,"East King",'Data - Monthly Metrics'!$D:$D,"Goal - Retention %"))</formula>
    </cfRule>
    <cfRule type="expression" rank="0" priority="50" equalAverage="0" aboveAverage="0" dxfId="2" stopIfTrue="1" text="" percent="0" bottom="0">
      <formula>AND(ISNUMBER(C103),COUNTIFS('Data - Monthly Metrics'!$A:$A,$B$4-1,'Data - Monthly Metrics'!$B:$B,C$8,'Data - Monthly Metrics'!$C:$C,"East King",'Data - Monthly Metrics'!$D:$D,"Goal - Retention %")&gt;0,C103&gt;=SUMIFS('Data - Monthly Metrics'!$E:$E,'Data - Monthly Metrics'!$A:$A,$B$4-1,'Data - Monthly Metrics'!$B:$B,C$8,'Data - Monthly Metrics'!$C:$C,"East King",'Data - Monthly Metrics'!$D:$D,"Goal - Retention %")-0.05)</formula>
    </cfRule>
    <cfRule type="expression" rank="0" priority="51" equalAverage="0" aboveAverage="0" dxfId="1" stopIfTrue="1" text="" percent="0" bottom="0">
      <formula>AND(ISNUMBER(C103),COUNTIFS('Data - Monthly Metrics'!$A:$A,$B$4-1,'Data - Monthly Metrics'!$B:$B,C$8,'Data - Monthly Metrics'!$C:$C,"East King",'Data - Monthly Metrics'!$D:$D,"Goal - Retention %")&gt;0)</formula>
    </cfRule>
  </conditionalFormatting>
  <conditionalFormatting sqref="D103">
    <cfRule type="expression" rank="0" priority="52" equalAverage="0" aboveAverage="0" dxfId="0" stopIfTrue="1" text="" percent="0" bottom="0">
      <formula>AND(ISNUMBER(D103),COUNTIFS('Data - Monthly Metrics'!$A:$A,$B$4-1,'Data - Monthly Metrics'!$B:$B,D$8,'Data - Monthly Metrics'!$C:$C,"East King",'Data - Monthly Metrics'!$D:$D,"Goal - Retention %")&gt;0,D103&gt;=SUMIFS('Data - Monthly Metrics'!$E:$E,'Data - Monthly Metrics'!$A:$A,$B$4-1,'Data - Monthly Metrics'!$B:$B,D$8,'Data - Monthly Metrics'!$C:$C,"East King",'Data - Monthly Metrics'!$D:$D,"Goal - Retention %"))</formula>
    </cfRule>
    <cfRule type="expression" rank="0" priority="53" equalAverage="0" aboveAverage="0" dxfId="2" stopIfTrue="1" text="" percent="0" bottom="0">
      <formula>AND(ISNUMBER(D103),COUNTIFS('Data - Monthly Metrics'!$A:$A,$B$4-1,'Data - Monthly Metrics'!$B:$B,D$8,'Data - Monthly Metrics'!$C:$C,"East King",'Data - Monthly Metrics'!$D:$D,"Goal - Retention %")&gt;0,D103&gt;=SUMIFS('Data - Monthly Metrics'!$E:$E,'Data - Monthly Metrics'!$A:$A,$B$4-1,'Data - Monthly Metrics'!$B:$B,D$8,'Data - Monthly Metrics'!$C:$C,"East King",'Data - Monthly Metrics'!$D:$D,"Goal - Retention %")-0.05)</formula>
    </cfRule>
    <cfRule type="expression" rank="0" priority="54" equalAverage="0" aboveAverage="0" dxfId="1" stopIfTrue="1" text="" percent="0" bottom="0">
      <formula>AND(ISNUMBER(D103),COUNTIFS('Data - Monthly Metrics'!$A:$A,$B$4-1,'Data - Monthly Metrics'!$B:$B,D$8,'Data - Monthly Metrics'!$C:$C,"East King",'Data - Monthly Metrics'!$D:$D,"Goal - Retention %")&gt;0)</formula>
    </cfRule>
  </conditionalFormatting>
  <conditionalFormatting sqref="F103">
    <cfRule type="expression" rank="0" priority="55" equalAverage="0" aboveAverage="0" dxfId="0" stopIfTrue="1" text="" percent="0" bottom="0">
      <formula>AND(ISNUMBER(F103),COUNTIFS('Data - Monthly Metrics'!$A:$A,$B$4,'Data - Monthly Metrics'!$B:$B,F$8,'Data - Monthly Metrics'!$C:$C,"East King",'Data - Monthly Metrics'!$D:$D,"Goal - Retention %")&gt;0,F103&gt;=SUMIFS('Data - Monthly Metrics'!$E:$E,'Data - Monthly Metrics'!$A:$A,$B$4,'Data - Monthly Metrics'!$B:$B,F$8,'Data - Monthly Metrics'!$C:$C,"East King",'Data - Monthly Metrics'!$D:$D,"Goal - Retention %"))</formula>
    </cfRule>
    <cfRule type="expression" rank="0" priority="56" equalAverage="0" aboveAverage="0" dxfId="2" stopIfTrue="1" text="" percent="0" bottom="0">
      <formula>AND(ISNUMBER(F103),COUNTIFS('Data - Monthly Metrics'!$A:$A,$B$4,'Data - Monthly Metrics'!$B:$B,F$8,'Data - Monthly Metrics'!$C:$C,"East King",'Data - Monthly Metrics'!$D:$D,"Goal - Retention %")&gt;0,F103&gt;=SUMIFS('Data - Monthly Metrics'!$E:$E,'Data - Monthly Metrics'!$A:$A,$B$4,'Data - Monthly Metrics'!$B:$B,F$8,'Data - Monthly Metrics'!$C:$C,"East King",'Data - Monthly Metrics'!$D:$D,"Goal - Retention %")-0.05)</formula>
    </cfRule>
    <cfRule type="expression" rank="0" priority="57" equalAverage="0" aboveAverage="0" dxfId="1" stopIfTrue="1" text="" percent="0" bottom="0">
      <formula>AND(ISNUMBER(F103),COUNTIFS('Data - Monthly Metrics'!$A:$A,$B$4,'Data - Monthly Metrics'!$B:$B,F$8,'Data - Monthly Metrics'!$C:$C,"East King",'Data - Monthly Metrics'!$D:$D,"Goal - Retention %")&gt;0)</formula>
    </cfRule>
  </conditionalFormatting>
  <conditionalFormatting sqref="G103">
    <cfRule type="expression" rank="0" priority="58" equalAverage="0" aboveAverage="0" dxfId="0" stopIfTrue="1" text="" percent="0" bottom="0">
      <formula>AND(ISNUMBER(G103),COUNTIFS('Data - Monthly Metrics'!$A:$A,$B$4,'Data - Monthly Metrics'!$B:$B,G$8,'Data - Monthly Metrics'!$C:$C,"East King",'Data - Monthly Metrics'!$D:$D,"Goal - Retention %")&gt;0,G103&gt;=SUMIFS('Data - Monthly Metrics'!$E:$E,'Data - Monthly Metrics'!$A:$A,$B$4,'Data - Monthly Metrics'!$B:$B,G$8,'Data - Monthly Metrics'!$C:$C,"East King",'Data - Monthly Metrics'!$D:$D,"Goal - Retention %"))</formula>
    </cfRule>
    <cfRule type="expression" rank="0" priority="59" equalAverage="0" aboveAverage="0" dxfId="2" stopIfTrue="1" text="" percent="0" bottom="0">
      <formula>AND(ISNUMBER(G103),COUNTIFS('Data - Monthly Metrics'!$A:$A,$B$4,'Data - Monthly Metrics'!$B:$B,G$8,'Data - Monthly Metrics'!$C:$C,"East King",'Data - Monthly Metrics'!$D:$D,"Goal - Retention %")&gt;0,G103&gt;=SUMIFS('Data - Monthly Metrics'!$E:$E,'Data - Monthly Metrics'!$A:$A,$B$4,'Data - Monthly Metrics'!$B:$B,G$8,'Data - Monthly Metrics'!$C:$C,"East King",'Data - Monthly Metrics'!$D:$D,"Goal - Retention %")-0.05)</formula>
    </cfRule>
    <cfRule type="expression" rank="0" priority="60" equalAverage="0" aboveAverage="0" dxfId="1" stopIfTrue="1" text="" percent="0" bottom="0">
      <formula>AND(ISNUMBER(G103),COUNTIFS('Data - Monthly Metrics'!$A:$A,$B$4,'Data - Monthly Metrics'!$B:$B,G$8,'Data - Monthly Metrics'!$C:$C,"East King",'Data - Monthly Metrics'!$D:$D,"Goal - Retention %")&gt;0)</formula>
    </cfRule>
  </conditionalFormatting>
  <conditionalFormatting sqref="H103">
    <cfRule type="expression" rank="0" priority="61" equalAverage="0" aboveAverage="0" dxfId="0" stopIfTrue="1" text="" percent="0" bottom="0">
      <formula>AND(ISNUMBER(H103),COUNTIFS('Data - Monthly Metrics'!$A:$A,$B$4,'Data - Monthly Metrics'!$B:$B,H$8,'Data - Monthly Metrics'!$C:$C,"East King",'Data - Monthly Metrics'!$D:$D,"Goal - Retention %")&gt;0,H103&gt;=SUMIFS('Data - Monthly Metrics'!$E:$E,'Data - Monthly Metrics'!$A:$A,$B$4,'Data - Monthly Metrics'!$B:$B,H$8,'Data - Monthly Metrics'!$C:$C,"East King",'Data - Monthly Metrics'!$D:$D,"Goal - Retention %"))</formula>
    </cfRule>
    <cfRule type="expression" rank="0" priority="62" equalAverage="0" aboveAverage="0" dxfId="2" stopIfTrue="1" text="" percent="0" bottom="0">
      <formula>AND(ISNUMBER(H103),COUNTIFS('Data - Monthly Metrics'!$A:$A,$B$4,'Data - Monthly Metrics'!$B:$B,H$8,'Data - Monthly Metrics'!$C:$C,"East King",'Data - Monthly Metrics'!$D:$D,"Goal - Retention %")&gt;0,H103&gt;=SUMIFS('Data - Monthly Metrics'!$E:$E,'Data - Monthly Metrics'!$A:$A,$B$4,'Data - Monthly Metrics'!$B:$B,H$8,'Data - Monthly Metrics'!$C:$C,"East King",'Data - Monthly Metrics'!$D:$D,"Goal - Retention %")-0.05)</formula>
    </cfRule>
    <cfRule type="expression" rank="0" priority="63" equalAverage="0" aboveAverage="0" dxfId="1" stopIfTrue="1" text="" percent="0" bottom="0">
      <formula>AND(ISNUMBER(H103),COUNTIFS('Data - Monthly Metrics'!$A:$A,$B$4,'Data - Monthly Metrics'!$B:$B,H$8,'Data - Monthly Metrics'!$C:$C,"East King",'Data - Monthly Metrics'!$D:$D,"Goal - Retention %")&gt;0)</formula>
    </cfRule>
  </conditionalFormatting>
  <conditionalFormatting sqref="J103">
    <cfRule type="expression" rank="0" priority="64" equalAverage="0" aboveAverage="0" dxfId="0" stopIfTrue="1" text="" percent="0" bottom="0">
      <formula>AND(ISNUMBER(J103),COUNTIFS('Data - Monthly Metrics'!$A:$A,$B$4,'Data - Monthly Metrics'!$B:$B,J$8,'Data - Monthly Metrics'!$C:$C,"East King",'Data - Monthly Metrics'!$D:$D,"Goal - Retention %")&gt;0,J103&gt;=SUMIFS('Data - Monthly Metrics'!$E:$E,'Data - Monthly Metrics'!$A:$A,$B$4,'Data - Monthly Metrics'!$B:$B,J$8,'Data - Monthly Metrics'!$C:$C,"East King",'Data - Monthly Metrics'!$D:$D,"Goal - Retention %"))</formula>
    </cfRule>
    <cfRule type="expression" rank="0" priority="65" equalAverage="0" aboveAverage="0" dxfId="2" stopIfTrue="1" text="" percent="0" bottom="0">
      <formula>AND(ISNUMBER(J103),COUNTIFS('Data - Monthly Metrics'!$A:$A,$B$4,'Data - Monthly Metrics'!$B:$B,J$8,'Data - Monthly Metrics'!$C:$C,"East King",'Data - Monthly Metrics'!$D:$D,"Goal - Retention %")&gt;0,J103&gt;=SUMIFS('Data - Monthly Metrics'!$E:$E,'Data - Monthly Metrics'!$A:$A,$B$4,'Data - Monthly Metrics'!$B:$B,J$8,'Data - Monthly Metrics'!$C:$C,"East King",'Data - Monthly Metrics'!$D:$D,"Goal - Retention %")-0.05)</formula>
    </cfRule>
    <cfRule type="expression" rank="0" priority="66" equalAverage="0" aboveAverage="0" dxfId="1" stopIfTrue="1" text="" percent="0" bottom="0">
      <formula>AND(ISNUMBER(J103),COUNTIFS('Data - Monthly Metrics'!$A:$A,$B$4,'Data - Monthly Metrics'!$B:$B,J$8,'Data - Monthly Metrics'!$C:$C,"East King",'Data - Monthly Metrics'!$D:$D,"Goal - Retention %")&gt;0)</formula>
    </cfRule>
  </conditionalFormatting>
  <conditionalFormatting sqref="K103">
    <cfRule type="expression" rank="0" priority="67" equalAverage="0" aboveAverage="0" dxfId="0" stopIfTrue="1" text="" percent="0" bottom="0">
      <formula>AND(ISNUMBER(K103),COUNTIFS('Data - Monthly Metrics'!$A:$A,$B$4,'Data - Monthly Metrics'!$B:$B,K$8,'Data - Monthly Metrics'!$C:$C,"East King",'Data - Monthly Metrics'!$D:$D,"Goal - Retention %")&gt;0,K103&gt;=SUMIFS('Data - Monthly Metrics'!$E:$E,'Data - Monthly Metrics'!$A:$A,$B$4,'Data - Monthly Metrics'!$B:$B,K$8,'Data - Monthly Metrics'!$C:$C,"East King",'Data - Monthly Metrics'!$D:$D,"Goal - Retention %"))</formula>
    </cfRule>
    <cfRule type="expression" rank="0" priority="68" equalAverage="0" aboveAverage="0" dxfId="2" stopIfTrue="1" text="" percent="0" bottom="0">
      <formula>AND(ISNUMBER(K103),COUNTIFS('Data - Monthly Metrics'!$A:$A,$B$4,'Data - Monthly Metrics'!$B:$B,K$8,'Data - Monthly Metrics'!$C:$C,"East King",'Data - Monthly Metrics'!$D:$D,"Goal - Retention %")&gt;0,K103&gt;=SUMIFS('Data - Monthly Metrics'!$E:$E,'Data - Monthly Metrics'!$A:$A,$B$4,'Data - Monthly Metrics'!$B:$B,K$8,'Data - Monthly Metrics'!$C:$C,"East King",'Data - Monthly Metrics'!$D:$D,"Goal - Retention %")-0.05)</formula>
    </cfRule>
    <cfRule type="expression" rank="0" priority="69" equalAverage="0" aboveAverage="0" dxfId="1" stopIfTrue="1" text="" percent="0" bottom="0">
      <formula>AND(ISNUMBER(K103),COUNTIFS('Data - Monthly Metrics'!$A:$A,$B$4,'Data - Monthly Metrics'!$B:$B,K$8,'Data - Monthly Metrics'!$C:$C,"East King",'Data - Monthly Metrics'!$D:$D,"Goal - Retention %")&gt;0)</formula>
    </cfRule>
  </conditionalFormatting>
  <conditionalFormatting sqref="L103">
    <cfRule type="expression" rank="0" priority="70" equalAverage="0" aboveAverage="0" dxfId="0" stopIfTrue="1" text="" percent="0" bottom="0">
      <formula>AND(ISNUMBER(L103),COUNTIFS('Data - Monthly Metrics'!$A:$A,$B$4,'Data - Monthly Metrics'!$B:$B,L$8,'Data - Monthly Metrics'!$C:$C,"East King",'Data - Monthly Metrics'!$D:$D,"Goal - Retention %")&gt;0,L103&gt;=SUMIFS('Data - Monthly Metrics'!$E:$E,'Data - Monthly Metrics'!$A:$A,$B$4,'Data - Monthly Metrics'!$B:$B,L$8,'Data - Monthly Metrics'!$C:$C,"East King",'Data - Monthly Metrics'!$D:$D,"Goal - Retention %"))</formula>
    </cfRule>
    <cfRule type="expression" rank="0" priority="71" equalAverage="0" aboveAverage="0" dxfId="2" stopIfTrue="1" text="" percent="0" bottom="0">
      <formula>AND(ISNUMBER(L103),COUNTIFS('Data - Monthly Metrics'!$A:$A,$B$4,'Data - Monthly Metrics'!$B:$B,L$8,'Data - Monthly Metrics'!$C:$C,"East King",'Data - Monthly Metrics'!$D:$D,"Goal - Retention %")&gt;0,L103&gt;=SUMIFS('Data - Monthly Metrics'!$E:$E,'Data - Monthly Metrics'!$A:$A,$B$4,'Data - Monthly Metrics'!$B:$B,L$8,'Data - Monthly Metrics'!$C:$C,"East King",'Data - Monthly Metrics'!$D:$D,"Goal - Retention %")-0.05)</formula>
    </cfRule>
    <cfRule type="expression" rank="0" priority="72" equalAverage="0" aboveAverage="0" dxfId="1" stopIfTrue="1" text="" percent="0" bottom="0">
      <formula>AND(ISNUMBER(L103),COUNTIFS('Data - Monthly Metrics'!$A:$A,$B$4,'Data - Monthly Metrics'!$B:$B,L$8,'Data - Monthly Metrics'!$C:$C,"East King",'Data - Monthly Metrics'!$D:$D,"Goal - Retention %")&gt;0)</formula>
    </cfRule>
  </conditionalFormatting>
  <conditionalFormatting sqref="N103">
    <cfRule type="expression" rank="0" priority="73" equalAverage="0" aboveAverage="0" dxfId="0" stopIfTrue="1" text="" percent="0" bottom="0">
      <formula>AND(ISNUMBER(N103),COUNTIFS('Data - Monthly Metrics'!$A:$A,$B$4,'Data - Monthly Metrics'!$B:$B,N$8,'Data - Monthly Metrics'!$C:$C,"East King",'Data - Monthly Metrics'!$D:$D,"Goal - Retention %")&gt;0,N103&gt;=SUMIFS('Data - Monthly Metrics'!$E:$E,'Data - Monthly Metrics'!$A:$A,$B$4,'Data - Monthly Metrics'!$B:$B,N$8,'Data - Monthly Metrics'!$C:$C,"East King",'Data - Monthly Metrics'!$D:$D,"Goal - Retention %"))</formula>
    </cfRule>
    <cfRule type="expression" rank="0" priority="74" equalAverage="0" aboveAverage="0" dxfId="2" stopIfTrue="1" text="" percent="0" bottom="0">
      <formula>AND(ISNUMBER(N103),COUNTIFS('Data - Monthly Metrics'!$A:$A,$B$4,'Data - Monthly Metrics'!$B:$B,N$8,'Data - Monthly Metrics'!$C:$C,"East King",'Data - Monthly Metrics'!$D:$D,"Goal - Retention %")&gt;0,N103&gt;=SUMIFS('Data - Monthly Metrics'!$E:$E,'Data - Monthly Metrics'!$A:$A,$B$4,'Data - Monthly Metrics'!$B:$B,N$8,'Data - Monthly Metrics'!$C:$C,"East King",'Data - Monthly Metrics'!$D:$D,"Goal - Retention %")-0.05)</formula>
    </cfRule>
    <cfRule type="expression" rank="0" priority="75" equalAverage="0" aboveAverage="0" dxfId="1" stopIfTrue="1" text="" percent="0" bottom="0">
      <formula>AND(ISNUMBER(N103),COUNTIFS('Data - Monthly Metrics'!$A:$A,$B$4,'Data - Monthly Metrics'!$B:$B,N$8,'Data - Monthly Metrics'!$C:$C,"East King",'Data - Monthly Metrics'!$D:$D,"Goal - Retention %")&gt;0)</formula>
    </cfRule>
  </conditionalFormatting>
  <conditionalFormatting sqref="O103">
    <cfRule type="expression" rank="0" priority="76" equalAverage="0" aboveAverage="0" dxfId="0" stopIfTrue="1" text="" percent="0" bottom="0">
      <formula>AND(ISNUMBER(O103),COUNTIFS('Data - Monthly Metrics'!$A:$A,$B$4,'Data - Monthly Metrics'!$B:$B,O$8,'Data - Monthly Metrics'!$C:$C,"East King",'Data - Monthly Metrics'!$D:$D,"Goal - Retention %")&gt;0,O103&gt;=SUMIFS('Data - Monthly Metrics'!$E:$E,'Data - Monthly Metrics'!$A:$A,$B$4,'Data - Monthly Metrics'!$B:$B,O$8,'Data - Monthly Metrics'!$C:$C,"East King",'Data - Monthly Metrics'!$D:$D,"Goal - Retention %"))</formula>
    </cfRule>
    <cfRule type="expression" rank="0" priority="77" equalAverage="0" aboveAverage="0" dxfId="2" stopIfTrue="1" text="" percent="0" bottom="0">
      <formula>AND(ISNUMBER(O103),COUNTIFS('Data - Monthly Metrics'!$A:$A,$B$4,'Data - Monthly Metrics'!$B:$B,O$8,'Data - Monthly Metrics'!$C:$C,"East King",'Data - Monthly Metrics'!$D:$D,"Goal - Retention %")&gt;0,O103&gt;=SUMIFS('Data - Monthly Metrics'!$E:$E,'Data - Monthly Metrics'!$A:$A,$B$4,'Data - Monthly Metrics'!$B:$B,O$8,'Data - Monthly Metrics'!$C:$C,"East King",'Data - Monthly Metrics'!$D:$D,"Goal - Retention %")-0.05)</formula>
    </cfRule>
    <cfRule type="expression" rank="0" priority="78" equalAverage="0" aboveAverage="0" dxfId="1" stopIfTrue="1" text="" percent="0" bottom="0">
      <formula>AND(ISNUMBER(O103),COUNTIFS('Data - Monthly Metrics'!$A:$A,$B$4,'Data - Monthly Metrics'!$B:$B,O$8,'Data - Monthly Metrics'!$C:$C,"East King",'Data - Monthly Metrics'!$D:$D,"Goal - Retention %")&gt;0)</formula>
    </cfRule>
  </conditionalFormatting>
  <conditionalFormatting sqref="P103">
    <cfRule type="expression" rank="0" priority="79" equalAverage="0" aboveAverage="0" dxfId="0" stopIfTrue="1" text="" percent="0" bottom="0">
      <formula>AND(ISNUMBER(P103),COUNTIFS('Data - Monthly Metrics'!$A:$A,$B$4,'Data - Monthly Metrics'!$B:$B,P$8,'Data - Monthly Metrics'!$C:$C,"East King",'Data - Monthly Metrics'!$D:$D,"Goal - Retention %")&gt;0,P103&gt;=SUMIFS('Data - Monthly Metrics'!$E:$E,'Data - Monthly Metrics'!$A:$A,$B$4,'Data - Monthly Metrics'!$B:$B,P$8,'Data - Monthly Metrics'!$C:$C,"East King",'Data - Monthly Metrics'!$D:$D,"Goal - Retention %"))</formula>
    </cfRule>
    <cfRule type="expression" rank="0" priority="80" equalAverage="0" aboveAverage="0" dxfId="2" stopIfTrue="1" text="" percent="0" bottom="0">
      <formula>AND(ISNUMBER(P103),COUNTIFS('Data - Monthly Metrics'!$A:$A,$B$4,'Data - Monthly Metrics'!$B:$B,P$8,'Data - Monthly Metrics'!$C:$C,"East King",'Data - Monthly Metrics'!$D:$D,"Goal - Retention %")&gt;0,P103&gt;=SUMIFS('Data - Monthly Metrics'!$E:$E,'Data - Monthly Metrics'!$A:$A,$B$4,'Data - Monthly Metrics'!$B:$B,P$8,'Data - Monthly Metrics'!$C:$C,"East King",'Data - Monthly Metrics'!$D:$D,"Goal - Retention %")-0.05)</formula>
    </cfRule>
    <cfRule type="expression" rank="0" priority="81" equalAverage="0" aboveAverage="0" dxfId="1" stopIfTrue="1" text="" percent="0" bottom="0">
      <formula>AND(ISNUMBER(P103),COUNTIFS('Data - Monthly Metrics'!$A:$A,$B$4,'Data - Monthly Metrics'!$B:$B,P$8,'Data - Monthly Metrics'!$C:$C,"East King",'Data - Monthly Metrics'!$D:$D,"Goal - Retention %")&gt;0)</formula>
    </cfRule>
  </conditionalFormatting>
  <conditionalFormatting sqref="B65">
    <cfRule type="expression" rank="0" priority="82" equalAverage="0" aboveAverage="0" dxfId="0" stopIfTrue="1" text="" percent="0" bottom="0">
      <formula>AND(ISNUMBER(B65),COUNTIFS('Data - Monthly Metrics'!$A:$A,$B$4-1,'Data - Monthly Metrics'!$B:$B,B$8,'Data - Monthly Metrics'!$C:$C,"East King",'Data - Monthly Metrics'!$D:$D,"Goal - Retention %")&gt;0,B65&gt;=SUMIFS('Data - Monthly Metrics'!$E:$E,'Data - Monthly Metrics'!$A:$A,$B$4-1,'Data - Monthly Metrics'!$B:$B,B$8,'Data - Monthly Metrics'!$C:$C,"East King",'Data - Monthly Metrics'!$D:$D,"Goal - Retention %"))</formula>
    </cfRule>
    <cfRule type="expression" rank="0" priority="83" equalAverage="0" aboveAverage="0" dxfId="2" stopIfTrue="1" text="" percent="0" bottom="0">
      <formula>AND(ISNUMBER(B65),COUNTIFS('Data - Monthly Metrics'!$A:$A,$B$4-1,'Data - Monthly Metrics'!$B:$B,B$8,'Data - Monthly Metrics'!$C:$C,"East King",'Data - Monthly Metrics'!$D:$D,"Goal - Retention %")&gt;0,B65&gt;=SUMIFS('Data - Monthly Metrics'!$E:$E,'Data - Monthly Metrics'!$A:$A,$B$4-1,'Data - Monthly Metrics'!$B:$B,B$8,'Data - Monthly Metrics'!$C:$C,"East King",'Data - Monthly Metrics'!$D:$D,"Goal - Retention %")-0.05)</formula>
    </cfRule>
    <cfRule type="expression" rank="0" priority="84" equalAverage="0" aboveAverage="0" dxfId="1" stopIfTrue="1" text="" percent="0" bottom="0">
      <formula>AND(ISNUMBER(B65),COUNTIFS('Data - Monthly Metrics'!$A:$A,$B$4-1,'Data - Monthly Metrics'!$B:$B,B$8,'Data - Monthly Metrics'!$C:$C,"East King",'Data - Monthly Metrics'!$D:$D,"Goal - Retention %")&gt;0)</formula>
    </cfRule>
  </conditionalFormatting>
  <conditionalFormatting sqref="C65">
    <cfRule type="expression" rank="0" priority="85" equalAverage="0" aboveAverage="0" dxfId="0" stopIfTrue="1" text="" percent="0" bottom="0">
      <formula>AND(ISNUMBER(C65),COUNTIFS('Data - Monthly Metrics'!$A:$A,$B$4-1,'Data - Monthly Metrics'!$B:$B,C$8,'Data - Monthly Metrics'!$C:$C,"East King",'Data - Monthly Metrics'!$D:$D,"Goal - Retention %")&gt;0,C65&gt;=SUMIFS('Data - Monthly Metrics'!$E:$E,'Data - Monthly Metrics'!$A:$A,$B$4-1,'Data - Monthly Metrics'!$B:$B,C$8,'Data - Monthly Metrics'!$C:$C,"East King",'Data - Monthly Metrics'!$D:$D,"Goal - Retention %"))</formula>
    </cfRule>
    <cfRule type="expression" rank="0" priority="86" equalAverage="0" aboveAverage="0" dxfId="2" stopIfTrue="1" text="" percent="0" bottom="0">
      <formula>AND(ISNUMBER(C65),COUNTIFS('Data - Monthly Metrics'!$A:$A,$B$4-1,'Data - Monthly Metrics'!$B:$B,C$8,'Data - Monthly Metrics'!$C:$C,"East King",'Data - Monthly Metrics'!$D:$D,"Goal - Retention %")&gt;0,C65&gt;=SUMIFS('Data - Monthly Metrics'!$E:$E,'Data - Monthly Metrics'!$A:$A,$B$4-1,'Data - Monthly Metrics'!$B:$B,C$8,'Data - Monthly Metrics'!$C:$C,"East King",'Data - Monthly Metrics'!$D:$D,"Goal - Retention %")-0.05)</formula>
    </cfRule>
    <cfRule type="expression" rank="0" priority="87" equalAverage="0" aboveAverage="0" dxfId="1" stopIfTrue="1" text="" percent="0" bottom="0">
      <formula>AND(ISNUMBER(C65),COUNTIFS('Data - Monthly Metrics'!$A:$A,$B$4-1,'Data - Monthly Metrics'!$B:$B,C$8,'Data - Monthly Metrics'!$C:$C,"East King",'Data - Monthly Metrics'!$D:$D,"Goal - Retention %")&gt;0)</formula>
    </cfRule>
  </conditionalFormatting>
  <conditionalFormatting sqref="D65">
    <cfRule type="expression" rank="0" priority="88" equalAverage="0" aboveAverage="0" dxfId="0" stopIfTrue="1" text="" percent="0" bottom="0">
      <formula>AND(ISNUMBER(D65),COUNTIFS('Data - Monthly Metrics'!$A:$A,$B$4-1,'Data - Monthly Metrics'!$B:$B,D$8,'Data - Monthly Metrics'!$C:$C,"East King",'Data - Monthly Metrics'!$D:$D,"Goal - Retention %")&gt;0,D65&gt;=SUMIFS('Data - Monthly Metrics'!$E:$E,'Data - Monthly Metrics'!$A:$A,$B$4-1,'Data - Monthly Metrics'!$B:$B,D$8,'Data - Monthly Metrics'!$C:$C,"East King",'Data - Monthly Metrics'!$D:$D,"Goal - Retention %"))</formula>
    </cfRule>
    <cfRule type="expression" rank="0" priority="89" equalAverage="0" aboveAverage="0" dxfId="2" stopIfTrue="1" text="" percent="0" bottom="0">
      <formula>AND(ISNUMBER(D65),COUNTIFS('Data - Monthly Metrics'!$A:$A,$B$4-1,'Data - Monthly Metrics'!$B:$B,D$8,'Data - Monthly Metrics'!$C:$C,"East King",'Data - Monthly Metrics'!$D:$D,"Goal - Retention %")&gt;0,D65&gt;=SUMIFS('Data - Monthly Metrics'!$E:$E,'Data - Monthly Metrics'!$A:$A,$B$4-1,'Data - Monthly Metrics'!$B:$B,D$8,'Data - Monthly Metrics'!$C:$C,"East King",'Data - Monthly Metrics'!$D:$D,"Goal - Retention %")-0.05)</formula>
    </cfRule>
    <cfRule type="expression" rank="0" priority="90" equalAverage="0" aboveAverage="0" dxfId="1" stopIfTrue="1" text="" percent="0" bottom="0">
      <formula>AND(ISNUMBER(D65),COUNTIFS('Data - Monthly Metrics'!$A:$A,$B$4-1,'Data - Monthly Metrics'!$B:$B,D$8,'Data - Monthly Metrics'!$C:$C,"East King",'Data - Monthly Metrics'!$D:$D,"Goal - Retention %")&gt;0)</formula>
    </cfRule>
  </conditionalFormatting>
  <conditionalFormatting sqref="F65">
    <cfRule type="expression" rank="0" priority="91" equalAverage="0" aboveAverage="0" dxfId="0" stopIfTrue="1" text="" percent="0" bottom="0">
      <formula>AND(ISNUMBER(F65),COUNTIFS('Data - Monthly Metrics'!$A:$A,$B$4,'Data - Monthly Metrics'!$B:$B,F$8,'Data - Monthly Metrics'!$C:$C,"East King",'Data - Monthly Metrics'!$D:$D,"Goal - Retention %")&gt;0,F65&gt;=SUMIFS('Data - Monthly Metrics'!$E:$E,'Data - Monthly Metrics'!$A:$A,$B$4,'Data - Monthly Metrics'!$B:$B,F$8,'Data - Monthly Metrics'!$C:$C,"East King",'Data - Monthly Metrics'!$D:$D,"Goal - Retention %"))</formula>
    </cfRule>
    <cfRule type="expression" rank="0" priority="92" equalAverage="0" aboveAverage="0" dxfId="2" stopIfTrue="1" text="" percent="0" bottom="0">
      <formula>AND(ISNUMBER(F65),COUNTIFS('Data - Monthly Metrics'!$A:$A,$B$4,'Data - Monthly Metrics'!$B:$B,F$8,'Data - Monthly Metrics'!$C:$C,"East King",'Data - Monthly Metrics'!$D:$D,"Goal - Retention %")&gt;0,F65&gt;=SUMIFS('Data - Monthly Metrics'!$E:$E,'Data - Monthly Metrics'!$A:$A,$B$4,'Data - Monthly Metrics'!$B:$B,F$8,'Data - Monthly Metrics'!$C:$C,"East King",'Data - Monthly Metrics'!$D:$D,"Goal - Retention %")-0.05)</formula>
    </cfRule>
    <cfRule type="expression" rank="0" priority="93" equalAverage="0" aboveAverage="0" dxfId="1" stopIfTrue="1" text="" percent="0" bottom="0">
      <formula>AND(ISNUMBER(F65),COUNTIFS('Data - Monthly Metrics'!$A:$A,$B$4,'Data - Monthly Metrics'!$B:$B,F$8,'Data - Monthly Metrics'!$C:$C,"East King",'Data - Monthly Metrics'!$D:$D,"Goal - Retention %")&gt;0)</formula>
    </cfRule>
  </conditionalFormatting>
  <conditionalFormatting sqref="G65">
    <cfRule type="expression" rank="0" priority="94" equalAverage="0" aboveAverage="0" dxfId="0" stopIfTrue="1" text="" percent="0" bottom="0">
      <formula>AND(ISNUMBER(G65),COUNTIFS('Data - Monthly Metrics'!$A:$A,$B$4,'Data - Monthly Metrics'!$B:$B,G$8,'Data - Monthly Metrics'!$C:$C,"East King",'Data - Monthly Metrics'!$D:$D,"Goal - Retention %")&gt;0,G65&gt;=SUMIFS('Data - Monthly Metrics'!$E:$E,'Data - Monthly Metrics'!$A:$A,$B$4,'Data - Monthly Metrics'!$B:$B,G$8,'Data - Monthly Metrics'!$C:$C,"East King",'Data - Monthly Metrics'!$D:$D,"Goal - Retention %"))</formula>
    </cfRule>
    <cfRule type="expression" rank="0" priority="95" equalAverage="0" aboveAverage="0" dxfId="2" stopIfTrue="1" text="" percent="0" bottom="0">
      <formula>AND(ISNUMBER(G65),COUNTIFS('Data - Monthly Metrics'!$A:$A,$B$4,'Data - Monthly Metrics'!$B:$B,G$8,'Data - Monthly Metrics'!$C:$C,"East King",'Data - Monthly Metrics'!$D:$D,"Goal - Retention %")&gt;0,G65&gt;=SUMIFS('Data - Monthly Metrics'!$E:$E,'Data - Monthly Metrics'!$A:$A,$B$4,'Data - Monthly Metrics'!$B:$B,G$8,'Data - Monthly Metrics'!$C:$C,"East King",'Data - Monthly Metrics'!$D:$D,"Goal - Retention %")-0.05)</formula>
    </cfRule>
    <cfRule type="expression" rank="0" priority="96" equalAverage="0" aboveAverage="0" dxfId="1" stopIfTrue="1" text="" percent="0" bottom="0">
      <formula>AND(ISNUMBER(G65),COUNTIFS('Data - Monthly Metrics'!$A:$A,$B$4,'Data - Monthly Metrics'!$B:$B,G$8,'Data - Monthly Metrics'!$C:$C,"East King",'Data - Monthly Metrics'!$D:$D,"Goal - Retention %")&gt;0)</formula>
    </cfRule>
  </conditionalFormatting>
  <conditionalFormatting sqref="H65">
    <cfRule type="expression" rank="0" priority="97" equalAverage="0" aboveAverage="0" dxfId="0" stopIfTrue="1" text="" percent="0" bottom="0">
      <formula>AND(ISNUMBER(H65),COUNTIFS('Data - Monthly Metrics'!$A:$A,$B$4,'Data - Monthly Metrics'!$B:$B,H$8,'Data - Monthly Metrics'!$C:$C,"East King",'Data - Monthly Metrics'!$D:$D,"Goal - Retention %")&gt;0,H65&gt;=SUMIFS('Data - Monthly Metrics'!$E:$E,'Data - Monthly Metrics'!$A:$A,$B$4,'Data - Monthly Metrics'!$B:$B,H$8,'Data - Monthly Metrics'!$C:$C,"East King",'Data - Monthly Metrics'!$D:$D,"Goal - Retention %"))</formula>
    </cfRule>
    <cfRule type="expression" rank="0" priority="98" equalAverage="0" aboveAverage="0" dxfId="2" stopIfTrue="1" text="" percent="0" bottom="0">
      <formula>AND(ISNUMBER(H65),COUNTIFS('Data - Monthly Metrics'!$A:$A,$B$4,'Data - Monthly Metrics'!$B:$B,H$8,'Data - Monthly Metrics'!$C:$C,"East King",'Data - Monthly Metrics'!$D:$D,"Goal - Retention %")&gt;0,H65&gt;=SUMIFS('Data - Monthly Metrics'!$E:$E,'Data - Monthly Metrics'!$A:$A,$B$4,'Data - Monthly Metrics'!$B:$B,H$8,'Data - Monthly Metrics'!$C:$C,"East King",'Data - Monthly Metrics'!$D:$D,"Goal - Retention %")-0.05)</formula>
    </cfRule>
    <cfRule type="expression" rank="0" priority="99" equalAverage="0" aboveAverage="0" dxfId="1" stopIfTrue="1" text="" percent="0" bottom="0">
      <formula>AND(ISNUMBER(H65),COUNTIFS('Data - Monthly Metrics'!$A:$A,$B$4,'Data - Monthly Metrics'!$B:$B,H$8,'Data - Monthly Metrics'!$C:$C,"East King",'Data - Monthly Metrics'!$D:$D,"Goal - Retention %")&gt;0)</formula>
    </cfRule>
  </conditionalFormatting>
  <conditionalFormatting sqref="J65">
    <cfRule type="expression" rank="0" priority="100" equalAverage="0" aboveAverage="0" dxfId="0" stopIfTrue="1" text="" percent="0" bottom="0">
      <formula>AND(ISNUMBER(J65),COUNTIFS('Data - Monthly Metrics'!$A:$A,$B$4,'Data - Monthly Metrics'!$B:$B,J$8,'Data - Monthly Metrics'!$C:$C,"East King",'Data - Monthly Metrics'!$D:$D,"Goal - Retention %")&gt;0,J65&gt;=SUMIFS('Data - Monthly Metrics'!$E:$E,'Data - Monthly Metrics'!$A:$A,$B$4,'Data - Monthly Metrics'!$B:$B,J$8,'Data - Monthly Metrics'!$C:$C,"East King",'Data - Monthly Metrics'!$D:$D,"Goal - Retention %"))</formula>
    </cfRule>
    <cfRule type="expression" rank="0" priority="101" equalAverage="0" aboveAverage="0" dxfId="2" stopIfTrue="1" text="" percent="0" bottom="0">
      <formula>AND(ISNUMBER(J65),COUNTIFS('Data - Monthly Metrics'!$A:$A,$B$4,'Data - Monthly Metrics'!$B:$B,J$8,'Data - Monthly Metrics'!$C:$C,"East King",'Data - Monthly Metrics'!$D:$D,"Goal - Retention %")&gt;0,J65&gt;=SUMIFS('Data - Monthly Metrics'!$E:$E,'Data - Monthly Metrics'!$A:$A,$B$4,'Data - Monthly Metrics'!$B:$B,J$8,'Data - Monthly Metrics'!$C:$C,"East King",'Data - Monthly Metrics'!$D:$D,"Goal - Retention %")-0.05)</formula>
    </cfRule>
    <cfRule type="expression" rank="0" priority="102" equalAverage="0" aboveAverage="0" dxfId="1" stopIfTrue="1" text="" percent="0" bottom="0">
      <formula>AND(ISNUMBER(J65),COUNTIFS('Data - Monthly Metrics'!$A:$A,$B$4,'Data - Monthly Metrics'!$B:$B,J$8,'Data - Monthly Metrics'!$C:$C,"East King",'Data - Monthly Metrics'!$D:$D,"Goal - Retention %")&gt;0)</formula>
    </cfRule>
  </conditionalFormatting>
  <conditionalFormatting sqref="K65">
    <cfRule type="expression" rank="0" priority="103" equalAverage="0" aboveAverage="0" dxfId="0" stopIfTrue="1" text="" percent="0" bottom="0">
      <formula>AND(ISNUMBER(K65),COUNTIFS('Data - Monthly Metrics'!$A:$A,$B$4,'Data - Monthly Metrics'!$B:$B,K$8,'Data - Monthly Metrics'!$C:$C,"East King",'Data - Monthly Metrics'!$D:$D,"Goal - Retention %")&gt;0,K65&gt;=SUMIFS('Data - Monthly Metrics'!$E:$E,'Data - Monthly Metrics'!$A:$A,$B$4,'Data - Monthly Metrics'!$B:$B,K$8,'Data - Monthly Metrics'!$C:$C,"East King",'Data - Monthly Metrics'!$D:$D,"Goal - Retention %"))</formula>
    </cfRule>
    <cfRule type="expression" rank="0" priority="104" equalAverage="0" aboveAverage="0" dxfId="2" stopIfTrue="1" text="" percent="0" bottom="0">
      <formula>AND(ISNUMBER(K65),COUNTIFS('Data - Monthly Metrics'!$A:$A,$B$4,'Data - Monthly Metrics'!$B:$B,K$8,'Data - Monthly Metrics'!$C:$C,"East King",'Data - Monthly Metrics'!$D:$D,"Goal - Retention %")&gt;0,K65&gt;=SUMIFS('Data - Monthly Metrics'!$E:$E,'Data - Monthly Metrics'!$A:$A,$B$4,'Data - Monthly Metrics'!$B:$B,K$8,'Data - Monthly Metrics'!$C:$C,"East King",'Data - Monthly Metrics'!$D:$D,"Goal - Retention %")-0.05)</formula>
    </cfRule>
    <cfRule type="expression" rank="0" priority="105" equalAverage="0" aboveAverage="0" dxfId="1" stopIfTrue="1" text="" percent="0" bottom="0">
      <formula>AND(ISNUMBER(K65),COUNTIFS('Data - Monthly Metrics'!$A:$A,$B$4,'Data - Monthly Metrics'!$B:$B,K$8,'Data - Monthly Metrics'!$C:$C,"East King",'Data - Monthly Metrics'!$D:$D,"Goal - Retention %")&gt;0)</formula>
    </cfRule>
  </conditionalFormatting>
  <conditionalFormatting sqref="L65">
    <cfRule type="expression" rank="0" priority="106" equalAverage="0" aboveAverage="0" dxfId="0" stopIfTrue="1" text="" percent="0" bottom="0">
      <formula>AND(ISNUMBER(L65),COUNTIFS('Data - Monthly Metrics'!$A:$A,$B$4,'Data - Monthly Metrics'!$B:$B,L$8,'Data - Monthly Metrics'!$C:$C,"East King",'Data - Monthly Metrics'!$D:$D,"Goal - Retention %")&gt;0,L65&gt;=SUMIFS('Data - Monthly Metrics'!$E:$E,'Data - Monthly Metrics'!$A:$A,$B$4,'Data - Monthly Metrics'!$B:$B,L$8,'Data - Monthly Metrics'!$C:$C,"East King",'Data - Monthly Metrics'!$D:$D,"Goal - Retention %"))</formula>
    </cfRule>
    <cfRule type="expression" rank="0" priority="107" equalAverage="0" aboveAverage="0" dxfId="2" stopIfTrue="1" text="" percent="0" bottom="0">
      <formula>AND(ISNUMBER(L65),COUNTIFS('Data - Monthly Metrics'!$A:$A,$B$4,'Data - Monthly Metrics'!$B:$B,L$8,'Data - Monthly Metrics'!$C:$C,"East King",'Data - Monthly Metrics'!$D:$D,"Goal - Retention %")&gt;0,L65&gt;=SUMIFS('Data - Monthly Metrics'!$E:$E,'Data - Monthly Metrics'!$A:$A,$B$4,'Data - Monthly Metrics'!$B:$B,L$8,'Data - Monthly Metrics'!$C:$C,"East King",'Data - Monthly Metrics'!$D:$D,"Goal - Retention %")-0.05)</formula>
    </cfRule>
    <cfRule type="expression" rank="0" priority="108" equalAverage="0" aboveAverage="0" dxfId="1" stopIfTrue="1" text="" percent="0" bottom="0">
      <formula>AND(ISNUMBER(L65),COUNTIFS('Data - Monthly Metrics'!$A:$A,$B$4,'Data - Monthly Metrics'!$B:$B,L$8,'Data - Monthly Metrics'!$C:$C,"East King",'Data - Monthly Metrics'!$D:$D,"Goal - Retention %")&gt;0)</formula>
    </cfRule>
  </conditionalFormatting>
  <conditionalFormatting sqref="N65">
    <cfRule type="expression" rank="0" priority="109" equalAverage="0" aboveAverage="0" dxfId="0" stopIfTrue="1" text="" percent="0" bottom="0">
      <formula>AND(ISNUMBER(N65),COUNTIFS('Data - Monthly Metrics'!$A:$A,$B$4,'Data - Monthly Metrics'!$B:$B,N$8,'Data - Monthly Metrics'!$C:$C,"East King",'Data - Monthly Metrics'!$D:$D,"Goal - Retention %")&gt;0,N65&gt;=SUMIFS('Data - Monthly Metrics'!$E:$E,'Data - Monthly Metrics'!$A:$A,$B$4,'Data - Monthly Metrics'!$B:$B,N$8,'Data - Monthly Metrics'!$C:$C,"East King",'Data - Monthly Metrics'!$D:$D,"Goal - Retention %"))</formula>
    </cfRule>
    <cfRule type="expression" rank="0" priority="110" equalAverage="0" aboveAverage="0" dxfId="2" stopIfTrue="1" text="" percent="0" bottom="0">
      <formula>AND(ISNUMBER(N65),COUNTIFS('Data - Monthly Metrics'!$A:$A,$B$4,'Data - Monthly Metrics'!$B:$B,N$8,'Data - Monthly Metrics'!$C:$C,"East King",'Data - Monthly Metrics'!$D:$D,"Goal - Retention %")&gt;0,N65&gt;=SUMIFS('Data - Monthly Metrics'!$E:$E,'Data - Monthly Metrics'!$A:$A,$B$4,'Data - Monthly Metrics'!$B:$B,N$8,'Data - Monthly Metrics'!$C:$C,"East King",'Data - Monthly Metrics'!$D:$D,"Goal - Retention %")-0.05)</formula>
    </cfRule>
    <cfRule type="expression" rank="0" priority="111" equalAverage="0" aboveAverage="0" dxfId="1" stopIfTrue="1" text="" percent="0" bottom="0">
      <formula>AND(ISNUMBER(N65),COUNTIFS('Data - Monthly Metrics'!$A:$A,$B$4,'Data - Monthly Metrics'!$B:$B,N$8,'Data - Monthly Metrics'!$C:$C,"East King",'Data - Monthly Metrics'!$D:$D,"Goal - Retention %")&gt;0)</formula>
    </cfRule>
  </conditionalFormatting>
  <conditionalFormatting sqref="O65">
    <cfRule type="expression" rank="0" priority="112" equalAverage="0" aboveAverage="0" dxfId="0" stopIfTrue="1" text="" percent="0" bottom="0">
      <formula>AND(ISNUMBER(O65),COUNTIFS('Data - Monthly Metrics'!$A:$A,$B$4,'Data - Monthly Metrics'!$B:$B,O$8,'Data - Monthly Metrics'!$C:$C,"East King",'Data - Monthly Metrics'!$D:$D,"Goal - Retention %")&gt;0,O65&gt;=SUMIFS('Data - Monthly Metrics'!$E:$E,'Data - Monthly Metrics'!$A:$A,$B$4,'Data - Monthly Metrics'!$B:$B,O$8,'Data - Monthly Metrics'!$C:$C,"East King",'Data - Monthly Metrics'!$D:$D,"Goal - Retention %"))</formula>
    </cfRule>
    <cfRule type="expression" rank="0" priority="113" equalAverage="0" aboveAverage="0" dxfId="2" stopIfTrue="1" text="" percent="0" bottom="0">
      <formula>AND(ISNUMBER(O65),COUNTIFS('Data - Monthly Metrics'!$A:$A,$B$4,'Data - Monthly Metrics'!$B:$B,O$8,'Data - Monthly Metrics'!$C:$C,"East King",'Data - Monthly Metrics'!$D:$D,"Goal - Retention %")&gt;0,O65&gt;=SUMIFS('Data - Monthly Metrics'!$E:$E,'Data - Monthly Metrics'!$A:$A,$B$4,'Data - Monthly Metrics'!$B:$B,O$8,'Data - Monthly Metrics'!$C:$C,"East King",'Data - Monthly Metrics'!$D:$D,"Goal - Retention %")-0.05)</formula>
    </cfRule>
    <cfRule type="expression" rank="0" priority="114" equalAverage="0" aboveAverage="0" dxfId="1" stopIfTrue="1" text="" percent="0" bottom="0">
      <formula>AND(ISNUMBER(O65),COUNTIFS('Data - Monthly Metrics'!$A:$A,$B$4,'Data - Monthly Metrics'!$B:$B,O$8,'Data - Monthly Metrics'!$C:$C,"East King",'Data - Monthly Metrics'!$D:$D,"Goal - Retention %")&gt;0)</formula>
    </cfRule>
  </conditionalFormatting>
  <conditionalFormatting sqref="P65">
    <cfRule type="expression" rank="0" priority="115" equalAverage="0" aboveAverage="0" dxfId="0" stopIfTrue="1" text="" percent="0" bottom="0">
      <formula>AND(ISNUMBER(P65),COUNTIFS('Data - Monthly Metrics'!$A:$A,$B$4,'Data - Monthly Metrics'!$B:$B,P$8,'Data - Monthly Metrics'!$C:$C,"East King",'Data - Monthly Metrics'!$D:$D,"Goal - Retention %")&gt;0,P65&gt;=SUMIFS('Data - Monthly Metrics'!$E:$E,'Data - Monthly Metrics'!$A:$A,$B$4,'Data - Monthly Metrics'!$B:$B,P$8,'Data - Monthly Metrics'!$C:$C,"East King",'Data - Monthly Metrics'!$D:$D,"Goal - Retention %"))</formula>
    </cfRule>
    <cfRule type="expression" rank="0" priority="116" equalAverage="0" aboveAverage="0" dxfId="2" stopIfTrue="1" text="" percent="0" bottom="0">
      <formula>AND(ISNUMBER(P65),COUNTIFS('Data - Monthly Metrics'!$A:$A,$B$4,'Data - Monthly Metrics'!$B:$B,P$8,'Data - Monthly Metrics'!$C:$C,"East King",'Data - Monthly Metrics'!$D:$D,"Goal - Retention %")&gt;0,P65&gt;=SUMIFS('Data - Monthly Metrics'!$E:$E,'Data - Monthly Metrics'!$A:$A,$B$4,'Data - Monthly Metrics'!$B:$B,P$8,'Data - Monthly Metrics'!$C:$C,"East King",'Data - Monthly Metrics'!$D:$D,"Goal - Retention %")-0.05)</formula>
    </cfRule>
    <cfRule type="expression" rank="0" priority="117" equalAverage="0" aboveAverage="0" dxfId="1" stopIfTrue="1" text="" percent="0" bottom="0">
      <formula>AND(ISNUMBER(P65),COUNTIFS('Data - Monthly Metrics'!$A:$A,$B$4,'Data - Monthly Metrics'!$B:$B,P$8,'Data - Monthly Metrics'!$C:$C,"East King",'Data - Monthly Metrics'!$D:$D,"Goal - Retention %")&gt;0)</formula>
    </cfRule>
  </conditionalFormatting>
  <conditionalFormatting sqref="B78">
    <cfRule type="expression" rank="0" priority="118" equalAverage="0" aboveAverage="0" dxfId="0" stopIfTrue="1" text="" percent="0" bottom="0">
      <formula>AND(ISNUMBER(B78),COUNTIFS('Data - Monthly Metrics'!$A:$A,$B$4-1,'Data - Monthly Metrics'!$B:$B,B$8,'Data - Monthly Metrics'!$C:$C,"East King",'Data - Monthly Metrics'!$D:$D,"Goal - Penetration %")&gt;0,B78&gt;=SUMIFS('Data - Monthly Metrics'!$E:$E,'Data - Monthly Metrics'!$A:$A,$B$4-1,'Data - Monthly Metrics'!$B:$B,B$8,'Data - Monthly Metrics'!$C:$C,"East King",'Data - Monthly Metrics'!$D:$D,"Goal - Penetration %"))</formula>
    </cfRule>
    <cfRule type="expression" rank="0" priority="119" equalAverage="0" aboveAverage="0" dxfId="2" stopIfTrue="1" text="" percent="0" bottom="0">
      <formula>AND(ISNUMBER(B78),COUNTIFS('Data - Monthly Metrics'!$A:$A,$B$4-1,'Data - Monthly Metrics'!$B:$B,B$8,'Data - Monthly Metrics'!$C:$C,"East King",'Data - Monthly Metrics'!$D:$D,"Goal - Penetration %")&gt;0,B78&gt;=SUMIFS('Data - Monthly Metrics'!$E:$E,'Data - Monthly Metrics'!$A:$A,$B$4-1,'Data - Monthly Metrics'!$B:$B,B$8,'Data - Monthly Metrics'!$C:$C,"East King",'Data - Monthly Metrics'!$D:$D,"Goal - Penetration %")-0.05)</formula>
    </cfRule>
    <cfRule type="expression" rank="0" priority="120" equalAverage="0" aboveAverage="0" dxfId="1" stopIfTrue="1" text="" percent="0" bottom="0">
      <formula>AND(ISNUMBER(B78),COUNTIFS('Data - Monthly Metrics'!$A:$A,$B$4-1,'Data - Monthly Metrics'!$B:$B,B$8,'Data - Monthly Metrics'!$C:$C,"East King",'Data - Monthly Metrics'!$D:$D,"Goal - Penetration %")&gt;0)</formula>
    </cfRule>
  </conditionalFormatting>
  <conditionalFormatting sqref="C78">
    <cfRule type="expression" rank="0" priority="121" equalAverage="0" aboveAverage="0" dxfId="0" stopIfTrue="1" text="" percent="0" bottom="0">
      <formula>AND(ISNUMBER(C78),COUNTIFS('Data - Monthly Metrics'!$A:$A,$B$4-1,'Data - Monthly Metrics'!$B:$B,C$8,'Data - Monthly Metrics'!$C:$C,"East King",'Data - Monthly Metrics'!$D:$D,"Goal - Penetration %")&gt;0,C78&gt;=SUMIFS('Data - Monthly Metrics'!$E:$E,'Data - Monthly Metrics'!$A:$A,$B$4-1,'Data - Monthly Metrics'!$B:$B,C$8,'Data - Monthly Metrics'!$C:$C,"East King",'Data - Monthly Metrics'!$D:$D,"Goal - Penetration %"))</formula>
    </cfRule>
    <cfRule type="expression" rank="0" priority="122" equalAverage="0" aboveAverage="0" dxfId="2" stopIfTrue="1" text="" percent="0" bottom="0">
      <formula>AND(ISNUMBER(C78),COUNTIFS('Data - Monthly Metrics'!$A:$A,$B$4-1,'Data - Monthly Metrics'!$B:$B,C$8,'Data - Monthly Metrics'!$C:$C,"East King",'Data - Monthly Metrics'!$D:$D,"Goal - Penetration %")&gt;0,C78&gt;=SUMIFS('Data - Monthly Metrics'!$E:$E,'Data - Monthly Metrics'!$A:$A,$B$4-1,'Data - Monthly Metrics'!$B:$B,C$8,'Data - Monthly Metrics'!$C:$C,"East King",'Data - Monthly Metrics'!$D:$D,"Goal - Penetration %")-0.05)</formula>
    </cfRule>
    <cfRule type="expression" rank="0" priority="123" equalAverage="0" aboveAverage="0" dxfId="1" stopIfTrue="1" text="" percent="0" bottom="0">
      <formula>AND(ISNUMBER(C78),COUNTIFS('Data - Monthly Metrics'!$A:$A,$B$4-1,'Data - Monthly Metrics'!$B:$B,C$8,'Data - Monthly Metrics'!$C:$C,"East King",'Data - Monthly Metrics'!$D:$D,"Goal - Penetration %")&gt;0)</formula>
    </cfRule>
  </conditionalFormatting>
  <conditionalFormatting sqref="D78">
    <cfRule type="expression" rank="0" priority="124" equalAverage="0" aboveAverage="0" dxfId="0" stopIfTrue="1" text="" percent="0" bottom="0">
      <formula>AND(ISNUMBER(D78),COUNTIFS('Data - Monthly Metrics'!$A:$A,$B$4-1,'Data - Monthly Metrics'!$B:$B,D$8,'Data - Monthly Metrics'!$C:$C,"East King",'Data - Monthly Metrics'!$D:$D,"Goal - Penetration %")&gt;0,D78&gt;=SUMIFS('Data - Monthly Metrics'!$E:$E,'Data - Monthly Metrics'!$A:$A,$B$4-1,'Data - Monthly Metrics'!$B:$B,D$8,'Data - Monthly Metrics'!$C:$C,"East King",'Data - Monthly Metrics'!$D:$D,"Goal - Penetration %"))</formula>
    </cfRule>
    <cfRule type="expression" rank="0" priority="125" equalAverage="0" aboveAverage="0" dxfId="2" stopIfTrue="1" text="" percent="0" bottom="0">
      <formula>AND(ISNUMBER(D78),COUNTIFS('Data - Monthly Metrics'!$A:$A,$B$4-1,'Data - Monthly Metrics'!$B:$B,D$8,'Data - Monthly Metrics'!$C:$C,"East King",'Data - Monthly Metrics'!$D:$D,"Goal - Penetration %")&gt;0,D78&gt;=SUMIFS('Data - Monthly Metrics'!$E:$E,'Data - Monthly Metrics'!$A:$A,$B$4-1,'Data - Monthly Metrics'!$B:$B,D$8,'Data - Monthly Metrics'!$C:$C,"East King",'Data - Monthly Metrics'!$D:$D,"Goal - Penetration %")-0.05)</formula>
    </cfRule>
    <cfRule type="expression" rank="0" priority="126" equalAverage="0" aboveAverage="0" dxfId="1" stopIfTrue="1" text="" percent="0" bottom="0">
      <formula>AND(ISNUMBER(D78),COUNTIFS('Data - Monthly Metrics'!$A:$A,$B$4-1,'Data - Monthly Metrics'!$B:$B,D$8,'Data - Monthly Metrics'!$C:$C,"East King",'Data - Monthly Metrics'!$D:$D,"Goal - Penetration %")&gt;0)</formula>
    </cfRule>
  </conditionalFormatting>
  <conditionalFormatting sqref="F78">
    <cfRule type="expression" rank="0" priority="127" equalAverage="0" aboveAverage="0" dxfId="0" stopIfTrue="1" text="" percent="0" bottom="0">
      <formula>AND(ISNUMBER(F78),COUNTIFS('Data - Monthly Metrics'!$A:$A,$B$4,'Data - Monthly Metrics'!$B:$B,F$8,'Data - Monthly Metrics'!$C:$C,"East King",'Data - Monthly Metrics'!$D:$D,"Goal - Penetration %")&gt;0,F78&gt;=SUMIFS('Data - Monthly Metrics'!$E:$E,'Data - Monthly Metrics'!$A:$A,$B$4,'Data - Monthly Metrics'!$B:$B,F$8,'Data - Monthly Metrics'!$C:$C,"East King",'Data - Monthly Metrics'!$D:$D,"Goal - Penetration %"))</formula>
    </cfRule>
    <cfRule type="expression" rank="0" priority="128" equalAverage="0" aboveAverage="0" dxfId="2" stopIfTrue="1" text="" percent="0" bottom="0">
      <formula>AND(ISNUMBER(F78),COUNTIFS('Data - Monthly Metrics'!$A:$A,$B$4,'Data - Monthly Metrics'!$B:$B,F$8,'Data - Monthly Metrics'!$C:$C,"East King",'Data - Monthly Metrics'!$D:$D,"Goal - Penetration %")&gt;0,F78&gt;=SUMIFS('Data - Monthly Metrics'!$E:$E,'Data - Monthly Metrics'!$A:$A,$B$4,'Data - Monthly Metrics'!$B:$B,F$8,'Data - Monthly Metrics'!$C:$C,"East King",'Data - Monthly Metrics'!$D:$D,"Goal - Penetration %")-0.05)</formula>
    </cfRule>
    <cfRule type="expression" rank="0" priority="129" equalAverage="0" aboveAverage="0" dxfId="1" stopIfTrue="1" text="" percent="0" bottom="0">
      <formula>AND(ISNUMBER(F78),COUNTIFS('Data - Monthly Metrics'!$A:$A,$B$4,'Data - Monthly Metrics'!$B:$B,F$8,'Data - Monthly Metrics'!$C:$C,"East King",'Data - Monthly Metrics'!$D:$D,"Goal - Penetration %")&gt;0)</formula>
    </cfRule>
  </conditionalFormatting>
  <conditionalFormatting sqref="G78">
    <cfRule type="expression" rank="0" priority="130" equalAverage="0" aboveAverage="0" dxfId="0" stopIfTrue="1" text="" percent="0" bottom="0">
      <formula>AND(ISNUMBER(G78),COUNTIFS('Data - Monthly Metrics'!$A:$A,$B$4,'Data - Monthly Metrics'!$B:$B,G$8,'Data - Monthly Metrics'!$C:$C,"East King",'Data - Monthly Metrics'!$D:$D,"Goal - Penetration %")&gt;0,G78&gt;=SUMIFS('Data - Monthly Metrics'!$E:$E,'Data - Monthly Metrics'!$A:$A,$B$4,'Data - Monthly Metrics'!$B:$B,G$8,'Data - Monthly Metrics'!$C:$C,"East King",'Data - Monthly Metrics'!$D:$D,"Goal - Penetration %"))</formula>
    </cfRule>
    <cfRule type="expression" rank="0" priority="131" equalAverage="0" aboveAverage="0" dxfId="2" stopIfTrue="1" text="" percent="0" bottom="0">
      <formula>AND(ISNUMBER(G78),COUNTIFS('Data - Monthly Metrics'!$A:$A,$B$4,'Data - Monthly Metrics'!$B:$B,G$8,'Data - Monthly Metrics'!$C:$C,"East King",'Data - Monthly Metrics'!$D:$D,"Goal - Penetration %")&gt;0,G78&gt;=SUMIFS('Data - Monthly Metrics'!$E:$E,'Data - Monthly Metrics'!$A:$A,$B$4,'Data - Monthly Metrics'!$B:$B,G$8,'Data - Monthly Metrics'!$C:$C,"East King",'Data - Monthly Metrics'!$D:$D,"Goal - Penetration %")-0.05)</formula>
    </cfRule>
    <cfRule type="expression" rank="0" priority="132" equalAverage="0" aboveAverage="0" dxfId="1" stopIfTrue="1" text="" percent="0" bottom="0">
      <formula>AND(ISNUMBER(G78),COUNTIFS('Data - Monthly Metrics'!$A:$A,$B$4,'Data - Monthly Metrics'!$B:$B,G$8,'Data - Monthly Metrics'!$C:$C,"East King",'Data - Monthly Metrics'!$D:$D,"Goal - Penetration %")&gt;0)</formula>
    </cfRule>
  </conditionalFormatting>
  <conditionalFormatting sqref="H78">
    <cfRule type="expression" rank="0" priority="133" equalAverage="0" aboveAverage="0" dxfId="0" stopIfTrue="1" text="" percent="0" bottom="0">
      <formula>AND(ISNUMBER(H78),COUNTIFS('Data - Monthly Metrics'!$A:$A,$B$4,'Data - Monthly Metrics'!$B:$B,H$8,'Data - Monthly Metrics'!$C:$C,"East King",'Data - Monthly Metrics'!$D:$D,"Goal - Penetration %")&gt;0,H78&gt;=SUMIFS('Data - Monthly Metrics'!$E:$E,'Data - Monthly Metrics'!$A:$A,$B$4,'Data - Monthly Metrics'!$B:$B,H$8,'Data - Monthly Metrics'!$C:$C,"East King",'Data - Monthly Metrics'!$D:$D,"Goal - Penetration %"))</formula>
    </cfRule>
    <cfRule type="expression" rank="0" priority="134" equalAverage="0" aboveAverage="0" dxfId="2" stopIfTrue="1" text="" percent="0" bottom="0">
      <formula>AND(ISNUMBER(H78),COUNTIFS('Data - Monthly Metrics'!$A:$A,$B$4,'Data - Monthly Metrics'!$B:$B,H$8,'Data - Monthly Metrics'!$C:$C,"East King",'Data - Monthly Metrics'!$D:$D,"Goal - Penetration %")&gt;0,H78&gt;=SUMIFS('Data - Monthly Metrics'!$E:$E,'Data - Monthly Metrics'!$A:$A,$B$4,'Data - Monthly Metrics'!$B:$B,H$8,'Data - Monthly Metrics'!$C:$C,"East King",'Data - Monthly Metrics'!$D:$D,"Goal - Penetration %")-0.05)</formula>
    </cfRule>
    <cfRule type="expression" rank="0" priority="135" equalAverage="0" aboveAverage="0" dxfId="1" stopIfTrue="1" text="" percent="0" bottom="0">
      <formula>AND(ISNUMBER(H78),COUNTIFS('Data - Monthly Metrics'!$A:$A,$B$4,'Data - Monthly Metrics'!$B:$B,H$8,'Data - Monthly Metrics'!$C:$C,"East King",'Data - Monthly Metrics'!$D:$D,"Goal - Penetration %")&gt;0)</formula>
    </cfRule>
  </conditionalFormatting>
  <conditionalFormatting sqref="J78">
    <cfRule type="expression" rank="0" priority="136" equalAverage="0" aboveAverage="0" dxfId="0" stopIfTrue="1" text="" percent="0" bottom="0">
      <formula>AND(ISNUMBER(J78),COUNTIFS('Data - Monthly Metrics'!$A:$A,$B$4,'Data - Monthly Metrics'!$B:$B,J$8,'Data - Monthly Metrics'!$C:$C,"East King",'Data - Monthly Metrics'!$D:$D,"Goal - Penetration %")&gt;0,J78&gt;=SUMIFS('Data - Monthly Metrics'!$E:$E,'Data - Monthly Metrics'!$A:$A,$B$4,'Data - Monthly Metrics'!$B:$B,J$8,'Data - Monthly Metrics'!$C:$C,"East King",'Data - Monthly Metrics'!$D:$D,"Goal - Penetration %"))</formula>
    </cfRule>
    <cfRule type="expression" rank="0" priority="137" equalAverage="0" aboveAverage="0" dxfId="2" stopIfTrue="1" text="" percent="0" bottom="0">
      <formula>AND(ISNUMBER(J78),COUNTIFS('Data - Monthly Metrics'!$A:$A,$B$4,'Data - Monthly Metrics'!$B:$B,J$8,'Data - Monthly Metrics'!$C:$C,"East King",'Data - Monthly Metrics'!$D:$D,"Goal - Penetration %")&gt;0,J78&gt;=SUMIFS('Data - Monthly Metrics'!$E:$E,'Data - Monthly Metrics'!$A:$A,$B$4,'Data - Monthly Metrics'!$B:$B,J$8,'Data - Monthly Metrics'!$C:$C,"East King",'Data - Monthly Metrics'!$D:$D,"Goal - Penetration %")-0.05)</formula>
    </cfRule>
    <cfRule type="expression" rank="0" priority="138" equalAverage="0" aboveAverage="0" dxfId="1" stopIfTrue="1" text="" percent="0" bottom="0">
      <formula>AND(ISNUMBER(J78),COUNTIFS('Data - Monthly Metrics'!$A:$A,$B$4,'Data - Monthly Metrics'!$B:$B,J$8,'Data - Monthly Metrics'!$C:$C,"East King",'Data - Monthly Metrics'!$D:$D,"Goal - Penetration %")&gt;0)</formula>
    </cfRule>
  </conditionalFormatting>
  <conditionalFormatting sqref="K78">
    <cfRule type="expression" rank="0" priority="139" equalAverage="0" aboveAverage="0" dxfId="0" stopIfTrue="1" text="" percent="0" bottom="0">
      <formula>AND(ISNUMBER(K78),COUNTIFS('Data - Monthly Metrics'!$A:$A,$B$4,'Data - Monthly Metrics'!$B:$B,K$8,'Data - Monthly Metrics'!$C:$C,"East King",'Data - Monthly Metrics'!$D:$D,"Goal - Penetration %")&gt;0,K78&gt;=SUMIFS('Data - Monthly Metrics'!$E:$E,'Data - Monthly Metrics'!$A:$A,$B$4,'Data - Monthly Metrics'!$B:$B,K$8,'Data - Monthly Metrics'!$C:$C,"East King",'Data - Monthly Metrics'!$D:$D,"Goal - Penetration %"))</formula>
    </cfRule>
    <cfRule type="expression" rank="0" priority="140" equalAverage="0" aboveAverage="0" dxfId="2" stopIfTrue="1" text="" percent="0" bottom="0">
      <formula>AND(ISNUMBER(K78),COUNTIFS('Data - Monthly Metrics'!$A:$A,$B$4,'Data - Monthly Metrics'!$B:$B,K$8,'Data - Monthly Metrics'!$C:$C,"East King",'Data - Monthly Metrics'!$D:$D,"Goal - Penetration %")&gt;0,K78&gt;=SUMIFS('Data - Monthly Metrics'!$E:$E,'Data - Monthly Metrics'!$A:$A,$B$4,'Data - Monthly Metrics'!$B:$B,K$8,'Data - Monthly Metrics'!$C:$C,"East King",'Data - Monthly Metrics'!$D:$D,"Goal - Penetration %")-0.05)</formula>
    </cfRule>
    <cfRule type="expression" rank="0" priority="141" equalAverage="0" aboveAverage="0" dxfId="1" stopIfTrue="1" text="" percent="0" bottom="0">
      <formula>AND(ISNUMBER(K78),COUNTIFS('Data - Monthly Metrics'!$A:$A,$B$4,'Data - Monthly Metrics'!$B:$B,K$8,'Data - Monthly Metrics'!$C:$C,"East King",'Data - Monthly Metrics'!$D:$D,"Goal - Penetration %")&gt;0)</formula>
    </cfRule>
  </conditionalFormatting>
  <conditionalFormatting sqref="L78">
    <cfRule type="expression" rank="0" priority="142" equalAverage="0" aboveAverage="0" dxfId="0" stopIfTrue="1" text="" percent="0" bottom="0">
      <formula>AND(ISNUMBER(L78),COUNTIFS('Data - Monthly Metrics'!$A:$A,$B$4,'Data - Monthly Metrics'!$B:$B,L$8,'Data - Monthly Metrics'!$C:$C,"East King",'Data - Monthly Metrics'!$D:$D,"Goal - Penetration %")&gt;0,L78&gt;=SUMIFS('Data - Monthly Metrics'!$E:$E,'Data - Monthly Metrics'!$A:$A,$B$4,'Data - Monthly Metrics'!$B:$B,L$8,'Data - Monthly Metrics'!$C:$C,"East King",'Data - Monthly Metrics'!$D:$D,"Goal - Penetration %"))</formula>
    </cfRule>
    <cfRule type="expression" rank="0" priority="143" equalAverage="0" aboveAverage="0" dxfId="2" stopIfTrue="1" text="" percent="0" bottom="0">
      <formula>AND(ISNUMBER(L78),COUNTIFS('Data - Monthly Metrics'!$A:$A,$B$4,'Data - Monthly Metrics'!$B:$B,L$8,'Data - Monthly Metrics'!$C:$C,"East King",'Data - Monthly Metrics'!$D:$D,"Goal - Penetration %")&gt;0,L78&gt;=SUMIFS('Data - Monthly Metrics'!$E:$E,'Data - Monthly Metrics'!$A:$A,$B$4,'Data - Monthly Metrics'!$B:$B,L$8,'Data - Monthly Metrics'!$C:$C,"East King",'Data - Monthly Metrics'!$D:$D,"Goal - Penetration %")-0.05)</formula>
    </cfRule>
    <cfRule type="expression" rank="0" priority="144" equalAverage="0" aboveAverage="0" dxfId="1" stopIfTrue="1" text="" percent="0" bottom="0">
      <formula>AND(ISNUMBER(L78),COUNTIFS('Data - Monthly Metrics'!$A:$A,$B$4,'Data - Monthly Metrics'!$B:$B,L$8,'Data - Monthly Metrics'!$C:$C,"East King",'Data - Monthly Metrics'!$D:$D,"Goal - Penetration %")&gt;0)</formula>
    </cfRule>
  </conditionalFormatting>
  <conditionalFormatting sqref="N78">
    <cfRule type="expression" rank="0" priority="145" equalAverage="0" aboveAverage="0" dxfId="0" stopIfTrue="1" text="" percent="0" bottom="0">
      <formula>AND(ISNUMBER(N78),COUNTIFS('Data - Monthly Metrics'!$A:$A,$B$4,'Data - Monthly Metrics'!$B:$B,N$8,'Data - Monthly Metrics'!$C:$C,"East King",'Data - Monthly Metrics'!$D:$D,"Goal - Penetration %")&gt;0,N78&gt;=SUMIFS('Data - Monthly Metrics'!$E:$E,'Data - Monthly Metrics'!$A:$A,$B$4,'Data - Monthly Metrics'!$B:$B,N$8,'Data - Monthly Metrics'!$C:$C,"East King",'Data - Monthly Metrics'!$D:$D,"Goal - Penetration %"))</formula>
    </cfRule>
    <cfRule type="expression" rank="0" priority="146" equalAverage="0" aboveAverage="0" dxfId="2" stopIfTrue="1" text="" percent="0" bottom="0">
      <formula>AND(ISNUMBER(N78),COUNTIFS('Data - Monthly Metrics'!$A:$A,$B$4,'Data - Monthly Metrics'!$B:$B,N$8,'Data - Monthly Metrics'!$C:$C,"East King",'Data - Monthly Metrics'!$D:$D,"Goal - Penetration %")&gt;0,N78&gt;=SUMIFS('Data - Monthly Metrics'!$E:$E,'Data - Monthly Metrics'!$A:$A,$B$4,'Data - Monthly Metrics'!$B:$B,N$8,'Data - Monthly Metrics'!$C:$C,"East King",'Data - Monthly Metrics'!$D:$D,"Goal - Penetration %")-0.05)</formula>
    </cfRule>
    <cfRule type="expression" rank="0" priority="147" equalAverage="0" aboveAverage="0" dxfId="1" stopIfTrue="1" text="" percent="0" bottom="0">
      <formula>AND(ISNUMBER(N78),COUNTIFS('Data - Monthly Metrics'!$A:$A,$B$4,'Data - Monthly Metrics'!$B:$B,N$8,'Data - Monthly Metrics'!$C:$C,"East King",'Data - Monthly Metrics'!$D:$D,"Goal - Penetration %")&gt;0)</formula>
    </cfRule>
  </conditionalFormatting>
  <conditionalFormatting sqref="O78">
    <cfRule type="expression" rank="0" priority="148" equalAverage="0" aboveAverage="0" dxfId="0" stopIfTrue="1" text="" percent="0" bottom="0">
      <formula>AND(ISNUMBER(O78),COUNTIFS('Data - Monthly Metrics'!$A:$A,$B$4,'Data - Monthly Metrics'!$B:$B,O$8,'Data - Monthly Metrics'!$C:$C,"East King",'Data - Monthly Metrics'!$D:$D,"Goal - Penetration %")&gt;0,O78&gt;=SUMIFS('Data - Monthly Metrics'!$E:$E,'Data - Monthly Metrics'!$A:$A,$B$4,'Data - Monthly Metrics'!$B:$B,O$8,'Data - Monthly Metrics'!$C:$C,"East King",'Data - Monthly Metrics'!$D:$D,"Goal - Penetration %"))</formula>
    </cfRule>
    <cfRule type="expression" rank="0" priority="149" equalAverage="0" aboveAverage="0" dxfId="2" stopIfTrue="1" text="" percent="0" bottom="0">
      <formula>AND(ISNUMBER(O78),COUNTIFS('Data - Monthly Metrics'!$A:$A,$B$4,'Data - Monthly Metrics'!$B:$B,O$8,'Data - Monthly Metrics'!$C:$C,"East King",'Data - Monthly Metrics'!$D:$D,"Goal - Penetration %")&gt;0,O78&gt;=SUMIFS('Data - Monthly Metrics'!$E:$E,'Data - Monthly Metrics'!$A:$A,$B$4,'Data - Monthly Metrics'!$B:$B,O$8,'Data - Monthly Metrics'!$C:$C,"East King",'Data - Monthly Metrics'!$D:$D,"Goal - Penetration %")-0.05)</formula>
    </cfRule>
    <cfRule type="expression" rank="0" priority="150" equalAverage="0" aboveAverage="0" dxfId="1" stopIfTrue="1" text="" percent="0" bottom="0">
      <formula>AND(ISNUMBER(O78),COUNTIFS('Data - Monthly Metrics'!$A:$A,$B$4,'Data - Monthly Metrics'!$B:$B,O$8,'Data - Monthly Metrics'!$C:$C,"East King",'Data - Monthly Metrics'!$D:$D,"Goal - Penetration %")&gt;0)</formula>
    </cfRule>
  </conditionalFormatting>
  <conditionalFormatting sqref="P78">
    <cfRule type="expression" rank="0" priority="151" equalAverage="0" aboveAverage="0" dxfId="0" stopIfTrue="1" text="" percent="0" bottom="0">
      <formula>AND(ISNUMBER(P78),COUNTIFS('Data - Monthly Metrics'!$A:$A,$B$4,'Data - Monthly Metrics'!$B:$B,P$8,'Data - Monthly Metrics'!$C:$C,"East King",'Data - Monthly Metrics'!$D:$D,"Goal - Penetration %")&gt;0,P78&gt;=SUMIFS('Data - Monthly Metrics'!$E:$E,'Data - Monthly Metrics'!$A:$A,$B$4,'Data - Monthly Metrics'!$B:$B,P$8,'Data - Monthly Metrics'!$C:$C,"East King",'Data - Monthly Metrics'!$D:$D,"Goal - Penetration %"))</formula>
    </cfRule>
    <cfRule type="expression" rank="0" priority="152" equalAverage="0" aboveAverage="0" dxfId="2" stopIfTrue="1" text="" percent="0" bottom="0">
      <formula>AND(ISNUMBER(P78),COUNTIFS('Data - Monthly Metrics'!$A:$A,$B$4,'Data - Monthly Metrics'!$B:$B,P$8,'Data - Monthly Metrics'!$C:$C,"East King",'Data - Monthly Metrics'!$D:$D,"Goal - Penetration %")&gt;0,P78&gt;=SUMIFS('Data - Monthly Metrics'!$E:$E,'Data - Monthly Metrics'!$A:$A,$B$4,'Data - Monthly Metrics'!$B:$B,P$8,'Data - Monthly Metrics'!$C:$C,"East King",'Data - Monthly Metrics'!$D:$D,"Goal - Penetration %")-0.05)</formula>
    </cfRule>
    <cfRule type="expression" rank="0" priority="153" equalAverage="0" aboveAverage="0" dxfId="1" stopIfTrue="1" text="" percent="0" bottom="0">
      <formula>AND(ISNUMBER(P78),COUNTIFS('Data - Monthly Metrics'!$A:$A,$B$4,'Data - Monthly Metrics'!$B:$B,P$8,'Data - Monthly Metrics'!$C:$C,"East King",'Data - Monthly Metrics'!$D:$D,"Goal - Penetration %")&gt;0)</formula>
    </cfRule>
  </conditionalFormatting>
  <conditionalFormatting sqref="B79">
    <cfRule type="expression" rank="0" priority="154" equalAverage="0" aboveAverage="0" dxfId="0" stopIfTrue="1" text="" percent="0" bottom="0">
      <formula>AND(ISNUMBER(B79),COUNTIFS('Data - Monthly Metrics'!$A:$A,$B$4-1,'Data - Monthly Metrics'!$B:$B,B$8,'Data - Monthly Metrics'!$C:$C,"East King",'Data - Monthly Metrics'!$D:$D,"Goal - Penetration %")&gt;0,B79&gt;=SUMIFS('Data - Monthly Metrics'!$E:$E,'Data - Monthly Metrics'!$A:$A,$B$4-1,'Data - Monthly Metrics'!$B:$B,B$8,'Data - Monthly Metrics'!$C:$C,"East King",'Data - Monthly Metrics'!$D:$D,"Goal - Penetration %"))</formula>
    </cfRule>
    <cfRule type="expression" rank="0" priority="155" equalAverage="0" aboveAverage="0" dxfId="2" stopIfTrue="1" text="" percent="0" bottom="0">
      <formula>AND(ISNUMBER(B79),COUNTIFS('Data - Monthly Metrics'!$A:$A,$B$4-1,'Data - Monthly Metrics'!$B:$B,B$8,'Data - Monthly Metrics'!$C:$C,"East King",'Data - Monthly Metrics'!$D:$D,"Goal - Penetration %")&gt;0,B79&gt;=SUMIFS('Data - Monthly Metrics'!$E:$E,'Data - Monthly Metrics'!$A:$A,$B$4-1,'Data - Monthly Metrics'!$B:$B,B$8,'Data - Monthly Metrics'!$C:$C,"East King",'Data - Monthly Metrics'!$D:$D,"Goal - Penetration %")-0.05)</formula>
    </cfRule>
    <cfRule type="expression" rank="0" priority="156" equalAverage="0" aboveAverage="0" dxfId="1" stopIfTrue="1" text="" percent="0" bottom="0">
      <formula>AND(ISNUMBER(B79),COUNTIFS('Data - Monthly Metrics'!$A:$A,$B$4-1,'Data - Monthly Metrics'!$B:$B,B$8,'Data - Monthly Metrics'!$C:$C,"East King",'Data - Monthly Metrics'!$D:$D,"Goal - Penetration %")&gt;0)</formula>
    </cfRule>
  </conditionalFormatting>
  <conditionalFormatting sqref="C79">
    <cfRule type="expression" rank="0" priority="157" equalAverage="0" aboveAverage="0" dxfId="0" stopIfTrue="1" text="" percent="0" bottom="0">
      <formula>AND(ISNUMBER(C79),COUNTIFS('Data - Monthly Metrics'!$A:$A,$B$4-1,'Data - Monthly Metrics'!$B:$B,C$8,'Data - Monthly Metrics'!$C:$C,"East King",'Data - Monthly Metrics'!$D:$D,"Goal - Penetration %")&gt;0,C79&gt;=SUMIFS('Data - Monthly Metrics'!$E:$E,'Data - Monthly Metrics'!$A:$A,$B$4-1,'Data - Monthly Metrics'!$B:$B,C$8,'Data - Monthly Metrics'!$C:$C,"East King",'Data - Monthly Metrics'!$D:$D,"Goal - Penetration %"))</formula>
    </cfRule>
    <cfRule type="expression" rank="0" priority="158" equalAverage="0" aboveAverage="0" dxfId="2" stopIfTrue="1" text="" percent="0" bottom="0">
      <formula>AND(ISNUMBER(C79),COUNTIFS('Data - Monthly Metrics'!$A:$A,$B$4-1,'Data - Monthly Metrics'!$B:$B,C$8,'Data - Monthly Metrics'!$C:$C,"East King",'Data - Monthly Metrics'!$D:$D,"Goal - Penetration %")&gt;0,C79&gt;=SUMIFS('Data - Monthly Metrics'!$E:$E,'Data - Monthly Metrics'!$A:$A,$B$4-1,'Data - Monthly Metrics'!$B:$B,C$8,'Data - Monthly Metrics'!$C:$C,"East King",'Data - Monthly Metrics'!$D:$D,"Goal - Penetration %")-0.05)</formula>
    </cfRule>
    <cfRule type="expression" rank="0" priority="159" equalAverage="0" aboveAverage="0" dxfId="1" stopIfTrue="1" text="" percent="0" bottom="0">
      <formula>AND(ISNUMBER(C79),COUNTIFS('Data - Monthly Metrics'!$A:$A,$B$4-1,'Data - Monthly Metrics'!$B:$B,C$8,'Data - Monthly Metrics'!$C:$C,"East King",'Data - Monthly Metrics'!$D:$D,"Goal - Penetration %")&gt;0)</formula>
    </cfRule>
  </conditionalFormatting>
  <conditionalFormatting sqref="D79">
    <cfRule type="expression" rank="0" priority="160" equalAverage="0" aboveAverage="0" dxfId="0" stopIfTrue="1" text="" percent="0" bottom="0">
      <formula>AND(ISNUMBER(D79),COUNTIFS('Data - Monthly Metrics'!$A:$A,$B$4-1,'Data - Monthly Metrics'!$B:$B,D$8,'Data - Monthly Metrics'!$C:$C,"East King",'Data - Monthly Metrics'!$D:$D,"Goal - Penetration %")&gt;0,D79&gt;=SUMIFS('Data - Monthly Metrics'!$E:$E,'Data - Monthly Metrics'!$A:$A,$B$4-1,'Data - Monthly Metrics'!$B:$B,D$8,'Data - Monthly Metrics'!$C:$C,"East King",'Data - Monthly Metrics'!$D:$D,"Goal - Penetration %"))</formula>
    </cfRule>
    <cfRule type="expression" rank="0" priority="161" equalAverage="0" aboveAverage="0" dxfId="2" stopIfTrue="1" text="" percent="0" bottom="0">
      <formula>AND(ISNUMBER(D79),COUNTIFS('Data - Monthly Metrics'!$A:$A,$B$4-1,'Data - Monthly Metrics'!$B:$B,D$8,'Data - Monthly Metrics'!$C:$C,"East King",'Data - Monthly Metrics'!$D:$D,"Goal - Penetration %")&gt;0,D79&gt;=SUMIFS('Data - Monthly Metrics'!$E:$E,'Data - Monthly Metrics'!$A:$A,$B$4-1,'Data - Monthly Metrics'!$B:$B,D$8,'Data - Monthly Metrics'!$C:$C,"East King",'Data - Monthly Metrics'!$D:$D,"Goal - Penetration %")-0.05)</formula>
    </cfRule>
    <cfRule type="expression" rank="0" priority="162" equalAverage="0" aboveAverage="0" dxfId="1" stopIfTrue="1" text="" percent="0" bottom="0">
      <formula>AND(ISNUMBER(D79),COUNTIFS('Data - Monthly Metrics'!$A:$A,$B$4-1,'Data - Monthly Metrics'!$B:$B,D$8,'Data - Monthly Metrics'!$C:$C,"East King",'Data - Monthly Metrics'!$D:$D,"Goal - Penetration %")&gt;0)</formula>
    </cfRule>
  </conditionalFormatting>
  <conditionalFormatting sqref="F79">
    <cfRule type="expression" rank="0" priority="163" equalAverage="0" aboveAverage="0" dxfId="0" stopIfTrue="1" text="" percent="0" bottom="0">
      <formula>AND(ISNUMBER(F79),COUNTIFS('Data - Monthly Metrics'!$A:$A,$B$4,'Data - Monthly Metrics'!$B:$B,F$8,'Data - Monthly Metrics'!$C:$C,"East King",'Data - Monthly Metrics'!$D:$D,"Goal - Penetration %")&gt;0,F79&gt;=SUMIFS('Data - Monthly Metrics'!$E:$E,'Data - Monthly Metrics'!$A:$A,$B$4,'Data - Monthly Metrics'!$B:$B,F$8,'Data - Monthly Metrics'!$C:$C,"East King",'Data - Monthly Metrics'!$D:$D,"Goal - Penetration %"))</formula>
    </cfRule>
    <cfRule type="expression" rank="0" priority="164" equalAverage="0" aboveAverage="0" dxfId="2" stopIfTrue="1" text="" percent="0" bottom="0">
      <formula>AND(ISNUMBER(F79),COUNTIFS('Data - Monthly Metrics'!$A:$A,$B$4,'Data - Monthly Metrics'!$B:$B,F$8,'Data - Monthly Metrics'!$C:$C,"East King",'Data - Monthly Metrics'!$D:$D,"Goal - Penetration %")&gt;0,F79&gt;=SUMIFS('Data - Monthly Metrics'!$E:$E,'Data - Monthly Metrics'!$A:$A,$B$4,'Data - Monthly Metrics'!$B:$B,F$8,'Data - Monthly Metrics'!$C:$C,"East King",'Data - Monthly Metrics'!$D:$D,"Goal - Penetration %")-0.05)</formula>
    </cfRule>
    <cfRule type="expression" rank="0" priority="165" equalAverage="0" aboveAverage="0" dxfId="1" stopIfTrue="1" text="" percent="0" bottom="0">
      <formula>AND(ISNUMBER(F79),COUNTIFS('Data - Monthly Metrics'!$A:$A,$B$4,'Data - Monthly Metrics'!$B:$B,F$8,'Data - Monthly Metrics'!$C:$C,"East King",'Data - Monthly Metrics'!$D:$D,"Goal - Penetration %")&gt;0)</formula>
    </cfRule>
  </conditionalFormatting>
  <conditionalFormatting sqref="G79">
    <cfRule type="expression" rank="0" priority="166" equalAverage="0" aboveAverage="0" dxfId="0" stopIfTrue="1" text="" percent="0" bottom="0">
      <formula>AND(ISNUMBER(G79),COUNTIFS('Data - Monthly Metrics'!$A:$A,$B$4,'Data - Monthly Metrics'!$B:$B,G$8,'Data - Monthly Metrics'!$C:$C,"East King",'Data - Monthly Metrics'!$D:$D,"Goal - Penetration %")&gt;0,G79&gt;=SUMIFS('Data - Monthly Metrics'!$E:$E,'Data - Monthly Metrics'!$A:$A,$B$4,'Data - Monthly Metrics'!$B:$B,G$8,'Data - Monthly Metrics'!$C:$C,"East King",'Data - Monthly Metrics'!$D:$D,"Goal - Penetration %"))</formula>
    </cfRule>
    <cfRule type="expression" rank="0" priority="167" equalAverage="0" aboveAverage="0" dxfId="2" stopIfTrue="1" text="" percent="0" bottom="0">
      <formula>AND(ISNUMBER(G79),COUNTIFS('Data - Monthly Metrics'!$A:$A,$B$4,'Data - Monthly Metrics'!$B:$B,G$8,'Data - Monthly Metrics'!$C:$C,"East King",'Data - Monthly Metrics'!$D:$D,"Goal - Penetration %")&gt;0,G79&gt;=SUMIFS('Data - Monthly Metrics'!$E:$E,'Data - Monthly Metrics'!$A:$A,$B$4,'Data - Monthly Metrics'!$B:$B,G$8,'Data - Monthly Metrics'!$C:$C,"East King",'Data - Monthly Metrics'!$D:$D,"Goal - Penetration %")-0.05)</formula>
    </cfRule>
    <cfRule type="expression" rank="0" priority="168" equalAverage="0" aboveAverage="0" dxfId="1" stopIfTrue="1" text="" percent="0" bottom="0">
      <formula>AND(ISNUMBER(G79),COUNTIFS('Data - Monthly Metrics'!$A:$A,$B$4,'Data - Monthly Metrics'!$B:$B,G$8,'Data - Monthly Metrics'!$C:$C,"East King",'Data - Monthly Metrics'!$D:$D,"Goal - Penetration %")&gt;0)</formula>
    </cfRule>
  </conditionalFormatting>
  <conditionalFormatting sqref="H79">
    <cfRule type="expression" rank="0" priority="169" equalAverage="0" aboveAverage="0" dxfId="0" stopIfTrue="1" text="" percent="0" bottom="0">
      <formula>AND(ISNUMBER(H79),COUNTIFS('Data - Monthly Metrics'!$A:$A,$B$4,'Data - Monthly Metrics'!$B:$B,H$8,'Data - Monthly Metrics'!$C:$C,"East King",'Data - Monthly Metrics'!$D:$D,"Goal - Penetration %")&gt;0,H79&gt;=SUMIFS('Data - Monthly Metrics'!$E:$E,'Data - Monthly Metrics'!$A:$A,$B$4,'Data - Monthly Metrics'!$B:$B,H$8,'Data - Monthly Metrics'!$C:$C,"East King",'Data - Monthly Metrics'!$D:$D,"Goal - Penetration %"))</formula>
    </cfRule>
    <cfRule type="expression" rank="0" priority="170" equalAverage="0" aboveAverage="0" dxfId="2" stopIfTrue="1" text="" percent="0" bottom="0">
      <formula>AND(ISNUMBER(H79),COUNTIFS('Data - Monthly Metrics'!$A:$A,$B$4,'Data - Monthly Metrics'!$B:$B,H$8,'Data - Monthly Metrics'!$C:$C,"East King",'Data - Monthly Metrics'!$D:$D,"Goal - Penetration %")&gt;0,H79&gt;=SUMIFS('Data - Monthly Metrics'!$E:$E,'Data - Monthly Metrics'!$A:$A,$B$4,'Data - Monthly Metrics'!$B:$B,H$8,'Data - Monthly Metrics'!$C:$C,"East King",'Data - Monthly Metrics'!$D:$D,"Goal - Penetration %")-0.05)</formula>
    </cfRule>
    <cfRule type="expression" rank="0" priority="171" equalAverage="0" aboveAverage="0" dxfId="1" stopIfTrue="1" text="" percent="0" bottom="0">
      <formula>AND(ISNUMBER(H79),COUNTIFS('Data - Monthly Metrics'!$A:$A,$B$4,'Data - Monthly Metrics'!$B:$B,H$8,'Data - Monthly Metrics'!$C:$C,"East King",'Data - Monthly Metrics'!$D:$D,"Goal - Penetration %")&gt;0)</formula>
    </cfRule>
  </conditionalFormatting>
  <conditionalFormatting sqref="J79">
    <cfRule type="expression" rank="0" priority="172" equalAverage="0" aboveAverage="0" dxfId="0" stopIfTrue="1" text="" percent="0" bottom="0">
      <formula>AND(ISNUMBER(J79),COUNTIFS('Data - Monthly Metrics'!$A:$A,$B$4,'Data - Monthly Metrics'!$B:$B,J$8,'Data - Monthly Metrics'!$C:$C,"East King",'Data - Monthly Metrics'!$D:$D,"Goal - Penetration %")&gt;0,J79&gt;=SUMIFS('Data - Monthly Metrics'!$E:$E,'Data - Monthly Metrics'!$A:$A,$B$4,'Data - Monthly Metrics'!$B:$B,J$8,'Data - Monthly Metrics'!$C:$C,"East King",'Data - Monthly Metrics'!$D:$D,"Goal - Penetration %"))</formula>
    </cfRule>
    <cfRule type="expression" rank="0" priority="173" equalAverage="0" aboveAverage="0" dxfId="2" stopIfTrue="1" text="" percent="0" bottom="0">
      <formula>AND(ISNUMBER(J79),COUNTIFS('Data - Monthly Metrics'!$A:$A,$B$4,'Data - Monthly Metrics'!$B:$B,J$8,'Data - Monthly Metrics'!$C:$C,"East King",'Data - Monthly Metrics'!$D:$D,"Goal - Penetration %")&gt;0,J79&gt;=SUMIFS('Data - Monthly Metrics'!$E:$E,'Data - Monthly Metrics'!$A:$A,$B$4,'Data - Monthly Metrics'!$B:$B,J$8,'Data - Monthly Metrics'!$C:$C,"East King",'Data - Monthly Metrics'!$D:$D,"Goal - Penetration %")-0.05)</formula>
    </cfRule>
    <cfRule type="expression" rank="0" priority="174" equalAverage="0" aboveAverage="0" dxfId="1" stopIfTrue="1" text="" percent="0" bottom="0">
      <formula>AND(ISNUMBER(J79),COUNTIFS('Data - Monthly Metrics'!$A:$A,$B$4,'Data - Monthly Metrics'!$B:$B,J$8,'Data - Monthly Metrics'!$C:$C,"East King",'Data - Monthly Metrics'!$D:$D,"Goal - Penetration %")&gt;0)</formula>
    </cfRule>
  </conditionalFormatting>
  <conditionalFormatting sqref="K79">
    <cfRule type="expression" rank="0" priority="175" equalAverage="0" aboveAverage="0" dxfId="0" stopIfTrue="1" text="" percent="0" bottom="0">
      <formula>AND(ISNUMBER(K79),COUNTIFS('Data - Monthly Metrics'!$A:$A,$B$4,'Data - Monthly Metrics'!$B:$B,K$8,'Data - Monthly Metrics'!$C:$C,"East King",'Data - Monthly Metrics'!$D:$D,"Goal - Penetration %")&gt;0,K79&gt;=SUMIFS('Data - Monthly Metrics'!$E:$E,'Data - Monthly Metrics'!$A:$A,$B$4,'Data - Monthly Metrics'!$B:$B,K$8,'Data - Monthly Metrics'!$C:$C,"East King",'Data - Monthly Metrics'!$D:$D,"Goal - Penetration %"))</formula>
    </cfRule>
    <cfRule type="expression" rank="0" priority="176" equalAverage="0" aboveAverage="0" dxfId="2" stopIfTrue="1" text="" percent="0" bottom="0">
      <formula>AND(ISNUMBER(K79),COUNTIFS('Data - Monthly Metrics'!$A:$A,$B$4,'Data - Monthly Metrics'!$B:$B,K$8,'Data - Monthly Metrics'!$C:$C,"East King",'Data - Monthly Metrics'!$D:$D,"Goal - Penetration %")&gt;0,K79&gt;=SUMIFS('Data - Monthly Metrics'!$E:$E,'Data - Monthly Metrics'!$A:$A,$B$4,'Data - Monthly Metrics'!$B:$B,K$8,'Data - Monthly Metrics'!$C:$C,"East King",'Data - Monthly Metrics'!$D:$D,"Goal - Penetration %")-0.05)</formula>
    </cfRule>
    <cfRule type="expression" rank="0" priority="177" equalAverage="0" aboveAverage="0" dxfId="1" stopIfTrue="1" text="" percent="0" bottom="0">
      <formula>AND(ISNUMBER(K79),COUNTIFS('Data - Monthly Metrics'!$A:$A,$B$4,'Data - Monthly Metrics'!$B:$B,K$8,'Data - Monthly Metrics'!$C:$C,"East King",'Data - Monthly Metrics'!$D:$D,"Goal - Penetration %")&gt;0)</formula>
    </cfRule>
  </conditionalFormatting>
  <conditionalFormatting sqref="L79">
    <cfRule type="expression" rank="0" priority="178" equalAverage="0" aboveAverage="0" dxfId="0" stopIfTrue="1" text="" percent="0" bottom="0">
      <formula>AND(ISNUMBER(L79),COUNTIFS('Data - Monthly Metrics'!$A:$A,$B$4,'Data - Monthly Metrics'!$B:$B,L$8,'Data - Monthly Metrics'!$C:$C,"East King",'Data - Monthly Metrics'!$D:$D,"Goal - Penetration %")&gt;0,L79&gt;=SUMIFS('Data - Monthly Metrics'!$E:$E,'Data - Monthly Metrics'!$A:$A,$B$4,'Data - Monthly Metrics'!$B:$B,L$8,'Data - Monthly Metrics'!$C:$C,"East King",'Data - Monthly Metrics'!$D:$D,"Goal - Penetration %"))</formula>
    </cfRule>
    <cfRule type="expression" rank="0" priority="179" equalAverage="0" aboveAverage="0" dxfId="2" stopIfTrue="1" text="" percent="0" bottom="0">
      <formula>AND(ISNUMBER(L79),COUNTIFS('Data - Monthly Metrics'!$A:$A,$B$4,'Data - Monthly Metrics'!$B:$B,L$8,'Data - Monthly Metrics'!$C:$C,"East King",'Data - Monthly Metrics'!$D:$D,"Goal - Penetration %")&gt;0,L79&gt;=SUMIFS('Data - Monthly Metrics'!$E:$E,'Data - Monthly Metrics'!$A:$A,$B$4,'Data - Monthly Metrics'!$B:$B,L$8,'Data - Monthly Metrics'!$C:$C,"East King",'Data - Monthly Metrics'!$D:$D,"Goal - Penetration %")-0.05)</formula>
    </cfRule>
    <cfRule type="expression" rank="0" priority="180" equalAverage="0" aboveAverage="0" dxfId="1" stopIfTrue="1" text="" percent="0" bottom="0">
      <formula>AND(ISNUMBER(L79),COUNTIFS('Data - Monthly Metrics'!$A:$A,$B$4,'Data - Monthly Metrics'!$B:$B,L$8,'Data - Monthly Metrics'!$C:$C,"East King",'Data - Monthly Metrics'!$D:$D,"Goal - Penetration %")&gt;0)</formula>
    </cfRule>
  </conditionalFormatting>
  <conditionalFormatting sqref="N79">
    <cfRule type="expression" rank="0" priority="181" equalAverage="0" aboveAverage="0" dxfId="0" stopIfTrue="1" text="" percent="0" bottom="0">
      <formula>AND(ISNUMBER(N79),COUNTIFS('Data - Monthly Metrics'!$A:$A,$B$4,'Data - Monthly Metrics'!$B:$B,N$8,'Data - Monthly Metrics'!$C:$C,"East King",'Data - Monthly Metrics'!$D:$D,"Goal - Penetration %")&gt;0,N79&gt;=SUMIFS('Data - Monthly Metrics'!$E:$E,'Data - Monthly Metrics'!$A:$A,$B$4,'Data - Monthly Metrics'!$B:$B,N$8,'Data - Monthly Metrics'!$C:$C,"East King",'Data - Monthly Metrics'!$D:$D,"Goal - Penetration %"))</formula>
    </cfRule>
    <cfRule type="expression" rank="0" priority="182" equalAverage="0" aboveAverage="0" dxfId="2" stopIfTrue="1" text="" percent="0" bottom="0">
      <formula>AND(ISNUMBER(N79),COUNTIFS('Data - Monthly Metrics'!$A:$A,$B$4,'Data - Monthly Metrics'!$B:$B,N$8,'Data - Monthly Metrics'!$C:$C,"East King",'Data - Monthly Metrics'!$D:$D,"Goal - Penetration %")&gt;0,N79&gt;=SUMIFS('Data - Monthly Metrics'!$E:$E,'Data - Monthly Metrics'!$A:$A,$B$4,'Data - Monthly Metrics'!$B:$B,N$8,'Data - Monthly Metrics'!$C:$C,"East King",'Data - Monthly Metrics'!$D:$D,"Goal - Penetration %")-0.05)</formula>
    </cfRule>
    <cfRule type="expression" rank="0" priority="183" equalAverage="0" aboveAverage="0" dxfId="1" stopIfTrue="1" text="" percent="0" bottom="0">
      <formula>AND(ISNUMBER(N79),COUNTIFS('Data - Monthly Metrics'!$A:$A,$B$4,'Data - Monthly Metrics'!$B:$B,N$8,'Data - Monthly Metrics'!$C:$C,"East King",'Data - Monthly Metrics'!$D:$D,"Goal - Penetration %")&gt;0)</formula>
    </cfRule>
  </conditionalFormatting>
  <conditionalFormatting sqref="O79">
    <cfRule type="expression" rank="0" priority="184" equalAverage="0" aboveAverage="0" dxfId="0" stopIfTrue="1" text="" percent="0" bottom="0">
      <formula>AND(ISNUMBER(O79),COUNTIFS('Data - Monthly Metrics'!$A:$A,$B$4,'Data - Monthly Metrics'!$B:$B,O$8,'Data - Monthly Metrics'!$C:$C,"East King",'Data - Monthly Metrics'!$D:$D,"Goal - Penetration %")&gt;0,O79&gt;=SUMIFS('Data - Monthly Metrics'!$E:$E,'Data - Monthly Metrics'!$A:$A,$B$4,'Data - Monthly Metrics'!$B:$B,O$8,'Data - Monthly Metrics'!$C:$C,"East King",'Data - Monthly Metrics'!$D:$D,"Goal - Penetration %"))</formula>
    </cfRule>
    <cfRule type="expression" rank="0" priority="185" equalAverage="0" aboveAverage="0" dxfId="2" stopIfTrue="1" text="" percent="0" bottom="0">
      <formula>AND(ISNUMBER(O79),COUNTIFS('Data - Monthly Metrics'!$A:$A,$B$4,'Data - Monthly Metrics'!$B:$B,O$8,'Data - Monthly Metrics'!$C:$C,"East King",'Data - Monthly Metrics'!$D:$D,"Goal - Penetration %")&gt;0,O79&gt;=SUMIFS('Data - Monthly Metrics'!$E:$E,'Data - Monthly Metrics'!$A:$A,$B$4,'Data - Monthly Metrics'!$B:$B,O$8,'Data - Monthly Metrics'!$C:$C,"East King",'Data - Monthly Metrics'!$D:$D,"Goal - Penetration %")-0.05)</formula>
    </cfRule>
    <cfRule type="expression" rank="0" priority="186" equalAverage="0" aboveAverage="0" dxfId="1" stopIfTrue="1" text="" percent="0" bottom="0">
      <formula>AND(ISNUMBER(O79),COUNTIFS('Data - Monthly Metrics'!$A:$A,$B$4,'Data - Monthly Metrics'!$B:$B,O$8,'Data - Monthly Metrics'!$C:$C,"East King",'Data - Monthly Metrics'!$D:$D,"Goal - Penetration %")&gt;0)</formula>
    </cfRule>
  </conditionalFormatting>
  <conditionalFormatting sqref="P79">
    <cfRule type="expression" rank="0" priority="187" equalAverage="0" aboveAverage="0" dxfId="0" stopIfTrue="1" text="" percent="0" bottom="0">
      <formula>AND(ISNUMBER(P79),COUNTIFS('Data - Monthly Metrics'!$A:$A,$B$4,'Data - Monthly Metrics'!$B:$B,P$8,'Data - Monthly Metrics'!$C:$C,"East King",'Data - Monthly Metrics'!$D:$D,"Goal - Penetration %")&gt;0,P79&gt;=SUMIFS('Data - Monthly Metrics'!$E:$E,'Data - Monthly Metrics'!$A:$A,$B$4,'Data - Monthly Metrics'!$B:$B,P$8,'Data - Monthly Metrics'!$C:$C,"East King",'Data - Monthly Metrics'!$D:$D,"Goal - Penetration %"))</formula>
    </cfRule>
    <cfRule type="expression" rank="0" priority="188" equalAverage="0" aboveAverage="0" dxfId="2" stopIfTrue="1" text="" percent="0" bottom="0">
      <formula>AND(ISNUMBER(P79),COUNTIFS('Data - Monthly Metrics'!$A:$A,$B$4,'Data - Monthly Metrics'!$B:$B,P$8,'Data - Monthly Metrics'!$C:$C,"East King",'Data - Monthly Metrics'!$D:$D,"Goal - Penetration %")&gt;0,P79&gt;=SUMIFS('Data - Monthly Metrics'!$E:$E,'Data - Monthly Metrics'!$A:$A,$B$4,'Data - Monthly Metrics'!$B:$B,P$8,'Data - Monthly Metrics'!$C:$C,"East King",'Data - Monthly Metrics'!$D:$D,"Goal - Penetration %")-0.05)</formula>
    </cfRule>
    <cfRule type="expression" rank="0" priority="189" equalAverage="0" aboveAverage="0" dxfId="1" stopIfTrue="1" text="" percent="0" bottom="0">
      <formula>AND(ISNUMBER(P79),COUNTIFS('Data - Monthly Metrics'!$A:$A,$B$4,'Data - Monthly Metrics'!$B:$B,P$8,'Data - Monthly Metrics'!$C:$C,"East King",'Data - Monthly Metrics'!$D:$D,"Goal - Penetration %")&gt;0)</formula>
    </cfRule>
  </conditionalFormatting>
  <conditionalFormatting sqref="B80">
    <cfRule type="expression" rank="0" priority="190" equalAverage="0" aboveAverage="0" dxfId="0" stopIfTrue="1" text="" percent="0" bottom="0">
      <formula>AND(ISNUMBER(B80),COUNTIFS('Data - Monthly Metrics'!$A:$A,$B$4-1,'Data - Monthly Metrics'!$B:$B,B$8,'Data - Monthly Metrics'!$C:$C,"East King",'Data - Monthly Metrics'!$D:$D,"Goal - Penetration %")&gt;0,B80&gt;=SUMIFS('Data - Monthly Metrics'!$E:$E,'Data - Monthly Metrics'!$A:$A,$B$4-1,'Data - Monthly Metrics'!$B:$B,B$8,'Data - Monthly Metrics'!$C:$C,"East King",'Data - Monthly Metrics'!$D:$D,"Goal - Penetration %"))</formula>
    </cfRule>
    <cfRule type="expression" rank="0" priority="191" equalAverage="0" aboveAverage="0" dxfId="2" stopIfTrue="1" text="" percent="0" bottom="0">
      <formula>AND(ISNUMBER(B80),COUNTIFS('Data - Monthly Metrics'!$A:$A,$B$4-1,'Data - Monthly Metrics'!$B:$B,B$8,'Data - Monthly Metrics'!$C:$C,"East King",'Data - Monthly Metrics'!$D:$D,"Goal - Penetration %")&gt;0,B80&gt;=SUMIFS('Data - Monthly Metrics'!$E:$E,'Data - Monthly Metrics'!$A:$A,$B$4-1,'Data - Monthly Metrics'!$B:$B,B$8,'Data - Monthly Metrics'!$C:$C,"East King",'Data - Monthly Metrics'!$D:$D,"Goal - Penetration %")-0.05)</formula>
    </cfRule>
    <cfRule type="expression" rank="0" priority="192" equalAverage="0" aboveAverage="0" dxfId="1" stopIfTrue="1" text="" percent="0" bottom="0">
      <formula>AND(ISNUMBER(B80),COUNTIFS('Data - Monthly Metrics'!$A:$A,$B$4-1,'Data - Monthly Metrics'!$B:$B,B$8,'Data - Monthly Metrics'!$C:$C,"East King",'Data - Monthly Metrics'!$D:$D,"Goal - Penetration %")&gt;0)</formula>
    </cfRule>
  </conditionalFormatting>
  <conditionalFormatting sqref="C80">
    <cfRule type="expression" rank="0" priority="193" equalAverage="0" aboveAverage="0" dxfId="0" stopIfTrue="1" text="" percent="0" bottom="0">
      <formula>AND(ISNUMBER(C80),COUNTIFS('Data - Monthly Metrics'!$A:$A,$B$4-1,'Data - Monthly Metrics'!$B:$B,C$8,'Data - Monthly Metrics'!$C:$C,"East King",'Data - Monthly Metrics'!$D:$D,"Goal - Penetration %")&gt;0,C80&gt;=SUMIFS('Data - Monthly Metrics'!$E:$E,'Data - Monthly Metrics'!$A:$A,$B$4-1,'Data - Monthly Metrics'!$B:$B,C$8,'Data - Monthly Metrics'!$C:$C,"East King",'Data - Monthly Metrics'!$D:$D,"Goal - Penetration %"))</formula>
    </cfRule>
    <cfRule type="expression" rank="0" priority="194" equalAverage="0" aboveAverage="0" dxfId="2" stopIfTrue="1" text="" percent="0" bottom="0">
      <formula>AND(ISNUMBER(C80),COUNTIFS('Data - Monthly Metrics'!$A:$A,$B$4-1,'Data - Monthly Metrics'!$B:$B,C$8,'Data - Monthly Metrics'!$C:$C,"East King",'Data - Monthly Metrics'!$D:$D,"Goal - Penetration %")&gt;0,C80&gt;=SUMIFS('Data - Monthly Metrics'!$E:$E,'Data - Monthly Metrics'!$A:$A,$B$4-1,'Data - Monthly Metrics'!$B:$B,C$8,'Data - Monthly Metrics'!$C:$C,"East King",'Data - Monthly Metrics'!$D:$D,"Goal - Penetration %")-0.05)</formula>
    </cfRule>
    <cfRule type="expression" rank="0" priority="195" equalAverage="0" aboveAverage="0" dxfId="1" stopIfTrue="1" text="" percent="0" bottom="0">
      <formula>AND(ISNUMBER(C80),COUNTIFS('Data - Monthly Metrics'!$A:$A,$B$4-1,'Data - Monthly Metrics'!$B:$B,C$8,'Data - Monthly Metrics'!$C:$C,"East King",'Data - Monthly Metrics'!$D:$D,"Goal - Penetration %")&gt;0)</formula>
    </cfRule>
  </conditionalFormatting>
  <conditionalFormatting sqref="D80">
    <cfRule type="expression" rank="0" priority="196" equalAverage="0" aboveAverage="0" dxfId="0" stopIfTrue="1" text="" percent="0" bottom="0">
      <formula>AND(ISNUMBER(D80),COUNTIFS('Data - Monthly Metrics'!$A:$A,$B$4-1,'Data - Monthly Metrics'!$B:$B,D$8,'Data - Monthly Metrics'!$C:$C,"East King",'Data - Monthly Metrics'!$D:$D,"Goal - Penetration %")&gt;0,D80&gt;=SUMIFS('Data - Monthly Metrics'!$E:$E,'Data - Monthly Metrics'!$A:$A,$B$4-1,'Data - Monthly Metrics'!$B:$B,D$8,'Data - Monthly Metrics'!$C:$C,"East King",'Data - Monthly Metrics'!$D:$D,"Goal - Penetration %"))</formula>
    </cfRule>
    <cfRule type="expression" rank="0" priority="197" equalAverage="0" aboveAverage="0" dxfId="2" stopIfTrue="1" text="" percent="0" bottom="0">
      <formula>AND(ISNUMBER(D80),COUNTIFS('Data - Monthly Metrics'!$A:$A,$B$4-1,'Data - Monthly Metrics'!$B:$B,D$8,'Data - Monthly Metrics'!$C:$C,"East King",'Data - Monthly Metrics'!$D:$D,"Goal - Penetration %")&gt;0,D80&gt;=SUMIFS('Data - Monthly Metrics'!$E:$E,'Data - Monthly Metrics'!$A:$A,$B$4-1,'Data - Monthly Metrics'!$B:$B,D$8,'Data - Monthly Metrics'!$C:$C,"East King",'Data - Monthly Metrics'!$D:$D,"Goal - Penetration %")-0.05)</formula>
    </cfRule>
    <cfRule type="expression" rank="0" priority="198" equalAverage="0" aboveAverage="0" dxfId="1" stopIfTrue="1" text="" percent="0" bottom="0">
      <formula>AND(ISNUMBER(D80),COUNTIFS('Data - Monthly Metrics'!$A:$A,$B$4-1,'Data - Monthly Metrics'!$B:$B,D$8,'Data - Monthly Metrics'!$C:$C,"East King",'Data - Monthly Metrics'!$D:$D,"Goal - Penetration %")&gt;0)</formula>
    </cfRule>
  </conditionalFormatting>
  <conditionalFormatting sqref="F80">
    <cfRule type="expression" rank="0" priority="199" equalAverage="0" aboveAverage="0" dxfId="0" stopIfTrue="1" text="" percent="0" bottom="0">
      <formula>AND(ISNUMBER(F80),COUNTIFS('Data - Monthly Metrics'!$A:$A,$B$4,'Data - Monthly Metrics'!$B:$B,F$8,'Data - Monthly Metrics'!$C:$C,"East King",'Data - Monthly Metrics'!$D:$D,"Goal - Penetration %")&gt;0,F80&gt;=SUMIFS('Data - Monthly Metrics'!$E:$E,'Data - Monthly Metrics'!$A:$A,$B$4,'Data - Monthly Metrics'!$B:$B,F$8,'Data - Monthly Metrics'!$C:$C,"East King",'Data - Monthly Metrics'!$D:$D,"Goal - Penetration %"))</formula>
    </cfRule>
    <cfRule type="expression" rank="0" priority="200" equalAverage="0" aboveAverage="0" dxfId="2" stopIfTrue="1" text="" percent="0" bottom="0">
      <formula>AND(ISNUMBER(F80),COUNTIFS('Data - Monthly Metrics'!$A:$A,$B$4,'Data - Monthly Metrics'!$B:$B,F$8,'Data - Monthly Metrics'!$C:$C,"East King",'Data - Monthly Metrics'!$D:$D,"Goal - Penetration %")&gt;0,F80&gt;=SUMIFS('Data - Monthly Metrics'!$E:$E,'Data - Monthly Metrics'!$A:$A,$B$4,'Data - Monthly Metrics'!$B:$B,F$8,'Data - Monthly Metrics'!$C:$C,"East King",'Data - Monthly Metrics'!$D:$D,"Goal - Penetration %")-0.05)</formula>
    </cfRule>
    <cfRule type="expression" rank="0" priority="201" equalAverage="0" aboveAverage="0" dxfId="1" stopIfTrue="1" text="" percent="0" bottom="0">
      <formula>AND(ISNUMBER(F80),COUNTIFS('Data - Monthly Metrics'!$A:$A,$B$4,'Data - Monthly Metrics'!$B:$B,F$8,'Data - Monthly Metrics'!$C:$C,"East King",'Data - Monthly Metrics'!$D:$D,"Goal - Penetration %")&gt;0)</formula>
    </cfRule>
  </conditionalFormatting>
  <conditionalFormatting sqref="G80">
    <cfRule type="expression" rank="0" priority="202" equalAverage="0" aboveAverage="0" dxfId="0" stopIfTrue="1" text="" percent="0" bottom="0">
      <formula>AND(ISNUMBER(G80),COUNTIFS('Data - Monthly Metrics'!$A:$A,$B$4,'Data - Monthly Metrics'!$B:$B,G$8,'Data - Monthly Metrics'!$C:$C,"East King",'Data - Monthly Metrics'!$D:$D,"Goal - Penetration %")&gt;0,G80&gt;=SUMIFS('Data - Monthly Metrics'!$E:$E,'Data - Monthly Metrics'!$A:$A,$B$4,'Data - Monthly Metrics'!$B:$B,G$8,'Data - Monthly Metrics'!$C:$C,"East King",'Data - Monthly Metrics'!$D:$D,"Goal - Penetration %"))</formula>
    </cfRule>
    <cfRule type="expression" rank="0" priority="203" equalAverage="0" aboveAverage="0" dxfId="2" stopIfTrue="1" text="" percent="0" bottom="0">
      <formula>AND(ISNUMBER(G80),COUNTIFS('Data - Monthly Metrics'!$A:$A,$B$4,'Data - Monthly Metrics'!$B:$B,G$8,'Data - Monthly Metrics'!$C:$C,"East King",'Data - Monthly Metrics'!$D:$D,"Goal - Penetration %")&gt;0,G80&gt;=SUMIFS('Data - Monthly Metrics'!$E:$E,'Data - Monthly Metrics'!$A:$A,$B$4,'Data - Monthly Metrics'!$B:$B,G$8,'Data - Monthly Metrics'!$C:$C,"East King",'Data - Monthly Metrics'!$D:$D,"Goal - Penetration %")-0.05)</formula>
    </cfRule>
    <cfRule type="expression" rank="0" priority="204" equalAverage="0" aboveAverage="0" dxfId="1" stopIfTrue="1" text="" percent="0" bottom="0">
      <formula>AND(ISNUMBER(G80),COUNTIFS('Data - Monthly Metrics'!$A:$A,$B$4,'Data - Monthly Metrics'!$B:$B,G$8,'Data - Monthly Metrics'!$C:$C,"East King",'Data - Monthly Metrics'!$D:$D,"Goal - Penetration %")&gt;0)</formula>
    </cfRule>
  </conditionalFormatting>
  <conditionalFormatting sqref="H80">
    <cfRule type="expression" rank="0" priority="205" equalAverage="0" aboveAverage="0" dxfId="0" stopIfTrue="1" text="" percent="0" bottom="0">
      <formula>AND(ISNUMBER(H80),COUNTIFS('Data - Monthly Metrics'!$A:$A,$B$4,'Data - Monthly Metrics'!$B:$B,H$8,'Data - Monthly Metrics'!$C:$C,"East King",'Data - Monthly Metrics'!$D:$D,"Goal - Penetration %")&gt;0,H80&gt;=SUMIFS('Data - Monthly Metrics'!$E:$E,'Data - Monthly Metrics'!$A:$A,$B$4,'Data - Monthly Metrics'!$B:$B,H$8,'Data - Monthly Metrics'!$C:$C,"East King",'Data - Monthly Metrics'!$D:$D,"Goal - Penetration %"))</formula>
    </cfRule>
    <cfRule type="expression" rank="0" priority="206" equalAverage="0" aboveAverage="0" dxfId="2" stopIfTrue="1" text="" percent="0" bottom="0">
      <formula>AND(ISNUMBER(H80),COUNTIFS('Data - Monthly Metrics'!$A:$A,$B$4,'Data - Monthly Metrics'!$B:$B,H$8,'Data - Monthly Metrics'!$C:$C,"East King",'Data - Monthly Metrics'!$D:$D,"Goal - Penetration %")&gt;0,H80&gt;=SUMIFS('Data - Monthly Metrics'!$E:$E,'Data - Monthly Metrics'!$A:$A,$B$4,'Data - Monthly Metrics'!$B:$B,H$8,'Data - Monthly Metrics'!$C:$C,"East King",'Data - Monthly Metrics'!$D:$D,"Goal - Penetration %")-0.05)</formula>
    </cfRule>
    <cfRule type="expression" rank="0" priority="207" equalAverage="0" aboveAverage="0" dxfId="1" stopIfTrue="1" text="" percent="0" bottom="0">
      <formula>AND(ISNUMBER(H80),COUNTIFS('Data - Monthly Metrics'!$A:$A,$B$4,'Data - Monthly Metrics'!$B:$B,H$8,'Data - Monthly Metrics'!$C:$C,"East King",'Data - Monthly Metrics'!$D:$D,"Goal - Penetration %")&gt;0)</formula>
    </cfRule>
  </conditionalFormatting>
  <conditionalFormatting sqref="J80">
    <cfRule type="expression" rank="0" priority="208" equalAverage="0" aboveAverage="0" dxfId="0" stopIfTrue="1" text="" percent="0" bottom="0">
      <formula>AND(ISNUMBER(J80),COUNTIFS('Data - Monthly Metrics'!$A:$A,$B$4,'Data - Monthly Metrics'!$B:$B,J$8,'Data - Monthly Metrics'!$C:$C,"East King",'Data - Monthly Metrics'!$D:$D,"Goal - Penetration %")&gt;0,J80&gt;=SUMIFS('Data - Monthly Metrics'!$E:$E,'Data - Monthly Metrics'!$A:$A,$B$4,'Data - Monthly Metrics'!$B:$B,J$8,'Data - Monthly Metrics'!$C:$C,"East King",'Data - Monthly Metrics'!$D:$D,"Goal - Penetration %"))</formula>
    </cfRule>
    <cfRule type="expression" rank="0" priority="209" equalAverage="0" aboveAverage="0" dxfId="2" stopIfTrue="1" text="" percent="0" bottom="0">
      <formula>AND(ISNUMBER(J80),COUNTIFS('Data - Monthly Metrics'!$A:$A,$B$4,'Data - Monthly Metrics'!$B:$B,J$8,'Data - Monthly Metrics'!$C:$C,"East King",'Data - Monthly Metrics'!$D:$D,"Goal - Penetration %")&gt;0,J80&gt;=SUMIFS('Data - Monthly Metrics'!$E:$E,'Data - Monthly Metrics'!$A:$A,$B$4,'Data - Monthly Metrics'!$B:$B,J$8,'Data - Monthly Metrics'!$C:$C,"East King",'Data - Monthly Metrics'!$D:$D,"Goal - Penetration %")-0.05)</formula>
    </cfRule>
    <cfRule type="expression" rank="0" priority="210" equalAverage="0" aboveAverage="0" dxfId="1" stopIfTrue="1" text="" percent="0" bottom="0">
      <formula>AND(ISNUMBER(J80),COUNTIFS('Data - Monthly Metrics'!$A:$A,$B$4,'Data - Monthly Metrics'!$B:$B,J$8,'Data - Monthly Metrics'!$C:$C,"East King",'Data - Monthly Metrics'!$D:$D,"Goal - Penetration %")&gt;0)</formula>
    </cfRule>
  </conditionalFormatting>
  <conditionalFormatting sqref="K80">
    <cfRule type="expression" rank="0" priority="211" equalAverage="0" aboveAverage="0" dxfId="0" stopIfTrue="1" text="" percent="0" bottom="0">
      <formula>AND(ISNUMBER(K80),COUNTIFS('Data - Monthly Metrics'!$A:$A,$B$4,'Data - Monthly Metrics'!$B:$B,K$8,'Data - Monthly Metrics'!$C:$C,"East King",'Data - Monthly Metrics'!$D:$D,"Goal - Penetration %")&gt;0,K80&gt;=SUMIFS('Data - Monthly Metrics'!$E:$E,'Data - Monthly Metrics'!$A:$A,$B$4,'Data - Monthly Metrics'!$B:$B,K$8,'Data - Monthly Metrics'!$C:$C,"East King",'Data - Monthly Metrics'!$D:$D,"Goal - Penetration %"))</formula>
    </cfRule>
    <cfRule type="expression" rank="0" priority="212" equalAverage="0" aboveAverage="0" dxfId="2" stopIfTrue="1" text="" percent="0" bottom="0">
      <formula>AND(ISNUMBER(K80),COUNTIFS('Data - Monthly Metrics'!$A:$A,$B$4,'Data - Monthly Metrics'!$B:$B,K$8,'Data - Monthly Metrics'!$C:$C,"East King",'Data - Monthly Metrics'!$D:$D,"Goal - Penetration %")&gt;0,K80&gt;=SUMIFS('Data - Monthly Metrics'!$E:$E,'Data - Monthly Metrics'!$A:$A,$B$4,'Data - Monthly Metrics'!$B:$B,K$8,'Data - Monthly Metrics'!$C:$C,"East King",'Data - Monthly Metrics'!$D:$D,"Goal - Penetration %")-0.05)</formula>
    </cfRule>
    <cfRule type="expression" rank="0" priority="213" equalAverage="0" aboveAverage="0" dxfId="1" stopIfTrue="1" text="" percent="0" bottom="0">
      <formula>AND(ISNUMBER(K80),COUNTIFS('Data - Monthly Metrics'!$A:$A,$B$4,'Data - Monthly Metrics'!$B:$B,K$8,'Data - Monthly Metrics'!$C:$C,"East King",'Data - Monthly Metrics'!$D:$D,"Goal - Penetration %")&gt;0)</formula>
    </cfRule>
  </conditionalFormatting>
  <conditionalFormatting sqref="L80">
    <cfRule type="expression" rank="0" priority="214" equalAverage="0" aboveAverage="0" dxfId="0" stopIfTrue="1" text="" percent="0" bottom="0">
      <formula>AND(ISNUMBER(L80),COUNTIFS('Data - Monthly Metrics'!$A:$A,$B$4,'Data - Monthly Metrics'!$B:$B,L$8,'Data - Monthly Metrics'!$C:$C,"East King",'Data - Monthly Metrics'!$D:$D,"Goal - Penetration %")&gt;0,L80&gt;=SUMIFS('Data - Monthly Metrics'!$E:$E,'Data - Monthly Metrics'!$A:$A,$B$4,'Data - Monthly Metrics'!$B:$B,L$8,'Data - Monthly Metrics'!$C:$C,"East King",'Data - Monthly Metrics'!$D:$D,"Goal - Penetration %"))</formula>
    </cfRule>
    <cfRule type="expression" rank="0" priority="215" equalAverage="0" aboveAverage="0" dxfId="2" stopIfTrue="1" text="" percent="0" bottom="0">
      <formula>AND(ISNUMBER(L80),COUNTIFS('Data - Monthly Metrics'!$A:$A,$B$4,'Data - Monthly Metrics'!$B:$B,L$8,'Data - Monthly Metrics'!$C:$C,"East King",'Data - Monthly Metrics'!$D:$D,"Goal - Penetration %")&gt;0,L80&gt;=SUMIFS('Data - Monthly Metrics'!$E:$E,'Data - Monthly Metrics'!$A:$A,$B$4,'Data - Monthly Metrics'!$B:$B,L$8,'Data - Monthly Metrics'!$C:$C,"East King",'Data - Monthly Metrics'!$D:$D,"Goal - Penetration %")-0.05)</formula>
    </cfRule>
    <cfRule type="expression" rank="0" priority="216" equalAverage="0" aboveAverage="0" dxfId="1" stopIfTrue="1" text="" percent="0" bottom="0">
      <formula>AND(ISNUMBER(L80),COUNTIFS('Data - Monthly Metrics'!$A:$A,$B$4,'Data - Monthly Metrics'!$B:$B,L$8,'Data - Monthly Metrics'!$C:$C,"East King",'Data - Monthly Metrics'!$D:$D,"Goal - Penetration %")&gt;0)</formula>
    </cfRule>
  </conditionalFormatting>
  <conditionalFormatting sqref="N80">
    <cfRule type="expression" rank="0" priority="217" equalAverage="0" aboveAverage="0" dxfId="0" stopIfTrue="1" text="" percent="0" bottom="0">
      <formula>AND(ISNUMBER(N80),COUNTIFS('Data - Monthly Metrics'!$A:$A,$B$4,'Data - Monthly Metrics'!$B:$B,N$8,'Data - Monthly Metrics'!$C:$C,"East King",'Data - Monthly Metrics'!$D:$D,"Goal - Penetration %")&gt;0,N80&gt;=SUMIFS('Data - Monthly Metrics'!$E:$E,'Data - Monthly Metrics'!$A:$A,$B$4,'Data - Monthly Metrics'!$B:$B,N$8,'Data - Monthly Metrics'!$C:$C,"East King",'Data - Monthly Metrics'!$D:$D,"Goal - Penetration %"))</formula>
    </cfRule>
    <cfRule type="expression" rank="0" priority="218" equalAverage="0" aboveAverage="0" dxfId="2" stopIfTrue="1" text="" percent="0" bottom="0">
      <formula>AND(ISNUMBER(N80),COUNTIFS('Data - Monthly Metrics'!$A:$A,$B$4,'Data - Monthly Metrics'!$B:$B,N$8,'Data - Monthly Metrics'!$C:$C,"East King",'Data - Monthly Metrics'!$D:$D,"Goal - Penetration %")&gt;0,N80&gt;=SUMIFS('Data - Monthly Metrics'!$E:$E,'Data - Monthly Metrics'!$A:$A,$B$4,'Data - Monthly Metrics'!$B:$B,N$8,'Data - Monthly Metrics'!$C:$C,"East King",'Data - Monthly Metrics'!$D:$D,"Goal - Penetration %")-0.05)</formula>
    </cfRule>
    <cfRule type="expression" rank="0" priority="219" equalAverage="0" aboveAverage="0" dxfId="1" stopIfTrue="1" text="" percent="0" bottom="0">
      <formula>AND(ISNUMBER(N80),COUNTIFS('Data - Monthly Metrics'!$A:$A,$B$4,'Data - Monthly Metrics'!$B:$B,N$8,'Data - Monthly Metrics'!$C:$C,"East King",'Data - Monthly Metrics'!$D:$D,"Goal - Penetration %")&gt;0)</formula>
    </cfRule>
  </conditionalFormatting>
  <conditionalFormatting sqref="O80">
    <cfRule type="expression" rank="0" priority="220" equalAverage="0" aboveAverage="0" dxfId="0" stopIfTrue="1" text="" percent="0" bottom="0">
      <formula>AND(ISNUMBER(O80),COUNTIFS('Data - Monthly Metrics'!$A:$A,$B$4,'Data - Monthly Metrics'!$B:$B,O$8,'Data - Monthly Metrics'!$C:$C,"East King",'Data - Monthly Metrics'!$D:$D,"Goal - Penetration %")&gt;0,O80&gt;=SUMIFS('Data - Monthly Metrics'!$E:$E,'Data - Monthly Metrics'!$A:$A,$B$4,'Data - Monthly Metrics'!$B:$B,O$8,'Data - Monthly Metrics'!$C:$C,"East King",'Data - Monthly Metrics'!$D:$D,"Goal - Penetration %"))</formula>
    </cfRule>
    <cfRule type="expression" rank="0" priority="221" equalAverage="0" aboveAverage="0" dxfId="2" stopIfTrue="1" text="" percent="0" bottom="0">
      <formula>AND(ISNUMBER(O80),COUNTIFS('Data - Monthly Metrics'!$A:$A,$B$4,'Data - Monthly Metrics'!$B:$B,O$8,'Data - Monthly Metrics'!$C:$C,"East King",'Data - Monthly Metrics'!$D:$D,"Goal - Penetration %")&gt;0,O80&gt;=SUMIFS('Data - Monthly Metrics'!$E:$E,'Data - Monthly Metrics'!$A:$A,$B$4,'Data - Monthly Metrics'!$B:$B,O$8,'Data - Monthly Metrics'!$C:$C,"East King",'Data - Monthly Metrics'!$D:$D,"Goal - Penetration %")-0.05)</formula>
    </cfRule>
    <cfRule type="expression" rank="0" priority="222" equalAverage="0" aboveAverage="0" dxfId="1" stopIfTrue="1" text="" percent="0" bottom="0">
      <formula>AND(ISNUMBER(O80),COUNTIFS('Data - Monthly Metrics'!$A:$A,$B$4,'Data - Monthly Metrics'!$B:$B,O$8,'Data - Monthly Metrics'!$C:$C,"East King",'Data - Monthly Metrics'!$D:$D,"Goal - Penetration %")&gt;0)</formula>
    </cfRule>
  </conditionalFormatting>
  <conditionalFormatting sqref="P80">
    <cfRule type="expression" rank="0" priority="223" equalAverage="0" aboveAverage="0" dxfId="0" stopIfTrue="1" text="" percent="0" bottom="0">
      <formula>AND(ISNUMBER(P80),COUNTIFS('Data - Monthly Metrics'!$A:$A,$B$4,'Data - Monthly Metrics'!$B:$B,P$8,'Data - Monthly Metrics'!$C:$C,"East King",'Data - Monthly Metrics'!$D:$D,"Goal - Penetration %")&gt;0,P80&gt;=SUMIFS('Data - Monthly Metrics'!$E:$E,'Data - Monthly Metrics'!$A:$A,$B$4,'Data - Monthly Metrics'!$B:$B,P$8,'Data - Monthly Metrics'!$C:$C,"East King",'Data - Monthly Metrics'!$D:$D,"Goal - Penetration %"))</formula>
    </cfRule>
    <cfRule type="expression" rank="0" priority="224" equalAverage="0" aboveAverage="0" dxfId="2" stopIfTrue="1" text="" percent="0" bottom="0">
      <formula>AND(ISNUMBER(P80),COUNTIFS('Data - Monthly Metrics'!$A:$A,$B$4,'Data - Monthly Metrics'!$B:$B,P$8,'Data - Monthly Metrics'!$C:$C,"East King",'Data - Monthly Metrics'!$D:$D,"Goal - Penetration %")&gt;0,P80&gt;=SUMIFS('Data - Monthly Metrics'!$E:$E,'Data - Monthly Metrics'!$A:$A,$B$4,'Data - Monthly Metrics'!$B:$B,P$8,'Data - Monthly Metrics'!$C:$C,"East King",'Data - Monthly Metrics'!$D:$D,"Goal - Penetration %")-0.05)</formula>
    </cfRule>
    <cfRule type="expression" rank="0" priority="225" equalAverage="0" aboveAverage="0" dxfId="1" stopIfTrue="1" text="" percent="0" bottom="0">
      <formula>AND(ISNUMBER(P80),COUNTIFS('Data - Monthly Metrics'!$A:$A,$B$4,'Data - Monthly Metrics'!$B:$B,P$8,'Data - Monthly Metrics'!$C:$C,"East King",'Data - Monthly Metrics'!$D:$D,"Goal - Penetration %")&gt;0)</formula>
    </cfRule>
  </conditionalFormatting>
  <conditionalFormatting sqref="B115">
    <cfRule type="expression" rank="0" priority="226" equalAverage="0" aboveAverage="0" dxfId="0" stopIfTrue="1" text="" percent="0" bottom="0">
      <formula>AND(ISNUMBER(B115),COUNTIFS('Data - Monthly Metrics'!$A:$A,$B$4-1,'Data - Monthly Metrics'!$B:$B,B$8,'Data - Monthly Metrics'!$C:$C,"East King",'Data - Monthly Metrics'!$D:$D,"Goal - Penetration %")&gt;0,B115&gt;=SUMIFS('Data - Monthly Metrics'!$E:$E,'Data - Monthly Metrics'!$A:$A,$B$4-1,'Data - Monthly Metrics'!$B:$B,B$8,'Data - Monthly Metrics'!$C:$C,"East King",'Data - Monthly Metrics'!$D:$D,"Goal - Penetration %"))</formula>
    </cfRule>
    <cfRule type="expression" rank="0" priority="227" equalAverage="0" aboveAverage="0" dxfId="2" stopIfTrue="1" text="" percent="0" bottom="0">
      <formula>AND(ISNUMBER(B115),COUNTIFS('Data - Monthly Metrics'!$A:$A,$B$4-1,'Data - Monthly Metrics'!$B:$B,B$8,'Data - Monthly Metrics'!$C:$C,"East King",'Data - Monthly Metrics'!$D:$D,"Goal - Penetration %")&gt;0,B115&gt;=SUMIFS('Data - Monthly Metrics'!$E:$E,'Data - Monthly Metrics'!$A:$A,$B$4-1,'Data - Monthly Metrics'!$B:$B,B$8,'Data - Monthly Metrics'!$C:$C,"East King",'Data - Monthly Metrics'!$D:$D,"Goal - Penetration %")-0.05)</formula>
    </cfRule>
    <cfRule type="expression" rank="0" priority="228" equalAverage="0" aboveAverage="0" dxfId="1" stopIfTrue="1" text="" percent="0" bottom="0">
      <formula>AND(ISNUMBER(B115),COUNTIFS('Data - Monthly Metrics'!$A:$A,$B$4-1,'Data - Monthly Metrics'!$B:$B,B$8,'Data - Monthly Metrics'!$C:$C,"East King",'Data - Monthly Metrics'!$D:$D,"Goal - Penetration %")&gt;0)</formula>
    </cfRule>
  </conditionalFormatting>
  <conditionalFormatting sqref="C115">
    <cfRule type="expression" rank="0" priority="229" equalAverage="0" aboveAverage="0" dxfId="0" stopIfTrue="1" text="" percent="0" bottom="0">
      <formula>AND(ISNUMBER(C115),COUNTIFS('Data - Monthly Metrics'!$A:$A,$B$4-1,'Data - Monthly Metrics'!$B:$B,C$8,'Data - Monthly Metrics'!$C:$C,"East King",'Data - Monthly Metrics'!$D:$D,"Goal - Penetration %")&gt;0,C115&gt;=SUMIFS('Data - Monthly Metrics'!$E:$E,'Data - Monthly Metrics'!$A:$A,$B$4-1,'Data - Monthly Metrics'!$B:$B,C$8,'Data - Monthly Metrics'!$C:$C,"East King",'Data - Monthly Metrics'!$D:$D,"Goal - Penetration %"))</formula>
    </cfRule>
    <cfRule type="expression" rank="0" priority="230" equalAverage="0" aboveAverage="0" dxfId="2" stopIfTrue="1" text="" percent="0" bottom="0">
      <formula>AND(ISNUMBER(C115),COUNTIFS('Data - Monthly Metrics'!$A:$A,$B$4-1,'Data - Monthly Metrics'!$B:$B,C$8,'Data - Monthly Metrics'!$C:$C,"East King",'Data - Monthly Metrics'!$D:$D,"Goal - Penetration %")&gt;0,C115&gt;=SUMIFS('Data - Monthly Metrics'!$E:$E,'Data - Monthly Metrics'!$A:$A,$B$4-1,'Data - Monthly Metrics'!$B:$B,C$8,'Data - Monthly Metrics'!$C:$C,"East King",'Data - Monthly Metrics'!$D:$D,"Goal - Penetration %")-0.05)</formula>
    </cfRule>
    <cfRule type="expression" rank="0" priority="231" equalAverage="0" aboveAverage="0" dxfId="1" stopIfTrue="1" text="" percent="0" bottom="0">
      <formula>AND(ISNUMBER(C115),COUNTIFS('Data - Monthly Metrics'!$A:$A,$B$4-1,'Data - Monthly Metrics'!$B:$B,C$8,'Data - Monthly Metrics'!$C:$C,"East King",'Data - Monthly Metrics'!$D:$D,"Goal - Penetration %")&gt;0)</formula>
    </cfRule>
  </conditionalFormatting>
  <conditionalFormatting sqref="D115">
    <cfRule type="expression" rank="0" priority="232" equalAverage="0" aboveAverage="0" dxfId="0" stopIfTrue="1" text="" percent="0" bottom="0">
      <formula>AND(ISNUMBER(D115),COUNTIFS('Data - Monthly Metrics'!$A:$A,$B$4-1,'Data - Monthly Metrics'!$B:$B,D$8,'Data - Monthly Metrics'!$C:$C,"East King",'Data - Monthly Metrics'!$D:$D,"Goal - Penetration %")&gt;0,D115&gt;=SUMIFS('Data - Monthly Metrics'!$E:$E,'Data - Monthly Metrics'!$A:$A,$B$4-1,'Data - Monthly Metrics'!$B:$B,D$8,'Data - Monthly Metrics'!$C:$C,"East King",'Data - Monthly Metrics'!$D:$D,"Goal - Penetration %"))</formula>
    </cfRule>
    <cfRule type="expression" rank="0" priority="233" equalAverage="0" aboveAverage="0" dxfId="2" stopIfTrue="1" text="" percent="0" bottom="0">
      <formula>AND(ISNUMBER(D115),COUNTIFS('Data - Monthly Metrics'!$A:$A,$B$4-1,'Data - Monthly Metrics'!$B:$B,D$8,'Data - Monthly Metrics'!$C:$C,"East King",'Data - Monthly Metrics'!$D:$D,"Goal - Penetration %")&gt;0,D115&gt;=SUMIFS('Data - Monthly Metrics'!$E:$E,'Data - Monthly Metrics'!$A:$A,$B$4-1,'Data - Monthly Metrics'!$B:$B,D$8,'Data - Monthly Metrics'!$C:$C,"East King",'Data - Monthly Metrics'!$D:$D,"Goal - Penetration %")-0.05)</formula>
    </cfRule>
    <cfRule type="expression" rank="0" priority="234" equalAverage="0" aboveAverage="0" dxfId="1" stopIfTrue="1" text="" percent="0" bottom="0">
      <formula>AND(ISNUMBER(D115),COUNTIFS('Data - Monthly Metrics'!$A:$A,$B$4-1,'Data - Monthly Metrics'!$B:$B,D$8,'Data - Monthly Metrics'!$C:$C,"East King",'Data - Monthly Metrics'!$D:$D,"Goal - Penetration %")&gt;0)</formula>
    </cfRule>
  </conditionalFormatting>
  <conditionalFormatting sqref="F115">
    <cfRule type="expression" rank="0" priority="235" equalAverage="0" aboveAverage="0" dxfId="0" stopIfTrue="1" text="" percent="0" bottom="0">
      <formula>AND(ISNUMBER(F115),COUNTIFS('Data - Monthly Metrics'!$A:$A,$B$4,'Data - Monthly Metrics'!$B:$B,F$8,'Data - Monthly Metrics'!$C:$C,"East King",'Data - Monthly Metrics'!$D:$D,"Goal - Penetration %")&gt;0,F115&gt;=SUMIFS('Data - Monthly Metrics'!$E:$E,'Data - Monthly Metrics'!$A:$A,$B$4,'Data - Monthly Metrics'!$B:$B,F$8,'Data - Monthly Metrics'!$C:$C,"East King",'Data - Monthly Metrics'!$D:$D,"Goal - Penetration %"))</formula>
    </cfRule>
    <cfRule type="expression" rank="0" priority="236" equalAverage="0" aboveAverage="0" dxfId="2" stopIfTrue="1" text="" percent="0" bottom="0">
      <formula>AND(ISNUMBER(F115),COUNTIFS('Data - Monthly Metrics'!$A:$A,$B$4,'Data - Monthly Metrics'!$B:$B,F$8,'Data - Monthly Metrics'!$C:$C,"East King",'Data - Monthly Metrics'!$D:$D,"Goal - Penetration %")&gt;0,F115&gt;=SUMIFS('Data - Monthly Metrics'!$E:$E,'Data - Monthly Metrics'!$A:$A,$B$4,'Data - Monthly Metrics'!$B:$B,F$8,'Data - Monthly Metrics'!$C:$C,"East King",'Data - Monthly Metrics'!$D:$D,"Goal - Penetration %")-0.05)</formula>
    </cfRule>
    <cfRule type="expression" rank="0" priority="237" equalAverage="0" aboveAverage="0" dxfId="1" stopIfTrue="1" text="" percent="0" bottom="0">
      <formula>AND(ISNUMBER(F115),COUNTIFS('Data - Monthly Metrics'!$A:$A,$B$4,'Data - Monthly Metrics'!$B:$B,F$8,'Data - Monthly Metrics'!$C:$C,"East King",'Data - Monthly Metrics'!$D:$D,"Goal - Penetration %")&gt;0)</formula>
    </cfRule>
  </conditionalFormatting>
  <conditionalFormatting sqref="G115">
    <cfRule type="expression" rank="0" priority="238" equalAverage="0" aboveAverage="0" dxfId="0" stopIfTrue="1" text="" percent="0" bottom="0">
      <formula>AND(ISNUMBER(G115),COUNTIFS('Data - Monthly Metrics'!$A:$A,$B$4,'Data - Monthly Metrics'!$B:$B,G$8,'Data - Monthly Metrics'!$C:$C,"East King",'Data - Monthly Metrics'!$D:$D,"Goal - Penetration %")&gt;0,G115&gt;=SUMIFS('Data - Monthly Metrics'!$E:$E,'Data - Monthly Metrics'!$A:$A,$B$4,'Data - Monthly Metrics'!$B:$B,G$8,'Data - Monthly Metrics'!$C:$C,"East King",'Data - Monthly Metrics'!$D:$D,"Goal - Penetration %"))</formula>
    </cfRule>
    <cfRule type="expression" rank="0" priority="239" equalAverage="0" aboveAverage="0" dxfId="2" stopIfTrue="1" text="" percent="0" bottom="0">
      <formula>AND(ISNUMBER(G115),COUNTIFS('Data - Monthly Metrics'!$A:$A,$B$4,'Data - Monthly Metrics'!$B:$B,G$8,'Data - Monthly Metrics'!$C:$C,"East King",'Data - Monthly Metrics'!$D:$D,"Goal - Penetration %")&gt;0,G115&gt;=SUMIFS('Data - Monthly Metrics'!$E:$E,'Data - Monthly Metrics'!$A:$A,$B$4,'Data - Monthly Metrics'!$B:$B,G$8,'Data - Monthly Metrics'!$C:$C,"East King",'Data - Monthly Metrics'!$D:$D,"Goal - Penetration %")-0.05)</formula>
    </cfRule>
    <cfRule type="expression" rank="0" priority="240" equalAverage="0" aboveAverage="0" dxfId="1" stopIfTrue="1" text="" percent="0" bottom="0">
      <formula>AND(ISNUMBER(G115),COUNTIFS('Data - Monthly Metrics'!$A:$A,$B$4,'Data - Monthly Metrics'!$B:$B,G$8,'Data - Monthly Metrics'!$C:$C,"East King",'Data - Monthly Metrics'!$D:$D,"Goal - Penetration %")&gt;0)</formula>
    </cfRule>
  </conditionalFormatting>
  <conditionalFormatting sqref="H115">
    <cfRule type="expression" rank="0" priority="241" equalAverage="0" aboveAverage="0" dxfId="0" stopIfTrue="1" text="" percent="0" bottom="0">
      <formula>AND(ISNUMBER(H115),COUNTIFS('Data - Monthly Metrics'!$A:$A,$B$4,'Data - Monthly Metrics'!$B:$B,H$8,'Data - Monthly Metrics'!$C:$C,"East King",'Data - Monthly Metrics'!$D:$D,"Goal - Penetration %")&gt;0,H115&gt;=SUMIFS('Data - Monthly Metrics'!$E:$E,'Data - Monthly Metrics'!$A:$A,$B$4,'Data - Monthly Metrics'!$B:$B,H$8,'Data - Monthly Metrics'!$C:$C,"East King",'Data - Monthly Metrics'!$D:$D,"Goal - Penetration %"))</formula>
    </cfRule>
    <cfRule type="expression" rank="0" priority="242" equalAverage="0" aboveAverage="0" dxfId="2" stopIfTrue="1" text="" percent="0" bottom="0">
      <formula>AND(ISNUMBER(H115),COUNTIFS('Data - Monthly Metrics'!$A:$A,$B$4,'Data - Monthly Metrics'!$B:$B,H$8,'Data - Monthly Metrics'!$C:$C,"East King",'Data - Monthly Metrics'!$D:$D,"Goal - Penetration %")&gt;0,H115&gt;=SUMIFS('Data - Monthly Metrics'!$E:$E,'Data - Monthly Metrics'!$A:$A,$B$4,'Data - Monthly Metrics'!$B:$B,H$8,'Data - Monthly Metrics'!$C:$C,"East King",'Data - Monthly Metrics'!$D:$D,"Goal - Penetration %")-0.05)</formula>
    </cfRule>
    <cfRule type="expression" rank="0" priority="243" equalAverage="0" aboveAverage="0" dxfId="1" stopIfTrue="1" text="" percent="0" bottom="0">
      <formula>AND(ISNUMBER(H115),COUNTIFS('Data - Monthly Metrics'!$A:$A,$B$4,'Data - Monthly Metrics'!$B:$B,H$8,'Data - Monthly Metrics'!$C:$C,"East King",'Data - Monthly Metrics'!$D:$D,"Goal - Penetration %")&gt;0)</formula>
    </cfRule>
  </conditionalFormatting>
  <conditionalFormatting sqref="J115">
    <cfRule type="expression" rank="0" priority="244" equalAverage="0" aboveAverage="0" dxfId="0" stopIfTrue="1" text="" percent="0" bottom="0">
      <formula>AND(ISNUMBER(J115),COUNTIFS('Data - Monthly Metrics'!$A:$A,$B$4,'Data - Monthly Metrics'!$B:$B,J$8,'Data - Monthly Metrics'!$C:$C,"East King",'Data - Monthly Metrics'!$D:$D,"Goal - Penetration %")&gt;0,J115&gt;=SUMIFS('Data - Monthly Metrics'!$E:$E,'Data - Monthly Metrics'!$A:$A,$B$4,'Data - Monthly Metrics'!$B:$B,J$8,'Data - Monthly Metrics'!$C:$C,"East King",'Data - Monthly Metrics'!$D:$D,"Goal - Penetration %"))</formula>
    </cfRule>
    <cfRule type="expression" rank="0" priority="245" equalAverage="0" aboveAverage="0" dxfId="2" stopIfTrue="1" text="" percent="0" bottom="0">
      <formula>AND(ISNUMBER(J115),COUNTIFS('Data - Monthly Metrics'!$A:$A,$B$4,'Data - Monthly Metrics'!$B:$B,J$8,'Data - Monthly Metrics'!$C:$C,"East King",'Data - Monthly Metrics'!$D:$D,"Goal - Penetration %")&gt;0,J115&gt;=SUMIFS('Data - Monthly Metrics'!$E:$E,'Data - Monthly Metrics'!$A:$A,$B$4,'Data - Monthly Metrics'!$B:$B,J$8,'Data - Monthly Metrics'!$C:$C,"East King",'Data - Monthly Metrics'!$D:$D,"Goal - Penetration %")-0.05)</formula>
    </cfRule>
    <cfRule type="expression" rank="0" priority="246" equalAverage="0" aboveAverage="0" dxfId="1" stopIfTrue="1" text="" percent="0" bottom="0">
      <formula>AND(ISNUMBER(J115),COUNTIFS('Data - Monthly Metrics'!$A:$A,$B$4,'Data - Monthly Metrics'!$B:$B,J$8,'Data - Monthly Metrics'!$C:$C,"East King",'Data - Monthly Metrics'!$D:$D,"Goal - Penetration %")&gt;0)</formula>
    </cfRule>
  </conditionalFormatting>
  <conditionalFormatting sqref="K115">
    <cfRule type="expression" rank="0" priority="247" equalAverage="0" aboveAverage="0" dxfId="0" stopIfTrue="1" text="" percent="0" bottom="0">
      <formula>AND(ISNUMBER(K115),COUNTIFS('Data - Monthly Metrics'!$A:$A,$B$4,'Data - Monthly Metrics'!$B:$B,K$8,'Data - Monthly Metrics'!$C:$C,"East King",'Data - Monthly Metrics'!$D:$D,"Goal - Penetration %")&gt;0,K115&gt;=SUMIFS('Data - Monthly Metrics'!$E:$E,'Data - Monthly Metrics'!$A:$A,$B$4,'Data - Monthly Metrics'!$B:$B,K$8,'Data - Monthly Metrics'!$C:$C,"East King",'Data - Monthly Metrics'!$D:$D,"Goal - Penetration %"))</formula>
    </cfRule>
    <cfRule type="expression" rank="0" priority="248" equalAverage="0" aboveAverage="0" dxfId="2" stopIfTrue="1" text="" percent="0" bottom="0">
      <formula>AND(ISNUMBER(K115),COUNTIFS('Data - Monthly Metrics'!$A:$A,$B$4,'Data - Monthly Metrics'!$B:$B,K$8,'Data - Monthly Metrics'!$C:$C,"East King",'Data - Monthly Metrics'!$D:$D,"Goal - Penetration %")&gt;0,K115&gt;=SUMIFS('Data - Monthly Metrics'!$E:$E,'Data - Monthly Metrics'!$A:$A,$B$4,'Data - Monthly Metrics'!$B:$B,K$8,'Data - Monthly Metrics'!$C:$C,"East King",'Data - Monthly Metrics'!$D:$D,"Goal - Penetration %")-0.05)</formula>
    </cfRule>
    <cfRule type="expression" rank="0" priority="249" equalAverage="0" aboveAverage="0" dxfId="1" stopIfTrue="1" text="" percent="0" bottom="0">
      <formula>AND(ISNUMBER(K115),COUNTIFS('Data - Monthly Metrics'!$A:$A,$B$4,'Data - Monthly Metrics'!$B:$B,K$8,'Data - Monthly Metrics'!$C:$C,"East King",'Data - Monthly Metrics'!$D:$D,"Goal - Penetration %")&gt;0)</formula>
    </cfRule>
  </conditionalFormatting>
  <conditionalFormatting sqref="L115">
    <cfRule type="expression" rank="0" priority="250" equalAverage="0" aboveAverage="0" dxfId="0" stopIfTrue="1" text="" percent="0" bottom="0">
      <formula>AND(ISNUMBER(L115),COUNTIFS('Data - Monthly Metrics'!$A:$A,$B$4,'Data - Monthly Metrics'!$B:$B,L$8,'Data - Monthly Metrics'!$C:$C,"East King",'Data - Monthly Metrics'!$D:$D,"Goal - Penetration %")&gt;0,L115&gt;=SUMIFS('Data - Monthly Metrics'!$E:$E,'Data - Monthly Metrics'!$A:$A,$B$4,'Data - Monthly Metrics'!$B:$B,L$8,'Data - Monthly Metrics'!$C:$C,"East King",'Data - Monthly Metrics'!$D:$D,"Goal - Penetration %"))</formula>
    </cfRule>
    <cfRule type="expression" rank="0" priority="251" equalAverage="0" aboveAverage="0" dxfId="2" stopIfTrue="1" text="" percent="0" bottom="0">
      <formula>AND(ISNUMBER(L115),COUNTIFS('Data - Monthly Metrics'!$A:$A,$B$4,'Data - Monthly Metrics'!$B:$B,L$8,'Data - Monthly Metrics'!$C:$C,"East King",'Data - Monthly Metrics'!$D:$D,"Goal - Penetration %")&gt;0,L115&gt;=SUMIFS('Data - Monthly Metrics'!$E:$E,'Data - Monthly Metrics'!$A:$A,$B$4,'Data - Monthly Metrics'!$B:$B,L$8,'Data - Monthly Metrics'!$C:$C,"East King",'Data - Monthly Metrics'!$D:$D,"Goal - Penetration %")-0.05)</formula>
    </cfRule>
    <cfRule type="expression" rank="0" priority="252" equalAverage="0" aboveAverage="0" dxfId="1" stopIfTrue="1" text="" percent="0" bottom="0">
      <formula>AND(ISNUMBER(L115),COUNTIFS('Data - Monthly Metrics'!$A:$A,$B$4,'Data - Monthly Metrics'!$B:$B,L$8,'Data - Monthly Metrics'!$C:$C,"East King",'Data - Monthly Metrics'!$D:$D,"Goal - Penetration %")&gt;0)</formula>
    </cfRule>
  </conditionalFormatting>
  <conditionalFormatting sqref="N115">
    <cfRule type="expression" rank="0" priority="253" equalAverage="0" aboveAverage="0" dxfId="0" stopIfTrue="1" text="" percent="0" bottom="0">
      <formula>AND(ISNUMBER(N115),COUNTIFS('Data - Monthly Metrics'!$A:$A,$B$4,'Data - Monthly Metrics'!$B:$B,N$8,'Data - Monthly Metrics'!$C:$C,"East King",'Data - Monthly Metrics'!$D:$D,"Goal - Penetration %")&gt;0,N115&gt;=SUMIFS('Data - Monthly Metrics'!$E:$E,'Data - Monthly Metrics'!$A:$A,$B$4,'Data - Monthly Metrics'!$B:$B,N$8,'Data - Monthly Metrics'!$C:$C,"East King",'Data - Monthly Metrics'!$D:$D,"Goal - Penetration %"))</formula>
    </cfRule>
    <cfRule type="expression" rank="0" priority="254" equalAverage="0" aboveAverage="0" dxfId="2" stopIfTrue="1" text="" percent="0" bottom="0">
      <formula>AND(ISNUMBER(N115),COUNTIFS('Data - Monthly Metrics'!$A:$A,$B$4,'Data - Monthly Metrics'!$B:$B,N$8,'Data - Monthly Metrics'!$C:$C,"East King",'Data - Monthly Metrics'!$D:$D,"Goal - Penetration %")&gt;0,N115&gt;=SUMIFS('Data - Monthly Metrics'!$E:$E,'Data - Monthly Metrics'!$A:$A,$B$4,'Data - Monthly Metrics'!$B:$B,N$8,'Data - Monthly Metrics'!$C:$C,"East King",'Data - Monthly Metrics'!$D:$D,"Goal - Penetration %")-0.05)</formula>
    </cfRule>
    <cfRule type="expression" rank="0" priority="255" equalAverage="0" aboveAverage="0" dxfId="1" stopIfTrue="1" text="" percent="0" bottom="0">
      <formula>AND(ISNUMBER(N115),COUNTIFS('Data - Monthly Metrics'!$A:$A,$B$4,'Data - Monthly Metrics'!$B:$B,N$8,'Data - Monthly Metrics'!$C:$C,"East King",'Data - Monthly Metrics'!$D:$D,"Goal - Penetration %")&gt;0)</formula>
    </cfRule>
  </conditionalFormatting>
  <conditionalFormatting sqref="O115">
    <cfRule type="expression" rank="0" priority="256" equalAverage="0" aboveAverage="0" dxfId="0" stopIfTrue="1" text="" percent="0" bottom="0">
      <formula>AND(ISNUMBER(O115),COUNTIFS('Data - Monthly Metrics'!$A:$A,$B$4,'Data - Monthly Metrics'!$B:$B,O$8,'Data - Monthly Metrics'!$C:$C,"East King",'Data - Monthly Metrics'!$D:$D,"Goal - Penetration %")&gt;0,O115&gt;=SUMIFS('Data - Monthly Metrics'!$E:$E,'Data - Monthly Metrics'!$A:$A,$B$4,'Data - Monthly Metrics'!$B:$B,O$8,'Data - Monthly Metrics'!$C:$C,"East King",'Data - Monthly Metrics'!$D:$D,"Goal - Penetration %"))</formula>
    </cfRule>
    <cfRule type="expression" rank="0" priority="257" equalAverage="0" aboveAverage="0" dxfId="2" stopIfTrue="1" text="" percent="0" bottom="0">
      <formula>AND(ISNUMBER(O115),COUNTIFS('Data - Monthly Metrics'!$A:$A,$B$4,'Data - Monthly Metrics'!$B:$B,O$8,'Data - Monthly Metrics'!$C:$C,"East King",'Data - Monthly Metrics'!$D:$D,"Goal - Penetration %")&gt;0,O115&gt;=SUMIFS('Data - Monthly Metrics'!$E:$E,'Data - Monthly Metrics'!$A:$A,$B$4,'Data - Monthly Metrics'!$B:$B,O$8,'Data - Monthly Metrics'!$C:$C,"East King",'Data - Monthly Metrics'!$D:$D,"Goal - Penetration %")-0.05)</formula>
    </cfRule>
    <cfRule type="expression" rank="0" priority="258" equalAverage="0" aboveAverage="0" dxfId="1" stopIfTrue="1" text="" percent="0" bottom="0">
      <formula>AND(ISNUMBER(O115),COUNTIFS('Data - Monthly Metrics'!$A:$A,$B$4,'Data - Monthly Metrics'!$B:$B,O$8,'Data - Monthly Metrics'!$C:$C,"East King",'Data - Monthly Metrics'!$D:$D,"Goal - Penetration %")&gt;0)</formula>
    </cfRule>
  </conditionalFormatting>
  <conditionalFormatting sqref="P115">
    <cfRule type="expression" rank="0" priority="259" equalAverage="0" aboveAverage="0" dxfId="0" stopIfTrue="1" text="" percent="0" bottom="0">
      <formula>AND(ISNUMBER(P115),COUNTIFS('Data - Monthly Metrics'!$A:$A,$B$4,'Data - Monthly Metrics'!$B:$B,P$8,'Data - Monthly Metrics'!$C:$C,"East King",'Data - Monthly Metrics'!$D:$D,"Goal - Penetration %")&gt;0,P115&gt;=SUMIFS('Data - Monthly Metrics'!$E:$E,'Data - Monthly Metrics'!$A:$A,$B$4,'Data - Monthly Metrics'!$B:$B,P$8,'Data - Monthly Metrics'!$C:$C,"East King",'Data - Monthly Metrics'!$D:$D,"Goal - Penetration %"))</formula>
    </cfRule>
    <cfRule type="expression" rank="0" priority="260" equalAverage="0" aboveAverage="0" dxfId="2" stopIfTrue="1" text="" percent="0" bottom="0">
      <formula>AND(ISNUMBER(P115),COUNTIFS('Data - Monthly Metrics'!$A:$A,$B$4,'Data - Monthly Metrics'!$B:$B,P$8,'Data - Monthly Metrics'!$C:$C,"East King",'Data - Monthly Metrics'!$D:$D,"Goal - Penetration %")&gt;0,P115&gt;=SUMIFS('Data - Monthly Metrics'!$E:$E,'Data - Monthly Metrics'!$A:$A,$B$4,'Data - Monthly Metrics'!$B:$B,P$8,'Data - Monthly Metrics'!$C:$C,"East King",'Data - Monthly Metrics'!$D:$D,"Goal - Penetration %")-0.05)</formula>
    </cfRule>
    <cfRule type="expression" rank="0" priority="261" equalAverage="0" aboveAverage="0" dxfId="1" stopIfTrue="1" text="" percent="0" bottom="0">
      <formula>AND(ISNUMBER(P115),COUNTIFS('Data - Monthly Metrics'!$A:$A,$B$4,'Data - Monthly Metrics'!$B:$B,P$8,'Data - Monthly Metrics'!$C:$C,"East King",'Data - Monthly Metrics'!$D:$D,"Goal - Penetration %")&gt;0)</formula>
    </cfRule>
  </conditionalFormatting>
  <conditionalFormatting sqref="B116">
    <cfRule type="expression" rank="0" priority="262" equalAverage="0" aboveAverage="0" dxfId="0" stopIfTrue="1" text="" percent="0" bottom="0">
      <formula>AND(ISNUMBER(B116),COUNTIFS('Data - Monthly Metrics'!$A:$A,$B$4-1,'Data - Monthly Metrics'!$B:$B,B$8,'Data - Monthly Metrics'!$C:$C,"East King",'Data - Monthly Metrics'!$D:$D,"Goal - Penetration %")&gt;0,B116&gt;=SUMIFS('Data - Monthly Metrics'!$E:$E,'Data - Monthly Metrics'!$A:$A,$B$4-1,'Data - Monthly Metrics'!$B:$B,B$8,'Data - Monthly Metrics'!$C:$C,"East King",'Data - Monthly Metrics'!$D:$D,"Goal - Penetration %"))</formula>
    </cfRule>
    <cfRule type="expression" rank="0" priority="263" equalAverage="0" aboveAverage="0" dxfId="2" stopIfTrue="1" text="" percent="0" bottom="0">
      <formula>AND(ISNUMBER(B116),COUNTIFS('Data - Monthly Metrics'!$A:$A,$B$4-1,'Data - Monthly Metrics'!$B:$B,B$8,'Data - Monthly Metrics'!$C:$C,"East King",'Data - Monthly Metrics'!$D:$D,"Goal - Penetration %")&gt;0,B116&gt;=SUMIFS('Data - Monthly Metrics'!$E:$E,'Data - Monthly Metrics'!$A:$A,$B$4-1,'Data - Monthly Metrics'!$B:$B,B$8,'Data - Monthly Metrics'!$C:$C,"East King",'Data - Monthly Metrics'!$D:$D,"Goal - Penetration %")-0.05)</formula>
    </cfRule>
    <cfRule type="expression" rank="0" priority="264" equalAverage="0" aboveAverage="0" dxfId="1" stopIfTrue="1" text="" percent="0" bottom="0">
      <formula>AND(ISNUMBER(B116),COUNTIFS('Data - Monthly Metrics'!$A:$A,$B$4-1,'Data - Monthly Metrics'!$B:$B,B$8,'Data - Monthly Metrics'!$C:$C,"East King",'Data - Monthly Metrics'!$D:$D,"Goal - Penetration %")&gt;0)</formula>
    </cfRule>
  </conditionalFormatting>
  <conditionalFormatting sqref="C116">
    <cfRule type="expression" rank="0" priority="265" equalAverage="0" aboveAverage="0" dxfId="0" stopIfTrue="1" text="" percent="0" bottom="0">
      <formula>AND(ISNUMBER(C116),COUNTIFS('Data - Monthly Metrics'!$A:$A,$B$4-1,'Data - Monthly Metrics'!$B:$B,C$8,'Data - Monthly Metrics'!$C:$C,"East King",'Data - Monthly Metrics'!$D:$D,"Goal - Penetration %")&gt;0,C116&gt;=SUMIFS('Data - Monthly Metrics'!$E:$E,'Data - Monthly Metrics'!$A:$A,$B$4-1,'Data - Monthly Metrics'!$B:$B,C$8,'Data - Monthly Metrics'!$C:$C,"East King",'Data - Monthly Metrics'!$D:$D,"Goal - Penetration %"))</formula>
    </cfRule>
    <cfRule type="expression" rank="0" priority="266" equalAverage="0" aboveAverage="0" dxfId="2" stopIfTrue="1" text="" percent="0" bottom="0">
      <formula>AND(ISNUMBER(C116),COUNTIFS('Data - Monthly Metrics'!$A:$A,$B$4-1,'Data - Monthly Metrics'!$B:$B,C$8,'Data - Monthly Metrics'!$C:$C,"East King",'Data - Monthly Metrics'!$D:$D,"Goal - Penetration %")&gt;0,C116&gt;=SUMIFS('Data - Monthly Metrics'!$E:$E,'Data - Monthly Metrics'!$A:$A,$B$4-1,'Data - Monthly Metrics'!$B:$B,C$8,'Data - Monthly Metrics'!$C:$C,"East King",'Data - Monthly Metrics'!$D:$D,"Goal - Penetration %")-0.05)</formula>
    </cfRule>
    <cfRule type="expression" rank="0" priority="267" equalAverage="0" aboveAverage="0" dxfId="1" stopIfTrue="1" text="" percent="0" bottom="0">
      <formula>AND(ISNUMBER(C116),COUNTIFS('Data - Monthly Metrics'!$A:$A,$B$4-1,'Data - Monthly Metrics'!$B:$B,C$8,'Data - Monthly Metrics'!$C:$C,"East King",'Data - Monthly Metrics'!$D:$D,"Goal - Penetration %")&gt;0)</formula>
    </cfRule>
  </conditionalFormatting>
  <conditionalFormatting sqref="D116">
    <cfRule type="expression" rank="0" priority="268" equalAverage="0" aboveAverage="0" dxfId="0" stopIfTrue="1" text="" percent="0" bottom="0">
      <formula>AND(ISNUMBER(D116),COUNTIFS('Data - Monthly Metrics'!$A:$A,$B$4-1,'Data - Monthly Metrics'!$B:$B,D$8,'Data - Monthly Metrics'!$C:$C,"East King",'Data - Monthly Metrics'!$D:$D,"Goal - Penetration %")&gt;0,D116&gt;=SUMIFS('Data - Monthly Metrics'!$E:$E,'Data - Monthly Metrics'!$A:$A,$B$4-1,'Data - Monthly Metrics'!$B:$B,D$8,'Data - Monthly Metrics'!$C:$C,"East King",'Data - Monthly Metrics'!$D:$D,"Goal - Penetration %"))</formula>
    </cfRule>
    <cfRule type="expression" rank="0" priority="269" equalAverage="0" aboveAverage="0" dxfId="2" stopIfTrue="1" text="" percent="0" bottom="0">
      <formula>AND(ISNUMBER(D116),COUNTIFS('Data - Monthly Metrics'!$A:$A,$B$4-1,'Data - Monthly Metrics'!$B:$B,D$8,'Data - Monthly Metrics'!$C:$C,"East King",'Data - Monthly Metrics'!$D:$D,"Goal - Penetration %")&gt;0,D116&gt;=SUMIFS('Data - Monthly Metrics'!$E:$E,'Data - Monthly Metrics'!$A:$A,$B$4-1,'Data - Monthly Metrics'!$B:$B,D$8,'Data - Monthly Metrics'!$C:$C,"East King",'Data - Monthly Metrics'!$D:$D,"Goal - Penetration %")-0.05)</formula>
    </cfRule>
    <cfRule type="expression" rank="0" priority="270" equalAverage="0" aboveAverage="0" dxfId="1" stopIfTrue="1" text="" percent="0" bottom="0">
      <formula>AND(ISNUMBER(D116),COUNTIFS('Data - Monthly Metrics'!$A:$A,$B$4-1,'Data - Monthly Metrics'!$B:$B,D$8,'Data - Monthly Metrics'!$C:$C,"East King",'Data - Monthly Metrics'!$D:$D,"Goal - Penetration %")&gt;0)</formula>
    </cfRule>
  </conditionalFormatting>
  <conditionalFormatting sqref="F116">
    <cfRule type="expression" rank="0" priority="271" equalAverage="0" aboveAverage="0" dxfId="0" stopIfTrue="1" text="" percent="0" bottom="0">
      <formula>AND(ISNUMBER(F116),COUNTIFS('Data - Monthly Metrics'!$A:$A,$B$4,'Data - Monthly Metrics'!$B:$B,F$8,'Data - Monthly Metrics'!$C:$C,"East King",'Data - Monthly Metrics'!$D:$D,"Goal - Penetration %")&gt;0,F116&gt;=SUMIFS('Data - Monthly Metrics'!$E:$E,'Data - Monthly Metrics'!$A:$A,$B$4,'Data - Monthly Metrics'!$B:$B,F$8,'Data - Monthly Metrics'!$C:$C,"East King",'Data - Monthly Metrics'!$D:$D,"Goal - Penetration %"))</formula>
    </cfRule>
    <cfRule type="expression" rank="0" priority="272" equalAverage="0" aboveAverage="0" dxfId="2" stopIfTrue="1" text="" percent="0" bottom="0">
      <formula>AND(ISNUMBER(F116),COUNTIFS('Data - Monthly Metrics'!$A:$A,$B$4,'Data - Monthly Metrics'!$B:$B,F$8,'Data - Monthly Metrics'!$C:$C,"East King",'Data - Monthly Metrics'!$D:$D,"Goal - Penetration %")&gt;0,F116&gt;=SUMIFS('Data - Monthly Metrics'!$E:$E,'Data - Monthly Metrics'!$A:$A,$B$4,'Data - Monthly Metrics'!$B:$B,F$8,'Data - Monthly Metrics'!$C:$C,"East King",'Data - Monthly Metrics'!$D:$D,"Goal - Penetration %")-0.05)</formula>
    </cfRule>
    <cfRule type="expression" rank="0" priority="273" equalAverage="0" aboveAverage="0" dxfId="1" stopIfTrue="1" text="" percent="0" bottom="0">
      <formula>AND(ISNUMBER(F116),COUNTIFS('Data - Monthly Metrics'!$A:$A,$B$4,'Data - Monthly Metrics'!$B:$B,F$8,'Data - Monthly Metrics'!$C:$C,"East King",'Data - Monthly Metrics'!$D:$D,"Goal - Penetration %")&gt;0)</formula>
    </cfRule>
  </conditionalFormatting>
  <conditionalFormatting sqref="G116">
    <cfRule type="expression" rank="0" priority="274" equalAverage="0" aboveAverage="0" dxfId="0" stopIfTrue="1" text="" percent="0" bottom="0">
      <formula>AND(ISNUMBER(G116),COUNTIFS('Data - Monthly Metrics'!$A:$A,$B$4,'Data - Monthly Metrics'!$B:$B,G$8,'Data - Monthly Metrics'!$C:$C,"East King",'Data - Monthly Metrics'!$D:$D,"Goal - Penetration %")&gt;0,G116&gt;=SUMIFS('Data - Monthly Metrics'!$E:$E,'Data - Monthly Metrics'!$A:$A,$B$4,'Data - Monthly Metrics'!$B:$B,G$8,'Data - Monthly Metrics'!$C:$C,"East King",'Data - Monthly Metrics'!$D:$D,"Goal - Penetration %"))</formula>
    </cfRule>
    <cfRule type="expression" rank="0" priority="275" equalAverage="0" aboveAverage="0" dxfId="2" stopIfTrue="1" text="" percent="0" bottom="0">
      <formula>AND(ISNUMBER(G116),COUNTIFS('Data - Monthly Metrics'!$A:$A,$B$4,'Data - Monthly Metrics'!$B:$B,G$8,'Data - Monthly Metrics'!$C:$C,"East King",'Data - Monthly Metrics'!$D:$D,"Goal - Penetration %")&gt;0,G116&gt;=SUMIFS('Data - Monthly Metrics'!$E:$E,'Data - Monthly Metrics'!$A:$A,$B$4,'Data - Monthly Metrics'!$B:$B,G$8,'Data - Monthly Metrics'!$C:$C,"East King",'Data - Monthly Metrics'!$D:$D,"Goal - Penetration %")-0.05)</formula>
    </cfRule>
    <cfRule type="expression" rank="0" priority="276" equalAverage="0" aboveAverage="0" dxfId="1" stopIfTrue="1" text="" percent="0" bottom="0">
      <formula>AND(ISNUMBER(G116),COUNTIFS('Data - Monthly Metrics'!$A:$A,$B$4,'Data - Monthly Metrics'!$B:$B,G$8,'Data - Monthly Metrics'!$C:$C,"East King",'Data - Monthly Metrics'!$D:$D,"Goal - Penetration %")&gt;0)</formula>
    </cfRule>
  </conditionalFormatting>
  <conditionalFormatting sqref="H116">
    <cfRule type="expression" rank="0" priority="277" equalAverage="0" aboveAverage="0" dxfId="0" stopIfTrue="1" text="" percent="0" bottom="0">
      <formula>AND(ISNUMBER(H116),COUNTIFS('Data - Monthly Metrics'!$A:$A,$B$4,'Data - Monthly Metrics'!$B:$B,H$8,'Data - Monthly Metrics'!$C:$C,"East King",'Data - Monthly Metrics'!$D:$D,"Goal - Penetration %")&gt;0,H116&gt;=SUMIFS('Data - Monthly Metrics'!$E:$E,'Data - Monthly Metrics'!$A:$A,$B$4,'Data - Monthly Metrics'!$B:$B,H$8,'Data - Monthly Metrics'!$C:$C,"East King",'Data - Monthly Metrics'!$D:$D,"Goal - Penetration %"))</formula>
    </cfRule>
    <cfRule type="expression" rank="0" priority="278" equalAverage="0" aboveAverage="0" dxfId="2" stopIfTrue="1" text="" percent="0" bottom="0">
      <formula>AND(ISNUMBER(H116),COUNTIFS('Data - Monthly Metrics'!$A:$A,$B$4,'Data - Monthly Metrics'!$B:$B,H$8,'Data - Monthly Metrics'!$C:$C,"East King",'Data - Monthly Metrics'!$D:$D,"Goal - Penetration %")&gt;0,H116&gt;=SUMIFS('Data - Monthly Metrics'!$E:$E,'Data - Monthly Metrics'!$A:$A,$B$4,'Data - Monthly Metrics'!$B:$B,H$8,'Data - Monthly Metrics'!$C:$C,"East King",'Data - Monthly Metrics'!$D:$D,"Goal - Penetration %")-0.05)</formula>
    </cfRule>
    <cfRule type="expression" rank="0" priority="279" equalAverage="0" aboveAverage="0" dxfId="1" stopIfTrue="1" text="" percent="0" bottom="0">
      <formula>AND(ISNUMBER(H116),COUNTIFS('Data - Monthly Metrics'!$A:$A,$B$4,'Data - Monthly Metrics'!$B:$B,H$8,'Data - Monthly Metrics'!$C:$C,"East King",'Data - Monthly Metrics'!$D:$D,"Goal - Penetration %")&gt;0)</formula>
    </cfRule>
  </conditionalFormatting>
  <conditionalFormatting sqref="J116">
    <cfRule type="expression" rank="0" priority="280" equalAverage="0" aboveAverage="0" dxfId="0" stopIfTrue="1" text="" percent="0" bottom="0">
      <formula>AND(ISNUMBER(J116),COUNTIFS('Data - Monthly Metrics'!$A:$A,$B$4,'Data - Monthly Metrics'!$B:$B,J$8,'Data - Monthly Metrics'!$C:$C,"East King",'Data - Monthly Metrics'!$D:$D,"Goal - Penetration %")&gt;0,J116&gt;=SUMIFS('Data - Monthly Metrics'!$E:$E,'Data - Monthly Metrics'!$A:$A,$B$4,'Data - Monthly Metrics'!$B:$B,J$8,'Data - Monthly Metrics'!$C:$C,"East King",'Data - Monthly Metrics'!$D:$D,"Goal - Penetration %"))</formula>
    </cfRule>
    <cfRule type="expression" rank="0" priority="281" equalAverage="0" aboveAverage="0" dxfId="2" stopIfTrue="1" text="" percent="0" bottom="0">
      <formula>AND(ISNUMBER(J116),COUNTIFS('Data - Monthly Metrics'!$A:$A,$B$4,'Data - Monthly Metrics'!$B:$B,J$8,'Data - Monthly Metrics'!$C:$C,"East King",'Data - Monthly Metrics'!$D:$D,"Goal - Penetration %")&gt;0,J116&gt;=SUMIFS('Data - Monthly Metrics'!$E:$E,'Data - Monthly Metrics'!$A:$A,$B$4,'Data - Monthly Metrics'!$B:$B,J$8,'Data - Monthly Metrics'!$C:$C,"East King",'Data - Monthly Metrics'!$D:$D,"Goal - Penetration %")-0.05)</formula>
    </cfRule>
    <cfRule type="expression" rank="0" priority="282" equalAverage="0" aboveAverage="0" dxfId="1" stopIfTrue="1" text="" percent="0" bottom="0">
      <formula>AND(ISNUMBER(J116),COUNTIFS('Data - Monthly Metrics'!$A:$A,$B$4,'Data - Monthly Metrics'!$B:$B,J$8,'Data - Monthly Metrics'!$C:$C,"East King",'Data - Monthly Metrics'!$D:$D,"Goal - Penetration %")&gt;0)</formula>
    </cfRule>
  </conditionalFormatting>
  <conditionalFormatting sqref="K116">
    <cfRule type="expression" rank="0" priority="283" equalAverage="0" aboveAverage="0" dxfId="0" stopIfTrue="1" text="" percent="0" bottom="0">
      <formula>AND(ISNUMBER(K116),COUNTIFS('Data - Monthly Metrics'!$A:$A,$B$4,'Data - Monthly Metrics'!$B:$B,K$8,'Data - Monthly Metrics'!$C:$C,"East King",'Data - Monthly Metrics'!$D:$D,"Goal - Penetration %")&gt;0,K116&gt;=SUMIFS('Data - Monthly Metrics'!$E:$E,'Data - Monthly Metrics'!$A:$A,$B$4,'Data - Monthly Metrics'!$B:$B,K$8,'Data - Monthly Metrics'!$C:$C,"East King",'Data - Monthly Metrics'!$D:$D,"Goal - Penetration %"))</formula>
    </cfRule>
    <cfRule type="expression" rank="0" priority="284" equalAverage="0" aboveAverage="0" dxfId="2" stopIfTrue="1" text="" percent="0" bottom="0">
      <formula>AND(ISNUMBER(K116),COUNTIFS('Data - Monthly Metrics'!$A:$A,$B$4,'Data - Monthly Metrics'!$B:$B,K$8,'Data - Monthly Metrics'!$C:$C,"East King",'Data - Monthly Metrics'!$D:$D,"Goal - Penetration %")&gt;0,K116&gt;=SUMIFS('Data - Monthly Metrics'!$E:$E,'Data - Monthly Metrics'!$A:$A,$B$4,'Data - Monthly Metrics'!$B:$B,K$8,'Data - Monthly Metrics'!$C:$C,"East King",'Data - Monthly Metrics'!$D:$D,"Goal - Penetration %")-0.05)</formula>
    </cfRule>
    <cfRule type="expression" rank="0" priority="285" equalAverage="0" aboveAverage="0" dxfId="1" stopIfTrue="1" text="" percent="0" bottom="0">
      <formula>AND(ISNUMBER(K116),COUNTIFS('Data - Monthly Metrics'!$A:$A,$B$4,'Data - Monthly Metrics'!$B:$B,K$8,'Data - Monthly Metrics'!$C:$C,"East King",'Data - Monthly Metrics'!$D:$D,"Goal - Penetration %")&gt;0)</formula>
    </cfRule>
  </conditionalFormatting>
  <conditionalFormatting sqref="L116">
    <cfRule type="expression" rank="0" priority="286" equalAverage="0" aboveAverage="0" dxfId="0" stopIfTrue="1" text="" percent="0" bottom="0">
      <formula>AND(ISNUMBER(L116),COUNTIFS('Data - Monthly Metrics'!$A:$A,$B$4,'Data - Monthly Metrics'!$B:$B,L$8,'Data - Monthly Metrics'!$C:$C,"East King",'Data - Monthly Metrics'!$D:$D,"Goal - Penetration %")&gt;0,L116&gt;=SUMIFS('Data - Monthly Metrics'!$E:$E,'Data - Monthly Metrics'!$A:$A,$B$4,'Data - Monthly Metrics'!$B:$B,L$8,'Data - Monthly Metrics'!$C:$C,"East King",'Data - Monthly Metrics'!$D:$D,"Goal - Penetration %"))</formula>
    </cfRule>
    <cfRule type="expression" rank="0" priority="287" equalAverage="0" aboveAverage="0" dxfId="2" stopIfTrue="1" text="" percent="0" bottom="0">
      <formula>AND(ISNUMBER(L116),COUNTIFS('Data - Monthly Metrics'!$A:$A,$B$4,'Data - Monthly Metrics'!$B:$B,L$8,'Data - Monthly Metrics'!$C:$C,"East King",'Data - Monthly Metrics'!$D:$D,"Goal - Penetration %")&gt;0,L116&gt;=SUMIFS('Data - Monthly Metrics'!$E:$E,'Data - Monthly Metrics'!$A:$A,$B$4,'Data - Monthly Metrics'!$B:$B,L$8,'Data - Monthly Metrics'!$C:$C,"East King",'Data - Monthly Metrics'!$D:$D,"Goal - Penetration %")-0.05)</formula>
    </cfRule>
    <cfRule type="expression" rank="0" priority="288" equalAverage="0" aboveAverage="0" dxfId="1" stopIfTrue="1" text="" percent="0" bottom="0">
      <formula>AND(ISNUMBER(L116),COUNTIFS('Data - Monthly Metrics'!$A:$A,$B$4,'Data - Monthly Metrics'!$B:$B,L$8,'Data - Monthly Metrics'!$C:$C,"East King",'Data - Monthly Metrics'!$D:$D,"Goal - Penetration %")&gt;0)</formula>
    </cfRule>
  </conditionalFormatting>
  <conditionalFormatting sqref="N116">
    <cfRule type="expression" rank="0" priority="289" equalAverage="0" aboveAverage="0" dxfId="0" stopIfTrue="1" text="" percent="0" bottom="0">
      <formula>AND(ISNUMBER(N116),COUNTIFS('Data - Monthly Metrics'!$A:$A,$B$4,'Data - Monthly Metrics'!$B:$B,N$8,'Data - Monthly Metrics'!$C:$C,"East King",'Data - Monthly Metrics'!$D:$D,"Goal - Penetration %")&gt;0,N116&gt;=SUMIFS('Data - Monthly Metrics'!$E:$E,'Data - Monthly Metrics'!$A:$A,$B$4,'Data - Monthly Metrics'!$B:$B,N$8,'Data - Monthly Metrics'!$C:$C,"East King",'Data - Monthly Metrics'!$D:$D,"Goal - Penetration %"))</formula>
    </cfRule>
    <cfRule type="expression" rank="0" priority="290" equalAverage="0" aboveAverage="0" dxfId="2" stopIfTrue="1" text="" percent="0" bottom="0">
      <formula>AND(ISNUMBER(N116),COUNTIFS('Data - Monthly Metrics'!$A:$A,$B$4,'Data - Monthly Metrics'!$B:$B,N$8,'Data - Monthly Metrics'!$C:$C,"East King",'Data - Monthly Metrics'!$D:$D,"Goal - Penetration %")&gt;0,N116&gt;=SUMIFS('Data - Monthly Metrics'!$E:$E,'Data - Monthly Metrics'!$A:$A,$B$4,'Data - Monthly Metrics'!$B:$B,N$8,'Data - Monthly Metrics'!$C:$C,"East King",'Data - Monthly Metrics'!$D:$D,"Goal - Penetration %")-0.05)</formula>
    </cfRule>
    <cfRule type="expression" rank="0" priority="291" equalAverage="0" aboveAverage="0" dxfId="1" stopIfTrue="1" text="" percent="0" bottom="0">
      <formula>AND(ISNUMBER(N116),COUNTIFS('Data - Monthly Metrics'!$A:$A,$B$4,'Data - Monthly Metrics'!$B:$B,N$8,'Data - Monthly Metrics'!$C:$C,"East King",'Data - Monthly Metrics'!$D:$D,"Goal - Penetration %")&gt;0)</formula>
    </cfRule>
  </conditionalFormatting>
  <conditionalFormatting sqref="O116">
    <cfRule type="expression" rank="0" priority="292" equalAverage="0" aboveAverage="0" dxfId="0" stopIfTrue="1" text="" percent="0" bottom="0">
      <formula>AND(ISNUMBER(O116),COUNTIFS('Data - Monthly Metrics'!$A:$A,$B$4,'Data - Monthly Metrics'!$B:$B,O$8,'Data - Monthly Metrics'!$C:$C,"East King",'Data - Monthly Metrics'!$D:$D,"Goal - Penetration %")&gt;0,O116&gt;=SUMIFS('Data - Monthly Metrics'!$E:$E,'Data - Monthly Metrics'!$A:$A,$B$4,'Data - Monthly Metrics'!$B:$B,O$8,'Data - Monthly Metrics'!$C:$C,"East King",'Data - Monthly Metrics'!$D:$D,"Goal - Penetration %"))</formula>
    </cfRule>
    <cfRule type="expression" rank="0" priority="293" equalAverage="0" aboveAverage="0" dxfId="2" stopIfTrue="1" text="" percent="0" bottom="0">
      <formula>AND(ISNUMBER(O116),COUNTIFS('Data - Monthly Metrics'!$A:$A,$B$4,'Data - Monthly Metrics'!$B:$B,O$8,'Data - Monthly Metrics'!$C:$C,"East King",'Data - Monthly Metrics'!$D:$D,"Goal - Penetration %")&gt;0,O116&gt;=SUMIFS('Data - Monthly Metrics'!$E:$E,'Data - Monthly Metrics'!$A:$A,$B$4,'Data - Monthly Metrics'!$B:$B,O$8,'Data - Monthly Metrics'!$C:$C,"East King",'Data - Monthly Metrics'!$D:$D,"Goal - Penetration %")-0.05)</formula>
    </cfRule>
    <cfRule type="expression" rank="0" priority="294" equalAverage="0" aboveAverage="0" dxfId="1" stopIfTrue="1" text="" percent="0" bottom="0">
      <formula>AND(ISNUMBER(O116),COUNTIFS('Data - Monthly Metrics'!$A:$A,$B$4,'Data - Monthly Metrics'!$B:$B,O$8,'Data - Monthly Metrics'!$C:$C,"East King",'Data - Monthly Metrics'!$D:$D,"Goal - Penetration %")&gt;0)</formula>
    </cfRule>
  </conditionalFormatting>
  <conditionalFormatting sqref="P116">
    <cfRule type="expression" rank="0" priority="295" equalAverage="0" aboveAverage="0" dxfId="0" stopIfTrue="1" text="" percent="0" bottom="0">
      <formula>AND(ISNUMBER(P116),COUNTIFS('Data - Monthly Metrics'!$A:$A,$B$4,'Data - Monthly Metrics'!$B:$B,P$8,'Data - Monthly Metrics'!$C:$C,"East King",'Data - Monthly Metrics'!$D:$D,"Goal - Penetration %")&gt;0,P116&gt;=SUMIFS('Data - Monthly Metrics'!$E:$E,'Data - Monthly Metrics'!$A:$A,$B$4,'Data - Monthly Metrics'!$B:$B,P$8,'Data - Monthly Metrics'!$C:$C,"East King",'Data - Monthly Metrics'!$D:$D,"Goal - Penetration %"))</formula>
    </cfRule>
    <cfRule type="expression" rank="0" priority="296" equalAverage="0" aboveAverage="0" dxfId="2" stopIfTrue="1" text="" percent="0" bottom="0">
      <formula>AND(ISNUMBER(P116),COUNTIFS('Data - Monthly Metrics'!$A:$A,$B$4,'Data - Monthly Metrics'!$B:$B,P$8,'Data - Monthly Metrics'!$C:$C,"East King",'Data - Monthly Metrics'!$D:$D,"Goal - Penetration %")&gt;0,P116&gt;=SUMIFS('Data - Monthly Metrics'!$E:$E,'Data - Monthly Metrics'!$A:$A,$B$4,'Data - Monthly Metrics'!$B:$B,P$8,'Data - Monthly Metrics'!$C:$C,"East King",'Data - Monthly Metrics'!$D:$D,"Goal - Penetration %")-0.05)</formula>
    </cfRule>
    <cfRule type="expression" rank="0" priority="297" equalAverage="0" aboveAverage="0" dxfId="1" stopIfTrue="1" text="" percent="0" bottom="0">
      <formula>AND(ISNUMBER(P116),COUNTIFS('Data - Monthly Metrics'!$A:$A,$B$4,'Data - Monthly Metrics'!$B:$B,P$8,'Data - Monthly Metrics'!$C:$C,"East King",'Data - Monthly Metrics'!$D:$D,"Goal - Penetration %")&gt;0)</formula>
    </cfRule>
  </conditionalFormatting>
  <conditionalFormatting sqref="B117">
    <cfRule type="expression" rank="0" priority="298" equalAverage="0" aboveAverage="0" dxfId="0" stopIfTrue="1" text="" percent="0" bottom="0">
      <formula>AND(ISNUMBER(B117),COUNTIFS('Data - Monthly Metrics'!$A:$A,$B$4-1,'Data - Monthly Metrics'!$B:$B,B$8,'Data - Monthly Metrics'!$C:$C,"East King",'Data - Monthly Metrics'!$D:$D,"Goal - Penetration %")&gt;0,B117&gt;=SUMIFS('Data - Monthly Metrics'!$E:$E,'Data - Monthly Metrics'!$A:$A,$B$4-1,'Data - Monthly Metrics'!$B:$B,B$8,'Data - Monthly Metrics'!$C:$C,"East King",'Data - Monthly Metrics'!$D:$D,"Goal - Penetration %"))</formula>
    </cfRule>
    <cfRule type="expression" rank="0" priority="299" equalAverage="0" aboveAverage="0" dxfId="2" stopIfTrue="1" text="" percent="0" bottom="0">
      <formula>AND(ISNUMBER(B117),COUNTIFS('Data - Monthly Metrics'!$A:$A,$B$4-1,'Data - Monthly Metrics'!$B:$B,B$8,'Data - Monthly Metrics'!$C:$C,"East King",'Data - Monthly Metrics'!$D:$D,"Goal - Penetration %")&gt;0,B117&gt;=SUMIFS('Data - Monthly Metrics'!$E:$E,'Data - Monthly Metrics'!$A:$A,$B$4-1,'Data - Monthly Metrics'!$B:$B,B$8,'Data - Monthly Metrics'!$C:$C,"East King",'Data - Monthly Metrics'!$D:$D,"Goal - Penetration %")-0.05)</formula>
    </cfRule>
    <cfRule type="expression" rank="0" priority="300" equalAverage="0" aboveAverage="0" dxfId="1" stopIfTrue="1" text="" percent="0" bottom="0">
      <formula>AND(ISNUMBER(B117),COUNTIFS('Data - Monthly Metrics'!$A:$A,$B$4-1,'Data - Monthly Metrics'!$B:$B,B$8,'Data - Monthly Metrics'!$C:$C,"East King",'Data - Monthly Metrics'!$D:$D,"Goal - Penetration %")&gt;0)</formula>
    </cfRule>
  </conditionalFormatting>
  <conditionalFormatting sqref="C117">
    <cfRule type="expression" rank="0" priority="301" equalAverage="0" aboveAverage="0" dxfId="0" stopIfTrue="1" text="" percent="0" bottom="0">
      <formula>AND(ISNUMBER(C117),COUNTIFS('Data - Monthly Metrics'!$A:$A,$B$4-1,'Data - Monthly Metrics'!$B:$B,C$8,'Data - Monthly Metrics'!$C:$C,"East King",'Data - Monthly Metrics'!$D:$D,"Goal - Penetration %")&gt;0,C117&gt;=SUMIFS('Data - Monthly Metrics'!$E:$E,'Data - Monthly Metrics'!$A:$A,$B$4-1,'Data - Monthly Metrics'!$B:$B,C$8,'Data - Monthly Metrics'!$C:$C,"East King",'Data - Monthly Metrics'!$D:$D,"Goal - Penetration %"))</formula>
    </cfRule>
    <cfRule type="expression" rank="0" priority="302" equalAverage="0" aboveAverage="0" dxfId="2" stopIfTrue="1" text="" percent="0" bottom="0">
      <formula>AND(ISNUMBER(C117),COUNTIFS('Data - Monthly Metrics'!$A:$A,$B$4-1,'Data - Monthly Metrics'!$B:$B,C$8,'Data - Monthly Metrics'!$C:$C,"East King",'Data - Monthly Metrics'!$D:$D,"Goal - Penetration %")&gt;0,C117&gt;=SUMIFS('Data - Monthly Metrics'!$E:$E,'Data - Monthly Metrics'!$A:$A,$B$4-1,'Data - Monthly Metrics'!$B:$B,C$8,'Data - Monthly Metrics'!$C:$C,"East King",'Data - Monthly Metrics'!$D:$D,"Goal - Penetration %")-0.05)</formula>
    </cfRule>
    <cfRule type="expression" rank="0" priority="303" equalAverage="0" aboveAverage="0" dxfId="1" stopIfTrue="1" text="" percent="0" bottom="0">
      <formula>AND(ISNUMBER(C117),COUNTIFS('Data - Monthly Metrics'!$A:$A,$B$4-1,'Data - Monthly Metrics'!$B:$B,C$8,'Data - Monthly Metrics'!$C:$C,"East King",'Data - Monthly Metrics'!$D:$D,"Goal - Penetration %")&gt;0)</formula>
    </cfRule>
  </conditionalFormatting>
  <conditionalFormatting sqref="D117">
    <cfRule type="expression" rank="0" priority="304" equalAverage="0" aboveAverage="0" dxfId="0" stopIfTrue="1" text="" percent="0" bottom="0">
      <formula>AND(ISNUMBER(D117),COUNTIFS('Data - Monthly Metrics'!$A:$A,$B$4-1,'Data - Monthly Metrics'!$B:$B,D$8,'Data - Monthly Metrics'!$C:$C,"East King",'Data - Monthly Metrics'!$D:$D,"Goal - Penetration %")&gt;0,D117&gt;=SUMIFS('Data - Monthly Metrics'!$E:$E,'Data - Monthly Metrics'!$A:$A,$B$4-1,'Data - Monthly Metrics'!$B:$B,D$8,'Data - Monthly Metrics'!$C:$C,"East King",'Data - Monthly Metrics'!$D:$D,"Goal - Penetration %"))</formula>
    </cfRule>
    <cfRule type="expression" rank="0" priority="305" equalAverage="0" aboveAverage="0" dxfId="2" stopIfTrue="1" text="" percent="0" bottom="0">
      <formula>AND(ISNUMBER(D117),COUNTIFS('Data - Monthly Metrics'!$A:$A,$B$4-1,'Data - Monthly Metrics'!$B:$B,D$8,'Data - Monthly Metrics'!$C:$C,"East King",'Data - Monthly Metrics'!$D:$D,"Goal - Penetration %")&gt;0,D117&gt;=SUMIFS('Data - Monthly Metrics'!$E:$E,'Data - Monthly Metrics'!$A:$A,$B$4-1,'Data - Monthly Metrics'!$B:$B,D$8,'Data - Monthly Metrics'!$C:$C,"East King",'Data - Monthly Metrics'!$D:$D,"Goal - Penetration %")-0.05)</formula>
    </cfRule>
    <cfRule type="expression" rank="0" priority="306" equalAverage="0" aboveAverage="0" dxfId="1" stopIfTrue="1" text="" percent="0" bottom="0">
      <formula>AND(ISNUMBER(D117),COUNTIFS('Data - Monthly Metrics'!$A:$A,$B$4-1,'Data - Monthly Metrics'!$B:$B,D$8,'Data - Monthly Metrics'!$C:$C,"East King",'Data - Monthly Metrics'!$D:$D,"Goal - Penetration %")&gt;0)</formula>
    </cfRule>
  </conditionalFormatting>
  <conditionalFormatting sqref="F117">
    <cfRule type="expression" rank="0" priority="307" equalAverage="0" aboveAverage="0" dxfId="0" stopIfTrue="1" text="" percent="0" bottom="0">
      <formula>AND(ISNUMBER(F117),COUNTIFS('Data - Monthly Metrics'!$A:$A,$B$4,'Data - Monthly Metrics'!$B:$B,F$8,'Data - Monthly Metrics'!$C:$C,"East King",'Data - Monthly Metrics'!$D:$D,"Goal - Penetration %")&gt;0,F117&gt;=SUMIFS('Data - Monthly Metrics'!$E:$E,'Data - Monthly Metrics'!$A:$A,$B$4,'Data - Monthly Metrics'!$B:$B,F$8,'Data - Monthly Metrics'!$C:$C,"East King",'Data - Monthly Metrics'!$D:$D,"Goal - Penetration %"))</formula>
    </cfRule>
    <cfRule type="expression" rank="0" priority="308" equalAverage="0" aboveAverage="0" dxfId="2" stopIfTrue="1" text="" percent="0" bottom="0">
      <formula>AND(ISNUMBER(F117),COUNTIFS('Data - Monthly Metrics'!$A:$A,$B$4,'Data - Monthly Metrics'!$B:$B,F$8,'Data - Monthly Metrics'!$C:$C,"East King",'Data - Monthly Metrics'!$D:$D,"Goal - Penetration %")&gt;0,F117&gt;=SUMIFS('Data - Monthly Metrics'!$E:$E,'Data - Monthly Metrics'!$A:$A,$B$4,'Data - Monthly Metrics'!$B:$B,F$8,'Data - Monthly Metrics'!$C:$C,"East King",'Data - Monthly Metrics'!$D:$D,"Goal - Penetration %")-0.05)</formula>
    </cfRule>
    <cfRule type="expression" rank="0" priority="309" equalAverage="0" aboveAverage="0" dxfId="1" stopIfTrue="1" text="" percent="0" bottom="0">
      <formula>AND(ISNUMBER(F117),COUNTIFS('Data - Monthly Metrics'!$A:$A,$B$4,'Data - Monthly Metrics'!$B:$B,F$8,'Data - Monthly Metrics'!$C:$C,"East King",'Data - Monthly Metrics'!$D:$D,"Goal - Penetration %")&gt;0)</formula>
    </cfRule>
  </conditionalFormatting>
  <conditionalFormatting sqref="G117">
    <cfRule type="expression" rank="0" priority="310" equalAverage="0" aboveAverage="0" dxfId="0" stopIfTrue="1" text="" percent="0" bottom="0">
      <formula>AND(ISNUMBER(G117),COUNTIFS('Data - Monthly Metrics'!$A:$A,$B$4,'Data - Monthly Metrics'!$B:$B,G$8,'Data - Monthly Metrics'!$C:$C,"East King",'Data - Monthly Metrics'!$D:$D,"Goal - Penetration %")&gt;0,G117&gt;=SUMIFS('Data - Monthly Metrics'!$E:$E,'Data - Monthly Metrics'!$A:$A,$B$4,'Data - Monthly Metrics'!$B:$B,G$8,'Data - Monthly Metrics'!$C:$C,"East King",'Data - Monthly Metrics'!$D:$D,"Goal - Penetration %"))</formula>
    </cfRule>
    <cfRule type="expression" rank="0" priority="311" equalAverage="0" aboveAverage="0" dxfId="2" stopIfTrue="1" text="" percent="0" bottom="0">
      <formula>AND(ISNUMBER(G117),COUNTIFS('Data - Monthly Metrics'!$A:$A,$B$4,'Data - Monthly Metrics'!$B:$B,G$8,'Data - Monthly Metrics'!$C:$C,"East King",'Data - Monthly Metrics'!$D:$D,"Goal - Penetration %")&gt;0,G117&gt;=SUMIFS('Data - Monthly Metrics'!$E:$E,'Data - Monthly Metrics'!$A:$A,$B$4,'Data - Monthly Metrics'!$B:$B,G$8,'Data - Monthly Metrics'!$C:$C,"East King",'Data - Monthly Metrics'!$D:$D,"Goal - Penetration %")-0.05)</formula>
    </cfRule>
    <cfRule type="expression" rank="0" priority="312" equalAverage="0" aboveAverage="0" dxfId="1" stopIfTrue="1" text="" percent="0" bottom="0">
      <formula>AND(ISNUMBER(G117),COUNTIFS('Data - Monthly Metrics'!$A:$A,$B$4,'Data - Monthly Metrics'!$B:$B,G$8,'Data - Monthly Metrics'!$C:$C,"East King",'Data - Monthly Metrics'!$D:$D,"Goal - Penetration %")&gt;0)</formula>
    </cfRule>
  </conditionalFormatting>
  <conditionalFormatting sqref="H117">
    <cfRule type="expression" rank="0" priority="313" equalAverage="0" aboveAverage="0" dxfId="0" stopIfTrue="1" text="" percent="0" bottom="0">
      <formula>AND(ISNUMBER(H117),COUNTIFS('Data - Monthly Metrics'!$A:$A,$B$4,'Data - Monthly Metrics'!$B:$B,H$8,'Data - Monthly Metrics'!$C:$C,"East King",'Data - Monthly Metrics'!$D:$D,"Goal - Penetration %")&gt;0,H117&gt;=SUMIFS('Data - Monthly Metrics'!$E:$E,'Data - Monthly Metrics'!$A:$A,$B$4,'Data - Monthly Metrics'!$B:$B,H$8,'Data - Monthly Metrics'!$C:$C,"East King",'Data - Monthly Metrics'!$D:$D,"Goal - Penetration %"))</formula>
    </cfRule>
    <cfRule type="expression" rank="0" priority="314" equalAverage="0" aboveAverage="0" dxfId="2" stopIfTrue="1" text="" percent="0" bottom="0">
      <formula>AND(ISNUMBER(H117),COUNTIFS('Data - Monthly Metrics'!$A:$A,$B$4,'Data - Monthly Metrics'!$B:$B,H$8,'Data - Monthly Metrics'!$C:$C,"East King",'Data - Monthly Metrics'!$D:$D,"Goal - Penetration %")&gt;0,H117&gt;=SUMIFS('Data - Monthly Metrics'!$E:$E,'Data - Monthly Metrics'!$A:$A,$B$4,'Data - Monthly Metrics'!$B:$B,H$8,'Data - Monthly Metrics'!$C:$C,"East King",'Data - Monthly Metrics'!$D:$D,"Goal - Penetration %")-0.05)</formula>
    </cfRule>
    <cfRule type="expression" rank="0" priority="315" equalAverage="0" aboveAverage="0" dxfId="1" stopIfTrue="1" text="" percent="0" bottom="0">
      <formula>AND(ISNUMBER(H117),COUNTIFS('Data - Monthly Metrics'!$A:$A,$B$4,'Data - Monthly Metrics'!$B:$B,H$8,'Data - Monthly Metrics'!$C:$C,"East King",'Data - Monthly Metrics'!$D:$D,"Goal - Penetration %")&gt;0)</formula>
    </cfRule>
  </conditionalFormatting>
  <conditionalFormatting sqref="J117">
    <cfRule type="expression" rank="0" priority="316" equalAverage="0" aboveAverage="0" dxfId="0" stopIfTrue="1" text="" percent="0" bottom="0">
      <formula>AND(ISNUMBER(J117),COUNTIFS('Data - Monthly Metrics'!$A:$A,$B$4,'Data - Monthly Metrics'!$B:$B,J$8,'Data - Monthly Metrics'!$C:$C,"East King",'Data - Monthly Metrics'!$D:$D,"Goal - Penetration %")&gt;0,J117&gt;=SUMIFS('Data - Monthly Metrics'!$E:$E,'Data - Monthly Metrics'!$A:$A,$B$4,'Data - Monthly Metrics'!$B:$B,J$8,'Data - Monthly Metrics'!$C:$C,"East King",'Data - Monthly Metrics'!$D:$D,"Goal - Penetration %"))</formula>
    </cfRule>
    <cfRule type="expression" rank="0" priority="317" equalAverage="0" aboveAverage="0" dxfId="2" stopIfTrue="1" text="" percent="0" bottom="0">
      <formula>AND(ISNUMBER(J117),COUNTIFS('Data - Monthly Metrics'!$A:$A,$B$4,'Data - Monthly Metrics'!$B:$B,J$8,'Data - Monthly Metrics'!$C:$C,"East King",'Data - Monthly Metrics'!$D:$D,"Goal - Penetration %")&gt;0,J117&gt;=SUMIFS('Data - Monthly Metrics'!$E:$E,'Data - Monthly Metrics'!$A:$A,$B$4,'Data - Monthly Metrics'!$B:$B,J$8,'Data - Monthly Metrics'!$C:$C,"East King",'Data - Monthly Metrics'!$D:$D,"Goal - Penetration %")-0.05)</formula>
    </cfRule>
    <cfRule type="expression" rank="0" priority="318" equalAverage="0" aboveAverage="0" dxfId="1" stopIfTrue="1" text="" percent="0" bottom="0">
      <formula>AND(ISNUMBER(J117),COUNTIFS('Data - Monthly Metrics'!$A:$A,$B$4,'Data - Monthly Metrics'!$B:$B,J$8,'Data - Monthly Metrics'!$C:$C,"East King",'Data - Monthly Metrics'!$D:$D,"Goal - Penetration %")&gt;0)</formula>
    </cfRule>
  </conditionalFormatting>
  <conditionalFormatting sqref="K117">
    <cfRule type="expression" rank="0" priority="319" equalAverage="0" aboveAverage="0" dxfId="0" stopIfTrue="1" text="" percent="0" bottom="0">
      <formula>AND(ISNUMBER(K117),COUNTIFS('Data - Monthly Metrics'!$A:$A,$B$4,'Data - Monthly Metrics'!$B:$B,K$8,'Data - Monthly Metrics'!$C:$C,"East King",'Data - Monthly Metrics'!$D:$D,"Goal - Penetration %")&gt;0,K117&gt;=SUMIFS('Data - Monthly Metrics'!$E:$E,'Data - Monthly Metrics'!$A:$A,$B$4,'Data - Monthly Metrics'!$B:$B,K$8,'Data - Monthly Metrics'!$C:$C,"East King",'Data - Monthly Metrics'!$D:$D,"Goal - Penetration %"))</formula>
    </cfRule>
    <cfRule type="expression" rank="0" priority="320" equalAverage="0" aboveAverage="0" dxfId="2" stopIfTrue="1" text="" percent="0" bottom="0">
      <formula>AND(ISNUMBER(K117),COUNTIFS('Data - Monthly Metrics'!$A:$A,$B$4,'Data - Monthly Metrics'!$B:$B,K$8,'Data - Monthly Metrics'!$C:$C,"East King",'Data - Monthly Metrics'!$D:$D,"Goal - Penetration %")&gt;0,K117&gt;=SUMIFS('Data - Monthly Metrics'!$E:$E,'Data - Monthly Metrics'!$A:$A,$B$4,'Data - Monthly Metrics'!$B:$B,K$8,'Data - Monthly Metrics'!$C:$C,"East King",'Data - Monthly Metrics'!$D:$D,"Goal - Penetration %")-0.05)</formula>
    </cfRule>
    <cfRule type="expression" rank="0" priority="321" equalAverage="0" aboveAverage="0" dxfId="1" stopIfTrue="1" text="" percent="0" bottom="0">
      <formula>AND(ISNUMBER(K117),COUNTIFS('Data - Monthly Metrics'!$A:$A,$B$4,'Data - Monthly Metrics'!$B:$B,K$8,'Data - Monthly Metrics'!$C:$C,"East King",'Data - Monthly Metrics'!$D:$D,"Goal - Penetration %")&gt;0)</formula>
    </cfRule>
  </conditionalFormatting>
  <conditionalFormatting sqref="L117">
    <cfRule type="expression" rank="0" priority="322" equalAverage="0" aboveAverage="0" dxfId="0" stopIfTrue="1" text="" percent="0" bottom="0">
      <formula>AND(ISNUMBER(L117),COUNTIFS('Data - Monthly Metrics'!$A:$A,$B$4,'Data - Monthly Metrics'!$B:$B,L$8,'Data - Monthly Metrics'!$C:$C,"East King",'Data - Monthly Metrics'!$D:$D,"Goal - Penetration %")&gt;0,L117&gt;=SUMIFS('Data - Monthly Metrics'!$E:$E,'Data - Monthly Metrics'!$A:$A,$B$4,'Data - Monthly Metrics'!$B:$B,L$8,'Data - Monthly Metrics'!$C:$C,"East King",'Data - Monthly Metrics'!$D:$D,"Goal - Penetration %"))</formula>
    </cfRule>
    <cfRule type="expression" rank="0" priority="323" equalAverage="0" aboveAverage="0" dxfId="2" stopIfTrue="1" text="" percent="0" bottom="0">
      <formula>AND(ISNUMBER(L117),COUNTIFS('Data - Monthly Metrics'!$A:$A,$B$4,'Data - Monthly Metrics'!$B:$B,L$8,'Data - Monthly Metrics'!$C:$C,"East King",'Data - Monthly Metrics'!$D:$D,"Goal - Penetration %")&gt;0,L117&gt;=SUMIFS('Data - Monthly Metrics'!$E:$E,'Data - Monthly Metrics'!$A:$A,$B$4,'Data - Monthly Metrics'!$B:$B,L$8,'Data - Monthly Metrics'!$C:$C,"East King",'Data - Monthly Metrics'!$D:$D,"Goal - Penetration %")-0.05)</formula>
    </cfRule>
    <cfRule type="expression" rank="0" priority="324" equalAverage="0" aboveAverage="0" dxfId="1" stopIfTrue="1" text="" percent="0" bottom="0">
      <formula>AND(ISNUMBER(L117),COUNTIFS('Data - Monthly Metrics'!$A:$A,$B$4,'Data - Monthly Metrics'!$B:$B,L$8,'Data - Monthly Metrics'!$C:$C,"East King",'Data - Monthly Metrics'!$D:$D,"Goal - Penetration %")&gt;0)</formula>
    </cfRule>
  </conditionalFormatting>
  <conditionalFormatting sqref="N117">
    <cfRule type="expression" rank="0" priority="325" equalAverage="0" aboveAverage="0" dxfId="0" stopIfTrue="1" text="" percent="0" bottom="0">
      <formula>AND(ISNUMBER(N117),COUNTIFS('Data - Monthly Metrics'!$A:$A,$B$4,'Data - Monthly Metrics'!$B:$B,N$8,'Data - Monthly Metrics'!$C:$C,"East King",'Data - Monthly Metrics'!$D:$D,"Goal - Penetration %")&gt;0,N117&gt;=SUMIFS('Data - Monthly Metrics'!$E:$E,'Data - Monthly Metrics'!$A:$A,$B$4,'Data - Monthly Metrics'!$B:$B,N$8,'Data - Monthly Metrics'!$C:$C,"East King",'Data - Monthly Metrics'!$D:$D,"Goal - Penetration %"))</formula>
    </cfRule>
    <cfRule type="expression" rank="0" priority="326" equalAverage="0" aboveAverage="0" dxfId="2" stopIfTrue="1" text="" percent="0" bottom="0">
      <formula>AND(ISNUMBER(N117),COUNTIFS('Data - Monthly Metrics'!$A:$A,$B$4,'Data - Monthly Metrics'!$B:$B,N$8,'Data - Monthly Metrics'!$C:$C,"East King",'Data - Monthly Metrics'!$D:$D,"Goal - Penetration %")&gt;0,N117&gt;=SUMIFS('Data - Monthly Metrics'!$E:$E,'Data - Monthly Metrics'!$A:$A,$B$4,'Data - Monthly Metrics'!$B:$B,N$8,'Data - Monthly Metrics'!$C:$C,"East King",'Data - Monthly Metrics'!$D:$D,"Goal - Penetration %")-0.05)</formula>
    </cfRule>
    <cfRule type="expression" rank="0" priority="327" equalAverage="0" aboveAverage="0" dxfId="1" stopIfTrue="1" text="" percent="0" bottom="0">
      <formula>AND(ISNUMBER(N117),COUNTIFS('Data - Monthly Metrics'!$A:$A,$B$4,'Data - Monthly Metrics'!$B:$B,N$8,'Data - Monthly Metrics'!$C:$C,"East King",'Data - Monthly Metrics'!$D:$D,"Goal - Penetration %")&gt;0)</formula>
    </cfRule>
  </conditionalFormatting>
  <conditionalFormatting sqref="O117">
    <cfRule type="expression" rank="0" priority="328" equalAverage="0" aboveAverage="0" dxfId="0" stopIfTrue="1" text="" percent="0" bottom="0">
      <formula>AND(ISNUMBER(O117),COUNTIFS('Data - Monthly Metrics'!$A:$A,$B$4,'Data - Monthly Metrics'!$B:$B,O$8,'Data - Monthly Metrics'!$C:$C,"East King",'Data - Monthly Metrics'!$D:$D,"Goal - Penetration %")&gt;0,O117&gt;=SUMIFS('Data - Monthly Metrics'!$E:$E,'Data - Monthly Metrics'!$A:$A,$B$4,'Data - Monthly Metrics'!$B:$B,O$8,'Data - Monthly Metrics'!$C:$C,"East King",'Data - Monthly Metrics'!$D:$D,"Goal - Penetration %"))</formula>
    </cfRule>
    <cfRule type="expression" rank="0" priority="329" equalAverage="0" aboveAverage="0" dxfId="2" stopIfTrue="1" text="" percent="0" bottom="0">
      <formula>AND(ISNUMBER(O117),COUNTIFS('Data - Monthly Metrics'!$A:$A,$B$4,'Data - Monthly Metrics'!$B:$B,O$8,'Data - Monthly Metrics'!$C:$C,"East King",'Data - Monthly Metrics'!$D:$D,"Goal - Penetration %")&gt;0,O117&gt;=SUMIFS('Data - Monthly Metrics'!$E:$E,'Data - Monthly Metrics'!$A:$A,$B$4,'Data - Monthly Metrics'!$B:$B,O$8,'Data - Monthly Metrics'!$C:$C,"East King",'Data - Monthly Metrics'!$D:$D,"Goal - Penetration %")-0.05)</formula>
    </cfRule>
    <cfRule type="expression" rank="0" priority="330" equalAverage="0" aboveAverage="0" dxfId="1" stopIfTrue="1" text="" percent="0" bottom="0">
      <formula>AND(ISNUMBER(O117),COUNTIFS('Data - Monthly Metrics'!$A:$A,$B$4,'Data - Monthly Metrics'!$B:$B,O$8,'Data - Monthly Metrics'!$C:$C,"East King",'Data - Monthly Metrics'!$D:$D,"Goal - Penetration %")&gt;0)</formula>
    </cfRule>
  </conditionalFormatting>
  <conditionalFormatting sqref="P117">
    <cfRule type="expression" rank="0" priority="331" equalAverage="0" aboveAverage="0" dxfId="0" stopIfTrue="1" text="" percent="0" bottom="0">
      <formula>AND(ISNUMBER(P117),COUNTIFS('Data - Monthly Metrics'!$A:$A,$B$4,'Data - Monthly Metrics'!$B:$B,P$8,'Data - Monthly Metrics'!$C:$C,"East King",'Data - Monthly Metrics'!$D:$D,"Goal - Penetration %")&gt;0,P117&gt;=SUMIFS('Data - Monthly Metrics'!$E:$E,'Data - Monthly Metrics'!$A:$A,$B$4,'Data - Monthly Metrics'!$B:$B,P$8,'Data - Monthly Metrics'!$C:$C,"East King",'Data - Monthly Metrics'!$D:$D,"Goal - Penetration %"))</formula>
    </cfRule>
    <cfRule type="expression" rank="0" priority="332" equalAverage="0" aboveAverage="0" dxfId="2" stopIfTrue="1" text="" percent="0" bottom="0">
      <formula>AND(ISNUMBER(P117),COUNTIFS('Data - Monthly Metrics'!$A:$A,$B$4,'Data - Monthly Metrics'!$B:$B,P$8,'Data - Monthly Metrics'!$C:$C,"East King",'Data - Monthly Metrics'!$D:$D,"Goal - Penetration %")&gt;0,P117&gt;=SUMIFS('Data - Monthly Metrics'!$E:$E,'Data - Monthly Metrics'!$A:$A,$B$4,'Data - Monthly Metrics'!$B:$B,P$8,'Data - Monthly Metrics'!$C:$C,"East King",'Data - Monthly Metrics'!$D:$D,"Goal - Penetration %")-0.05)</formula>
    </cfRule>
    <cfRule type="expression" rank="0" priority="333" equalAverage="0" aboveAverage="0" dxfId="1" stopIfTrue="1" text="" percent="0" bottom="0">
      <formula>AND(ISNUMBER(P117),COUNTIFS('Data - Monthly Metrics'!$A:$A,$B$4,'Data - Monthly Metrics'!$B:$B,P$8,'Data - Monthly Metrics'!$C:$C,"East King",'Data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Metrics'!$C:$C,"East King",'Data - Monthly Metrics'!$D:$D,"Goal - Retention %")&gt;0,B19&gt;=SUMIFS('Data - Monthly Metrics'!$E:$E,'Data - Monthly Metrics'!$A:$A,$B$4-1,'Data - Monthly Metrics'!$B:$B,B$8,'Data - Monthly Metrics'!$C:$C,"East King",'Data - Monthly Metrics'!$D:$D,"Goal - Retention %"))</formula>
    </cfRule>
    <cfRule type="expression" rank="0" priority="335" equalAverage="0" aboveAverage="0" dxfId="2" stopIfTrue="1" text="" percent="0" bottom="0">
      <formula>AND(ISNUMBER(B19),COUNTIFS('Data - Monthly Metrics'!$A:$A,$B$4-1,'Data - Monthly Metrics'!$B:$B,B$8,'Data - Monthly Metrics'!$C:$C,"East King",'Data - Monthly Metrics'!$D:$D,"Goal - Retention %")&gt;0,B19&gt;=SUMIFS('Data - Monthly Metrics'!$E:$E,'Data - Monthly Metrics'!$A:$A,$B$4-1,'Data - Monthly Metrics'!$B:$B,B$8,'Data - Monthly Metrics'!$C:$C,"East King",'Data - Monthly Metrics'!$D:$D,"Goal - Retention %")-0.05)</formula>
    </cfRule>
    <cfRule type="expression" rank="0" priority="336" equalAverage="0" aboveAverage="0" dxfId="1" stopIfTrue="1" text="" percent="0" bottom="0">
      <formula>AND(ISNUMBER(B19),COUNTIFS('Data - Monthly Metrics'!$A:$A,$B$4-1,'Data - Monthly Metrics'!$B:$B,B$8,'Data - Monthly Metrics'!$C:$C,"East King",'Data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Metrics'!$C:$C,"East King",'Data - Monthly Metrics'!$D:$D,"Goal - Retention %")&gt;0,C19&gt;=SUMIFS('Data - Monthly Metrics'!$E:$E,'Data - Monthly Metrics'!$A:$A,$B$4-1,'Data - Monthly Metrics'!$B:$B,C$8,'Data - Monthly Metrics'!$C:$C,"East King",'Data - Monthly Metrics'!$D:$D,"Goal - Retention %"))</formula>
    </cfRule>
    <cfRule type="expression" rank="0" priority="338" equalAverage="0" aboveAverage="0" dxfId="2" stopIfTrue="1" text="" percent="0" bottom="0">
      <formula>AND(ISNUMBER(C19),COUNTIFS('Data - Monthly Metrics'!$A:$A,$B$4-1,'Data - Monthly Metrics'!$B:$B,C$8,'Data - Monthly Metrics'!$C:$C,"East King",'Data - Monthly Metrics'!$D:$D,"Goal - Retention %")&gt;0,C19&gt;=SUMIFS('Data - Monthly Metrics'!$E:$E,'Data - Monthly Metrics'!$A:$A,$B$4-1,'Data - Monthly Metrics'!$B:$B,C$8,'Data - Monthly Metrics'!$C:$C,"East King",'Data - Monthly Metrics'!$D:$D,"Goal - Retention %")-0.05)</formula>
    </cfRule>
    <cfRule type="expression" rank="0" priority="339" equalAverage="0" aboveAverage="0" dxfId="1" stopIfTrue="1" text="" percent="0" bottom="0">
      <formula>AND(ISNUMBER(C19),COUNTIFS('Data - Monthly Metrics'!$A:$A,$B$4-1,'Data - Monthly Metrics'!$B:$B,C$8,'Data - Monthly Metrics'!$C:$C,"East King",'Data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Metrics'!$C:$C,"East King",'Data - Monthly Metrics'!$D:$D,"Goal - Retention %")&gt;0,D19&gt;=SUMIFS('Data - Monthly Metrics'!$E:$E,'Data - Monthly Metrics'!$A:$A,$B$4-1,'Data - Monthly Metrics'!$B:$B,D$8,'Data - Monthly Metrics'!$C:$C,"East King",'Data - Monthly Metrics'!$D:$D,"Goal - Retention %"))</formula>
    </cfRule>
    <cfRule type="expression" rank="0" priority="341" equalAverage="0" aboveAverage="0" dxfId="2" stopIfTrue="1" text="" percent="0" bottom="0">
      <formula>AND(ISNUMBER(D19),COUNTIFS('Data - Monthly Metrics'!$A:$A,$B$4-1,'Data - Monthly Metrics'!$B:$B,D$8,'Data - Monthly Metrics'!$C:$C,"East King",'Data - Monthly Metrics'!$D:$D,"Goal - Retention %")&gt;0,D19&gt;=SUMIFS('Data - Monthly Metrics'!$E:$E,'Data - Monthly Metrics'!$A:$A,$B$4-1,'Data - Monthly Metrics'!$B:$B,D$8,'Data - Monthly Metrics'!$C:$C,"East King",'Data - Monthly Metrics'!$D:$D,"Goal - Retention %")-0.05)</formula>
    </cfRule>
    <cfRule type="expression" rank="0" priority="342" equalAverage="0" aboveAverage="0" dxfId="1" stopIfTrue="1" text="" percent="0" bottom="0">
      <formula>AND(ISNUMBER(D19),COUNTIFS('Data - Monthly Metrics'!$A:$A,$B$4-1,'Data - Monthly Metrics'!$B:$B,D$8,'Data - Monthly Metrics'!$C:$C,"East King",'Data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Metrics'!$C:$C,"East King",'Data - Monthly Metrics'!$D:$D,"Goal - Retention %")&gt;0,F19&gt;=SUMIFS('Data - Monthly Metrics'!$E:$E,'Data - Monthly Metrics'!$A:$A,$B$4,'Data - Monthly Metrics'!$B:$B,F$8,'Data - Monthly Metrics'!$C:$C,"East King",'Data - Monthly Metrics'!$D:$D,"Goal - Retention %"))</formula>
    </cfRule>
    <cfRule type="expression" rank="0" priority="344" equalAverage="0" aboveAverage="0" dxfId="2" stopIfTrue="1" text="" percent="0" bottom="0">
      <formula>AND(ISNUMBER(F19),COUNTIFS('Data - Monthly Metrics'!$A:$A,$B$4,'Data - Monthly Metrics'!$B:$B,F$8,'Data - Monthly Metrics'!$C:$C,"East King",'Data - Monthly Metrics'!$D:$D,"Goal - Retention %")&gt;0,F19&gt;=SUMIFS('Data - Monthly Metrics'!$E:$E,'Data - Monthly Metrics'!$A:$A,$B$4,'Data - Monthly Metrics'!$B:$B,F$8,'Data - Monthly Metrics'!$C:$C,"East King",'Data - Monthly Metrics'!$D:$D,"Goal - Retention %")-0.05)</formula>
    </cfRule>
    <cfRule type="expression" rank="0" priority="345" equalAverage="0" aboveAverage="0" dxfId="1" stopIfTrue="1" text="" percent="0" bottom="0">
      <formula>AND(ISNUMBER(F19),COUNTIFS('Data - Monthly Metrics'!$A:$A,$B$4,'Data - Monthly Metrics'!$B:$B,F$8,'Data - Monthly Metrics'!$C:$C,"East King",'Data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Metrics'!$C:$C,"East King",'Data - Monthly Metrics'!$D:$D,"Goal - Retention %")&gt;0,G19&gt;=SUMIFS('Data - Monthly Metrics'!$E:$E,'Data - Monthly Metrics'!$A:$A,$B$4,'Data - Monthly Metrics'!$B:$B,G$8,'Data - Monthly Metrics'!$C:$C,"East King",'Data - Monthly Metrics'!$D:$D,"Goal - Retention %"))</formula>
    </cfRule>
    <cfRule type="expression" rank="0" priority="347" equalAverage="0" aboveAverage="0" dxfId="2" stopIfTrue="1" text="" percent="0" bottom="0">
      <formula>AND(ISNUMBER(G19),COUNTIFS('Data - Monthly Metrics'!$A:$A,$B$4,'Data - Monthly Metrics'!$B:$B,G$8,'Data - Monthly Metrics'!$C:$C,"East King",'Data - Monthly Metrics'!$D:$D,"Goal - Retention %")&gt;0,G19&gt;=SUMIFS('Data - Monthly Metrics'!$E:$E,'Data - Monthly Metrics'!$A:$A,$B$4,'Data - Monthly Metrics'!$B:$B,G$8,'Data - Monthly Metrics'!$C:$C,"East King",'Data - Monthly Metrics'!$D:$D,"Goal - Retention %")-0.05)</formula>
    </cfRule>
    <cfRule type="expression" rank="0" priority="348" equalAverage="0" aboveAverage="0" dxfId="1" stopIfTrue="1" text="" percent="0" bottom="0">
      <formula>AND(ISNUMBER(G19),COUNTIFS('Data - Monthly Metrics'!$A:$A,$B$4,'Data - Monthly Metrics'!$B:$B,G$8,'Data - Monthly Metrics'!$C:$C,"East King",'Data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Metrics'!$C:$C,"East King",'Data - Monthly Metrics'!$D:$D,"Goal - Retention %")&gt;0,H19&gt;=SUMIFS('Data - Monthly Metrics'!$E:$E,'Data - Monthly Metrics'!$A:$A,$B$4,'Data - Monthly Metrics'!$B:$B,H$8,'Data - Monthly Metrics'!$C:$C,"East King",'Data - Monthly Metrics'!$D:$D,"Goal - Retention %"))</formula>
    </cfRule>
    <cfRule type="expression" rank="0" priority="350" equalAverage="0" aboveAverage="0" dxfId="2" stopIfTrue="1" text="" percent="0" bottom="0">
      <formula>AND(ISNUMBER(H19),COUNTIFS('Data - Monthly Metrics'!$A:$A,$B$4,'Data - Monthly Metrics'!$B:$B,H$8,'Data - Monthly Metrics'!$C:$C,"East King",'Data - Monthly Metrics'!$D:$D,"Goal - Retention %")&gt;0,H19&gt;=SUMIFS('Data - Monthly Metrics'!$E:$E,'Data - Monthly Metrics'!$A:$A,$B$4,'Data - Monthly Metrics'!$B:$B,H$8,'Data - Monthly Metrics'!$C:$C,"East King",'Data - Monthly Metrics'!$D:$D,"Goal - Retention %")-0.05)</formula>
    </cfRule>
    <cfRule type="expression" rank="0" priority="351" equalAverage="0" aboveAverage="0" dxfId="1" stopIfTrue="1" text="" percent="0" bottom="0">
      <formula>AND(ISNUMBER(H19),COUNTIFS('Data - Monthly Metrics'!$A:$A,$B$4,'Data - Monthly Metrics'!$B:$B,H$8,'Data - Monthly Metrics'!$C:$C,"East King",'Data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Metrics'!$C:$C,"East King",'Data - Monthly Metrics'!$D:$D,"Goal - Retention %")&gt;0,J19&gt;=SUMIFS('Data - Monthly Metrics'!$E:$E,'Data - Monthly Metrics'!$A:$A,$B$4,'Data - Monthly Metrics'!$B:$B,J$8,'Data - Monthly Metrics'!$C:$C,"East King",'Data - Monthly Metrics'!$D:$D,"Goal - Retention %"))</formula>
    </cfRule>
    <cfRule type="expression" rank="0" priority="353" equalAverage="0" aboveAverage="0" dxfId="2" stopIfTrue="1" text="" percent="0" bottom="0">
      <formula>AND(ISNUMBER(J19),COUNTIFS('Data - Monthly Metrics'!$A:$A,$B$4,'Data - Monthly Metrics'!$B:$B,J$8,'Data - Monthly Metrics'!$C:$C,"East King",'Data - Monthly Metrics'!$D:$D,"Goal - Retention %")&gt;0,J19&gt;=SUMIFS('Data - Monthly Metrics'!$E:$E,'Data - Monthly Metrics'!$A:$A,$B$4,'Data - Monthly Metrics'!$B:$B,J$8,'Data - Monthly Metrics'!$C:$C,"East King",'Data - Monthly Metrics'!$D:$D,"Goal - Retention %")-0.05)</formula>
    </cfRule>
    <cfRule type="expression" rank="0" priority="354" equalAverage="0" aboveAverage="0" dxfId="1" stopIfTrue="1" text="" percent="0" bottom="0">
      <formula>AND(ISNUMBER(J19),COUNTIFS('Data - Monthly Metrics'!$A:$A,$B$4,'Data - Monthly Metrics'!$B:$B,J$8,'Data - Monthly Metrics'!$C:$C,"East King",'Data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Metrics'!$C:$C,"East King",'Data - Monthly Metrics'!$D:$D,"Goal - Retention %")&gt;0,K19&gt;=SUMIFS('Data - Monthly Metrics'!$E:$E,'Data - Monthly Metrics'!$A:$A,$B$4,'Data - Monthly Metrics'!$B:$B,K$8,'Data - Monthly Metrics'!$C:$C,"East King",'Data - Monthly Metrics'!$D:$D,"Goal - Retention %"))</formula>
    </cfRule>
    <cfRule type="expression" rank="0" priority="356" equalAverage="0" aboveAverage="0" dxfId="2" stopIfTrue="1" text="" percent="0" bottom="0">
      <formula>AND(ISNUMBER(K19),COUNTIFS('Data - Monthly Metrics'!$A:$A,$B$4,'Data - Monthly Metrics'!$B:$B,K$8,'Data - Monthly Metrics'!$C:$C,"East King",'Data - Monthly Metrics'!$D:$D,"Goal - Retention %")&gt;0,K19&gt;=SUMIFS('Data - Monthly Metrics'!$E:$E,'Data - Monthly Metrics'!$A:$A,$B$4,'Data - Monthly Metrics'!$B:$B,K$8,'Data - Monthly Metrics'!$C:$C,"East King",'Data - Monthly Metrics'!$D:$D,"Goal - Retention %")-0.05)</formula>
    </cfRule>
    <cfRule type="expression" rank="0" priority="357" equalAverage="0" aboveAverage="0" dxfId="1" stopIfTrue="1" text="" percent="0" bottom="0">
      <formula>AND(ISNUMBER(K19),COUNTIFS('Data - Monthly Metrics'!$A:$A,$B$4,'Data - Monthly Metrics'!$B:$B,K$8,'Data - Monthly Metrics'!$C:$C,"East King",'Data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Metrics'!$C:$C,"East King",'Data - Monthly Metrics'!$D:$D,"Goal - Retention %")&gt;0,L19&gt;=SUMIFS('Data - Monthly Metrics'!$E:$E,'Data - Monthly Metrics'!$A:$A,$B$4,'Data - Monthly Metrics'!$B:$B,L$8,'Data - Monthly Metrics'!$C:$C,"East King",'Data - Monthly Metrics'!$D:$D,"Goal - Retention %"))</formula>
    </cfRule>
    <cfRule type="expression" rank="0" priority="359" equalAverage="0" aboveAverage="0" dxfId="2" stopIfTrue="1" text="" percent="0" bottom="0">
      <formula>AND(ISNUMBER(L19),COUNTIFS('Data - Monthly Metrics'!$A:$A,$B$4,'Data - Monthly Metrics'!$B:$B,L$8,'Data - Monthly Metrics'!$C:$C,"East King",'Data - Monthly Metrics'!$D:$D,"Goal - Retention %")&gt;0,L19&gt;=SUMIFS('Data - Monthly Metrics'!$E:$E,'Data - Monthly Metrics'!$A:$A,$B$4,'Data - Monthly Metrics'!$B:$B,L$8,'Data - Monthly Metrics'!$C:$C,"East King",'Data - Monthly Metrics'!$D:$D,"Goal - Retention %")-0.05)</formula>
    </cfRule>
    <cfRule type="expression" rank="0" priority="360" equalAverage="0" aboveAverage="0" dxfId="1" stopIfTrue="1" text="" percent="0" bottom="0">
      <formula>AND(ISNUMBER(L19),COUNTIFS('Data - Monthly Metrics'!$A:$A,$B$4,'Data - Monthly Metrics'!$B:$B,L$8,'Data - Monthly Metrics'!$C:$C,"East King",'Data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Metrics'!$C:$C,"East King",'Data - Monthly Metrics'!$D:$D,"Goal - Retention %")&gt;0,N19&gt;=SUMIFS('Data - Monthly Metrics'!$E:$E,'Data - Monthly Metrics'!$A:$A,$B$4,'Data - Monthly Metrics'!$B:$B,N$8,'Data - Monthly Metrics'!$C:$C,"East King",'Data - Monthly Metrics'!$D:$D,"Goal - Retention %"))</formula>
    </cfRule>
    <cfRule type="expression" rank="0" priority="362" equalAverage="0" aboveAverage="0" dxfId="2" stopIfTrue="1" text="" percent="0" bottom="0">
      <formula>AND(ISNUMBER(N19),COUNTIFS('Data - Monthly Metrics'!$A:$A,$B$4,'Data - Monthly Metrics'!$B:$B,N$8,'Data - Monthly Metrics'!$C:$C,"East King",'Data - Monthly Metrics'!$D:$D,"Goal - Retention %")&gt;0,N19&gt;=SUMIFS('Data - Monthly Metrics'!$E:$E,'Data - Monthly Metrics'!$A:$A,$B$4,'Data - Monthly Metrics'!$B:$B,N$8,'Data - Monthly Metrics'!$C:$C,"East King",'Data - Monthly Metrics'!$D:$D,"Goal - Retention %")-0.05)</formula>
    </cfRule>
    <cfRule type="expression" rank="0" priority="363" equalAverage="0" aboveAverage="0" dxfId="1" stopIfTrue="1" text="" percent="0" bottom="0">
      <formula>AND(ISNUMBER(N19),COUNTIFS('Data - Monthly Metrics'!$A:$A,$B$4,'Data - Monthly Metrics'!$B:$B,N$8,'Data - Monthly Metrics'!$C:$C,"East King",'Data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Metrics'!$C:$C,"East King",'Data - Monthly Metrics'!$D:$D,"Goal - Retention %")&gt;0,O19&gt;=SUMIFS('Data - Monthly Metrics'!$E:$E,'Data - Monthly Metrics'!$A:$A,$B$4,'Data - Monthly Metrics'!$B:$B,O$8,'Data - Monthly Metrics'!$C:$C,"East King",'Data - Monthly Metrics'!$D:$D,"Goal - Retention %"))</formula>
    </cfRule>
    <cfRule type="expression" rank="0" priority="365" equalAverage="0" aboveAverage="0" dxfId="2" stopIfTrue="1" text="" percent="0" bottom="0">
      <formula>AND(ISNUMBER(O19),COUNTIFS('Data - Monthly Metrics'!$A:$A,$B$4,'Data - Monthly Metrics'!$B:$B,O$8,'Data - Monthly Metrics'!$C:$C,"East King",'Data - Monthly Metrics'!$D:$D,"Goal - Retention %")&gt;0,O19&gt;=SUMIFS('Data - Monthly Metrics'!$E:$E,'Data - Monthly Metrics'!$A:$A,$B$4,'Data - Monthly Metrics'!$B:$B,O$8,'Data - Monthly Metrics'!$C:$C,"East King",'Data - Monthly Metrics'!$D:$D,"Goal - Retention %")-0.05)</formula>
    </cfRule>
    <cfRule type="expression" rank="0" priority="366" equalAverage="0" aboveAverage="0" dxfId="1" stopIfTrue="1" text="" percent="0" bottom="0">
      <formula>AND(ISNUMBER(O19),COUNTIFS('Data - Monthly Metrics'!$A:$A,$B$4,'Data - Monthly Metrics'!$B:$B,O$8,'Data - Monthly Metrics'!$C:$C,"East King",'Data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Metrics'!$C:$C,"East King",'Data - Monthly Metrics'!$D:$D,"Goal - Retention %")&gt;0,P19&gt;=SUMIFS('Data - Monthly Metrics'!$E:$E,'Data - Monthly Metrics'!$A:$A,$B$4,'Data - Monthly Metrics'!$B:$B,P$8,'Data - Monthly Metrics'!$C:$C,"East King",'Data - Monthly Metrics'!$D:$D,"Goal - Retention %"))</formula>
    </cfRule>
    <cfRule type="expression" rank="0" priority="368" equalAverage="0" aboveAverage="0" dxfId="2" stopIfTrue="1" text="" percent="0" bottom="0">
      <formula>AND(ISNUMBER(P19),COUNTIFS('Data - Monthly Metrics'!$A:$A,$B$4,'Data - Monthly Metrics'!$B:$B,P$8,'Data - Monthly Metrics'!$C:$C,"East King",'Data - Monthly Metrics'!$D:$D,"Goal - Retention %")&gt;0,P19&gt;=SUMIFS('Data - Monthly Metrics'!$E:$E,'Data - Monthly Metrics'!$A:$A,$B$4,'Data - Monthly Metrics'!$B:$B,P$8,'Data - Monthly Metrics'!$C:$C,"East King",'Data - Monthly Metrics'!$D:$D,"Goal - Retention %")-0.05)</formula>
    </cfRule>
    <cfRule type="expression" rank="0" priority="369" equalAverage="0" aboveAverage="0" dxfId="1" stopIfTrue="1" text="" percent="0" bottom="0">
      <formula>AND(ISNUMBER(P19),COUNTIFS('Data - Monthly Metrics'!$A:$A,$B$4,'Data - Monthly Metrics'!$B:$B,P$8,'Data - Monthly Metrics'!$C:$C,"East King",'Data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Metrics'!$C:$C,"East King",'Data - Monthly Metrics'!$D:$D,"Goal - Retention %")&gt;0,B28&gt;=SUMIFS('Data - Monthly Metrics'!$E:$E,'Data - Monthly Metrics'!$A:$A,$B$4-1,'Data - Monthly Metrics'!$B:$B,B$8,'Data - Monthly Metrics'!$C:$C,"East King",'Data - Monthly Metrics'!$D:$D,"Goal - Retention %"))</formula>
    </cfRule>
    <cfRule type="expression" rank="0" priority="371" equalAverage="0" aboveAverage="0" dxfId="2" stopIfTrue="1" text="" percent="0" bottom="0">
      <formula>AND(ISNUMBER(B28),COUNTIFS('Data - Monthly Metrics'!$A:$A,$B$4-1,'Data - Monthly Metrics'!$B:$B,B$8,'Data - Monthly Metrics'!$C:$C,"East King",'Data - Monthly Metrics'!$D:$D,"Goal - Retention %")&gt;0,B28&gt;=SUMIFS('Data - Monthly Metrics'!$E:$E,'Data - Monthly Metrics'!$A:$A,$B$4-1,'Data - Monthly Metrics'!$B:$B,B$8,'Data - Monthly Metrics'!$C:$C,"East King",'Data - Monthly Metrics'!$D:$D,"Goal - Retention %")-0.05)</formula>
    </cfRule>
    <cfRule type="expression" rank="0" priority="372" equalAverage="0" aboveAverage="0" dxfId="1" stopIfTrue="1" text="" percent="0" bottom="0">
      <formula>AND(ISNUMBER(B28),COUNTIFS('Data - Monthly Metrics'!$A:$A,$B$4-1,'Data - Monthly Metrics'!$B:$B,B$8,'Data - Monthly Metrics'!$C:$C,"East King",'Data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Metrics'!$C:$C,"East King",'Data - Monthly Metrics'!$D:$D,"Goal - Retention %")&gt;0,C28&gt;=SUMIFS('Data - Monthly Metrics'!$E:$E,'Data - Monthly Metrics'!$A:$A,$B$4-1,'Data - Monthly Metrics'!$B:$B,C$8,'Data - Monthly Metrics'!$C:$C,"East King",'Data - Monthly Metrics'!$D:$D,"Goal - Retention %"))</formula>
    </cfRule>
    <cfRule type="expression" rank="0" priority="374" equalAverage="0" aboveAverage="0" dxfId="2" stopIfTrue="1" text="" percent="0" bottom="0">
      <formula>AND(ISNUMBER(C28),COUNTIFS('Data - Monthly Metrics'!$A:$A,$B$4-1,'Data - Monthly Metrics'!$B:$B,C$8,'Data - Monthly Metrics'!$C:$C,"East King",'Data - Monthly Metrics'!$D:$D,"Goal - Retention %")&gt;0,C28&gt;=SUMIFS('Data - Monthly Metrics'!$E:$E,'Data - Monthly Metrics'!$A:$A,$B$4-1,'Data - Monthly Metrics'!$B:$B,C$8,'Data - Monthly Metrics'!$C:$C,"East King",'Data - Monthly Metrics'!$D:$D,"Goal - Retention %")-0.05)</formula>
    </cfRule>
    <cfRule type="expression" rank="0" priority="375" equalAverage="0" aboveAverage="0" dxfId="1" stopIfTrue="1" text="" percent="0" bottom="0">
      <formula>AND(ISNUMBER(C28),COUNTIFS('Data - Monthly Metrics'!$A:$A,$B$4-1,'Data - Monthly Metrics'!$B:$B,C$8,'Data - Monthly Metrics'!$C:$C,"East King",'Data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Metrics'!$C:$C,"East King",'Data - Monthly Metrics'!$D:$D,"Goal - Retention %")&gt;0,D28&gt;=SUMIFS('Data - Monthly Metrics'!$E:$E,'Data - Monthly Metrics'!$A:$A,$B$4-1,'Data - Monthly Metrics'!$B:$B,D$8,'Data - Monthly Metrics'!$C:$C,"East King",'Data - Monthly Metrics'!$D:$D,"Goal - Retention %"))</formula>
    </cfRule>
    <cfRule type="expression" rank="0" priority="377" equalAverage="0" aboveAverage="0" dxfId="2" stopIfTrue="1" text="" percent="0" bottom="0">
      <formula>AND(ISNUMBER(D28),COUNTIFS('Data - Monthly Metrics'!$A:$A,$B$4-1,'Data - Monthly Metrics'!$B:$B,D$8,'Data - Monthly Metrics'!$C:$C,"East King",'Data - Monthly Metrics'!$D:$D,"Goal - Retention %")&gt;0,D28&gt;=SUMIFS('Data - Monthly Metrics'!$E:$E,'Data - Monthly Metrics'!$A:$A,$B$4-1,'Data - Monthly Metrics'!$B:$B,D$8,'Data - Monthly Metrics'!$C:$C,"East King",'Data - Monthly Metrics'!$D:$D,"Goal - Retention %")-0.05)</formula>
    </cfRule>
    <cfRule type="expression" rank="0" priority="378" equalAverage="0" aboveAverage="0" dxfId="1" stopIfTrue="1" text="" percent="0" bottom="0">
      <formula>AND(ISNUMBER(D28),COUNTIFS('Data - Monthly Metrics'!$A:$A,$B$4-1,'Data - Monthly Metrics'!$B:$B,D$8,'Data - Monthly Metrics'!$C:$C,"East King",'Data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Metrics'!$C:$C,"East King",'Data - Monthly Metrics'!$D:$D,"Goal - Retention %")&gt;0,F28&gt;=SUMIFS('Data - Monthly Metrics'!$E:$E,'Data - Monthly Metrics'!$A:$A,$B$4,'Data - Monthly Metrics'!$B:$B,F$8,'Data - Monthly Metrics'!$C:$C,"East King",'Data - Monthly Metrics'!$D:$D,"Goal - Retention %"))</formula>
    </cfRule>
    <cfRule type="expression" rank="0" priority="380" equalAverage="0" aboveAverage="0" dxfId="2" stopIfTrue="1" text="" percent="0" bottom="0">
      <formula>AND(ISNUMBER(F28),COUNTIFS('Data - Monthly Metrics'!$A:$A,$B$4,'Data - Monthly Metrics'!$B:$B,F$8,'Data - Monthly Metrics'!$C:$C,"East King",'Data - Monthly Metrics'!$D:$D,"Goal - Retention %")&gt;0,F28&gt;=SUMIFS('Data - Monthly Metrics'!$E:$E,'Data - Monthly Metrics'!$A:$A,$B$4,'Data - Monthly Metrics'!$B:$B,F$8,'Data - Monthly Metrics'!$C:$C,"East King",'Data - Monthly Metrics'!$D:$D,"Goal - Retention %")-0.05)</formula>
    </cfRule>
    <cfRule type="expression" rank="0" priority="381" equalAverage="0" aboveAverage="0" dxfId="1" stopIfTrue="1" text="" percent="0" bottom="0">
      <formula>AND(ISNUMBER(F28),COUNTIFS('Data - Monthly Metrics'!$A:$A,$B$4,'Data - Monthly Metrics'!$B:$B,F$8,'Data - Monthly Metrics'!$C:$C,"East King",'Data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Metrics'!$C:$C,"East King",'Data - Monthly Metrics'!$D:$D,"Goal - Retention %")&gt;0,G28&gt;=SUMIFS('Data - Monthly Metrics'!$E:$E,'Data - Monthly Metrics'!$A:$A,$B$4,'Data - Monthly Metrics'!$B:$B,G$8,'Data - Monthly Metrics'!$C:$C,"East King",'Data - Monthly Metrics'!$D:$D,"Goal - Retention %"))</formula>
    </cfRule>
    <cfRule type="expression" rank="0" priority="383" equalAverage="0" aboveAverage="0" dxfId="2" stopIfTrue="1" text="" percent="0" bottom="0">
      <formula>AND(ISNUMBER(G28),COUNTIFS('Data - Monthly Metrics'!$A:$A,$B$4,'Data - Monthly Metrics'!$B:$B,G$8,'Data - Monthly Metrics'!$C:$C,"East King",'Data - Monthly Metrics'!$D:$D,"Goal - Retention %")&gt;0,G28&gt;=SUMIFS('Data - Monthly Metrics'!$E:$E,'Data - Monthly Metrics'!$A:$A,$B$4,'Data - Monthly Metrics'!$B:$B,G$8,'Data - Monthly Metrics'!$C:$C,"East King",'Data - Monthly Metrics'!$D:$D,"Goal - Retention %")-0.05)</formula>
    </cfRule>
    <cfRule type="expression" rank="0" priority="384" equalAverage="0" aboveAverage="0" dxfId="1" stopIfTrue="1" text="" percent="0" bottom="0">
      <formula>AND(ISNUMBER(G28),COUNTIFS('Data - Monthly Metrics'!$A:$A,$B$4,'Data - Monthly Metrics'!$B:$B,G$8,'Data - Monthly Metrics'!$C:$C,"East King",'Data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Metrics'!$C:$C,"East King",'Data - Monthly Metrics'!$D:$D,"Goal - Retention %")&gt;0,H28&gt;=SUMIFS('Data - Monthly Metrics'!$E:$E,'Data - Monthly Metrics'!$A:$A,$B$4,'Data - Monthly Metrics'!$B:$B,H$8,'Data - Monthly Metrics'!$C:$C,"East King",'Data - Monthly Metrics'!$D:$D,"Goal - Retention %"))</formula>
    </cfRule>
    <cfRule type="expression" rank="0" priority="386" equalAverage="0" aboveAverage="0" dxfId="2" stopIfTrue="1" text="" percent="0" bottom="0">
      <formula>AND(ISNUMBER(H28),COUNTIFS('Data - Monthly Metrics'!$A:$A,$B$4,'Data - Monthly Metrics'!$B:$B,H$8,'Data - Monthly Metrics'!$C:$C,"East King",'Data - Monthly Metrics'!$D:$D,"Goal - Retention %")&gt;0,H28&gt;=SUMIFS('Data - Monthly Metrics'!$E:$E,'Data - Monthly Metrics'!$A:$A,$B$4,'Data - Monthly Metrics'!$B:$B,H$8,'Data - Monthly Metrics'!$C:$C,"East King",'Data - Monthly Metrics'!$D:$D,"Goal - Retention %")-0.05)</formula>
    </cfRule>
    <cfRule type="expression" rank="0" priority="387" equalAverage="0" aboveAverage="0" dxfId="1" stopIfTrue="1" text="" percent="0" bottom="0">
      <formula>AND(ISNUMBER(H28),COUNTIFS('Data - Monthly Metrics'!$A:$A,$B$4,'Data - Monthly Metrics'!$B:$B,H$8,'Data - Monthly Metrics'!$C:$C,"East King",'Data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Metrics'!$C:$C,"East King",'Data - Monthly Metrics'!$D:$D,"Goal - Retention %")&gt;0,J28&gt;=SUMIFS('Data - Monthly Metrics'!$E:$E,'Data - Monthly Metrics'!$A:$A,$B$4,'Data - Monthly Metrics'!$B:$B,J$8,'Data - Monthly Metrics'!$C:$C,"East King",'Data - Monthly Metrics'!$D:$D,"Goal - Retention %"))</formula>
    </cfRule>
    <cfRule type="expression" rank="0" priority="389" equalAverage="0" aboveAverage="0" dxfId="2" stopIfTrue="1" text="" percent="0" bottom="0">
      <formula>AND(ISNUMBER(J28),COUNTIFS('Data - Monthly Metrics'!$A:$A,$B$4,'Data - Monthly Metrics'!$B:$B,J$8,'Data - Monthly Metrics'!$C:$C,"East King",'Data - Monthly Metrics'!$D:$D,"Goal - Retention %")&gt;0,J28&gt;=SUMIFS('Data - Monthly Metrics'!$E:$E,'Data - Monthly Metrics'!$A:$A,$B$4,'Data - Monthly Metrics'!$B:$B,J$8,'Data - Monthly Metrics'!$C:$C,"East King",'Data - Monthly Metrics'!$D:$D,"Goal - Retention %")-0.05)</formula>
    </cfRule>
    <cfRule type="expression" rank="0" priority="390" equalAverage="0" aboveAverage="0" dxfId="1" stopIfTrue="1" text="" percent="0" bottom="0">
      <formula>AND(ISNUMBER(J28),COUNTIFS('Data - Monthly Metrics'!$A:$A,$B$4,'Data - Monthly Metrics'!$B:$B,J$8,'Data - Monthly Metrics'!$C:$C,"East King",'Data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Metrics'!$C:$C,"East King",'Data - Monthly Metrics'!$D:$D,"Goal - Retention %")&gt;0,K28&gt;=SUMIFS('Data - Monthly Metrics'!$E:$E,'Data - Monthly Metrics'!$A:$A,$B$4,'Data - Monthly Metrics'!$B:$B,K$8,'Data - Monthly Metrics'!$C:$C,"East King",'Data - Monthly Metrics'!$D:$D,"Goal - Retention %"))</formula>
    </cfRule>
    <cfRule type="expression" rank="0" priority="392" equalAverage="0" aboveAverage="0" dxfId="2" stopIfTrue="1" text="" percent="0" bottom="0">
      <formula>AND(ISNUMBER(K28),COUNTIFS('Data - Monthly Metrics'!$A:$A,$B$4,'Data - Monthly Metrics'!$B:$B,K$8,'Data - Monthly Metrics'!$C:$C,"East King",'Data - Monthly Metrics'!$D:$D,"Goal - Retention %")&gt;0,K28&gt;=SUMIFS('Data - Monthly Metrics'!$E:$E,'Data - Monthly Metrics'!$A:$A,$B$4,'Data - Monthly Metrics'!$B:$B,K$8,'Data - Monthly Metrics'!$C:$C,"East King",'Data - Monthly Metrics'!$D:$D,"Goal - Retention %")-0.05)</formula>
    </cfRule>
    <cfRule type="expression" rank="0" priority="393" equalAverage="0" aboveAverage="0" dxfId="1" stopIfTrue="1" text="" percent="0" bottom="0">
      <formula>AND(ISNUMBER(K28),COUNTIFS('Data - Monthly Metrics'!$A:$A,$B$4,'Data - Monthly Metrics'!$B:$B,K$8,'Data - Monthly Metrics'!$C:$C,"East King",'Data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Metrics'!$C:$C,"East King",'Data - Monthly Metrics'!$D:$D,"Goal - Retention %")&gt;0,L28&gt;=SUMIFS('Data - Monthly Metrics'!$E:$E,'Data - Monthly Metrics'!$A:$A,$B$4,'Data - Monthly Metrics'!$B:$B,L$8,'Data - Monthly Metrics'!$C:$C,"East King",'Data - Monthly Metrics'!$D:$D,"Goal - Retention %"))</formula>
    </cfRule>
    <cfRule type="expression" rank="0" priority="395" equalAverage="0" aboveAverage="0" dxfId="2" stopIfTrue="1" text="" percent="0" bottom="0">
      <formula>AND(ISNUMBER(L28),COUNTIFS('Data - Monthly Metrics'!$A:$A,$B$4,'Data - Monthly Metrics'!$B:$B,L$8,'Data - Monthly Metrics'!$C:$C,"East King",'Data - Monthly Metrics'!$D:$D,"Goal - Retention %")&gt;0,L28&gt;=SUMIFS('Data - Monthly Metrics'!$E:$E,'Data - Monthly Metrics'!$A:$A,$B$4,'Data - Monthly Metrics'!$B:$B,L$8,'Data - Monthly Metrics'!$C:$C,"East King",'Data - Monthly Metrics'!$D:$D,"Goal - Retention %")-0.05)</formula>
    </cfRule>
    <cfRule type="expression" rank="0" priority="396" equalAverage="0" aboveAverage="0" dxfId="1" stopIfTrue="1" text="" percent="0" bottom="0">
      <formula>AND(ISNUMBER(L28),COUNTIFS('Data - Monthly Metrics'!$A:$A,$B$4,'Data - Monthly Metrics'!$B:$B,L$8,'Data - Monthly Metrics'!$C:$C,"East King",'Data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Metrics'!$C:$C,"East King",'Data - Monthly Metrics'!$D:$D,"Goal - Retention %")&gt;0,N28&gt;=SUMIFS('Data - Monthly Metrics'!$E:$E,'Data - Monthly Metrics'!$A:$A,$B$4,'Data - Monthly Metrics'!$B:$B,N$8,'Data - Monthly Metrics'!$C:$C,"East King",'Data - Monthly Metrics'!$D:$D,"Goal - Retention %"))</formula>
    </cfRule>
    <cfRule type="expression" rank="0" priority="398" equalAverage="0" aboveAverage="0" dxfId="2" stopIfTrue="1" text="" percent="0" bottom="0">
      <formula>AND(ISNUMBER(N28),COUNTIFS('Data - Monthly Metrics'!$A:$A,$B$4,'Data - Monthly Metrics'!$B:$B,N$8,'Data - Monthly Metrics'!$C:$C,"East King",'Data - Monthly Metrics'!$D:$D,"Goal - Retention %")&gt;0,N28&gt;=SUMIFS('Data - Monthly Metrics'!$E:$E,'Data - Monthly Metrics'!$A:$A,$B$4,'Data - Monthly Metrics'!$B:$B,N$8,'Data - Monthly Metrics'!$C:$C,"East King",'Data - Monthly Metrics'!$D:$D,"Goal - Retention %")-0.05)</formula>
    </cfRule>
    <cfRule type="expression" rank="0" priority="399" equalAverage="0" aboveAverage="0" dxfId="1" stopIfTrue="1" text="" percent="0" bottom="0">
      <formula>AND(ISNUMBER(N28),COUNTIFS('Data - Monthly Metrics'!$A:$A,$B$4,'Data - Monthly Metrics'!$B:$B,N$8,'Data - Monthly Metrics'!$C:$C,"East King",'Data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Metrics'!$C:$C,"East King",'Data - Monthly Metrics'!$D:$D,"Goal - Retention %")&gt;0,O28&gt;=SUMIFS('Data - Monthly Metrics'!$E:$E,'Data - Monthly Metrics'!$A:$A,$B$4,'Data - Monthly Metrics'!$B:$B,O$8,'Data - Monthly Metrics'!$C:$C,"East King",'Data - Monthly Metrics'!$D:$D,"Goal - Retention %"))</formula>
    </cfRule>
    <cfRule type="expression" rank="0" priority="401" equalAverage="0" aboveAverage="0" dxfId="2" stopIfTrue="1" text="" percent="0" bottom="0">
      <formula>AND(ISNUMBER(O28),COUNTIFS('Data - Monthly Metrics'!$A:$A,$B$4,'Data - Monthly Metrics'!$B:$B,O$8,'Data - Monthly Metrics'!$C:$C,"East King",'Data - Monthly Metrics'!$D:$D,"Goal - Retention %")&gt;0,O28&gt;=SUMIFS('Data - Monthly Metrics'!$E:$E,'Data - Monthly Metrics'!$A:$A,$B$4,'Data - Monthly Metrics'!$B:$B,O$8,'Data - Monthly Metrics'!$C:$C,"East King",'Data - Monthly Metrics'!$D:$D,"Goal - Retention %")-0.05)</formula>
    </cfRule>
    <cfRule type="expression" rank="0" priority="402" equalAverage="0" aboveAverage="0" dxfId="1" stopIfTrue="1" text="" percent="0" bottom="0">
      <formula>AND(ISNUMBER(O28),COUNTIFS('Data - Monthly Metrics'!$A:$A,$B$4,'Data - Monthly Metrics'!$B:$B,O$8,'Data - Monthly Metrics'!$C:$C,"East King",'Data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Metrics'!$C:$C,"East King",'Data - Monthly Metrics'!$D:$D,"Goal - Retention %")&gt;0,P28&gt;=SUMIFS('Data - Monthly Metrics'!$E:$E,'Data - Monthly Metrics'!$A:$A,$B$4,'Data - Monthly Metrics'!$B:$B,P$8,'Data - Monthly Metrics'!$C:$C,"East King",'Data - Monthly Metrics'!$D:$D,"Goal - Retention %"))</formula>
    </cfRule>
    <cfRule type="expression" rank="0" priority="404" equalAverage="0" aboveAverage="0" dxfId="2" stopIfTrue="1" text="" percent="0" bottom="0">
      <formula>AND(ISNUMBER(P28),COUNTIFS('Data - Monthly Metrics'!$A:$A,$B$4,'Data - Monthly Metrics'!$B:$B,P$8,'Data - Monthly Metrics'!$C:$C,"East King",'Data - Monthly Metrics'!$D:$D,"Goal - Retention %")&gt;0,P28&gt;=SUMIFS('Data - Monthly Metrics'!$E:$E,'Data - Monthly Metrics'!$A:$A,$B$4,'Data - Monthly Metrics'!$B:$B,P$8,'Data - Monthly Metrics'!$C:$C,"East King",'Data - Monthly Metrics'!$D:$D,"Goal - Retention %")-0.05)</formula>
    </cfRule>
    <cfRule type="expression" rank="0" priority="405" equalAverage="0" aboveAverage="0" dxfId="1" stopIfTrue="1" text="" percent="0" bottom="0">
      <formula>AND(ISNUMBER(P28),COUNTIFS('Data - Monthly Metrics'!$A:$A,$B$4,'Data - Monthly Metrics'!$B:$B,P$8,'Data - Monthly Metrics'!$C:$C,"East King",'Data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Metrics'!$C:$C,"East King",'Data - Monthly Metrics'!$D:$D,"Goal - Penetration %")&gt;0,B29&gt;=SUMIFS('Data - Monthly Metrics'!$E:$E,'Data - Monthly Metrics'!$A:$A,$B$4-1,'Data - Monthly Metrics'!$B:$B,B$8,'Data - Monthly Metrics'!$C:$C,"East King",'Data - Monthly Metrics'!$D:$D,"Goal - Penetration %"))</formula>
    </cfRule>
    <cfRule type="expression" rank="0" priority="407" equalAverage="0" aboveAverage="0" dxfId="2" stopIfTrue="1" text="" percent="0" bottom="0">
      <formula>AND(ISNUMBER(B29),COUNTIFS('Data - Monthly Metrics'!$A:$A,$B$4-1,'Data - Monthly Metrics'!$B:$B,B$8,'Data - Monthly Metrics'!$C:$C,"East King",'Data - Monthly Metrics'!$D:$D,"Goal - Penetration %")&gt;0,B29&gt;=SUMIFS('Data - Monthly Metrics'!$E:$E,'Data - Monthly Metrics'!$A:$A,$B$4-1,'Data - Monthly Metrics'!$B:$B,B$8,'Data - Monthly Metrics'!$C:$C,"East King",'Data - Monthly Metrics'!$D:$D,"Goal - Penetration %")-0.05)</formula>
    </cfRule>
    <cfRule type="expression" rank="0" priority="408" equalAverage="0" aboveAverage="0" dxfId="1" stopIfTrue="1" text="" percent="0" bottom="0">
      <formula>AND(ISNUMBER(B29),COUNTIFS('Data - Monthly Metrics'!$A:$A,$B$4-1,'Data - Monthly Metrics'!$B:$B,B$8,'Data - Monthly Metrics'!$C:$C,"East King",'Data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Metrics'!$C:$C,"East King",'Data - Monthly Metrics'!$D:$D,"Goal - Penetration %")&gt;0,C29&gt;=SUMIFS('Data - Monthly Metrics'!$E:$E,'Data - Monthly Metrics'!$A:$A,$B$4-1,'Data - Monthly Metrics'!$B:$B,C$8,'Data - Monthly Metrics'!$C:$C,"East King",'Data - Monthly Metrics'!$D:$D,"Goal - Penetration %"))</formula>
    </cfRule>
    <cfRule type="expression" rank="0" priority="410" equalAverage="0" aboveAverage="0" dxfId="2" stopIfTrue="1" text="" percent="0" bottom="0">
      <formula>AND(ISNUMBER(C29),COUNTIFS('Data - Monthly Metrics'!$A:$A,$B$4-1,'Data - Monthly Metrics'!$B:$B,C$8,'Data - Monthly Metrics'!$C:$C,"East King",'Data - Monthly Metrics'!$D:$D,"Goal - Penetration %")&gt;0,C29&gt;=SUMIFS('Data - Monthly Metrics'!$E:$E,'Data - Monthly Metrics'!$A:$A,$B$4-1,'Data - Monthly Metrics'!$B:$B,C$8,'Data - Monthly Metrics'!$C:$C,"East King",'Data - Monthly Metrics'!$D:$D,"Goal - Penetration %")-0.05)</formula>
    </cfRule>
    <cfRule type="expression" rank="0" priority="411" equalAverage="0" aboveAverage="0" dxfId="1" stopIfTrue="1" text="" percent="0" bottom="0">
      <formula>AND(ISNUMBER(C29),COUNTIFS('Data - Monthly Metrics'!$A:$A,$B$4-1,'Data - Monthly Metrics'!$B:$B,C$8,'Data - Monthly Metrics'!$C:$C,"East King",'Data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Metrics'!$C:$C,"East King",'Data - Monthly Metrics'!$D:$D,"Goal - Penetration %")&gt;0,D29&gt;=SUMIFS('Data - Monthly Metrics'!$E:$E,'Data - Monthly Metrics'!$A:$A,$B$4-1,'Data - Monthly Metrics'!$B:$B,D$8,'Data - Monthly Metrics'!$C:$C,"East King",'Data - Monthly Metrics'!$D:$D,"Goal - Penetration %"))</formula>
    </cfRule>
    <cfRule type="expression" rank="0" priority="413" equalAverage="0" aboveAverage="0" dxfId="2" stopIfTrue="1" text="" percent="0" bottom="0">
      <formula>AND(ISNUMBER(D29),COUNTIFS('Data - Monthly Metrics'!$A:$A,$B$4-1,'Data - Monthly Metrics'!$B:$B,D$8,'Data - Monthly Metrics'!$C:$C,"East King",'Data - Monthly Metrics'!$D:$D,"Goal - Penetration %")&gt;0,D29&gt;=SUMIFS('Data - Monthly Metrics'!$E:$E,'Data - Monthly Metrics'!$A:$A,$B$4-1,'Data - Monthly Metrics'!$B:$B,D$8,'Data - Monthly Metrics'!$C:$C,"East King",'Data - Monthly Metrics'!$D:$D,"Goal - Penetration %")-0.05)</formula>
    </cfRule>
    <cfRule type="expression" rank="0" priority="414" equalAverage="0" aboveAverage="0" dxfId="1" stopIfTrue="1" text="" percent="0" bottom="0">
      <formula>AND(ISNUMBER(D29),COUNTIFS('Data - Monthly Metrics'!$A:$A,$B$4-1,'Data - Monthly Metrics'!$B:$B,D$8,'Data - Monthly Metrics'!$C:$C,"East King",'Data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Metrics'!$C:$C,"East King",'Data - Monthly Metrics'!$D:$D,"Goal - Penetration %")&gt;0,F29&gt;=SUMIFS('Data - Monthly Metrics'!$E:$E,'Data - Monthly Metrics'!$A:$A,$B$4,'Data - Monthly Metrics'!$B:$B,F$8,'Data - Monthly Metrics'!$C:$C,"East King",'Data - Monthly Metrics'!$D:$D,"Goal - Penetration %"))</formula>
    </cfRule>
    <cfRule type="expression" rank="0" priority="416" equalAverage="0" aboveAverage="0" dxfId="2" stopIfTrue="1" text="" percent="0" bottom="0">
      <formula>AND(ISNUMBER(F29),COUNTIFS('Data - Monthly Metrics'!$A:$A,$B$4,'Data - Monthly Metrics'!$B:$B,F$8,'Data - Monthly Metrics'!$C:$C,"East King",'Data - Monthly Metrics'!$D:$D,"Goal - Penetration %")&gt;0,F29&gt;=SUMIFS('Data - Monthly Metrics'!$E:$E,'Data - Monthly Metrics'!$A:$A,$B$4,'Data - Monthly Metrics'!$B:$B,F$8,'Data - Monthly Metrics'!$C:$C,"East King",'Data - Monthly Metrics'!$D:$D,"Goal - Penetration %")-0.05)</formula>
    </cfRule>
    <cfRule type="expression" rank="0" priority="417" equalAverage="0" aboveAverage="0" dxfId="1" stopIfTrue="1" text="" percent="0" bottom="0">
      <formula>AND(ISNUMBER(F29),COUNTIFS('Data - Monthly Metrics'!$A:$A,$B$4,'Data - Monthly Metrics'!$B:$B,F$8,'Data - Monthly Metrics'!$C:$C,"East King",'Data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Metrics'!$C:$C,"East King",'Data - Monthly Metrics'!$D:$D,"Goal - Penetration %")&gt;0,G29&gt;=SUMIFS('Data - Monthly Metrics'!$E:$E,'Data - Monthly Metrics'!$A:$A,$B$4,'Data - Monthly Metrics'!$B:$B,G$8,'Data - Monthly Metrics'!$C:$C,"East King",'Data - Monthly Metrics'!$D:$D,"Goal - Penetration %"))</formula>
    </cfRule>
    <cfRule type="expression" rank="0" priority="419" equalAverage="0" aboveAverage="0" dxfId="2" stopIfTrue="1" text="" percent="0" bottom="0">
      <formula>AND(ISNUMBER(G29),COUNTIFS('Data - Monthly Metrics'!$A:$A,$B$4,'Data - Monthly Metrics'!$B:$B,G$8,'Data - Monthly Metrics'!$C:$C,"East King",'Data - Monthly Metrics'!$D:$D,"Goal - Penetration %")&gt;0,G29&gt;=SUMIFS('Data - Monthly Metrics'!$E:$E,'Data - Monthly Metrics'!$A:$A,$B$4,'Data - Monthly Metrics'!$B:$B,G$8,'Data - Monthly Metrics'!$C:$C,"East King",'Data - Monthly Metrics'!$D:$D,"Goal - Penetration %")-0.05)</formula>
    </cfRule>
    <cfRule type="expression" rank="0" priority="420" equalAverage="0" aboveAverage="0" dxfId="1" stopIfTrue="1" text="" percent="0" bottom="0">
      <formula>AND(ISNUMBER(G29),COUNTIFS('Data - Monthly Metrics'!$A:$A,$B$4,'Data - Monthly Metrics'!$B:$B,G$8,'Data - Monthly Metrics'!$C:$C,"East King",'Data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Metrics'!$C:$C,"East King",'Data - Monthly Metrics'!$D:$D,"Goal - Penetration %")&gt;0,H29&gt;=SUMIFS('Data - Monthly Metrics'!$E:$E,'Data - Monthly Metrics'!$A:$A,$B$4,'Data - Monthly Metrics'!$B:$B,H$8,'Data - Monthly Metrics'!$C:$C,"East King",'Data - Monthly Metrics'!$D:$D,"Goal - Penetration %"))</formula>
    </cfRule>
    <cfRule type="expression" rank="0" priority="422" equalAverage="0" aboveAverage="0" dxfId="2" stopIfTrue="1" text="" percent="0" bottom="0">
      <formula>AND(ISNUMBER(H29),COUNTIFS('Data - Monthly Metrics'!$A:$A,$B$4,'Data - Monthly Metrics'!$B:$B,H$8,'Data - Monthly Metrics'!$C:$C,"East King",'Data - Monthly Metrics'!$D:$D,"Goal - Penetration %")&gt;0,H29&gt;=SUMIFS('Data - Monthly Metrics'!$E:$E,'Data - Monthly Metrics'!$A:$A,$B$4,'Data - Monthly Metrics'!$B:$B,H$8,'Data - Monthly Metrics'!$C:$C,"East King",'Data - Monthly Metrics'!$D:$D,"Goal - Penetration %")-0.05)</formula>
    </cfRule>
    <cfRule type="expression" rank="0" priority="423" equalAverage="0" aboveAverage="0" dxfId="1" stopIfTrue="1" text="" percent="0" bottom="0">
      <formula>AND(ISNUMBER(H29),COUNTIFS('Data - Monthly Metrics'!$A:$A,$B$4,'Data - Monthly Metrics'!$B:$B,H$8,'Data - Monthly Metrics'!$C:$C,"East King",'Data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Metrics'!$C:$C,"East King",'Data - Monthly Metrics'!$D:$D,"Goal - Penetration %")&gt;0,J29&gt;=SUMIFS('Data - Monthly Metrics'!$E:$E,'Data - Monthly Metrics'!$A:$A,$B$4,'Data - Monthly Metrics'!$B:$B,J$8,'Data - Monthly Metrics'!$C:$C,"East King",'Data - Monthly Metrics'!$D:$D,"Goal - Penetration %"))</formula>
    </cfRule>
    <cfRule type="expression" rank="0" priority="425" equalAverage="0" aboveAverage="0" dxfId="2" stopIfTrue="1" text="" percent="0" bottom="0">
      <formula>AND(ISNUMBER(J29),COUNTIFS('Data - Monthly Metrics'!$A:$A,$B$4,'Data - Monthly Metrics'!$B:$B,J$8,'Data - Monthly Metrics'!$C:$C,"East King",'Data - Monthly Metrics'!$D:$D,"Goal - Penetration %")&gt;0,J29&gt;=SUMIFS('Data - Monthly Metrics'!$E:$E,'Data - Monthly Metrics'!$A:$A,$B$4,'Data - Monthly Metrics'!$B:$B,J$8,'Data - Monthly Metrics'!$C:$C,"East King",'Data - Monthly Metrics'!$D:$D,"Goal - Penetration %")-0.05)</formula>
    </cfRule>
    <cfRule type="expression" rank="0" priority="426" equalAverage="0" aboveAverage="0" dxfId="1" stopIfTrue="1" text="" percent="0" bottom="0">
      <formula>AND(ISNUMBER(J29),COUNTIFS('Data - Monthly Metrics'!$A:$A,$B$4,'Data - Monthly Metrics'!$B:$B,J$8,'Data - Monthly Metrics'!$C:$C,"East King",'Data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Metrics'!$C:$C,"East King",'Data - Monthly Metrics'!$D:$D,"Goal - Penetration %")&gt;0,K29&gt;=SUMIFS('Data - Monthly Metrics'!$E:$E,'Data - Monthly Metrics'!$A:$A,$B$4,'Data - Monthly Metrics'!$B:$B,K$8,'Data - Monthly Metrics'!$C:$C,"East King",'Data - Monthly Metrics'!$D:$D,"Goal - Penetration %"))</formula>
    </cfRule>
    <cfRule type="expression" rank="0" priority="428" equalAverage="0" aboveAverage="0" dxfId="2" stopIfTrue="1" text="" percent="0" bottom="0">
      <formula>AND(ISNUMBER(K29),COUNTIFS('Data - Monthly Metrics'!$A:$A,$B$4,'Data - Monthly Metrics'!$B:$B,K$8,'Data - Monthly Metrics'!$C:$C,"East King",'Data - Monthly Metrics'!$D:$D,"Goal - Penetration %")&gt;0,K29&gt;=SUMIFS('Data - Monthly Metrics'!$E:$E,'Data - Monthly Metrics'!$A:$A,$B$4,'Data - Monthly Metrics'!$B:$B,K$8,'Data - Monthly Metrics'!$C:$C,"East King",'Data - Monthly Metrics'!$D:$D,"Goal - Penetration %")-0.05)</formula>
    </cfRule>
    <cfRule type="expression" rank="0" priority="429" equalAverage="0" aboveAverage="0" dxfId="1" stopIfTrue="1" text="" percent="0" bottom="0">
      <formula>AND(ISNUMBER(K29),COUNTIFS('Data - Monthly Metrics'!$A:$A,$B$4,'Data - Monthly Metrics'!$B:$B,K$8,'Data - Monthly Metrics'!$C:$C,"East King",'Data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Metrics'!$C:$C,"East King",'Data - Monthly Metrics'!$D:$D,"Goal - Penetration %")&gt;0,L29&gt;=SUMIFS('Data - Monthly Metrics'!$E:$E,'Data - Monthly Metrics'!$A:$A,$B$4,'Data - Monthly Metrics'!$B:$B,L$8,'Data - Monthly Metrics'!$C:$C,"East King",'Data - Monthly Metrics'!$D:$D,"Goal - Penetration %"))</formula>
    </cfRule>
    <cfRule type="expression" rank="0" priority="431" equalAverage="0" aboveAverage="0" dxfId="2" stopIfTrue="1" text="" percent="0" bottom="0">
      <formula>AND(ISNUMBER(L29),COUNTIFS('Data - Monthly Metrics'!$A:$A,$B$4,'Data - Monthly Metrics'!$B:$B,L$8,'Data - Monthly Metrics'!$C:$C,"East King",'Data - Monthly Metrics'!$D:$D,"Goal - Penetration %")&gt;0,L29&gt;=SUMIFS('Data - Monthly Metrics'!$E:$E,'Data - Monthly Metrics'!$A:$A,$B$4,'Data - Monthly Metrics'!$B:$B,L$8,'Data - Monthly Metrics'!$C:$C,"East King",'Data - Monthly Metrics'!$D:$D,"Goal - Penetration %")-0.05)</formula>
    </cfRule>
    <cfRule type="expression" rank="0" priority="432" equalAverage="0" aboveAverage="0" dxfId="1" stopIfTrue="1" text="" percent="0" bottom="0">
      <formula>AND(ISNUMBER(L29),COUNTIFS('Data - Monthly Metrics'!$A:$A,$B$4,'Data - Monthly Metrics'!$B:$B,L$8,'Data - Monthly Metrics'!$C:$C,"East King",'Data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Metrics'!$C:$C,"East King",'Data - Monthly Metrics'!$D:$D,"Goal - Penetration %")&gt;0,N29&gt;=SUMIFS('Data - Monthly Metrics'!$E:$E,'Data - Monthly Metrics'!$A:$A,$B$4,'Data - Monthly Metrics'!$B:$B,N$8,'Data - Monthly Metrics'!$C:$C,"East King",'Data - Monthly Metrics'!$D:$D,"Goal - Penetration %"))</formula>
    </cfRule>
    <cfRule type="expression" rank="0" priority="434" equalAverage="0" aboveAverage="0" dxfId="2" stopIfTrue="1" text="" percent="0" bottom="0">
      <formula>AND(ISNUMBER(N29),COUNTIFS('Data - Monthly Metrics'!$A:$A,$B$4,'Data - Monthly Metrics'!$B:$B,N$8,'Data - Monthly Metrics'!$C:$C,"East King",'Data - Monthly Metrics'!$D:$D,"Goal - Penetration %")&gt;0,N29&gt;=SUMIFS('Data - Monthly Metrics'!$E:$E,'Data - Monthly Metrics'!$A:$A,$B$4,'Data - Monthly Metrics'!$B:$B,N$8,'Data - Monthly Metrics'!$C:$C,"East King",'Data - Monthly Metrics'!$D:$D,"Goal - Penetration %")-0.05)</formula>
    </cfRule>
    <cfRule type="expression" rank="0" priority="435" equalAverage="0" aboveAverage="0" dxfId="1" stopIfTrue="1" text="" percent="0" bottom="0">
      <formula>AND(ISNUMBER(N29),COUNTIFS('Data - Monthly Metrics'!$A:$A,$B$4,'Data - Monthly Metrics'!$B:$B,N$8,'Data - Monthly Metrics'!$C:$C,"East King",'Data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Metrics'!$C:$C,"East King",'Data - Monthly Metrics'!$D:$D,"Goal - Penetration %")&gt;0,O29&gt;=SUMIFS('Data - Monthly Metrics'!$E:$E,'Data - Monthly Metrics'!$A:$A,$B$4,'Data - Monthly Metrics'!$B:$B,O$8,'Data - Monthly Metrics'!$C:$C,"East King",'Data - Monthly Metrics'!$D:$D,"Goal - Penetration %"))</formula>
    </cfRule>
    <cfRule type="expression" rank="0" priority="437" equalAverage="0" aboveAverage="0" dxfId="2" stopIfTrue="1" text="" percent="0" bottom="0">
      <formula>AND(ISNUMBER(O29),COUNTIFS('Data - Monthly Metrics'!$A:$A,$B$4,'Data - Monthly Metrics'!$B:$B,O$8,'Data - Monthly Metrics'!$C:$C,"East King",'Data - Monthly Metrics'!$D:$D,"Goal - Penetration %")&gt;0,O29&gt;=SUMIFS('Data - Monthly Metrics'!$E:$E,'Data - Monthly Metrics'!$A:$A,$B$4,'Data - Monthly Metrics'!$B:$B,O$8,'Data - Monthly Metrics'!$C:$C,"East King",'Data - Monthly Metrics'!$D:$D,"Goal - Penetration %")-0.05)</formula>
    </cfRule>
    <cfRule type="expression" rank="0" priority="438" equalAverage="0" aboveAverage="0" dxfId="1" stopIfTrue="1" text="" percent="0" bottom="0">
      <formula>AND(ISNUMBER(O29),COUNTIFS('Data - Monthly Metrics'!$A:$A,$B$4,'Data - Monthly Metrics'!$B:$B,O$8,'Data - Monthly Metrics'!$C:$C,"East King",'Data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Metrics'!$C:$C,"East King",'Data - Monthly Metrics'!$D:$D,"Goal - Penetration %")&gt;0,P29&gt;=SUMIFS('Data - Monthly Metrics'!$E:$E,'Data - Monthly Metrics'!$A:$A,$B$4,'Data - Monthly Metrics'!$B:$B,P$8,'Data - Monthly Metrics'!$C:$C,"East King",'Data - Monthly Metrics'!$D:$D,"Goal - Penetration %"))</formula>
    </cfRule>
    <cfRule type="expression" rank="0" priority="440" equalAverage="0" aboveAverage="0" dxfId="2" stopIfTrue="1" text="" percent="0" bottom="0">
      <formula>AND(ISNUMBER(P29),COUNTIFS('Data - Monthly Metrics'!$A:$A,$B$4,'Data - Monthly Metrics'!$B:$B,P$8,'Data - Monthly Metrics'!$C:$C,"East King",'Data - Monthly Metrics'!$D:$D,"Goal - Penetration %")&gt;0,P29&gt;=SUMIFS('Data - Monthly Metrics'!$E:$E,'Data - Monthly Metrics'!$A:$A,$B$4,'Data - Monthly Metrics'!$B:$B,P$8,'Data - Monthly Metrics'!$C:$C,"East King",'Data - Monthly Metrics'!$D:$D,"Goal - Penetration %")-0.05)</formula>
    </cfRule>
    <cfRule type="expression" rank="0" priority="441" equalAverage="0" aboveAverage="0" dxfId="1" stopIfTrue="1" text="" percent="0" bottom="0">
      <formula>AND(ISNUMBER(P29),COUNTIFS('Data - Monthly Metrics'!$A:$A,$B$4,'Data - Monthly Metrics'!$B:$B,P$8,'Data - Monthly Metrics'!$C:$C,"East King",'Data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Metrics'!$C:$C,"East King",'Data - Monthly Metrics'!$D:$D,"Goal - Penetration %")&gt;0,B30&gt;=SUMIFS('Data - Monthly Metrics'!$E:$E,'Data - Monthly Metrics'!$A:$A,$B$4-1,'Data - Monthly Metrics'!$B:$B,B$8,'Data - Monthly Metrics'!$C:$C,"East King",'Data - Monthly Metrics'!$D:$D,"Goal - Penetration %"))</formula>
    </cfRule>
    <cfRule type="expression" rank="0" priority="443" equalAverage="0" aboveAverage="0" dxfId="2" stopIfTrue="1" text="" percent="0" bottom="0">
      <formula>AND(ISNUMBER(B30),COUNTIFS('Data - Monthly Metrics'!$A:$A,$B$4-1,'Data - Monthly Metrics'!$B:$B,B$8,'Data - Monthly Metrics'!$C:$C,"East King",'Data - Monthly Metrics'!$D:$D,"Goal - Penetration %")&gt;0,B30&gt;=SUMIFS('Data - Monthly Metrics'!$E:$E,'Data - Monthly Metrics'!$A:$A,$B$4-1,'Data - Monthly Metrics'!$B:$B,B$8,'Data - Monthly Metrics'!$C:$C,"East King",'Data - Monthly Metrics'!$D:$D,"Goal - Penetration %")-0.05)</formula>
    </cfRule>
    <cfRule type="expression" rank="0" priority="444" equalAverage="0" aboveAverage="0" dxfId="1" stopIfTrue="1" text="" percent="0" bottom="0">
      <formula>AND(ISNUMBER(B30),COUNTIFS('Data - Monthly Metrics'!$A:$A,$B$4-1,'Data - Monthly Metrics'!$B:$B,B$8,'Data - Monthly Metrics'!$C:$C,"East King",'Data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Metrics'!$C:$C,"East King",'Data - Monthly Metrics'!$D:$D,"Goal - Penetration %")&gt;0,C30&gt;=SUMIFS('Data - Monthly Metrics'!$E:$E,'Data - Monthly Metrics'!$A:$A,$B$4-1,'Data - Monthly Metrics'!$B:$B,C$8,'Data - Monthly Metrics'!$C:$C,"East King",'Data - Monthly Metrics'!$D:$D,"Goal - Penetration %"))</formula>
    </cfRule>
    <cfRule type="expression" rank="0" priority="446" equalAverage="0" aboveAverage="0" dxfId="2" stopIfTrue="1" text="" percent="0" bottom="0">
      <formula>AND(ISNUMBER(C30),COUNTIFS('Data - Monthly Metrics'!$A:$A,$B$4-1,'Data - Monthly Metrics'!$B:$B,C$8,'Data - Monthly Metrics'!$C:$C,"East King",'Data - Monthly Metrics'!$D:$D,"Goal - Penetration %")&gt;0,C30&gt;=SUMIFS('Data - Monthly Metrics'!$E:$E,'Data - Monthly Metrics'!$A:$A,$B$4-1,'Data - Monthly Metrics'!$B:$B,C$8,'Data - Monthly Metrics'!$C:$C,"East King",'Data - Monthly Metrics'!$D:$D,"Goal - Penetration %")-0.05)</formula>
    </cfRule>
    <cfRule type="expression" rank="0" priority="447" equalAverage="0" aboveAverage="0" dxfId="1" stopIfTrue="1" text="" percent="0" bottom="0">
      <formula>AND(ISNUMBER(C30),COUNTIFS('Data - Monthly Metrics'!$A:$A,$B$4-1,'Data - Monthly Metrics'!$B:$B,C$8,'Data - Monthly Metrics'!$C:$C,"East King",'Data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Metrics'!$C:$C,"East King",'Data - Monthly Metrics'!$D:$D,"Goal - Penetration %")&gt;0,D30&gt;=SUMIFS('Data - Monthly Metrics'!$E:$E,'Data - Monthly Metrics'!$A:$A,$B$4-1,'Data - Monthly Metrics'!$B:$B,D$8,'Data - Monthly Metrics'!$C:$C,"East King",'Data - Monthly Metrics'!$D:$D,"Goal - Penetration %"))</formula>
    </cfRule>
    <cfRule type="expression" rank="0" priority="449" equalAverage="0" aboveAverage="0" dxfId="2" stopIfTrue="1" text="" percent="0" bottom="0">
      <formula>AND(ISNUMBER(D30),COUNTIFS('Data - Monthly Metrics'!$A:$A,$B$4-1,'Data - Monthly Metrics'!$B:$B,D$8,'Data - Monthly Metrics'!$C:$C,"East King",'Data - Monthly Metrics'!$D:$D,"Goal - Penetration %")&gt;0,D30&gt;=SUMIFS('Data - Monthly Metrics'!$E:$E,'Data - Monthly Metrics'!$A:$A,$B$4-1,'Data - Monthly Metrics'!$B:$B,D$8,'Data - Monthly Metrics'!$C:$C,"East King",'Data - Monthly Metrics'!$D:$D,"Goal - Penetration %")-0.05)</formula>
    </cfRule>
    <cfRule type="expression" rank="0" priority="450" equalAverage="0" aboveAverage="0" dxfId="1" stopIfTrue="1" text="" percent="0" bottom="0">
      <formula>AND(ISNUMBER(D30),COUNTIFS('Data - Monthly Metrics'!$A:$A,$B$4-1,'Data - Monthly Metrics'!$B:$B,D$8,'Data - Monthly Metrics'!$C:$C,"East King",'Data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Metrics'!$C:$C,"East King",'Data - Monthly Metrics'!$D:$D,"Goal - Penetration %")&gt;0,F30&gt;=SUMIFS('Data - Monthly Metrics'!$E:$E,'Data - Monthly Metrics'!$A:$A,$B$4,'Data - Monthly Metrics'!$B:$B,F$8,'Data - Monthly Metrics'!$C:$C,"East King",'Data - Monthly Metrics'!$D:$D,"Goal - Penetration %"))</formula>
    </cfRule>
    <cfRule type="expression" rank="0" priority="452" equalAverage="0" aboveAverage="0" dxfId="2" stopIfTrue="1" text="" percent="0" bottom="0">
      <formula>AND(ISNUMBER(F30),COUNTIFS('Data - Monthly Metrics'!$A:$A,$B$4,'Data - Monthly Metrics'!$B:$B,F$8,'Data - Monthly Metrics'!$C:$C,"East King",'Data - Monthly Metrics'!$D:$D,"Goal - Penetration %")&gt;0,F30&gt;=SUMIFS('Data - Monthly Metrics'!$E:$E,'Data - Monthly Metrics'!$A:$A,$B$4,'Data - Monthly Metrics'!$B:$B,F$8,'Data - Monthly Metrics'!$C:$C,"East King",'Data - Monthly Metrics'!$D:$D,"Goal - Penetration %")-0.05)</formula>
    </cfRule>
    <cfRule type="expression" rank="0" priority="453" equalAverage="0" aboveAverage="0" dxfId="1" stopIfTrue="1" text="" percent="0" bottom="0">
      <formula>AND(ISNUMBER(F30),COUNTIFS('Data - Monthly Metrics'!$A:$A,$B$4,'Data - Monthly Metrics'!$B:$B,F$8,'Data - Monthly Metrics'!$C:$C,"East King",'Data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Metrics'!$C:$C,"East King",'Data - Monthly Metrics'!$D:$D,"Goal - Penetration %")&gt;0,G30&gt;=SUMIFS('Data - Monthly Metrics'!$E:$E,'Data - Monthly Metrics'!$A:$A,$B$4,'Data - Monthly Metrics'!$B:$B,G$8,'Data - Monthly Metrics'!$C:$C,"East King",'Data - Monthly Metrics'!$D:$D,"Goal - Penetration %"))</formula>
    </cfRule>
    <cfRule type="expression" rank="0" priority="455" equalAverage="0" aboveAverage="0" dxfId="2" stopIfTrue="1" text="" percent="0" bottom="0">
      <formula>AND(ISNUMBER(G30),COUNTIFS('Data - Monthly Metrics'!$A:$A,$B$4,'Data - Monthly Metrics'!$B:$B,G$8,'Data - Monthly Metrics'!$C:$C,"East King",'Data - Monthly Metrics'!$D:$D,"Goal - Penetration %")&gt;0,G30&gt;=SUMIFS('Data - Monthly Metrics'!$E:$E,'Data - Monthly Metrics'!$A:$A,$B$4,'Data - Monthly Metrics'!$B:$B,G$8,'Data - Monthly Metrics'!$C:$C,"East King",'Data - Monthly Metrics'!$D:$D,"Goal - Penetration %")-0.05)</formula>
    </cfRule>
    <cfRule type="expression" rank="0" priority="456" equalAverage="0" aboveAverage="0" dxfId="1" stopIfTrue="1" text="" percent="0" bottom="0">
      <formula>AND(ISNUMBER(G30),COUNTIFS('Data - Monthly Metrics'!$A:$A,$B$4,'Data - Monthly Metrics'!$B:$B,G$8,'Data - Monthly Metrics'!$C:$C,"East King",'Data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Metrics'!$C:$C,"East King",'Data - Monthly Metrics'!$D:$D,"Goal - Penetration %")&gt;0,H30&gt;=SUMIFS('Data - Monthly Metrics'!$E:$E,'Data - Monthly Metrics'!$A:$A,$B$4,'Data - Monthly Metrics'!$B:$B,H$8,'Data - Monthly Metrics'!$C:$C,"East King",'Data - Monthly Metrics'!$D:$D,"Goal - Penetration %"))</formula>
    </cfRule>
    <cfRule type="expression" rank="0" priority="458" equalAverage="0" aboveAverage="0" dxfId="2" stopIfTrue="1" text="" percent="0" bottom="0">
      <formula>AND(ISNUMBER(H30),COUNTIFS('Data - Monthly Metrics'!$A:$A,$B$4,'Data - Monthly Metrics'!$B:$B,H$8,'Data - Monthly Metrics'!$C:$C,"East King",'Data - Monthly Metrics'!$D:$D,"Goal - Penetration %")&gt;0,H30&gt;=SUMIFS('Data - Monthly Metrics'!$E:$E,'Data - Monthly Metrics'!$A:$A,$B$4,'Data - Monthly Metrics'!$B:$B,H$8,'Data - Monthly Metrics'!$C:$C,"East King",'Data - Monthly Metrics'!$D:$D,"Goal - Penetration %")-0.05)</formula>
    </cfRule>
    <cfRule type="expression" rank="0" priority="459" equalAverage="0" aboveAverage="0" dxfId="1" stopIfTrue="1" text="" percent="0" bottom="0">
      <formula>AND(ISNUMBER(H30),COUNTIFS('Data - Monthly Metrics'!$A:$A,$B$4,'Data - Monthly Metrics'!$B:$B,H$8,'Data - Monthly Metrics'!$C:$C,"East King",'Data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Metrics'!$C:$C,"East King",'Data - Monthly Metrics'!$D:$D,"Goal - Penetration %")&gt;0,J30&gt;=SUMIFS('Data - Monthly Metrics'!$E:$E,'Data - Monthly Metrics'!$A:$A,$B$4,'Data - Monthly Metrics'!$B:$B,J$8,'Data - Monthly Metrics'!$C:$C,"East King",'Data - Monthly Metrics'!$D:$D,"Goal - Penetration %"))</formula>
    </cfRule>
    <cfRule type="expression" rank="0" priority="461" equalAverage="0" aboveAverage="0" dxfId="2" stopIfTrue="1" text="" percent="0" bottom="0">
      <formula>AND(ISNUMBER(J30),COUNTIFS('Data - Monthly Metrics'!$A:$A,$B$4,'Data - Monthly Metrics'!$B:$B,J$8,'Data - Monthly Metrics'!$C:$C,"East King",'Data - Monthly Metrics'!$D:$D,"Goal - Penetration %")&gt;0,J30&gt;=SUMIFS('Data - Monthly Metrics'!$E:$E,'Data - Monthly Metrics'!$A:$A,$B$4,'Data - Monthly Metrics'!$B:$B,J$8,'Data - Monthly Metrics'!$C:$C,"East King",'Data - Monthly Metrics'!$D:$D,"Goal - Penetration %")-0.05)</formula>
    </cfRule>
    <cfRule type="expression" rank="0" priority="462" equalAverage="0" aboveAverage="0" dxfId="1" stopIfTrue="1" text="" percent="0" bottom="0">
      <formula>AND(ISNUMBER(J30),COUNTIFS('Data - Monthly Metrics'!$A:$A,$B$4,'Data - Monthly Metrics'!$B:$B,J$8,'Data - Monthly Metrics'!$C:$C,"East King",'Data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Metrics'!$C:$C,"East King",'Data - Monthly Metrics'!$D:$D,"Goal - Penetration %")&gt;0,K30&gt;=SUMIFS('Data - Monthly Metrics'!$E:$E,'Data - Monthly Metrics'!$A:$A,$B$4,'Data - Monthly Metrics'!$B:$B,K$8,'Data - Monthly Metrics'!$C:$C,"East King",'Data - Monthly Metrics'!$D:$D,"Goal - Penetration %"))</formula>
    </cfRule>
    <cfRule type="expression" rank="0" priority="464" equalAverage="0" aboveAverage="0" dxfId="2" stopIfTrue="1" text="" percent="0" bottom="0">
      <formula>AND(ISNUMBER(K30),COUNTIFS('Data - Monthly Metrics'!$A:$A,$B$4,'Data - Monthly Metrics'!$B:$B,K$8,'Data - Monthly Metrics'!$C:$C,"East King",'Data - Monthly Metrics'!$D:$D,"Goal - Penetration %")&gt;0,K30&gt;=SUMIFS('Data - Monthly Metrics'!$E:$E,'Data - Monthly Metrics'!$A:$A,$B$4,'Data - Monthly Metrics'!$B:$B,K$8,'Data - Monthly Metrics'!$C:$C,"East King",'Data - Monthly Metrics'!$D:$D,"Goal - Penetration %")-0.05)</formula>
    </cfRule>
    <cfRule type="expression" rank="0" priority="465" equalAverage="0" aboveAverage="0" dxfId="1" stopIfTrue="1" text="" percent="0" bottom="0">
      <formula>AND(ISNUMBER(K30),COUNTIFS('Data - Monthly Metrics'!$A:$A,$B$4,'Data - Monthly Metrics'!$B:$B,K$8,'Data - Monthly Metrics'!$C:$C,"East King",'Data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Metrics'!$C:$C,"East King",'Data - Monthly Metrics'!$D:$D,"Goal - Penetration %")&gt;0,L30&gt;=SUMIFS('Data - Monthly Metrics'!$E:$E,'Data - Monthly Metrics'!$A:$A,$B$4,'Data - Monthly Metrics'!$B:$B,L$8,'Data - Monthly Metrics'!$C:$C,"East King",'Data - Monthly Metrics'!$D:$D,"Goal - Penetration %"))</formula>
    </cfRule>
    <cfRule type="expression" rank="0" priority="467" equalAverage="0" aboveAverage="0" dxfId="2" stopIfTrue="1" text="" percent="0" bottom="0">
      <formula>AND(ISNUMBER(L30),COUNTIFS('Data - Monthly Metrics'!$A:$A,$B$4,'Data - Monthly Metrics'!$B:$B,L$8,'Data - Monthly Metrics'!$C:$C,"East King",'Data - Monthly Metrics'!$D:$D,"Goal - Penetration %")&gt;0,L30&gt;=SUMIFS('Data - Monthly Metrics'!$E:$E,'Data - Monthly Metrics'!$A:$A,$B$4,'Data - Monthly Metrics'!$B:$B,L$8,'Data - Monthly Metrics'!$C:$C,"East King",'Data - Monthly Metrics'!$D:$D,"Goal - Penetration %")-0.05)</formula>
    </cfRule>
    <cfRule type="expression" rank="0" priority="468" equalAverage="0" aboveAverage="0" dxfId="1" stopIfTrue="1" text="" percent="0" bottom="0">
      <formula>AND(ISNUMBER(L30),COUNTIFS('Data - Monthly Metrics'!$A:$A,$B$4,'Data - Monthly Metrics'!$B:$B,L$8,'Data - Monthly Metrics'!$C:$C,"East King",'Data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Metrics'!$C:$C,"East King",'Data - Monthly Metrics'!$D:$D,"Goal - Penetration %")&gt;0,N30&gt;=SUMIFS('Data - Monthly Metrics'!$E:$E,'Data - Monthly Metrics'!$A:$A,$B$4,'Data - Monthly Metrics'!$B:$B,N$8,'Data - Monthly Metrics'!$C:$C,"East King",'Data - Monthly Metrics'!$D:$D,"Goal - Penetration %"))</formula>
    </cfRule>
    <cfRule type="expression" rank="0" priority="470" equalAverage="0" aboveAverage="0" dxfId="2" stopIfTrue="1" text="" percent="0" bottom="0">
      <formula>AND(ISNUMBER(N30),COUNTIFS('Data - Monthly Metrics'!$A:$A,$B$4,'Data - Monthly Metrics'!$B:$B,N$8,'Data - Monthly Metrics'!$C:$C,"East King",'Data - Monthly Metrics'!$D:$D,"Goal - Penetration %")&gt;0,N30&gt;=SUMIFS('Data - Monthly Metrics'!$E:$E,'Data - Monthly Metrics'!$A:$A,$B$4,'Data - Monthly Metrics'!$B:$B,N$8,'Data - Monthly Metrics'!$C:$C,"East King",'Data - Monthly Metrics'!$D:$D,"Goal - Penetration %")-0.05)</formula>
    </cfRule>
    <cfRule type="expression" rank="0" priority="471" equalAverage="0" aboveAverage="0" dxfId="1" stopIfTrue="1" text="" percent="0" bottom="0">
      <formula>AND(ISNUMBER(N30),COUNTIFS('Data - Monthly Metrics'!$A:$A,$B$4,'Data - Monthly Metrics'!$B:$B,N$8,'Data - Monthly Metrics'!$C:$C,"East King",'Data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Metrics'!$C:$C,"East King",'Data - Monthly Metrics'!$D:$D,"Goal - Penetration %")&gt;0,O30&gt;=SUMIFS('Data - Monthly Metrics'!$E:$E,'Data - Monthly Metrics'!$A:$A,$B$4,'Data - Monthly Metrics'!$B:$B,O$8,'Data - Monthly Metrics'!$C:$C,"East King",'Data - Monthly Metrics'!$D:$D,"Goal - Penetration %"))</formula>
    </cfRule>
    <cfRule type="expression" rank="0" priority="473" equalAverage="0" aboveAverage="0" dxfId="2" stopIfTrue="1" text="" percent="0" bottom="0">
      <formula>AND(ISNUMBER(O30),COUNTIFS('Data - Monthly Metrics'!$A:$A,$B$4,'Data - Monthly Metrics'!$B:$B,O$8,'Data - Monthly Metrics'!$C:$C,"East King",'Data - Monthly Metrics'!$D:$D,"Goal - Penetration %")&gt;0,O30&gt;=SUMIFS('Data - Monthly Metrics'!$E:$E,'Data - Monthly Metrics'!$A:$A,$B$4,'Data - Monthly Metrics'!$B:$B,O$8,'Data - Monthly Metrics'!$C:$C,"East King",'Data - Monthly Metrics'!$D:$D,"Goal - Penetration %")-0.05)</formula>
    </cfRule>
    <cfRule type="expression" rank="0" priority="474" equalAverage="0" aboveAverage="0" dxfId="1" stopIfTrue="1" text="" percent="0" bottom="0">
      <formula>AND(ISNUMBER(O30),COUNTIFS('Data - Monthly Metrics'!$A:$A,$B$4,'Data - Monthly Metrics'!$B:$B,O$8,'Data - Monthly Metrics'!$C:$C,"East King",'Data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Metrics'!$C:$C,"East King",'Data - Monthly Metrics'!$D:$D,"Goal - Penetration %")&gt;0,P30&gt;=SUMIFS('Data - Monthly Metrics'!$E:$E,'Data - Monthly Metrics'!$A:$A,$B$4,'Data - Monthly Metrics'!$B:$B,P$8,'Data - Monthly Metrics'!$C:$C,"East King",'Data - Monthly Metrics'!$D:$D,"Goal - Penetration %"))</formula>
    </cfRule>
    <cfRule type="expression" rank="0" priority="476" equalAverage="0" aboveAverage="0" dxfId="2" stopIfTrue="1" text="" percent="0" bottom="0">
      <formula>AND(ISNUMBER(P30),COUNTIFS('Data - Monthly Metrics'!$A:$A,$B$4,'Data - Monthly Metrics'!$B:$B,P$8,'Data - Monthly Metrics'!$C:$C,"East King",'Data - Monthly Metrics'!$D:$D,"Goal - Penetration %")&gt;0,P30&gt;=SUMIFS('Data - Monthly Metrics'!$E:$E,'Data - Monthly Metrics'!$A:$A,$B$4,'Data - Monthly Metrics'!$B:$B,P$8,'Data - Monthly Metrics'!$C:$C,"East King",'Data - Monthly Metrics'!$D:$D,"Goal - Penetration %")-0.05)</formula>
    </cfRule>
    <cfRule type="expression" rank="0" priority="477" equalAverage="0" aboveAverage="0" dxfId="1" stopIfTrue="1" text="" percent="0" bottom="0">
      <formula>AND(ISNUMBER(P30),COUNTIFS('Data - Monthly Metrics'!$A:$A,$B$4,'Data - Monthly Metrics'!$B:$B,P$8,'Data - Monthly Metrics'!$C:$C,"East King",'Data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Metrics'!$C:$C,"East King",'Data - Monthly Metrics'!$D:$D,"Goal - Penetration %")&gt;0,B31&gt;=SUMIFS('Data - Monthly Metrics'!$E:$E,'Data - Monthly Metrics'!$A:$A,$B$4-1,'Data - Monthly Metrics'!$B:$B,B$8,'Data - Monthly Metrics'!$C:$C,"East King",'Data - Monthly Metrics'!$D:$D,"Goal - Penetration %"))</formula>
    </cfRule>
    <cfRule type="expression" rank="0" priority="479" equalAverage="0" aboveAverage="0" dxfId="2" stopIfTrue="1" text="" percent="0" bottom="0">
      <formula>AND(ISNUMBER(B31),COUNTIFS('Data - Monthly Metrics'!$A:$A,$B$4-1,'Data - Monthly Metrics'!$B:$B,B$8,'Data - Monthly Metrics'!$C:$C,"East King",'Data - Monthly Metrics'!$D:$D,"Goal - Penetration %")&gt;0,B31&gt;=SUMIFS('Data - Monthly Metrics'!$E:$E,'Data - Monthly Metrics'!$A:$A,$B$4-1,'Data - Monthly Metrics'!$B:$B,B$8,'Data - Monthly Metrics'!$C:$C,"East King",'Data - Monthly Metrics'!$D:$D,"Goal - Penetration %")-0.05)</formula>
    </cfRule>
    <cfRule type="expression" rank="0" priority="480" equalAverage="0" aboveAverage="0" dxfId="1" stopIfTrue="1" text="" percent="0" bottom="0">
      <formula>AND(ISNUMBER(B31),COUNTIFS('Data - Monthly Metrics'!$A:$A,$B$4-1,'Data - Monthly Metrics'!$B:$B,B$8,'Data - Monthly Metrics'!$C:$C,"East King",'Data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Metrics'!$C:$C,"East King",'Data - Monthly Metrics'!$D:$D,"Goal - Penetration %")&gt;0,C31&gt;=SUMIFS('Data - Monthly Metrics'!$E:$E,'Data - Monthly Metrics'!$A:$A,$B$4-1,'Data - Monthly Metrics'!$B:$B,C$8,'Data - Monthly Metrics'!$C:$C,"East King",'Data - Monthly Metrics'!$D:$D,"Goal - Penetration %"))</formula>
    </cfRule>
    <cfRule type="expression" rank="0" priority="482" equalAverage="0" aboveAverage="0" dxfId="2" stopIfTrue="1" text="" percent="0" bottom="0">
      <formula>AND(ISNUMBER(C31),COUNTIFS('Data - Monthly Metrics'!$A:$A,$B$4-1,'Data - Monthly Metrics'!$B:$B,C$8,'Data - Monthly Metrics'!$C:$C,"East King",'Data - Monthly Metrics'!$D:$D,"Goal - Penetration %")&gt;0,C31&gt;=SUMIFS('Data - Monthly Metrics'!$E:$E,'Data - Monthly Metrics'!$A:$A,$B$4-1,'Data - Monthly Metrics'!$B:$B,C$8,'Data - Monthly Metrics'!$C:$C,"East King",'Data - Monthly Metrics'!$D:$D,"Goal - Penetration %")-0.05)</formula>
    </cfRule>
    <cfRule type="expression" rank="0" priority="483" equalAverage="0" aboveAverage="0" dxfId="1" stopIfTrue="1" text="" percent="0" bottom="0">
      <formula>AND(ISNUMBER(C31),COUNTIFS('Data - Monthly Metrics'!$A:$A,$B$4-1,'Data - Monthly Metrics'!$B:$B,C$8,'Data - Monthly Metrics'!$C:$C,"East King",'Data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Metrics'!$C:$C,"East King",'Data - Monthly Metrics'!$D:$D,"Goal - Penetration %")&gt;0,D31&gt;=SUMIFS('Data - Monthly Metrics'!$E:$E,'Data - Monthly Metrics'!$A:$A,$B$4-1,'Data - Monthly Metrics'!$B:$B,D$8,'Data - Monthly Metrics'!$C:$C,"East King",'Data - Monthly Metrics'!$D:$D,"Goal - Penetration %"))</formula>
    </cfRule>
    <cfRule type="expression" rank="0" priority="485" equalAverage="0" aboveAverage="0" dxfId="2" stopIfTrue="1" text="" percent="0" bottom="0">
      <formula>AND(ISNUMBER(D31),COUNTIFS('Data - Monthly Metrics'!$A:$A,$B$4-1,'Data - Monthly Metrics'!$B:$B,D$8,'Data - Monthly Metrics'!$C:$C,"East King",'Data - Monthly Metrics'!$D:$D,"Goal - Penetration %")&gt;0,D31&gt;=SUMIFS('Data - Monthly Metrics'!$E:$E,'Data - Monthly Metrics'!$A:$A,$B$4-1,'Data - Monthly Metrics'!$B:$B,D$8,'Data - Monthly Metrics'!$C:$C,"East King",'Data - Monthly Metrics'!$D:$D,"Goal - Penetration %")-0.05)</formula>
    </cfRule>
    <cfRule type="expression" rank="0" priority="486" equalAverage="0" aboveAverage="0" dxfId="1" stopIfTrue="1" text="" percent="0" bottom="0">
      <formula>AND(ISNUMBER(D31),COUNTIFS('Data - Monthly Metrics'!$A:$A,$B$4-1,'Data - Monthly Metrics'!$B:$B,D$8,'Data - Monthly Metrics'!$C:$C,"East King",'Data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Metrics'!$C:$C,"East King",'Data - Monthly Metrics'!$D:$D,"Goal - Penetration %")&gt;0,F31&gt;=SUMIFS('Data - Monthly Metrics'!$E:$E,'Data - Monthly Metrics'!$A:$A,$B$4,'Data - Monthly Metrics'!$B:$B,F$8,'Data - Monthly Metrics'!$C:$C,"East King",'Data - Monthly Metrics'!$D:$D,"Goal - Penetration %"))</formula>
    </cfRule>
    <cfRule type="expression" rank="0" priority="488" equalAverage="0" aboveAverage="0" dxfId="2" stopIfTrue="1" text="" percent="0" bottom="0">
      <formula>AND(ISNUMBER(F31),COUNTIFS('Data - Monthly Metrics'!$A:$A,$B$4,'Data - Monthly Metrics'!$B:$B,F$8,'Data - Monthly Metrics'!$C:$C,"East King",'Data - Monthly Metrics'!$D:$D,"Goal - Penetration %")&gt;0,F31&gt;=SUMIFS('Data - Monthly Metrics'!$E:$E,'Data - Monthly Metrics'!$A:$A,$B$4,'Data - Monthly Metrics'!$B:$B,F$8,'Data - Monthly Metrics'!$C:$C,"East King",'Data - Monthly Metrics'!$D:$D,"Goal - Penetration %")-0.05)</formula>
    </cfRule>
    <cfRule type="expression" rank="0" priority="489" equalAverage="0" aboveAverage="0" dxfId="1" stopIfTrue="1" text="" percent="0" bottom="0">
      <formula>AND(ISNUMBER(F31),COUNTIFS('Data - Monthly Metrics'!$A:$A,$B$4,'Data - Monthly Metrics'!$B:$B,F$8,'Data - Monthly Metrics'!$C:$C,"East King",'Data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Metrics'!$C:$C,"East King",'Data - Monthly Metrics'!$D:$D,"Goal - Penetration %")&gt;0,G31&gt;=SUMIFS('Data - Monthly Metrics'!$E:$E,'Data - Monthly Metrics'!$A:$A,$B$4,'Data - Monthly Metrics'!$B:$B,G$8,'Data - Monthly Metrics'!$C:$C,"East King",'Data - Monthly Metrics'!$D:$D,"Goal - Penetration %"))</formula>
    </cfRule>
    <cfRule type="expression" rank="0" priority="491" equalAverage="0" aboveAverage="0" dxfId="2" stopIfTrue="1" text="" percent="0" bottom="0">
      <formula>AND(ISNUMBER(G31),COUNTIFS('Data - Monthly Metrics'!$A:$A,$B$4,'Data - Monthly Metrics'!$B:$B,G$8,'Data - Monthly Metrics'!$C:$C,"East King",'Data - Monthly Metrics'!$D:$D,"Goal - Penetration %")&gt;0,G31&gt;=SUMIFS('Data - Monthly Metrics'!$E:$E,'Data - Monthly Metrics'!$A:$A,$B$4,'Data - Monthly Metrics'!$B:$B,G$8,'Data - Monthly Metrics'!$C:$C,"East King",'Data - Monthly Metrics'!$D:$D,"Goal - Penetration %")-0.05)</formula>
    </cfRule>
    <cfRule type="expression" rank="0" priority="492" equalAverage="0" aboveAverage="0" dxfId="1" stopIfTrue="1" text="" percent="0" bottom="0">
      <formula>AND(ISNUMBER(G31),COUNTIFS('Data - Monthly Metrics'!$A:$A,$B$4,'Data - Monthly Metrics'!$B:$B,G$8,'Data - Monthly Metrics'!$C:$C,"East King",'Data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Metrics'!$C:$C,"East King",'Data - Monthly Metrics'!$D:$D,"Goal - Penetration %")&gt;0,H31&gt;=SUMIFS('Data - Monthly Metrics'!$E:$E,'Data - Monthly Metrics'!$A:$A,$B$4,'Data - Monthly Metrics'!$B:$B,H$8,'Data - Monthly Metrics'!$C:$C,"East King",'Data - Monthly Metrics'!$D:$D,"Goal - Penetration %"))</formula>
    </cfRule>
    <cfRule type="expression" rank="0" priority="494" equalAverage="0" aboveAverage="0" dxfId="2" stopIfTrue="1" text="" percent="0" bottom="0">
      <formula>AND(ISNUMBER(H31),COUNTIFS('Data - Monthly Metrics'!$A:$A,$B$4,'Data - Monthly Metrics'!$B:$B,H$8,'Data - Monthly Metrics'!$C:$C,"East King",'Data - Monthly Metrics'!$D:$D,"Goal - Penetration %")&gt;0,H31&gt;=SUMIFS('Data - Monthly Metrics'!$E:$E,'Data - Monthly Metrics'!$A:$A,$B$4,'Data - Monthly Metrics'!$B:$B,H$8,'Data - Monthly Metrics'!$C:$C,"East King",'Data - Monthly Metrics'!$D:$D,"Goal - Penetration %")-0.05)</formula>
    </cfRule>
    <cfRule type="expression" rank="0" priority="495" equalAverage="0" aboveAverage="0" dxfId="1" stopIfTrue="1" text="" percent="0" bottom="0">
      <formula>AND(ISNUMBER(H31),COUNTIFS('Data - Monthly Metrics'!$A:$A,$B$4,'Data - Monthly Metrics'!$B:$B,H$8,'Data - Monthly Metrics'!$C:$C,"East King",'Data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Metrics'!$C:$C,"East King",'Data - Monthly Metrics'!$D:$D,"Goal - Penetration %")&gt;0,J31&gt;=SUMIFS('Data - Monthly Metrics'!$E:$E,'Data - Monthly Metrics'!$A:$A,$B$4,'Data - Monthly Metrics'!$B:$B,J$8,'Data - Monthly Metrics'!$C:$C,"East King",'Data - Monthly Metrics'!$D:$D,"Goal - Penetration %"))</formula>
    </cfRule>
    <cfRule type="expression" rank="0" priority="497" equalAverage="0" aboveAverage="0" dxfId="2" stopIfTrue="1" text="" percent="0" bottom="0">
      <formula>AND(ISNUMBER(J31),COUNTIFS('Data - Monthly Metrics'!$A:$A,$B$4,'Data - Monthly Metrics'!$B:$B,J$8,'Data - Monthly Metrics'!$C:$C,"East King",'Data - Monthly Metrics'!$D:$D,"Goal - Penetration %")&gt;0,J31&gt;=SUMIFS('Data - Monthly Metrics'!$E:$E,'Data - Monthly Metrics'!$A:$A,$B$4,'Data - Monthly Metrics'!$B:$B,J$8,'Data - Monthly Metrics'!$C:$C,"East King",'Data - Monthly Metrics'!$D:$D,"Goal - Penetration %")-0.05)</formula>
    </cfRule>
    <cfRule type="expression" rank="0" priority="498" equalAverage="0" aboveAverage="0" dxfId="1" stopIfTrue="1" text="" percent="0" bottom="0">
      <formula>AND(ISNUMBER(J31),COUNTIFS('Data - Monthly Metrics'!$A:$A,$B$4,'Data - Monthly Metrics'!$B:$B,J$8,'Data - Monthly Metrics'!$C:$C,"East King",'Data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Metrics'!$C:$C,"East King",'Data - Monthly Metrics'!$D:$D,"Goal - Penetration %")&gt;0,K31&gt;=SUMIFS('Data - Monthly Metrics'!$E:$E,'Data - Monthly Metrics'!$A:$A,$B$4,'Data - Monthly Metrics'!$B:$B,K$8,'Data - Monthly Metrics'!$C:$C,"East King",'Data - Monthly Metrics'!$D:$D,"Goal - Penetration %"))</formula>
    </cfRule>
    <cfRule type="expression" rank="0" priority="500" equalAverage="0" aboveAverage="0" dxfId="2" stopIfTrue="1" text="" percent="0" bottom="0">
      <formula>AND(ISNUMBER(K31),COUNTIFS('Data - Monthly Metrics'!$A:$A,$B$4,'Data - Monthly Metrics'!$B:$B,K$8,'Data - Monthly Metrics'!$C:$C,"East King",'Data - Monthly Metrics'!$D:$D,"Goal - Penetration %")&gt;0,K31&gt;=SUMIFS('Data - Monthly Metrics'!$E:$E,'Data - Monthly Metrics'!$A:$A,$B$4,'Data - Monthly Metrics'!$B:$B,K$8,'Data - Monthly Metrics'!$C:$C,"East King",'Data - Monthly Metrics'!$D:$D,"Goal - Penetration %")-0.05)</formula>
    </cfRule>
    <cfRule type="expression" rank="0" priority="501" equalAverage="0" aboveAverage="0" dxfId="1" stopIfTrue="1" text="" percent="0" bottom="0">
      <formula>AND(ISNUMBER(K31),COUNTIFS('Data - Monthly Metrics'!$A:$A,$B$4,'Data - Monthly Metrics'!$B:$B,K$8,'Data - Monthly Metrics'!$C:$C,"East King",'Data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Metrics'!$C:$C,"East King",'Data - Monthly Metrics'!$D:$D,"Goal - Penetration %")&gt;0,L31&gt;=SUMIFS('Data - Monthly Metrics'!$E:$E,'Data - Monthly Metrics'!$A:$A,$B$4,'Data - Monthly Metrics'!$B:$B,L$8,'Data - Monthly Metrics'!$C:$C,"East King",'Data - Monthly Metrics'!$D:$D,"Goal - Penetration %"))</formula>
    </cfRule>
    <cfRule type="expression" rank="0" priority="503" equalAverage="0" aboveAverage="0" dxfId="2" stopIfTrue="1" text="" percent="0" bottom="0">
      <formula>AND(ISNUMBER(L31),COUNTIFS('Data - Monthly Metrics'!$A:$A,$B$4,'Data - Monthly Metrics'!$B:$B,L$8,'Data - Monthly Metrics'!$C:$C,"East King",'Data - Monthly Metrics'!$D:$D,"Goal - Penetration %")&gt;0,L31&gt;=SUMIFS('Data - Monthly Metrics'!$E:$E,'Data - Monthly Metrics'!$A:$A,$B$4,'Data - Monthly Metrics'!$B:$B,L$8,'Data - Monthly Metrics'!$C:$C,"East King",'Data - Monthly Metrics'!$D:$D,"Goal - Penetration %")-0.05)</formula>
    </cfRule>
    <cfRule type="expression" rank="0" priority="504" equalAverage="0" aboveAverage="0" dxfId="1" stopIfTrue="1" text="" percent="0" bottom="0">
      <formula>AND(ISNUMBER(L31),COUNTIFS('Data - Monthly Metrics'!$A:$A,$B$4,'Data - Monthly Metrics'!$B:$B,L$8,'Data - Monthly Metrics'!$C:$C,"East King",'Data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Metrics'!$C:$C,"East King",'Data - Monthly Metrics'!$D:$D,"Goal - Penetration %")&gt;0,N31&gt;=SUMIFS('Data - Monthly Metrics'!$E:$E,'Data - Monthly Metrics'!$A:$A,$B$4,'Data - Monthly Metrics'!$B:$B,N$8,'Data - Monthly Metrics'!$C:$C,"East King",'Data - Monthly Metrics'!$D:$D,"Goal - Penetration %"))</formula>
    </cfRule>
    <cfRule type="expression" rank="0" priority="506" equalAverage="0" aboveAverage="0" dxfId="2" stopIfTrue="1" text="" percent="0" bottom="0">
      <formula>AND(ISNUMBER(N31),COUNTIFS('Data - Monthly Metrics'!$A:$A,$B$4,'Data - Monthly Metrics'!$B:$B,N$8,'Data - Monthly Metrics'!$C:$C,"East King",'Data - Monthly Metrics'!$D:$D,"Goal - Penetration %")&gt;0,N31&gt;=SUMIFS('Data - Monthly Metrics'!$E:$E,'Data - Monthly Metrics'!$A:$A,$B$4,'Data - Monthly Metrics'!$B:$B,N$8,'Data - Monthly Metrics'!$C:$C,"East King",'Data - Monthly Metrics'!$D:$D,"Goal - Penetration %")-0.05)</formula>
    </cfRule>
    <cfRule type="expression" rank="0" priority="507" equalAverage="0" aboveAverage="0" dxfId="1" stopIfTrue="1" text="" percent="0" bottom="0">
      <formula>AND(ISNUMBER(N31),COUNTIFS('Data - Monthly Metrics'!$A:$A,$B$4,'Data - Monthly Metrics'!$B:$B,N$8,'Data - Monthly Metrics'!$C:$C,"East King",'Data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Metrics'!$C:$C,"East King",'Data - Monthly Metrics'!$D:$D,"Goal - Penetration %")&gt;0,O31&gt;=SUMIFS('Data - Monthly Metrics'!$E:$E,'Data - Monthly Metrics'!$A:$A,$B$4,'Data - Monthly Metrics'!$B:$B,O$8,'Data - Monthly Metrics'!$C:$C,"East King",'Data - Monthly Metrics'!$D:$D,"Goal - Penetration %"))</formula>
    </cfRule>
    <cfRule type="expression" rank="0" priority="509" equalAverage="0" aboveAverage="0" dxfId="2" stopIfTrue="1" text="" percent="0" bottom="0">
      <formula>AND(ISNUMBER(O31),COUNTIFS('Data - Monthly Metrics'!$A:$A,$B$4,'Data - Monthly Metrics'!$B:$B,O$8,'Data - Monthly Metrics'!$C:$C,"East King",'Data - Monthly Metrics'!$D:$D,"Goal - Penetration %")&gt;0,O31&gt;=SUMIFS('Data - Monthly Metrics'!$E:$E,'Data - Monthly Metrics'!$A:$A,$B$4,'Data - Monthly Metrics'!$B:$B,O$8,'Data - Monthly Metrics'!$C:$C,"East King",'Data - Monthly Metrics'!$D:$D,"Goal - Penetration %")-0.05)</formula>
    </cfRule>
    <cfRule type="expression" rank="0" priority="510" equalAverage="0" aboveAverage="0" dxfId="1" stopIfTrue="1" text="" percent="0" bottom="0">
      <formula>AND(ISNUMBER(O31),COUNTIFS('Data - Monthly Metrics'!$A:$A,$B$4,'Data - Monthly Metrics'!$B:$B,O$8,'Data - Monthly Metrics'!$C:$C,"East King",'Data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Metrics'!$C:$C,"East King",'Data - Monthly Metrics'!$D:$D,"Goal - Penetration %")&gt;0,P31&gt;=SUMIFS('Data - Monthly Metrics'!$E:$E,'Data - Monthly Metrics'!$A:$A,$B$4,'Data - Monthly Metrics'!$B:$B,P$8,'Data - Monthly Metrics'!$C:$C,"East King",'Data - Monthly Metrics'!$D:$D,"Goal - Penetration %"))</formula>
    </cfRule>
    <cfRule type="expression" rank="0" priority="512" equalAverage="0" aboveAverage="0" dxfId="2" stopIfTrue="1" text="" percent="0" bottom="0">
      <formula>AND(ISNUMBER(P31),COUNTIFS('Data - Monthly Metrics'!$A:$A,$B$4,'Data - Monthly Metrics'!$B:$B,P$8,'Data - Monthly Metrics'!$C:$C,"East King",'Data - Monthly Metrics'!$D:$D,"Goal - Penetration %")&gt;0,P31&gt;=SUMIFS('Data - Monthly Metrics'!$E:$E,'Data - Monthly Metrics'!$A:$A,$B$4,'Data - Monthly Metrics'!$B:$B,P$8,'Data - Monthly Metrics'!$C:$C,"East King",'Data - Monthly Metrics'!$D:$D,"Goal - Penetration %")-0.05)</formula>
    </cfRule>
    <cfRule type="expression" rank="0" priority="513" equalAverage="0" aboveAverage="0" dxfId="1" stopIfTrue="1" text="" percent="0" bottom="0">
      <formula>AND(ISNUMBER(P31),COUNTIFS('Data - Monthly Metrics'!$A:$A,$B$4,'Data - Monthly Metrics'!$B:$B,P$8,'Data - Monthly Metrics'!$C:$C,"East King",'Data - Monthly Metrics'!$D:$D,"Goal - Penetration %")&gt;0)</formula>
    </cfRule>
  </conditionalFormatting>
  <conditionalFormatting sqref="B60:R60">
    <cfRule type="expression" rank="0" priority="514" equalAverage="0" aboveAverage="0" dxfId="0" text="" percent="0" bottom="0">
      <formula>B60="On Track"</formula>
    </cfRule>
    <cfRule type="expression" rank="0" priority="515" equalAverage="0" aboveAverage="0" dxfId="2" text="" percent="0" bottom="0">
      <formula>B60="Watch"</formula>
    </cfRule>
    <cfRule type="expression" rank="0" priority="516" equalAverage="0" aboveAverage="0" dxfId="1" text="" percent="0" bottom="0">
      <formula>B60="At Risk"</formula>
    </cfRule>
  </conditionalFormatting>
  <conditionalFormatting sqref="B104:R104">
    <cfRule type="expression" rank="0" priority="517" equalAverage="0" aboveAverage="0" dxfId="0" text="" percent="0" bottom="0">
      <formula>B104="On Track"</formula>
    </cfRule>
    <cfRule type="expression" rank="0" priority="518" equalAverage="0" aboveAverage="0" dxfId="2" text="" percent="0" bottom="0">
      <formula>B104="Watch"</formula>
    </cfRule>
    <cfRule type="expression" rank="0" priority="519" equalAverage="0" aboveAverage="0" dxfId="1" text="" percent="0" bottom="0">
      <formula>B104="At Risk"</formula>
    </cfRule>
  </conditionalFormatting>
  <conditionalFormatting sqref="B81:R81">
    <cfRule type="expression" rank="0" priority="520" equalAverage="0" aboveAverage="0" dxfId="0" text="" percent="0" bottom="0">
      <formula>B81="On Track"</formula>
    </cfRule>
    <cfRule type="expression" rank="0" priority="521" equalAverage="0" aboveAverage="0" dxfId="2" text="" percent="0" bottom="0">
      <formula>B81="Watch"</formula>
    </cfRule>
    <cfRule type="expression" rank="0" priority="522" equalAverage="0" aboveAverage="0" dxfId="1" text="" percent="0" bottom="0">
      <formula>B81="At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South King</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Metrics'!C:C,"South King",'Data - Monthly Metrics'!D:D,"New Sales Revenue - BOB/Promo ($)")=0,"-",SUMIFS('Data - Monthly Metrics'!E:E,'Data - Monthly Metrics'!A:A,$B$4-1,'Data - Monthly Metrics'!B:B,"Oct",'Data - Monthly Metrics'!C:C,"South King",'Data - Monthly Metrics'!D:D,"New Sales Revenue - BOB/Promo ($)"))</f>
        <v/>
      </c>
      <c r="C10" s="91">
        <f>IF(COUNTIFS('Data - Monthly Metrics'!A:A,$B$4-1,'Data - Monthly Metrics'!B:B,"Nov",'Data - Monthly Metrics'!C:C,"South King",'Data - Monthly Metrics'!D:D,"New Sales Revenue - BOB/Promo ($)")=0,"-",SUMIFS('Data - Monthly Metrics'!E:E,'Data - Monthly Metrics'!A:A,$B$4-1,'Data - Monthly Metrics'!B:B,"Nov",'Data - Monthly Metrics'!C:C,"South King",'Data - Monthly Metrics'!D:D,"New Sales Revenue - BOB/Promo ($)"))</f>
        <v/>
      </c>
      <c r="D10" s="91">
        <f>IF(COUNTIFS('Data - Monthly Metrics'!A:A,$B$4-1,'Data - Monthly Metrics'!B:B,"Dec",'Data - Monthly Metrics'!C:C,"South King",'Data - Monthly Metrics'!D:D,"New Sales Revenue - BOB/Promo ($)")=0,"-",SUMIFS('Data - Monthly Metrics'!E:E,'Data - Monthly Metrics'!A:A,$B$4-1,'Data - Monthly Metrics'!B:B,"Dec",'Data - Monthly Metrics'!C:C,"South King",'Data - Monthly Metrics'!D:D,"New Sales Revenue - BOB/Promo ($)"))</f>
        <v/>
      </c>
      <c r="E10" s="101">
        <f>SUM(B10,C10,D10)</f>
        <v/>
      </c>
      <c r="F10" s="91">
        <f>IF(COUNTIFS('Data - Monthly Metrics'!A:A,$B$4,'Data - Monthly Metrics'!B:B,"Jan",'Data - Monthly Metrics'!C:C,"South King",'Data - Monthly Metrics'!D:D,"New Sales Revenue - BOB/Promo ($)")=0,"-",SUMIFS('Data - Monthly Metrics'!E:E,'Data - Monthly Metrics'!A:A,$B$4,'Data - Monthly Metrics'!B:B,"Jan",'Data - Monthly Metrics'!C:C,"South King",'Data - Monthly Metrics'!D:D,"New Sales Revenue - BOB/Promo ($)"))</f>
        <v/>
      </c>
      <c r="G10" s="91">
        <f>IF(COUNTIFS('Data - Monthly Metrics'!A:A,$B$4,'Data - Monthly Metrics'!B:B,"Feb",'Data - Monthly Metrics'!C:C,"South King",'Data - Monthly Metrics'!D:D,"New Sales Revenue - BOB/Promo ($)")=0,"-",SUMIFS('Data - Monthly Metrics'!E:E,'Data - Monthly Metrics'!A:A,$B$4,'Data - Monthly Metrics'!B:B,"Feb",'Data - Monthly Metrics'!C:C,"South King",'Data - Monthly Metrics'!D:D,"New Sales Revenue - BOB/Promo ($)"))</f>
        <v/>
      </c>
      <c r="H10" s="91">
        <f>IF(COUNTIFS('Data - Monthly Metrics'!A:A,$B$4,'Data - Monthly Metrics'!B:B,"Mar",'Data - Monthly Metrics'!C:C,"South King",'Data - Monthly Metrics'!D:D,"New Sales Revenue - BOB/Promo ($)")=0,"-",SUMIFS('Data - Monthly Metrics'!E:E,'Data - Monthly Metrics'!A:A,$B$4,'Data - Monthly Metrics'!B:B,"Mar",'Data - Monthly Metrics'!C:C,"South King",'Data - Monthly Metrics'!D:D,"New Sales Revenue - BOB/Promo ($)"))</f>
        <v/>
      </c>
      <c r="I10" s="101">
        <f>SUM(F10,G10,H10)</f>
        <v/>
      </c>
      <c r="J10" s="91">
        <f>IF(COUNTIFS('Data - Monthly Metrics'!A:A,$B$4,'Data - Monthly Metrics'!B:B,"Apr",'Data - Monthly Metrics'!C:C,"South King",'Data - Monthly Metrics'!D:D,"New Sales Revenue - BOB/Promo ($)")=0,"-",SUMIFS('Data - Monthly Metrics'!E:E,'Data - Monthly Metrics'!A:A,$B$4,'Data - Monthly Metrics'!B:B,"Apr",'Data - Monthly Metrics'!C:C,"South King",'Data - Monthly Metrics'!D:D,"New Sales Revenue - BOB/Promo ($)"))</f>
        <v/>
      </c>
      <c r="K10" s="91">
        <f>IF(COUNTIFS('Data - Monthly Metrics'!A:A,$B$4,'Data - Monthly Metrics'!B:B,"May",'Data - Monthly Metrics'!C:C,"South King",'Data - Monthly Metrics'!D:D,"New Sales Revenue - BOB/Promo ($)")=0,"-",SUMIFS('Data - Monthly Metrics'!E:E,'Data - Monthly Metrics'!A:A,$B$4,'Data - Monthly Metrics'!B:B,"May",'Data - Monthly Metrics'!C:C,"South King",'Data - Monthly Metrics'!D:D,"New Sales Revenue - BOB/Promo ($)"))</f>
        <v/>
      </c>
      <c r="L10" s="91">
        <f>IF(COUNTIFS('Data - Monthly Metrics'!A:A,$B$4,'Data - Monthly Metrics'!B:B,"Jun",'Data - Monthly Metrics'!C:C,"South King",'Data - Monthly Metrics'!D:D,"New Sales Revenue - BOB/Promo ($)")=0,"-",SUMIFS('Data - Monthly Metrics'!E:E,'Data - Monthly Metrics'!A:A,$B$4,'Data - Monthly Metrics'!B:B,"Jun",'Data - Monthly Metrics'!C:C,"South King",'Data - Monthly Metrics'!D:D,"New Sales Revenue - BOB/Promo ($)"))</f>
        <v/>
      </c>
      <c r="M10" s="101">
        <f>SUM(J10,K10,L10)</f>
        <v/>
      </c>
      <c r="N10" s="91">
        <f>IF(COUNTIFS('Data - Monthly Metrics'!A:A,$B$4,'Data - Monthly Metrics'!B:B,"Jul",'Data - Monthly Metrics'!C:C,"South King",'Data - Monthly Metrics'!D:D,"New Sales Revenue - BOB/Promo ($)")=0,"-",SUMIFS('Data - Monthly Metrics'!E:E,'Data - Monthly Metrics'!A:A,$B$4,'Data - Monthly Metrics'!B:B,"Jul",'Data - Monthly Metrics'!C:C,"South King",'Data - Monthly Metrics'!D:D,"New Sales Revenue - BOB/Promo ($)"))</f>
        <v/>
      </c>
      <c r="O10" s="91">
        <f>IF(COUNTIFS('Data - Monthly Metrics'!A:A,$B$4,'Data - Monthly Metrics'!B:B,"Aug",'Data - Monthly Metrics'!C:C,"South King",'Data - Monthly Metrics'!D:D,"New Sales Revenue - BOB/Promo ($)")=0,"-",SUMIFS('Data - Monthly Metrics'!E:E,'Data - Monthly Metrics'!A:A,$B$4,'Data - Monthly Metrics'!B:B,"Aug",'Data - Monthly Metrics'!C:C,"South King",'Data - Monthly Metrics'!D:D,"New Sales Revenue - BOB/Promo ($)"))</f>
        <v/>
      </c>
      <c r="P10" s="91">
        <f>IF(COUNTIFS('Data - Monthly Metrics'!A:A,$B$4,'Data - Monthly Metrics'!B:B,"Sep",'Data - Monthly Metrics'!C:C,"South King",'Data - Monthly Metrics'!D:D,"New Sales Revenue - BOB/Promo ($)")=0,"-",SUMIFS('Data - Monthly Metrics'!E:E,'Data - Monthly Metrics'!A:A,$B$4,'Data - Monthly Metrics'!B:B,"Sep",'Data - Monthly Metrics'!C:C,"South King",'Data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Metrics'!C:C,"South King",'Data - Monthly Metrics'!D:D,"New Members - BOB (#)")=0,"-",SUMIFS('Data - Monthly Metrics'!E:E,'Data - Monthly Metrics'!A:A,$B$4-1,'Data - Monthly Metrics'!B:B,"Oct",'Data - Monthly Metrics'!C:C,"South King",'Data - Monthly Metrics'!D:D,"New Members - BOB (#)"))</f>
        <v/>
      </c>
      <c r="C11" s="93">
        <f>IF(COUNTIFS('Data - Monthly Metrics'!A:A,$B$4-1,'Data - Monthly Metrics'!B:B,"Nov",'Data - Monthly Metrics'!C:C,"South King",'Data - Monthly Metrics'!D:D,"New Members - BOB (#)")=0,"-",SUMIFS('Data - Monthly Metrics'!E:E,'Data - Monthly Metrics'!A:A,$B$4-1,'Data - Monthly Metrics'!B:B,"Nov",'Data - Monthly Metrics'!C:C,"South King",'Data - Monthly Metrics'!D:D,"New Members - BOB (#)"))</f>
        <v/>
      </c>
      <c r="D11" s="93">
        <f>IF(COUNTIFS('Data - Monthly Metrics'!A:A,$B$4-1,'Data - Monthly Metrics'!B:B,"Dec",'Data - Monthly Metrics'!C:C,"South King",'Data - Monthly Metrics'!D:D,"New Members - BOB (#)")=0,"-",SUMIFS('Data - Monthly Metrics'!E:E,'Data - Monthly Metrics'!A:A,$B$4-1,'Data - Monthly Metrics'!B:B,"Dec",'Data - Monthly Metrics'!C:C,"South King",'Data - Monthly Metrics'!D:D,"New Members - BOB (#)"))</f>
        <v/>
      </c>
      <c r="E11" s="103">
        <f>SUM(B11,C11,D11)</f>
        <v/>
      </c>
      <c r="F11" s="93">
        <f>IF(COUNTIFS('Data - Monthly Metrics'!A:A,$B$4,'Data - Monthly Metrics'!B:B,"Jan",'Data - Monthly Metrics'!C:C,"South King",'Data - Monthly Metrics'!D:D,"New Members - BOB (#)")=0,"-",SUMIFS('Data - Monthly Metrics'!E:E,'Data - Monthly Metrics'!A:A,$B$4,'Data - Monthly Metrics'!B:B,"Jan",'Data - Monthly Metrics'!C:C,"South King",'Data - Monthly Metrics'!D:D,"New Members - BOB (#)"))</f>
        <v/>
      </c>
      <c r="G11" s="93">
        <f>IF(COUNTIFS('Data - Monthly Metrics'!A:A,$B$4,'Data - Monthly Metrics'!B:B,"Feb",'Data - Monthly Metrics'!C:C,"South King",'Data - Monthly Metrics'!D:D,"New Members - BOB (#)")=0,"-",SUMIFS('Data - Monthly Metrics'!E:E,'Data - Monthly Metrics'!A:A,$B$4,'Data - Monthly Metrics'!B:B,"Feb",'Data - Monthly Metrics'!C:C,"South King",'Data - Monthly Metrics'!D:D,"New Members - BOB (#)"))</f>
        <v/>
      </c>
      <c r="H11" s="93">
        <f>IF(COUNTIFS('Data - Monthly Metrics'!A:A,$B$4,'Data - Monthly Metrics'!B:B,"Mar",'Data - Monthly Metrics'!C:C,"South King",'Data - Monthly Metrics'!D:D,"New Members - BOB (#)")=0,"-",SUMIFS('Data - Monthly Metrics'!E:E,'Data - Monthly Metrics'!A:A,$B$4,'Data - Monthly Metrics'!B:B,"Mar",'Data - Monthly Metrics'!C:C,"South King",'Data - Monthly Metrics'!D:D,"New Members - BOB (#)"))</f>
        <v/>
      </c>
      <c r="I11" s="103">
        <f>SUM(F11,G11,H11)</f>
        <v/>
      </c>
      <c r="J11" s="93">
        <f>IF(COUNTIFS('Data - Monthly Metrics'!A:A,$B$4,'Data - Monthly Metrics'!B:B,"Apr",'Data - Monthly Metrics'!C:C,"South King",'Data - Monthly Metrics'!D:D,"New Members - BOB (#)")=0,"-",SUMIFS('Data - Monthly Metrics'!E:E,'Data - Monthly Metrics'!A:A,$B$4,'Data - Monthly Metrics'!B:B,"Apr",'Data - Monthly Metrics'!C:C,"South King",'Data - Monthly Metrics'!D:D,"New Members - BOB (#)"))</f>
        <v/>
      </c>
      <c r="K11" s="93">
        <f>IF(COUNTIFS('Data - Monthly Metrics'!A:A,$B$4,'Data - Monthly Metrics'!B:B,"May",'Data - Monthly Metrics'!C:C,"South King",'Data - Monthly Metrics'!D:D,"New Members - BOB (#)")=0,"-",SUMIFS('Data - Monthly Metrics'!E:E,'Data - Monthly Metrics'!A:A,$B$4,'Data - Monthly Metrics'!B:B,"May",'Data - Monthly Metrics'!C:C,"South King",'Data - Monthly Metrics'!D:D,"New Members - BOB (#)"))</f>
        <v/>
      </c>
      <c r="L11" s="93">
        <f>IF(COUNTIFS('Data - Monthly Metrics'!A:A,$B$4,'Data - Monthly Metrics'!B:B,"Jun",'Data - Monthly Metrics'!C:C,"South King",'Data - Monthly Metrics'!D:D,"New Members - BOB (#)")=0,"-",SUMIFS('Data - Monthly Metrics'!E:E,'Data - Monthly Metrics'!A:A,$B$4,'Data - Monthly Metrics'!B:B,"Jun",'Data - Monthly Metrics'!C:C,"South King",'Data - Monthly Metrics'!D:D,"New Members - BOB (#)"))</f>
        <v/>
      </c>
      <c r="M11" s="103">
        <f>SUM(J11,K11,L11)</f>
        <v/>
      </c>
      <c r="N11" s="93">
        <f>IF(COUNTIFS('Data - Monthly Metrics'!A:A,$B$4,'Data - Monthly Metrics'!B:B,"Jul",'Data - Monthly Metrics'!C:C,"South King",'Data - Monthly Metrics'!D:D,"New Members - BOB (#)")=0,"-",SUMIFS('Data - Monthly Metrics'!E:E,'Data - Monthly Metrics'!A:A,$B$4,'Data - Monthly Metrics'!B:B,"Jul",'Data - Monthly Metrics'!C:C,"South King",'Data - Monthly Metrics'!D:D,"New Members - BOB (#)"))</f>
        <v/>
      </c>
      <c r="O11" s="93">
        <f>IF(COUNTIFS('Data - Monthly Metrics'!A:A,$B$4,'Data - Monthly Metrics'!B:B,"Aug",'Data - Monthly Metrics'!C:C,"South King",'Data - Monthly Metrics'!D:D,"New Members - BOB (#)")=0,"-",SUMIFS('Data - Monthly Metrics'!E:E,'Data - Monthly Metrics'!A:A,$B$4,'Data - Monthly Metrics'!B:B,"Aug",'Data - Monthly Metrics'!C:C,"South King",'Data - Monthly Metrics'!D:D,"New Members - BOB (#)"))</f>
        <v/>
      </c>
      <c r="P11" s="93">
        <f>IF(COUNTIFS('Data - Monthly Metrics'!A:A,$B$4,'Data - Monthly Metrics'!B:B,"Sep",'Data - Monthly Metrics'!C:C,"South King",'Data - Monthly Metrics'!D:D,"New Members - BOB (#)")=0,"-",SUMIFS('Data - Monthly Metrics'!E:E,'Data - Monthly Metrics'!A:A,$B$4,'Data - Monthly Metrics'!B:B,"Sep",'Data - Monthly Metrics'!C:C,"South King",'Data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Metrics'!C:C,"South King",'Data - Monthly Metrics'!D:D,"New Sales - Comped ($)")=0,"-",SUMIFS('Data - Monthly Metrics'!E:E,'Data - Monthly Metrics'!A:A,$B$4-1,'Data - Monthly Metrics'!B:B,"Oct",'Data - Monthly Metrics'!C:C,"South King",'Data - Monthly Metrics'!D:D,"New Sales - Comped ($)"))</f>
        <v/>
      </c>
      <c r="C12" s="91">
        <f>IF(COUNTIFS('Data - Monthly Metrics'!A:A,$B$4-1,'Data - Monthly Metrics'!B:B,"Nov",'Data - Monthly Metrics'!C:C,"South King",'Data - Monthly Metrics'!D:D,"New Sales - Comped ($)")=0,"-",SUMIFS('Data - Monthly Metrics'!E:E,'Data - Monthly Metrics'!A:A,$B$4-1,'Data - Monthly Metrics'!B:B,"Nov",'Data - Monthly Metrics'!C:C,"South King",'Data - Monthly Metrics'!D:D,"New Sales - Comped ($)"))</f>
        <v/>
      </c>
      <c r="D12" s="91">
        <f>IF(COUNTIFS('Data - Monthly Metrics'!A:A,$B$4-1,'Data - Monthly Metrics'!B:B,"Dec",'Data - Monthly Metrics'!C:C,"South King",'Data - Monthly Metrics'!D:D,"New Sales - Comped ($)")=0,"-",SUMIFS('Data - Monthly Metrics'!E:E,'Data - Monthly Metrics'!A:A,$B$4-1,'Data - Monthly Metrics'!B:B,"Dec",'Data - Monthly Metrics'!C:C,"South King",'Data - Monthly Metrics'!D:D,"New Sales - Comped ($)"))</f>
        <v/>
      </c>
      <c r="E12" s="101">
        <f>SUM(B12,C12,D12)</f>
        <v/>
      </c>
      <c r="F12" s="91">
        <f>IF(COUNTIFS('Data - Monthly Metrics'!A:A,$B$4,'Data - Monthly Metrics'!B:B,"Jan",'Data - Monthly Metrics'!C:C,"South King",'Data - Monthly Metrics'!D:D,"New Sales - Comped ($)")=0,"-",SUMIFS('Data - Monthly Metrics'!E:E,'Data - Monthly Metrics'!A:A,$B$4,'Data - Monthly Metrics'!B:B,"Jan",'Data - Monthly Metrics'!C:C,"South King",'Data - Monthly Metrics'!D:D,"New Sales - Comped ($)"))</f>
        <v/>
      </c>
      <c r="G12" s="91">
        <f>IF(COUNTIFS('Data - Monthly Metrics'!A:A,$B$4,'Data - Monthly Metrics'!B:B,"Feb",'Data - Monthly Metrics'!C:C,"South King",'Data - Monthly Metrics'!D:D,"New Sales - Comped ($)")=0,"-",SUMIFS('Data - Monthly Metrics'!E:E,'Data - Monthly Metrics'!A:A,$B$4,'Data - Monthly Metrics'!B:B,"Feb",'Data - Monthly Metrics'!C:C,"South King",'Data - Monthly Metrics'!D:D,"New Sales - Comped ($)"))</f>
        <v/>
      </c>
      <c r="H12" s="91">
        <f>IF(COUNTIFS('Data - Monthly Metrics'!A:A,$B$4,'Data - Monthly Metrics'!B:B,"Mar",'Data - Monthly Metrics'!C:C,"South King",'Data - Monthly Metrics'!D:D,"New Sales - Comped ($)")=0,"-",SUMIFS('Data - Monthly Metrics'!E:E,'Data - Monthly Metrics'!A:A,$B$4,'Data - Monthly Metrics'!B:B,"Mar",'Data - Monthly Metrics'!C:C,"South King",'Data - Monthly Metrics'!D:D,"New Sales - Comped ($)"))</f>
        <v/>
      </c>
      <c r="I12" s="101">
        <f>SUM(F12,G12,H12)</f>
        <v/>
      </c>
      <c r="J12" s="91">
        <f>IF(COUNTIFS('Data - Monthly Metrics'!A:A,$B$4,'Data - Monthly Metrics'!B:B,"Apr",'Data - Monthly Metrics'!C:C,"South King",'Data - Monthly Metrics'!D:D,"New Sales - Comped ($)")=0,"-",SUMIFS('Data - Monthly Metrics'!E:E,'Data - Monthly Metrics'!A:A,$B$4,'Data - Monthly Metrics'!B:B,"Apr",'Data - Monthly Metrics'!C:C,"South King",'Data - Monthly Metrics'!D:D,"New Sales - Comped ($)"))</f>
        <v/>
      </c>
      <c r="K12" s="91">
        <f>IF(COUNTIFS('Data - Monthly Metrics'!A:A,$B$4,'Data - Monthly Metrics'!B:B,"May",'Data - Monthly Metrics'!C:C,"South King",'Data - Monthly Metrics'!D:D,"New Sales - Comped ($)")=0,"-",SUMIFS('Data - Monthly Metrics'!E:E,'Data - Monthly Metrics'!A:A,$B$4,'Data - Monthly Metrics'!B:B,"May",'Data - Monthly Metrics'!C:C,"South King",'Data - Monthly Metrics'!D:D,"New Sales - Comped ($)"))</f>
        <v/>
      </c>
      <c r="L12" s="91">
        <f>IF(COUNTIFS('Data - Monthly Metrics'!A:A,$B$4,'Data - Monthly Metrics'!B:B,"Jun",'Data - Monthly Metrics'!C:C,"South King",'Data - Monthly Metrics'!D:D,"New Sales - Comped ($)")=0,"-",SUMIFS('Data - Monthly Metrics'!E:E,'Data - Monthly Metrics'!A:A,$B$4,'Data - Monthly Metrics'!B:B,"Jun",'Data - Monthly Metrics'!C:C,"South King",'Data - Monthly Metrics'!D:D,"New Sales - Comped ($)"))</f>
        <v/>
      </c>
      <c r="M12" s="101">
        <f>SUM(J12,K12,L12)</f>
        <v/>
      </c>
      <c r="N12" s="91">
        <f>IF(COUNTIFS('Data - Monthly Metrics'!A:A,$B$4,'Data - Monthly Metrics'!B:B,"Jul",'Data - Monthly Metrics'!C:C,"South King",'Data - Monthly Metrics'!D:D,"New Sales - Comped ($)")=0,"-",SUMIFS('Data - Monthly Metrics'!E:E,'Data - Monthly Metrics'!A:A,$B$4,'Data - Monthly Metrics'!B:B,"Jul",'Data - Monthly Metrics'!C:C,"South King",'Data - Monthly Metrics'!D:D,"New Sales - Comped ($)"))</f>
        <v/>
      </c>
      <c r="O12" s="91">
        <f>IF(COUNTIFS('Data - Monthly Metrics'!A:A,$B$4,'Data - Monthly Metrics'!B:B,"Aug",'Data - Monthly Metrics'!C:C,"South King",'Data - Monthly Metrics'!D:D,"New Sales - Comped ($)")=0,"-",SUMIFS('Data - Monthly Metrics'!E:E,'Data - Monthly Metrics'!A:A,$B$4,'Data - Monthly Metrics'!B:B,"Aug",'Data - Monthly Metrics'!C:C,"South King",'Data - Monthly Metrics'!D:D,"New Sales - Comped ($)"))</f>
        <v/>
      </c>
      <c r="P12" s="91">
        <f>IF(COUNTIFS('Data - Monthly Metrics'!A:A,$B$4,'Data - Monthly Metrics'!B:B,"Sep",'Data - Monthly Metrics'!C:C,"South King",'Data - Monthly Metrics'!D:D,"New Sales - Comped ($)")=0,"-",SUMIFS('Data - Monthly Metrics'!E:E,'Data - Monthly Metrics'!A:A,$B$4,'Data - Monthly Metrics'!B:B,"Sep",'Data - Monthly Metrics'!C:C,"South King",'Data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Metrics'!C:C,"South King",'Data - Monthly Metrics'!D:D,"Revenue Up for Renewal - Target ($)")+SUMIFS('Data - Monthly Metrics'!E:E,'Data - Monthly Metrics'!A:A,$B$4-1,'Data - Monthly Metrics'!B:B,"Oct",'Data - Monthly Metrics'!C:C,"South King",'Data - Monthly Metrics'!D:D,"Revenue Up for Renewal - Non-Target ($)")</f>
        <v/>
      </c>
      <c r="C22" s="110">
        <f>SUMIFS('Data - Monthly Metrics'!E:E,'Data - Monthly Metrics'!A:A,$B$4-1,'Data - Monthly Metrics'!B:B,"Nov",'Data - Monthly Metrics'!C:C,"South King",'Data - Monthly Metrics'!D:D,"Revenue Up for Renewal - Target ($)")+SUMIFS('Data - Monthly Metrics'!E:E,'Data - Monthly Metrics'!A:A,$B$4-1,'Data - Monthly Metrics'!B:B,"Nov",'Data - Monthly Metrics'!C:C,"South King",'Data - Monthly Metrics'!D:D,"Revenue Up for Renewal - Non-Target ($)")</f>
        <v/>
      </c>
      <c r="D22" s="110">
        <f>SUMIFS('Data - Monthly Metrics'!E:E,'Data - Monthly Metrics'!A:A,$B$4-1,'Data - Monthly Metrics'!B:B,"Dec",'Data - Monthly Metrics'!C:C,"South King",'Data - Monthly Metrics'!D:D,"Revenue Up for Renewal - Target ($)")+SUMIFS('Data - Monthly Metrics'!E:E,'Data - Monthly Metrics'!A:A,$B$4-1,'Data - Monthly Metrics'!B:B,"Dec",'Data - Monthly Metrics'!C:C,"South King",'Data - Monthly Metrics'!D:D,"Revenue Up for Renewal - Non-Target ($)")</f>
        <v/>
      </c>
      <c r="E22" s="111">
        <f>SUM(B22,C22,D22)</f>
        <v/>
      </c>
      <c r="F22" s="110">
        <f>SUMIFS('Data - Monthly Metrics'!E:E,'Data - Monthly Metrics'!A:A,$B$4,'Data - Monthly Metrics'!B:B,"Jan",'Data - Monthly Metrics'!C:C,"South King",'Data - Monthly Metrics'!D:D,"Revenue Up for Renewal - Target ($)")+SUMIFS('Data - Monthly Metrics'!E:E,'Data - Monthly Metrics'!A:A,$B$4,'Data - Monthly Metrics'!B:B,"Jan",'Data - Monthly Metrics'!C:C,"South King",'Data - Monthly Metrics'!D:D,"Revenue Up for Renewal - Non-Target ($)")</f>
        <v/>
      </c>
      <c r="G22" s="110">
        <f>SUMIFS('Data - Monthly Metrics'!E:E,'Data - Monthly Metrics'!A:A,$B$4,'Data - Monthly Metrics'!B:B,"Feb",'Data - Monthly Metrics'!C:C,"South King",'Data - Monthly Metrics'!D:D,"Revenue Up for Renewal - Target ($)")+SUMIFS('Data - Monthly Metrics'!E:E,'Data - Monthly Metrics'!A:A,$B$4,'Data - Monthly Metrics'!B:B,"Feb",'Data - Monthly Metrics'!C:C,"South King",'Data - Monthly Metrics'!D:D,"Revenue Up for Renewal - Non-Target ($)")</f>
        <v/>
      </c>
      <c r="H22" s="110">
        <f>SUMIFS('Data - Monthly Metrics'!E:E,'Data - Monthly Metrics'!A:A,$B$4,'Data - Monthly Metrics'!B:B,"Mar",'Data - Monthly Metrics'!C:C,"South King",'Data - Monthly Metrics'!D:D,"Revenue Up for Renewal - Target ($)")+SUMIFS('Data - Monthly Metrics'!E:E,'Data - Monthly Metrics'!A:A,$B$4,'Data - Monthly Metrics'!B:B,"Mar",'Data - Monthly Metrics'!C:C,"South King",'Data - Monthly Metrics'!D:D,"Revenue Up for Renewal - Non-Target ($)")</f>
        <v/>
      </c>
      <c r="I22" s="111">
        <f>SUM(F22,G22,H22)</f>
        <v/>
      </c>
      <c r="J22" s="110">
        <f>SUMIFS('Data - Monthly Metrics'!E:E,'Data - Monthly Metrics'!A:A,$B$4,'Data - Monthly Metrics'!B:B,"Apr",'Data - Monthly Metrics'!C:C,"South King",'Data - Monthly Metrics'!D:D,"Revenue Up for Renewal - Target ($)")+SUMIFS('Data - Monthly Metrics'!E:E,'Data - Monthly Metrics'!A:A,$B$4,'Data - Monthly Metrics'!B:B,"Apr",'Data - Monthly Metrics'!C:C,"South King",'Data - Monthly Metrics'!D:D,"Revenue Up for Renewal - Non-Target ($)")</f>
        <v/>
      </c>
      <c r="K22" s="110">
        <f>SUMIFS('Data - Monthly Metrics'!E:E,'Data - Monthly Metrics'!A:A,$B$4,'Data - Monthly Metrics'!B:B,"May",'Data - Monthly Metrics'!C:C,"South King",'Data - Monthly Metrics'!D:D,"Revenue Up for Renewal - Target ($)")+SUMIFS('Data - Monthly Metrics'!E:E,'Data - Monthly Metrics'!A:A,$B$4,'Data - Monthly Metrics'!B:B,"May",'Data - Monthly Metrics'!C:C,"South King",'Data - Monthly Metrics'!D:D,"Revenue Up for Renewal - Non-Target ($)")</f>
        <v/>
      </c>
      <c r="L22" s="110">
        <f>SUMIFS('Data - Monthly Metrics'!E:E,'Data - Monthly Metrics'!A:A,$B$4,'Data - Monthly Metrics'!B:B,"Jun",'Data - Monthly Metrics'!C:C,"South King",'Data - Monthly Metrics'!D:D,"Revenue Up for Renewal - Target ($)")+SUMIFS('Data - Monthly Metrics'!E:E,'Data - Monthly Metrics'!A:A,$B$4,'Data - Monthly Metrics'!B:B,"Jun",'Data - Monthly Metrics'!C:C,"South King",'Data - Monthly Metrics'!D:D,"Revenue Up for Renewal - Non-Target ($)")</f>
        <v/>
      </c>
      <c r="M22" s="111">
        <f>SUM(J22,K22,L22)</f>
        <v/>
      </c>
      <c r="N22" s="110">
        <f>SUMIFS('Data - Monthly Metrics'!E:E,'Data - Monthly Metrics'!A:A,$B$4,'Data - Monthly Metrics'!B:B,"Jul",'Data - Monthly Metrics'!C:C,"South King",'Data - Monthly Metrics'!D:D,"Revenue Up for Renewal - Target ($)")+SUMIFS('Data - Monthly Metrics'!E:E,'Data - Monthly Metrics'!A:A,$B$4,'Data - Monthly Metrics'!B:B,"Jul",'Data - Monthly Metrics'!C:C,"South King",'Data - Monthly Metrics'!D:D,"Revenue Up for Renewal - Non-Target ($)")</f>
        <v/>
      </c>
      <c r="O22" s="110">
        <f>SUMIFS('Data - Monthly Metrics'!E:E,'Data - Monthly Metrics'!A:A,$B$4,'Data - Monthly Metrics'!B:B,"Aug",'Data - Monthly Metrics'!C:C,"South King",'Data - Monthly Metrics'!D:D,"Revenue Up for Renewal - Target ($)")+SUMIFS('Data - Monthly Metrics'!E:E,'Data - Monthly Metrics'!A:A,$B$4,'Data - Monthly Metrics'!B:B,"Aug",'Data - Monthly Metrics'!C:C,"South King",'Data - Monthly Metrics'!D:D,"Revenue Up for Renewal - Non-Target ($)")</f>
        <v/>
      </c>
      <c r="P22" s="110">
        <f>SUMIFS('Data - Monthly Metrics'!E:E,'Data - Monthly Metrics'!A:A,$B$4,'Data - Monthly Metrics'!B:B,"Sep",'Data - Monthly Metrics'!C:C,"South King",'Data - Monthly Metrics'!D:D,"Revenue Up for Renewal - Target ($)")+SUMIFS('Data - Monthly Metrics'!E:E,'Data - Monthly Metrics'!A:A,$B$4,'Data - Monthly Metrics'!B:B,"Sep",'Data - Monthly Metrics'!C:C,"South King",'Data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Metrics'!C:C,"South King",'Data - Monthly Metrics'!D:D,"Revenue Retained - Target ($)")+SUMIFS('Data - Monthly Metrics'!E:E,'Data - Monthly Metrics'!A:A,$B$4-1,'Data - Monthly Metrics'!B:B,"Oct",'Data - Monthly Metrics'!C:C,"South King",'Data - Monthly Metrics'!D:D,"Revenue Retained - Non-Target ($)")</f>
        <v/>
      </c>
      <c r="C23" s="112">
        <f>SUMIFS('Data - Monthly Metrics'!E:E,'Data - Monthly Metrics'!A:A,$B$4-1,'Data - Monthly Metrics'!B:B,"Nov",'Data - Monthly Metrics'!C:C,"South King",'Data - Monthly Metrics'!D:D,"Revenue Retained - Target ($)")+SUMIFS('Data - Monthly Metrics'!E:E,'Data - Monthly Metrics'!A:A,$B$4-1,'Data - Monthly Metrics'!B:B,"Nov",'Data - Monthly Metrics'!C:C,"South King",'Data - Monthly Metrics'!D:D,"Revenue Retained - Non-Target ($)")</f>
        <v/>
      </c>
      <c r="D23" s="112">
        <f>SUMIFS('Data - Monthly Metrics'!E:E,'Data - Monthly Metrics'!A:A,$B$4-1,'Data - Monthly Metrics'!B:B,"Dec",'Data - Monthly Metrics'!C:C,"South King",'Data - Monthly Metrics'!D:D,"Revenue Retained - Target ($)")+SUMIFS('Data - Monthly Metrics'!E:E,'Data - Monthly Metrics'!A:A,$B$4-1,'Data - Monthly Metrics'!B:B,"Dec",'Data - Monthly Metrics'!C:C,"South King",'Data - Monthly Metrics'!D:D,"Revenue Retained - Non-Target ($)")</f>
        <v/>
      </c>
      <c r="E23" s="111">
        <f>SUM(B23,C23,D23)</f>
        <v/>
      </c>
      <c r="F23" s="112">
        <f>SUMIFS('Data - Monthly Metrics'!E:E,'Data - Monthly Metrics'!A:A,$B$4,'Data - Monthly Metrics'!B:B,"Jan",'Data - Monthly Metrics'!C:C,"South King",'Data - Monthly Metrics'!D:D,"Revenue Retained - Target ($)")+SUMIFS('Data - Monthly Metrics'!E:E,'Data - Monthly Metrics'!A:A,$B$4,'Data - Monthly Metrics'!B:B,"Jan",'Data - Monthly Metrics'!C:C,"South King",'Data - Monthly Metrics'!D:D,"Revenue Retained - Non-Target ($)")</f>
        <v/>
      </c>
      <c r="G23" s="112">
        <f>SUMIFS('Data - Monthly Metrics'!E:E,'Data - Monthly Metrics'!A:A,$B$4,'Data - Monthly Metrics'!B:B,"Feb",'Data - Monthly Metrics'!C:C,"South King",'Data - Monthly Metrics'!D:D,"Revenue Retained - Target ($)")+SUMIFS('Data - Monthly Metrics'!E:E,'Data - Monthly Metrics'!A:A,$B$4,'Data - Monthly Metrics'!B:B,"Feb",'Data - Monthly Metrics'!C:C,"South King",'Data - Monthly Metrics'!D:D,"Revenue Retained - Non-Target ($)")</f>
        <v/>
      </c>
      <c r="H23" s="112">
        <f>SUMIFS('Data - Monthly Metrics'!E:E,'Data - Monthly Metrics'!A:A,$B$4,'Data - Monthly Metrics'!B:B,"Mar",'Data - Monthly Metrics'!C:C,"South King",'Data - Monthly Metrics'!D:D,"Revenue Retained - Target ($)")+SUMIFS('Data - Monthly Metrics'!E:E,'Data - Monthly Metrics'!A:A,$B$4,'Data - Monthly Metrics'!B:B,"Mar",'Data - Monthly Metrics'!C:C,"South King",'Data - Monthly Metrics'!D:D,"Revenue Retained - Non-Target ($)")</f>
        <v/>
      </c>
      <c r="I23" s="111">
        <f>SUM(F23,G23,H23)</f>
        <v/>
      </c>
      <c r="J23" s="112">
        <f>SUMIFS('Data - Monthly Metrics'!E:E,'Data - Monthly Metrics'!A:A,$B$4,'Data - Monthly Metrics'!B:B,"Apr",'Data - Monthly Metrics'!C:C,"South King",'Data - Monthly Metrics'!D:D,"Revenue Retained - Target ($)")+SUMIFS('Data - Monthly Metrics'!E:E,'Data - Monthly Metrics'!A:A,$B$4,'Data - Monthly Metrics'!B:B,"Apr",'Data - Monthly Metrics'!C:C,"South King",'Data - Monthly Metrics'!D:D,"Revenue Retained - Non-Target ($)")</f>
        <v/>
      </c>
      <c r="K23" s="112">
        <f>SUMIFS('Data - Monthly Metrics'!E:E,'Data - Monthly Metrics'!A:A,$B$4,'Data - Monthly Metrics'!B:B,"May",'Data - Monthly Metrics'!C:C,"South King",'Data - Monthly Metrics'!D:D,"Revenue Retained - Target ($)")+SUMIFS('Data - Monthly Metrics'!E:E,'Data - Monthly Metrics'!A:A,$B$4,'Data - Monthly Metrics'!B:B,"May",'Data - Monthly Metrics'!C:C,"South King",'Data - Monthly Metrics'!D:D,"Revenue Retained - Non-Target ($)")</f>
        <v/>
      </c>
      <c r="L23" s="112">
        <f>SUMIFS('Data - Monthly Metrics'!E:E,'Data - Monthly Metrics'!A:A,$B$4,'Data - Monthly Metrics'!B:B,"Jun",'Data - Monthly Metrics'!C:C,"South King",'Data - Monthly Metrics'!D:D,"Revenue Retained - Target ($)")+SUMIFS('Data - Monthly Metrics'!E:E,'Data - Monthly Metrics'!A:A,$B$4,'Data - Monthly Metrics'!B:B,"Jun",'Data - Monthly Metrics'!C:C,"South King",'Data - Monthly Metrics'!D:D,"Revenue Retained - Non-Target ($)")</f>
        <v/>
      </c>
      <c r="M23" s="111">
        <f>SUM(J23,K23,L23)</f>
        <v/>
      </c>
      <c r="N23" s="112">
        <f>SUMIFS('Data - Monthly Metrics'!E:E,'Data - Monthly Metrics'!A:A,$B$4,'Data - Monthly Metrics'!B:B,"Jul",'Data - Monthly Metrics'!C:C,"South King",'Data - Monthly Metrics'!D:D,"Revenue Retained - Target ($)")+SUMIFS('Data - Monthly Metrics'!E:E,'Data - Monthly Metrics'!A:A,$B$4,'Data - Monthly Metrics'!B:B,"Jul",'Data - Monthly Metrics'!C:C,"South King",'Data - Monthly Metrics'!D:D,"Revenue Retained - Non-Target ($)")</f>
        <v/>
      </c>
      <c r="O23" s="112">
        <f>SUMIFS('Data - Monthly Metrics'!E:E,'Data - Monthly Metrics'!A:A,$B$4,'Data - Monthly Metrics'!B:B,"Aug",'Data - Monthly Metrics'!C:C,"South King",'Data - Monthly Metrics'!D:D,"Revenue Retained - Target ($)")+SUMIFS('Data - Monthly Metrics'!E:E,'Data - Monthly Metrics'!A:A,$B$4,'Data - Monthly Metrics'!B:B,"Aug",'Data - Monthly Metrics'!C:C,"South King",'Data - Monthly Metrics'!D:D,"Revenue Retained - Non-Target ($)")</f>
        <v/>
      </c>
      <c r="P23" s="112">
        <f>SUMIFS('Data - Monthly Metrics'!E:E,'Data - Monthly Metrics'!A:A,$B$4,'Data - Monthly Metrics'!B:B,"Sep",'Data - Monthly Metrics'!C:C,"South King",'Data - Monthly Metrics'!D:D,"Revenue Retained - Target ($)")+SUMIFS('Data - Monthly Metrics'!E:E,'Data - Monthly Metrics'!A:A,$B$4,'Data - Monthly Metrics'!B:B,"Sep",'Data - Monthly Metrics'!C:C,"South King",'Data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Metrics'!C:C,"South King",'Data - Monthly Metrics'!D:D,"Retention - Comped ($)")</f>
        <v/>
      </c>
      <c r="C24" s="112">
        <f>SUMIFS('Data - Monthly Metrics'!E:E,'Data - Monthly Metrics'!A:A,$B$4-1,'Data - Monthly Metrics'!B:B,"Nov",'Data - Monthly Metrics'!C:C,"South King",'Data - Monthly Metrics'!D:D,"Retention - Comped ($)")</f>
        <v/>
      </c>
      <c r="D24" s="112">
        <f>SUMIFS('Data - Monthly Metrics'!E:E,'Data - Monthly Metrics'!A:A,$B$4-1,'Data - Monthly Metrics'!B:B,"Dec",'Data - Monthly Metrics'!C:C,"South King",'Data - Monthly Metrics'!D:D,"Retention - Comped ($)")</f>
        <v/>
      </c>
      <c r="E24" s="111">
        <f>SUM(B24,C24,D24)</f>
        <v/>
      </c>
      <c r="F24" s="112">
        <f>SUMIFS('Data - Monthly Metrics'!E:E,'Data - Monthly Metrics'!A:A,$B$4,'Data - Monthly Metrics'!B:B,"Jan",'Data - Monthly Metrics'!C:C,"South King",'Data - Monthly Metrics'!D:D,"Retention - Comped ($)")</f>
        <v/>
      </c>
      <c r="G24" s="112">
        <f>SUMIFS('Data - Monthly Metrics'!E:E,'Data - Monthly Metrics'!A:A,$B$4,'Data - Monthly Metrics'!B:B,"Feb",'Data - Monthly Metrics'!C:C,"South King",'Data - Monthly Metrics'!D:D,"Retention - Comped ($)")</f>
        <v/>
      </c>
      <c r="H24" s="112">
        <f>SUMIFS('Data - Monthly Metrics'!E:E,'Data - Monthly Metrics'!A:A,$B$4,'Data - Monthly Metrics'!B:B,"Mar",'Data - Monthly Metrics'!C:C,"South King",'Data - Monthly Metrics'!D:D,"Retention - Comped ($)")</f>
        <v/>
      </c>
      <c r="I24" s="111">
        <f>SUM(F24,G24,H24)</f>
        <v/>
      </c>
      <c r="J24" s="112">
        <f>SUMIFS('Data - Monthly Metrics'!E:E,'Data - Monthly Metrics'!A:A,$B$4,'Data - Monthly Metrics'!B:B,"Apr",'Data - Monthly Metrics'!C:C,"South King",'Data - Monthly Metrics'!D:D,"Retention - Comped ($)")</f>
        <v/>
      </c>
      <c r="K24" s="112">
        <f>SUMIFS('Data - Monthly Metrics'!E:E,'Data - Monthly Metrics'!A:A,$B$4,'Data - Monthly Metrics'!B:B,"May",'Data - Monthly Metrics'!C:C,"South King",'Data - Monthly Metrics'!D:D,"Retention - Comped ($)")</f>
        <v/>
      </c>
      <c r="L24" s="112">
        <f>SUMIFS('Data - Monthly Metrics'!E:E,'Data - Monthly Metrics'!A:A,$B$4,'Data - Monthly Metrics'!B:B,"Jun",'Data - Monthly Metrics'!C:C,"South King",'Data - Monthly Metrics'!D:D,"Retention - Comped ($)")</f>
        <v/>
      </c>
      <c r="M24" s="111">
        <f>SUM(J24,K24,L24)</f>
        <v/>
      </c>
      <c r="N24" s="112">
        <f>SUMIFS('Data - Monthly Metrics'!E:E,'Data - Monthly Metrics'!A:A,$B$4,'Data - Monthly Metrics'!B:B,"Jul",'Data - Monthly Metrics'!C:C,"South King",'Data - Monthly Metrics'!D:D,"Retention - Comped ($)")</f>
        <v/>
      </c>
      <c r="O24" s="112">
        <f>SUMIFS('Data - Monthly Metrics'!E:E,'Data - Monthly Metrics'!A:A,$B$4,'Data - Monthly Metrics'!B:B,"Aug",'Data - Monthly Metrics'!C:C,"South King",'Data - Monthly Metrics'!D:D,"Retention - Comped ($)")</f>
        <v/>
      </c>
      <c r="P24" s="112">
        <f>SUMIFS('Data - Monthly Metrics'!E:E,'Data - Monthly Metrics'!A:A,$B$4,'Data - Monthly Metrics'!B:B,"Sep",'Data - Monthly Metrics'!C:C,"South King",'Data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Metrics'!C:C,"South King",'Data - Monthly Metrics'!D:D,"Retention - Comped (#)")</f>
        <v/>
      </c>
      <c r="C25" s="113">
        <f>SUMIFS('Data - Monthly Metrics'!E:E,'Data - Monthly Metrics'!A:A,$B$4-1,'Data - Monthly Metrics'!B:B,"Nov",'Data - Monthly Metrics'!C:C,"South King",'Data - Monthly Metrics'!D:D,"Retention - Comped (#)")</f>
        <v/>
      </c>
      <c r="D25" s="113">
        <f>SUMIFS('Data - Monthly Metrics'!E:E,'Data - Monthly Metrics'!A:A,$B$4-1,'Data - Monthly Metrics'!B:B,"Dec",'Data - Monthly Metrics'!C:C,"South King",'Data - Monthly Metrics'!D:D,"Retention - Comped (#)")</f>
        <v/>
      </c>
      <c r="E25" s="114">
        <f>SUM(B25,C25,D25)</f>
        <v/>
      </c>
      <c r="F25" s="113">
        <f>SUMIFS('Data - Monthly Metrics'!E:E,'Data - Monthly Metrics'!A:A,$B$4,'Data - Monthly Metrics'!B:B,"Jan",'Data - Monthly Metrics'!C:C,"South King",'Data - Monthly Metrics'!D:D,"Retention - Comped (#)")</f>
        <v/>
      </c>
      <c r="G25" s="113">
        <f>SUMIFS('Data - Monthly Metrics'!E:E,'Data - Monthly Metrics'!A:A,$B$4,'Data - Monthly Metrics'!B:B,"Feb",'Data - Monthly Metrics'!C:C,"South King",'Data - Monthly Metrics'!D:D,"Retention - Comped (#)")</f>
        <v/>
      </c>
      <c r="H25" s="113">
        <f>SUMIFS('Data - Monthly Metrics'!E:E,'Data - Monthly Metrics'!A:A,$B$4,'Data - Monthly Metrics'!B:B,"Mar",'Data - Monthly Metrics'!C:C,"South King",'Data - Monthly Metrics'!D:D,"Retention - Comped (#)")</f>
        <v/>
      </c>
      <c r="I25" s="114">
        <f>SUM(F25,G25,H25)</f>
        <v/>
      </c>
      <c r="J25" s="113">
        <f>SUMIFS('Data - Monthly Metrics'!E:E,'Data - Monthly Metrics'!A:A,$B$4,'Data - Monthly Metrics'!B:B,"Apr",'Data - Monthly Metrics'!C:C,"South King",'Data - Monthly Metrics'!D:D,"Retention - Comped (#)")</f>
        <v/>
      </c>
      <c r="K25" s="113">
        <f>SUMIFS('Data - Monthly Metrics'!E:E,'Data - Monthly Metrics'!A:A,$B$4,'Data - Monthly Metrics'!B:B,"May",'Data - Monthly Metrics'!C:C,"South King",'Data - Monthly Metrics'!D:D,"Retention - Comped (#)")</f>
        <v/>
      </c>
      <c r="L25" s="113">
        <f>SUMIFS('Data - Monthly Metrics'!E:E,'Data - Monthly Metrics'!A:A,$B$4,'Data - Monthly Metrics'!B:B,"Jun",'Data - Monthly Metrics'!C:C,"South King",'Data - Monthly Metrics'!D:D,"Retention - Comped (#)")</f>
        <v/>
      </c>
      <c r="M25" s="114">
        <f>SUM(J25,K25,L25)</f>
        <v/>
      </c>
      <c r="N25" s="113">
        <f>SUMIFS('Data - Monthly Metrics'!E:E,'Data - Monthly Metrics'!A:A,$B$4,'Data - Monthly Metrics'!B:B,"Jul",'Data - Monthly Metrics'!C:C,"South King",'Data - Monthly Metrics'!D:D,"Retention - Comped (#)")</f>
        <v/>
      </c>
      <c r="O25" s="113">
        <f>SUMIFS('Data - Monthly Metrics'!E:E,'Data - Monthly Metrics'!A:A,$B$4,'Data - Monthly Metrics'!B:B,"Aug",'Data - Monthly Metrics'!C:C,"South King",'Data - Monthly Metrics'!D:D,"Retention - Comped (#)")</f>
        <v/>
      </c>
      <c r="P25" s="113">
        <f>SUMIFS('Data - Monthly Metrics'!E:E,'Data - Monthly Metrics'!A:A,$B$4,'Data - Monthly Metrics'!B:B,"Sep",'Data - Monthly Metrics'!C:C,"South King",'Data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Metrics'!C:C,"South King",'Data - Monthly Metrics'!D:D,"Retention - BOB ($)")</f>
        <v/>
      </c>
      <c r="C26" s="112">
        <f>SUMIFS('Data - Monthly Metrics'!E:E,'Data - Monthly Metrics'!A:A,$B$4-1,'Data - Monthly Metrics'!B:B,"Nov",'Data - Monthly Metrics'!C:C,"South King",'Data - Monthly Metrics'!D:D,"Retention - BOB ($)")</f>
        <v/>
      </c>
      <c r="D26" s="112">
        <f>SUMIFS('Data - Monthly Metrics'!E:E,'Data - Monthly Metrics'!A:A,$B$4-1,'Data - Monthly Metrics'!B:B,"Dec",'Data - Monthly Metrics'!C:C,"South King",'Data - Monthly Metrics'!D:D,"Retention - BOB ($)")</f>
        <v/>
      </c>
      <c r="E26" s="111">
        <f>SUM(B26,C26,D26)</f>
        <v/>
      </c>
      <c r="F26" s="112">
        <f>SUMIFS('Data - Monthly Metrics'!E:E,'Data - Monthly Metrics'!A:A,$B$4,'Data - Monthly Metrics'!B:B,"Jan",'Data - Monthly Metrics'!C:C,"South King",'Data - Monthly Metrics'!D:D,"Retention - BOB ($)")</f>
        <v/>
      </c>
      <c r="G26" s="112">
        <f>SUMIFS('Data - Monthly Metrics'!E:E,'Data - Monthly Metrics'!A:A,$B$4,'Data - Monthly Metrics'!B:B,"Feb",'Data - Monthly Metrics'!C:C,"South King",'Data - Monthly Metrics'!D:D,"Retention - BOB ($)")</f>
        <v/>
      </c>
      <c r="H26" s="112">
        <f>SUMIFS('Data - Monthly Metrics'!E:E,'Data - Monthly Metrics'!A:A,$B$4,'Data - Monthly Metrics'!B:B,"Mar",'Data - Monthly Metrics'!C:C,"South King",'Data - Monthly Metrics'!D:D,"Retention - BOB ($)")</f>
        <v/>
      </c>
      <c r="I26" s="111">
        <f>SUM(F26,G26,H26)</f>
        <v/>
      </c>
      <c r="J26" s="112">
        <f>SUMIFS('Data - Monthly Metrics'!E:E,'Data - Monthly Metrics'!A:A,$B$4,'Data - Monthly Metrics'!B:B,"Apr",'Data - Monthly Metrics'!C:C,"South King",'Data - Monthly Metrics'!D:D,"Retention - BOB ($)")</f>
        <v/>
      </c>
      <c r="K26" s="112">
        <f>SUMIFS('Data - Monthly Metrics'!E:E,'Data - Monthly Metrics'!A:A,$B$4,'Data - Monthly Metrics'!B:B,"May",'Data - Monthly Metrics'!C:C,"South King",'Data - Monthly Metrics'!D:D,"Retention - BOB ($)")</f>
        <v/>
      </c>
      <c r="L26" s="112">
        <f>SUMIFS('Data - Monthly Metrics'!E:E,'Data - Monthly Metrics'!A:A,$B$4,'Data - Monthly Metrics'!B:B,"Jun",'Data - Monthly Metrics'!C:C,"South King",'Data - Monthly Metrics'!D:D,"Retention - BOB ($)")</f>
        <v/>
      </c>
      <c r="M26" s="111">
        <f>SUM(J26,K26,L26)</f>
        <v/>
      </c>
      <c r="N26" s="112">
        <f>SUMIFS('Data - Monthly Metrics'!E:E,'Data - Monthly Metrics'!A:A,$B$4,'Data - Monthly Metrics'!B:B,"Jul",'Data - Monthly Metrics'!C:C,"South King",'Data - Monthly Metrics'!D:D,"Retention - BOB ($)")</f>
        <v/>
      </c>
      <c r="O26" s="112">
        <f>SUMIFS('Data - Monthly Metrics'!E:E,'Data - Monthly Metrics'!A:A,$B$4,'Data - Monthly Metrics'!B:B,"Aug",'Data - Monthly Metrics'!C:C,"South King",'Data - Monthly Metrics'!D:D,"Retention - BOB ($)")</f>
        <v/>
      </c>
      <c r="P26" s="112">
        <f>SUMIFS('Data - Monthly Metrics'!E:E,'Data - Monthly Metrics'!A:A,$B$4,'Data - Monthly Metrics'!B:B,"Sep",'Data - Monthly Metrics'!C:C,"South King",'Data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Metrics'!C:C,"South King",'Data - Monthly Metrics'!D:D,"Retention - BOB (#)")</f>
        <v/>
      </c>
      <c r="C27" s="113">
        <f>SUMIFS('Data - Monthly Metrics'!E:E,'Data - Monthly Metrics'!A:A,$B$4-1,'Data - Monthly Metrics'!B:B,"Nov",'Data - Monthly Metrics'!C:C,"South King",'Data - Monthly Metrics'!D:D,"Retention - BOB (#)")</f>
        <v/>
      </c>
      <c r="D27" s="113">
        <f>SUMIFS('Data - Monthly Metrics'!E:E,'Data - Monthly Metrics'!A:A,$B$4-1,'Data - Monthly Metrics'!B:B,"Dec",'Data - Monthly Metrics'!C:C,"South King",'Data - Monthly Metrics'!D:D,"Retention - BOB (#)")</f>
        <v/>
      </c>
      <c r="E27" s="114">
        <f>SUM(B27,C27,D27)</f>
        <v/>
      </c>
      <c r="F27" s="113">
        <f>SUMIFS('Data - Monthly Metrics'!E:E,'Data - Monthly Metrics'!A:A,$B$4,'Data - Monthly Metrics'!B:B,"Jan",'Data - Monthly Metrics'!C:C,"South King",'Data - Monthly Metrics'!D:D,"Retention - BOB (#)")</f>
        <v/>
      </c>
      <c r="G27" s="113">
        <f>SUMIFS('Data - Monthly Metrics'!E:E,'Data - Monthly Metrics'!A:A,$B$4,'Data - Monthly Metrics'!B:B,"Feb",'Data - Monthly Metrics'!C:C,"South King",'Data - Monthly Metrics'!D:D,"Retention - BOB (#)")</f>
        <v/>
      </c>
      <c r="H27" s="113">
        <f>SUMIFS('Data - Monthly Metrics'!E:E,'Data - Monthly Metrics'!A:A,$B$4,'Data - Monthly Metrics'!B:B,"Mar",'Data - Monthly Metrics'!C:C,"South King",'Data - Monthly Metrics'!D:D,"Retention - BOB (#)")</f>
        <v/>
      </c>
      <c r="I27" s="114">
        <f>SUM(F27,G27,H27)</f>
        <v/>
      </c>
      <c r="J27" s="113">
        <f>SUMIFS('Data - Monthly Metrics'!E:E,'Data - Monthly Metrics'!A:A,$B$4,'Data - Monthly Metrics'!B:B,"Apr",'Data - Monthly Metrics'!C:C,"South King",'Data - Monthly Metrics'!D:D,"Retention - BOB (#)")</f>
        <v/>
      </c>
      <c r="K27" s="113">
        <f>SUMIFS('Data - Monthly Metrics'!E:E,'Data - Monthly Metrics'!A:A,$B$4,'Data - Monthly Metrics'!B:B,"May",'Data - Monthly Metrics'!C:C,"South King",'Data - Monthly Metrics'!D:D,"Retention - BOB (#)")</f>
        <v/>
      </c>
      <c r="L27" s="113">
        <f>SUMIFS('Data - Monthly Metrics'!E:E,'Data - Monthly Metrics'!A:A,$B$4,'Data - Monthly Metrics'!B:B,"Jun",'Data - Monthly Metrics'!C:C,"South King",'Data - Monthly Metrics'!D:D,"Retention - BOB (#)")</f>
        <v/>
      </c>
      <c r="M27" s="114">
        <f>SUM(J27,K27,L27)</f>
        <v/>
      </c>
      <c r="N27" s="113">
        <f>SUMIFS('Data - Monthly Metrics'!E:E,'Data - Monthly Metrics'!A:A,$B$4,'Data - Monthly Metrics'!B:B,"Jul",'Data - Monthly Metrics'!C:C,"South King",'Data - Monthly Metrics'!D:D,"Retention - BOB (#)")</f>
        <v/>
      </c>
      <c r="O27" s="113">
        <f>SUMIFS('Data - Monthly Metrics'!E:E,'Data - Monthly Metrics'!A:A,$B$4,'Data - Monthly Metrics'!B:B,"Aug",'Data - Monthly Metrics'!C:C,"South King",'Data - Monthly Metrics'!D:D,"Retention - BOB (#)")</f>
        <v/>
      </c>
      <c r="P27" s="113">
        <f>SUMIFS('Data - Monthly Metrics'!E:E,'Data - Monthly Metrics'!A:A,$B$4,'Data - Monthly Metrics'!B:B,"Sep",'Data - Monthly Metrics'!C:C,"South King",'Data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Metrics'!C:C,"South King",'Data - Monthly Metrics'!D:D,"Revenue Up for Renewal - Target ($)")+SUMIFS('Data - Monthly Metrics'!E:E,'Data - Monthly Metrics'!A:A,$B$4-1,'Data - Monthly Metrics'!B:B,"Oct",'Data - Monthly Metrics'!C:C,"South King",'Data - Monthly Metrics'!D:D,"Revenue Up for Renewal - Non-Target ($)"))=0,"-",(SUMIFS('Data - Monthly Metrics'!E:E,'Data - Monthly Metrics'!A:A,$B$4-1,'Data - Monthly Metrics'!B:B,"Oct",'Data - Monthly Metrics'!C:C,"South King",'Data - Monthly Metrics'!D:D,"Revenue Retained - Target ($)")+SUMIFS('Data - Monthly Metrics'!E:E,'Data - Monthly Metrics'!A:A,$B$4-1,'Data - Monthly Metrics'!B:B,"Oct",'Data - Monthly Metrics'!C:C,"South King",'Data - Monthly Metrics'!D:D,"Revenue Retained - Non-Target ($)"))/(SUMIFS('Data - Monthly Metrics'!E:E,'Data - Monthly Metrics'!A:A,$B$4-1,'Data - Monthly Metrics'!B:B,"Oct",'Data - Monthly Metrics'!C:C,"South King",'Data - Monthly Metrics'!D:D,"Revenue Up for Renewal - Target ($)")+SUMIFS('Data - Monthly Metrics'!E:E,'Data - Monthly Metrics'!A:A,$B$4-1,'Data - Monthly Metrics'!B:B,"Oct",'Data - Monthly Metrics'!C:C,"South King",'Data - Monthly Metrics'!D:D,"Revenue Up for Renewal - Non-Target ($)")))</f>
        <v/>
      </c>
      <c r="C28" s="115">
        <f>IF((SUMIFS('Data - Monthly Metrics'!E:E,'Data - Monthly Metrics'!A:A,$B$4-1,'Data - Monthly Metrics'!B:B,"Nov",'Data - Monthly Metrics'!C:C,"South King",'Data - Monthly Metrics'!D:D,"Revenue Up for Renewal - Target ($)")+SUMIFS('Data - Monthly Metrics'!E:E,'Data - Monthly Metrics'!A:A,$B$4-1,'Data - Monthly Metrics'!B:B,"Nov",'Data - Monthly Metrics'!C:C,"South King",'Data - Monthly Metrics'!D:D,"Revenue Up for Renewal - Non-Target ($)"))=0,"-",(SUMIFS('Data - Monthly Metrics'!E:E,'Data - Monthly Metrics'!A:A,$B$4-1,'Data - Monthly Metrics'!B:B,"Nov",'Data - Monthly Metrics'!C:C,"South King",'Data - Monthly Metrics'!D:D,"Revenue Retained - Target ($)")+SUMIFS('Data - Monthly Metrics'!E:E,'Data - Monthly Metrics'!A:A,$B$4-1,'Data - Monthly Metrics'!B:B,"Nov",'Data - Monthly Metrics'!C:C,"South King",'Data - Monthly Metrics'!D:D,"Revenue Retained - Non-Target ($)"))/(SUMIFS('Data - Monthly Metrics'!E:E,'Data - Monthly Metrics'!A:A,$B$4-1,'Data - Monthly Metrics'!B:B,"Nov",'Data - Monthly Metrics'!C:C,"South King",'Data - Monthly Metrics'!D:D,"Revenue Up for Renewal - Target ($)")+SUMIFS('Data - Monthly Metrics'!E:E,'Data - Monthly Metrics'!A:A,$B$4-1,'Data - Monthly Metrics'!B:B,"Nov",'Data - Monthly Metrics'!C:C,"South King",'Data - Monthly Metrics'!D:D,"Revenue Up for Renewal - Non-Target ($)")))</f>
        <v/>
      </c>
      <c r="D28" s="115">
        <f>IF((SUMIFS('Data - Monthly Metrics'!E:E,'Data - Monthly Metrics'!A:A,$B$4-1,'Data - Monthly Metrics'!B:B,"Dec",'Data - Monthly Metrics'!C:C,"South King",'Data - Monthly Metrics'!D:D,"Revenue Up for Renewal - Target ($)")+SUMIFS('Data - Monthly Metrics'!E:E,'Data - Monthly Metrics'!A:A,$B$4-1,'Data - Monthly Metrics'!B:B,"Dec",'Data - Monthly Metrics'!C:C,"South King",'Data - Monthly Metrics'!D:D,"Revenue Up for Renewal - Non-Target ($)"))=0,"-",(SUMIFS('Data - Monthly Metrics'!E:E,'Data - Monthly Metrics'!A:A,$B$4-1,'Data - Monthly Metrics'!B:B,"Dec",'Data - Monthly Metrics'!C:C,"South King",'Data - Monthly Metrics'!D:D,"Revenue Retained - Target ($)")+SUMIFS('Data - Monthly Metrics'!E:E,'Data - Monthly Metrics'!A:A,$B$4-1,'Data - Monthly Metrics'!B:B,"Dec",'Data - Monthly Metrics'!C:C,"South King",'Data - Monthly Metrics'!D:D,"Revenue Retained - Non-Target ($)"))/(SUMIFS('Data - Monthly Metrics'!E:E,'Data - Monthly Metrics'!A:A,$B$4-1,'Data - Monthly Metrics'!B:B,"Dec",'Data - Monthly Metrics'!C:C,"South King",'Data - Monthly Metrics'!D:D,"Revenue Up for Renewal - Target ($)")+SUMIFS('Data - Monthly Metrics'!E:E,'Data - Monthly Metrics'!A:A,$B$4-1,'Data - Monthly Metrics'!B:B,"Dec",'Data - Monthly Metrics'!C:C,"South King",'Data - Monthly Metrics'!D:D,"Revenue Up for Renewal - Non-Target ($)")))</f>
        <v/>
      </c>
      <c r="E28" s="116">
        <f>IF(E22=0,0,E23/E22)</f>
        <v/>
      </c>
      <c r="F28" s="115">
        <f>IF((SUMIFS('Data - Monthly Metrics'!E:E,'Data - Monthly Metrics'!A:A,$B$4,'Data - Monthly Metrics'!B:B,"Jan",'Data - Monthly Metrics'!C:C,"South King",'Data - Monthly Metrics'!D:D,"Revenue Up for Renewal - Target ($)")+SUMIFS('Data - Monthly Metrics'!E:E,'Data - Monthly Metrics'!A:A,$B$4,'Data - Monthly Metrics'!B:B,"Jan",'Data - Monthly Metrics'!C:C,"South King",'Data - Monthly Metrics'!D:D,"Revenue Up for Renewal - Non-Target ($)"))=0,"-",(SUMIFS('Data - Monthly Metrics'!E:E,'Data - Monthly Metrics'!A:A,$B$4,'Data - Monthly Metrics'!B:B,"Jan",'Data - Monthly Metrics'!C:C,"South King",'Data - Monthly Metrics'!D:D,"Revenue Retained - Target ($)")+SUMIFS('Data - Monthly Metrics'!E:E,'Data - Monthly Metrics'!A:A,$B$4,'Data - Monthly Metrics'!B:B,"Jan",'Data - Monthly Metrics'!C:C,"South King",'Data - Monthly Metrics'!D:D,"Revenue Retained - Non-Target ($)"))/(SUMIFS('Data - Monthly Metrics'!E:E,'Data - Monthly Metrics'!A:A,$B$4,'Data - Monthly Metrics'!B:B,"Jan",'Data - Monthly Metrics'!C:C,"South King",'Data - Monthly Metrics'!D:D,"Revenue Up for Renewal - Target ($)")+SUMIFS('Data - Monthly Metrics'!E:E,'Data - Monthly Metrics'!A:A,$B$4,'Data - Monthly Metrics'!B:B,"Jan",'Data - Monthly Metrics'!C:C,"South King",'Data - Monthly Metrics'!D:D,"Revenue Up for Renewal - Non-Target ($)")))</f>
        <v/>
      </c>
      <c r="G28" s="115">
        <f>IF((SUMIFS('Data - Monthly Metrics'!E:E,'Data - Monthly Metrics'!A:A,$B$4,'Data - Monthly Metrics'!B:B,"Feb",'Data - Monthly Metrics'!C:C,"South King",'Data - Monthly Metrics'!D:D,"Revenue Up for Renewal - Target ($)")+SUMIFS('Data - Monthly Metrics'!E:E,'Data - Monthly Metrics'!A:A,$B$4,'Data - Monthly Metrics'!B:B,"Feb",'Data - Monthly Metrics'!C:C,"South King",'Data - Monthly Metrics'!D:D,"Revenue Up for Renewal - Non-Target ($)"))=0,"-",(SUMIFS('Data - Monthly Metrics'!E:E,'Data - Monthly Metrics'!A:A,$B$4,'Data - Monthly Metrics'!B:B,"Feb",'Data - Monthly Metrics'!C:C,"South King",'Data - Monthly Metrics'!D:D,"Revenue Retained - Target ($)")+SUMIFS('Data - Monthly Metrics'!E:E,'Data - Monthly Metrics'!A:A,$B$4,'Data - Monthly Metrics'!B:B,"Feb",'Data - Monthly Metrics'!C:C,"South King",'Data - Monthly Metrics'!D:D,"Revenue Retained - Non-Target ($)"))/(SUMIFS('Data - Monthly Metrics'!E:E,'Data - Monthly Metrics'!A:A,$B$4,'Data - Monthly Metrics'!B:B,"Feb",'Data - Monthly Metrics'!C:C,"South King",'Data - Monthly Metrics'!D:D,"Revenue Up for Renewal - Target ($)")+SUMIFS('Data - Monthly Metrics'!E:E,'Data - Monthly Metrics'!A:A,$B$4,'Data - Monthly Metrics'!B:B,"Feb",'Data - Monthly Metrics'!C:C,"South King",'Data - Monthly Metrics'!D:D,"Revenue Up for Renewal - Non-Target ($)")))</f>
        <v/>
      </c>
      <c r="H28" s="115">
        <f>IF((SUMIFS('Data - Monthly Metrics'!E:E,'Data - Monthly Metrics'!A:A,$B$4,'Data - Monthly Metrics'!B:B,"Mar",'Data - Monthly Metrics'!C:C,"South King",'Data - Monthly Metrics'!D:D,"Revenue Up for Renewal - Target ($)")+SUMIFS('Data - Monthly Metrics'!E:E,'Data - Monthly Metrics'!A:A,$B$4,'Data - Monthly Metrics'!B:B,"Mar",'Data - Monthly Metrics'!C:C,"South King",'Data - Monthly Metrics'!D:D,"Revenue Up for Renewal - Non-Target ($)"))=0,"-",(SUMIFS('Data - Monthly Metrics'!E:E,'Data - Monthly Metrics'!A:A,$B$4,'Data - Monthly Metrics'!B:B,"Mar",'Data - Monthly Metrics'!C:C,"South King",'Data - Monthly Metrics'!D:D,"Revenue Retained - Target ($)")+SUMIFS('Data - Monthly Metrics'!E:E,'Data - Monthly Metrics'!A:A,$B$4,'Data - Monthly Metrics'!B:B,"Mar",'Data - Monthly Metrics'!C:C,"South King",'Data - Monthly Metrics'!D:D,"Revenue Retained - Non-Target ($)"))/(SUMIFS('Data - Monthly Metrics'!E:E,'Data - Monthly Metrics'!A:A,$B$4,'Data - Monthly Metrics'!B:B,"Mar",'Data - Monthly Metrics'!C:C,"South King",'Data - Monthly Metrics'!D:D,"Revenue Up for Renewal - Target ($)")+SUMIFS('Data - Monthly Metrics'!E:E,'Data - Monthly Metrics'!A:A,$B$4,'Data - Monthly Metrics'!B:B,"Mar",'Data - Monthly Metrics'!C:C,"South King",'Data - Monthly Metrics'!D:D,"Revenue Up for Renewal - Non-Target ($)")))</f>
        <v/>
      </c>
      <c r="I28" s="116">
        <f>IF(I22=0,0,I23/I22)</f>
        <v/>
      </c>
      <c r="J28" s="115">
        <f>IF((SUMIFS('Data - Monthly Metrics'!E:E,'Data - Monthly Metrics'!A:A,$B$4,'Data - Monthly Metrics'!B:B,"Apr",'Data - Monthly Metrics'!C:C,"South King",'Data - Monthly Metrics'!D:D,"Revenue Up for Renewal - Target ($)")+SUMIFS('Data - Monthly Metrics'!E:E,'Data - Monthly Metrics'!A:A,$B$4,'Data - Monthly Metrics'!B:B,"Apr",'Data - Monthly Metrics'!C:C,"South King",'Data - Monthly Metrics'!D:D,"Revenue Up for Renewal - Non-Target ($)"))=0,"-",(SUMIFS('Data - Monthly Metrics'!E:E,'Data - Monthly Metrics'!A:A,$B$4,'Data - Monthly Metrics'!B:B,"Apr",'Data - Monthly Metrics'!C:C,"South King",'Data - Monthly Metrics'!D:D,"Revenue Retained - Target ($)")+SUMIFS('Data - Monthly Metrics'!E:E,'Data - Monthly Metrics'!A:A,$B$4,'Data - Monthly Metrics'!B:B,"Apr",'Data - Monthly Metrics'!C:C,"South King",'Data - Monthly Metrics'!D:D,"Revenue Retained - Non-Target ($)"))/(SUMIFS('Data - Monthly Metrics'!E:E,'Data - Monthly Metrics'!A:A,$B$4,'Data - Monthly Metrics'!B:B,"Apr",'Data - Monthly Metrics'!C:C,"South King",'Data - Monthly Metrics'!D:D,"Revenue Up for Renewal - Target ($)")+SUMIFS('Data - Monthly Metrics'!E:E,'Data - Monthly Metrics'!A:A,$B$4,'Data - Monthly Metrics'!B:B,"Apr",'Data - Monthly Metrics'!C:C,"South King",'Data - Monthly Metrics'!D:D,"Revenue Up for Renewal - Non-Target ($)")))</f>
        <v/>
      </c>
      <c r="K28" s="115">
        <f>IF((SUMIFS('Data - Monthly Metrics'!E:E,'Data - Monthly Metrics'!A:A,$B$4,'Data - Monthly Metrics'!B:B,"May",'Data - Monthly Metrics'!C:C,"South King",'Data - Monthly Metrics'!D:D,"Revenue Up for Renewal - Target ($)")+SUMIFS('Data - Monthly Metrics'!E:E,'Data - Monthly Metrics'!A:A,$B$4,'Data - Monthly Metrics'!B:B,"May",'Data - Monthly Metrics'!C:C,"South King",'Data - Monthly Metrics'!D:D,"Revenue Up for Renewal - Non-Target ($)"))=0,"-",(SUMIFS('Data - Monthly Metrics'!E:E,'Data - Monthly Metrics'!A:A,$B$4,'Data - Monthly Metrics'!B:B,"May",'Data - Monthly Metrics'!C:C,"South King",'Data - Monthly Metrics'!D:D,"Revenue Retained - Target ($)")+SUMIFS('Data - Monthly Metrics'!E:E,'Data - Monthly Metrics'!A:A,$B$4,'Data - Monthly Metrics'!B:B,"May",'Data - Monthly Metrics'!C:C,"South King",'Data - Monthly Metrics'!D:D,"Revenue Retained - Non-Target ($)"))/(SUMIFS('Data - Monthly Metrics'!E:E,'Data - Monthly Metrics'!A:A,$B$4,'Data - Monthly Metrics'!B:B,"May",'Data - Monthly Metrics'!C:C,"South King",'Data - Monthly Metrics'!D:D,"Revenue Up for Renewal - Target ($)")+SUMIFS('Data - Monthly Metrics'!E:E,'Data - Monthly Metrics'!A:A,$B$4,'Data - Monthly Metrics'!B:B,"May",'Data - Monthly Metrics'!C:C,"South King",'Data - Monthly Metrics'!D:D,"Revenue Up for Renewal - Non-Target ($)")))</f>
        <v/>
      </c>
      <c r="L28" s="115">
        <f>IF((SUMIFS('Data - Monthly Metrics'!E:E,'Data - Monthly Metrics'!A:A,$B$4,'Data - Monthly Metrics'!B:B,"Jun",'Data - Monthly Metrics'!C:C,"South King",'Data - Monthly Metrics'!D:D,"Revenue Up for Renewal - Target ($)")+SUMIFS('Data - Monthly Metrics'!E:E,'Data - Monthly Metrics'!A:A,$B$4,'Data - Monthly Metrics'!B:B,"Jun",'Data - Monthly Metrics'!C:C,"South King",'Data - Monthly Metrics'!D:D,"Revenue Up for Renewal - Non-Target ($)"))=0,"-",(SUMIFS('Data - Monthly Metrics'!E:E,'Data - Monthly Metrics'!A:A,$B$4,'Data - Monthly Metrics'!B:B,"Jun",'Data - Monthly Metrics'!C:C,"South King",'Data - Monthly Metrics'!D:D,"Revenue Retained - Target ($)")+SUMIFS('Data - Monthly Metrics'!E:E,'Data - Monthly Metrics'!A:A,$B$4,'Data - Monthly Metrics'!B:B,"Jun",'Data - Monthly Metrics'!C:C,"South King",'Data - Monthly Metrics'!D:D,"Revenue Retained - Non-Target ($)"))/(SUMIFS('Data - Monthly Metrics'!E:E,'Data - Monthly Metrics'!A:A,$B$4,'Data - Monthly Metrics'!B:B,"Jun",'Data - Monthly Metrics'!C:C,"South King",'Data - Monthly Metrics'!D:D,"Revenue Up for Renewal - Target ($)")+SUMIFS('Data - Monthly Metrics'!E:E,'Data - Monthly Metrics'!A:A,$B$4,'Data - Monthly Metrics'!B:B,"Jun",'Data - Monthly Metrics'!C:C,"South King",'Data - Monthly Metrics'!D:D,"Revenue Up for Renewal - Non-Target ($)")))</f>
        <v/>
      </c>
      <c r="M28" s="116">
        <f>IF(M22=0,0,M23/M22)</f>
        <v/>
      </c>
      <c r="N28" s="115">
        <f>IF((SUMIFS('Data - Monthly Metrics'!E:E,'Data - Monthly Metrics'!A:A,$B$4,'Data - Monthly Metrics'!B:B,"Jul",'Data - Monthly Metrics'!C:C,"South King",'Data - Monthly Metrics'!D:D,"Revenue Up for Renewal - Target ($)")+SUMIFS('Data - Monthly Metrics'!E:E,'Data - Monthly Metrics'!A:A,$B$4,'Data - Monthly Metrics'!B:B,"Jul",'Data - Monthly Metrics'!C:C,"South King",'Data - Monthly Metrics'!D:D,"Revenue Up for Renewal - Non-Target ($)"))=0,"-",(SUMIFS('Data - Monthly Metrics'!E:E,'Data - Monthly Metrics'!A:A,$B$4,'Data - Monthly Metrics'!B:B,"Jul",'Data - Monthly Metrics'!C:C,"South King",'Data - Monthly Metrics'!D:D,"Revenue Retained - Target ($)")+SUMIFS('Data - Monthly Metrics'!E:E,'Data - Monthly Metrics'!A:A,$B$4,'Data - Monthly Metrics'!B:B,"Jul",'Data - Monthly Metrics'!C:C,"South King",'Data - Monthly Metrics'!D:D,"Revenue Retained - Non-Target ($)"))/(SUMIFS('Data - Monthly Metrics'!E:E,'Data - Monthly Metrics'!A:A,$B$4,'Data - Monthly Metrics'!B:B,"Jul",'Data - Monthly Metrics'!C:C,"South King",'Data - Monthly Metrics'!D:D,"Revenue Up for Renewal - Target ($)")+SUMIFS('Data - Monthly Metrics'!E:E,'Data - Monthly Metrics'!A:A,$B$4,'Data - Monthly Metrics'!B:B,"Jul",'Data - Monthly Metrics'!C:C,"South King",'Data - Monthly Metrics'!D:D,"Revenue Up for Renewal - Non-Target ($)")))</f>
        <v/>
      </c>
      <c r="O28" s="115">
        <f>IF((SUMIFS('Data - Monthly Metrics'!E:E,'Data - Monthly Metrics'!A:A,$B$4,'Data - Monthly Metrics'!B:B,"Aug",'Data - Monthly Metrics'!C:C,"South King",'Data - Monthly Metrics'!D:D,"Revenue Up for Renewal - Target ($)")+SUMIFS('Data - Monthly Metrics'!E:E,'Data - Monthly Metrics'!A:A,$B$4,'Data - Monthly Metrics'!B:B,"Aug",'Data - Monthly Metrics'!C:C,"South King",'Data - Monthly Metrics'!D:D,"Revenue Up for Renewal - Non-Target ($)"))=0,"-",(SUMIFS('Data - Monthly Metrics'!E:E,'Data - Monthly Metrics'!A:A,$B$4,'Data - Monthly Metrics'!B:B,"Aug",'Data - Monthly Metrics'!C:C,"South King",'Data - Monthly Metrics'!D:D,"Revenue Retained - Target ($)")+SUMIFS('Data - Monthly Metrics'!E:E,'Data - Monthly Metrics'!A:A,$B$4,'Data - Monthly Metrics'!B:B,"Aug",'Data - Monthly Metrics'!C:C,"South King",'Data - Monthly Metrics'!D:D,"Revenue Retained - Non-Target ($)"))/(SUMIFS('Data - Monthly Metrics'!E:E,'Data - Monthly Metrics'!A:A,$B$4,'Data - Monthly Metrics'!B:B,"Aug",'Data - Monthly Metrics'!C:C,"South King",'Data - Monthly Metrics'!D:D,"Revenue Up for Renewal - Target ($)")+SUMIFS('Data - Monthly Metrics'!E:E,'Data - Monthly Metrics'!A:A,$B$4,'Data - Monthly Metrics'!B:B,"Aug",'Data - Monthly Metrics'!C:C,"South King",'Data - Monthly Metrics'!D:D,"Revenue Up for Renewal - Non-Target ($)")))</f>
        <v/>
      </c>
      <c r="P28" s="115">
        <f>IF((SUMIFS('Data - Monthly Metrics'!E:E,'Data - Monthly Metrics'!A:A,$B$4,'Data - Monthly Metrics'!B:B,"Sep",'Data - Monthly Metrics'!C:C,"South King",'Data - Monthly Metrics'!D:D,"Revenue Up for Renewal - Target ($)")+SUMIFS('Data - Monthly Metrics'!E:E,'Data - Monthly Metrics'!A:A,$B$4,'Data - Monthly Metrics'!B:B,"Sep",'Data - Monthly Metrics'!C:C,"South King",'Data - Monthly Metrics'!D:D,"Revenue Up for Renewal - Non-Target ($)"))=0,"-",(SUMIFS('Data - Monthly Metrics'!E:E,'Data - Monthly Metrics'!A:A,$B$4,'Data - Monthly Metrics'!B:B,"Sep",'Data - Monthly Metrics'!C:C,"South King",'Data - Monthly Metrics'!D:D,"Revenue Retained - Target ($)")+SUMIFS('Data - Monthly Metrics'!E:E,'Data - Monthly Metrics'!A:A,$B$4,'Data - Monthly Metrics'!B:B,"Sep",'Data - Monthly Metrics'!C:C,"South King",'Data - Monthly Metrics'!D:D,"Revenue Retained - Non-Target ($)"))/(SUMIFS('Data - Monthly Metrics'!E:E,'Data - Monthly Metrics'!A:A,$B$4,'Data - Monthly Metrics'!B:B,"Sep",'Data - Monthly Metrics'!C:C,"South King",'Data - Monthly Metrics'!D:D,"Revenue Up for Renewal - Target ($)")+SUMIFS('Data - Monthly Metrics'!E:E,'Data - Monthly Metrics'!A:A,$B$4,'Data - Monthly Metrics'!B:B,"Sep",'Data - Monthly Metrics'!C:C,"South King",'Data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Metrics'!C:C,"South King",'Data - Monthly Metrics'!D:D,"Total Target Locations - Restaurant (#)")+SUMIFS('Data - Monthly Metrics'!E:E,'Data - Monthly Metrics'!A:A,$B$4-1,'Data - Monthly Metrics'!B:B,"Oct",'Data - Monthly Metrics'!C:C,"South King",'Data - Monthly Metrics'!D:D,"Non-Target Locations - Restaurant (#)"))=0,"-",(SUMIFS('Data - Monthly Metrics'!E:E,'Data - Monthly Metrics'!A:A,$B$4-1,'Data - Monthly Metrics'!B:B,"Oct",'Data - Monthly Metrics'!C:C,"South King",'Data - Monthly Metrics'!D:D,"Target Members - Restaurant (#)")+SUMIFS('Data - Monthly Metrics'!E:E,'Data - Monthly Metrics'!A:A,$B$4-1,'Data - Monthly Metrics'!B:B,"Oct",'Data - Monthly Metrics'!C:C,"South King",'Data - Monthly Metrics'!D:D,"Non-Target Members - Restaurant (#)"))/(SUMIFS('Data - Monthly Metrics'!E:E,'Data - Monthly Metrics'!A:A,$B$4-1,'Data - Monthly Metrics'!B:B,"Oct",'Data - Monthly Metrics'!C:C,"South King",'Data - Monthly Metrics'!D:D,"Total Target Locations - Restaurant (#)")+SUMIFS('Data - Monthly Metrics'!E:E,'Data - Monthly Metrics'!A:A,$B$4-1,'Data - Monthly Metrics'!B:B,"Oct",'Data - Monthly Metrics'!C:C,"South King",'Data - Monthly Metrics'!D:D,"Non-Target Locations - Restaurant (#)")))</f>
        <v/>
      </c>
      <c r="C29" s="115">
        <f>IF((SUMIFS('Data - Monthly Metrics'!E:E,'Data - Monthly Metrics'!A:A,$B$4-1,'Data - Monthly Metrics'!B:B,"Nov",'Data - Monthly Metrics'!C:C,"South King",'Data - Monthly Metrics'!D:D,"Total Target Locations - Restaurant (#)")+SUMIFS('Data - Monthly Metrics'!E:E,'Data - Monthly Metrics'!A:A,$B$4-1,'Data - Monthly Metrics'!B:B,"Nov",'Data - Monthly Metrics'!C:C,"South King",'Data - Monthly Metrics'!D:D,"Non-Target Locations - Restaurant (#)"))=0,"-",(SUMIFS('Data - Monthly Metrics'!E:E,'Data - Monthly Metrics'!A:A,$B$4-1,'Data - Monthly Metrics'!B:B,"Nov",'Data - Monthly Metrics'!C:C,"South King",'Data - Monthly Metrics'!D:D,"Target Members - Restaurant (#)")+SUMIFS('Data - Monthly Metrics'!E:E,'Data - Monthly Metrics'!A:A,$B$4-1,'Data - Monthly Metrics'!B:B,"Nov",'Data - Monthly Metrics'!C:C,"South King",'Data - Monthly Metrics'!D:D,"Non-Target Members - Restaurant (#)"))/(SUMIFS('Data - Monthly Metrics'!E:E,'Data - Monthly Metrics'!A:A,$B$4-1,'Data - Monthly Metrics'!B:B,"Nov",'Data - Monthly Metrics'!C:C,"South King",'Data - Monthly Metrics'!D:D,"Total Target Locations - Restaurant (#)")+SUMIFS('Data - Monthly Metrics'!E:E,'Data - Monthly Metrics'!A:A,$B$4-1,'Data - Monthly Metrics'!B:B,"Nov",'Data - Monthly Metrics'!C:C,"South King",'Data - Monthly Metrics'!D:D,"Non-Target Locations - Restaurant (#)")))</f>
        <v/>
      </c>
      <c r="D29" s="115">
        <f>IF((SUMIFS('Data - Monthly Metrics'!E:E,'Data - Monthly Metrics'!A:A,$B$4-1,'Data - Monthly Metrics'!B:B,"Dec",'Data - Monthly Metrics'!C:C,"South King",'Data - Monthly Metrics'!D:D,"Total Target Locations - Restaurant (#)")+SUMIFS('Data - Monthly Metrics'!E:E,'Data - Monthly Metrics'!A:A,$B$4-1,'Data - Monthly Metrics'!B:B,"Dec",'Data - Monthly Metrics'!C:C,"South King",'Data - Monthly Metrics'!D:D,"Non-Target Locations - Restaurant (#)"))=0,"-",(SUMIFS('Data - Monthly Metrics'!E:E,'Data - Monthly Metrics'!A:A,$B$4-1,'Data - Monthly Metrics'!B:B,"Dec",'Data - Monthly Metrics'!C:C,"South King",'Data - Monthly Metrics'!D:D,"Target Members - Restaurant (#)")+SUMIFS('Data - Monthly Metrics'!E:E,'Data - Monthly Metrics'!A:A,$B$4-1,'Data - Monthly Metrics'!B:B,"Dec",'Data - Monthly Metrics'!C:C,"South King",'Data - Monthly Metrics'!D:D,"Non-Target Members - Restaurant (#)"))/(SUMIFS('Data - Monthly Metrics'!E:E,'Data - Monthly Metrics'!A:A,$B$4-1,'Data - Monthly Metrics'!B:B,"Dec",'Data - Monthly Metrics'!C:C,"South King",'Data - Monthly Metrics'!D:D,"Total Target Locations - Restaurant (#)")+SUMIFS('Data - Monthly Metrics'!E:E,'Data - Monthly Metrics'!A:A,$B$4-1,'Data - Monthly Metrics'!B:B,"Dec",'Data - Monthly Metrics'!C:C,"South King",'Data - Monthly Metrics'!D:D,"Non-Target Locations - Restaurant (#)")))</f>
        <v/>
      </c>
      <c r="E29" s="116">
        <f>IF(ISNUMBER(D29),D29,IF(ISNUMBER(C29),C29,IF(ISNUMBER(B29),B29,"-")))</f>
        <v/>
      </c>
      <c r="F29" s="115">
        <f>IF((SUMIFS('Data - Monthly Metrics'!E:E,'Data - Monthly Metrics'!A:A,$B$4,'Data - Monthly Metrics'!B:B,"Jan",'Data - Monthly Metrics'!C:C,"South King",'Data - Monthly Metrics'!D:D,"Total Target Locations - Restaurant (#)")+SUMIFS('Data - Monthly Metrics'!E:E,'Data - Monthly Metrics'!A:A,$B$4,'Data - Monthly Metrics'!B:B,"Jan",'Data - Monthly Metrics'!C:C,"South King",'Data - Monthly Metrics'!D:D,"Non-Target Locations - Restaurant (#)"))=0,"-",(SUMIFS('Data - Monthly Metrics'!E:E,'Data - Monthly Metrics'!A:A,$B$4,'Data - Monthly Metrics'!B:B,"Jan",'Data - Monthly Metrics'!C:C,"South King",'Data - Monthly Metrics'!D:D,"Target Members - Restaurant (#)")+SUMIFS('Data - Monthly Metrics'!E:E,'Data - Monthly Metrics'!A:A,$B$4,'Data - Monthly Metrics'!B:B,"Jan",'Data - Monthly Metrics'!C:C,"South King",'Data - Monthly Metrics'!D:D,"Non-Target Members - Restaurant (#)"))/(SUMIFS('Data - Monthly Metrics'!E:E,'Data - Monthly Metrics'!A:A,$B$4,'Data - Monthly Metrics'!B:B,"Jan",'Data - Monthly Metrics'!C:C,"South King",'Data - Monthly Metrics'!D:D,"Total Target Locations - Restaurant (#)")+SUMIFS('Data - Monthly Metrics'!E:E,'Data - Monthly Metrics'!A:A,$B$4,'Data - Monthly Metrics'!B:B,"Jan",'Data - Monthly Metrics'!C:C,"South King",'Data - Monthly Metrics'!D:D,"Non-Target Locations - Restaurant (#)")))</f>
        <v/>
      </c>
      <c r="G29" s="115">
        <f>IF((SUMIFS('Data - Monthly Metrics'!E:E,'Data - Monthly Metrics'!A:A,$B$4,'Data - Monthly Metrics'!B:B,"Feb",'Data - Monthly Metrics'!C:C,"South King",'Data - Monthly Metrics'!D:D,"Total Target Locations - Restaurant (#)")+SUMIFS('Data - Monthly Metrics'!E:E,'Data - Monthly Metrics'!A:A,$B$4,'Data - Monthly Metrics'!B:B,"Feb",'Data - Monthly Metrics'!C:C,"South King",'Data - Monthly Metrics'!D:D,"Non-Target Locations - Restaurant (#)"))=0,"-",(SUMIFS('Data - Monthly Metrics'!E:E,'Data - Monthly Metrics'!A:A,$B$4,'Data - Monthly Metrics'!B:B,"Feb",'Data - Monthly Metrics'!C:C,"South King",'Data - Monthly Metrics'!D:D,"Target Members - Restaurant (#)")+SUMIFS('Data - Monthly Metrics'!E:E,'Data - Monthly Metrics'!A:A,$B$4,'Data - Monthly Metrics'!B:B,"Feb",'Data - Monthly Metrics'!C:C,"South King",'Data - Monthly Metrics'!D:D,"Non-Target Members - Restaurant (#)"))/(SUMIFS('Data - Monthly Metrics'!E:E,'Data - Monthly Metrics'!A:A,$B$4,'Data - Monthly Metrics'!B:B,"Feb",'Data - Monthly Metrics'!C:C,"South King",'Data - Monthly Metrics'!D:D,"Total Target Locations - Restaurant (#)")+SUMIFS('Data - Monthly Metrics'!E:E,'Data - Monthly Metrics'!A:A,$B$4,'Data - Monthly Metrics'!B:B,"Feb",'Data - Monthly Metrics'!C:C,"South King",'Data - Monthly Metrics'!D:D,"Non-Target Locations - Restaurant (#)")))</f>
        <v/>
      </c>
      <c r="H29" s="115">
        <f>IF((SUMIFS('Data - Monthly Metrics'!E:E,'Data - Monthly Metrics'!A:A,$B$4,'Data - Monthly Metrics'!B:B,"Mar",'Data - Monthly Metrics'!C:C,"South King",'Data - Monthly Metrics'!D:D,"Total Target Locations - Restaurant (#)")+SUMIFS('Data - Monthly Metrics'!E:E,'Data - Monthly Metrics'!A:A,$B$4,'Data - Monthly Metrics'!B:B,"Mar",'Data - Monthly Metrics'!C:C,"South King",'Data - Monthly Metrics'!D:D,"Non-Target Locations - Restaurant (#)"))=0,"-",(SUMIFS('Data - Monthly Metrics'!E:E,'Data - Monthly Metrics'!A:A,$B$4,'Data - Monthly Metrics'!B:B,"Mar",'Data - Monthly Metrics'!C:C,"South King",'Data - Monthly Metrics'!D:D,"Target Members - Restaurant (#)")+SUMIFS('Data - Monthly Metrics'!E:E,'Data - Monthly Metrics'!A:A,$B$4,'Data - Monthly Metrics'!B:B,"Mar",'Data - Monthly Metrics'!C:C,"South King",'Data - Monthly Metrics'!D:D,"Non-Target Members - Restaurant (#)"))/(SUMIFS('Data - Monthly Metrics'!E:E,'Data - Monthly Metrics'!A:A,$B$4,'Data - Monthly Metrics'!B:B,"Mar",'Data - Monthly Metrics'!C:C,"South King",'Data - Monthly Metrics'!D:D,"Total Target Locations - Restaurant (#)")+SUMIFS('Data - Monthly Metrics'!E:E,'Data - Monthly Metrics'!A:A,$B$4,'Data - Monthly Metrics'!B:B,"Mar",'Data - Monthly Metrics'!C:C,"South King",'Data - Monthly Metrics'!D:D,"Non-Target Locations - Restaurant (#)")))</f>
        <v/>
      </c>
      <c r="I29" s="116">
        <f>IF(ISNUMBER(H29),H29,IF(ISNUMBER(G29),G29,IF(ISNUMBER(F29),F29,"-")))</f>
        <v/>
      </c>
      <c r="J29" s="115">
        <f>IF((SUMIFS('Data - Monthly Metrics'!E:E,'Data - Monthly Metrics'!A:A,$B$4,'Data - Monthly Metrics'!B:B,"Apr",'Data - Monthly Metrics'!C:C,"South King",'Data - Monthly Metrics'!D:D,"Total Target Locations - Restaurant (#)")+SUMIFS('Data - Monthly Metrics'!E:E,'Data - Monthly Metrics'!A:A,$B$4,'Data - Monthly Metrics'!B:B,"Apr",'Data - Monthly Metrics'!C:C,"South King",'Data - Monthly Metrics'!D:D,"Non-Target Locations - Restaurant (#)"))=0,"-",(SUMIFS('Data - Monthly Metrics'!E:E,'Data - Monthly Metrics'!A:A,$B$4,'Data - Monthly Metrics'!B:B,"Apr",'Data - Monthly Metrics'!C:C,"South King",'Data - Monthly Metrics'!D:D,"Target Members - Restaurant (#)")+SUMIFS('Data - Monthly Metrics'!E:E,'Data - Monthly Metrics'!A:A,$B$4,'Data - Monthly Metrics'!B:B,"Apr",'Data - Monthly Metrics'!C:C,"South King",'Data - Monthly Metrics'!D:D,"Non-Target Members - Restaurant (#)"))/(SUMIFS('Data - Monthly Metrics'!E:E,'Data - Monthly Metrics'!A:A,$B$4,'Data - Monthly Metrics'!B:B,"Apr",'Data - Monthly Metrics'!C:C,"South King",'Data - Monthly Metrics'!D:D,"Total Target Locations - Restaurant (#)")+SUMIFS('Data - Monthly Metrics'!E:E,'Data - Monthly Metrics'!A:A,$B$4,'Data - Monthly Metrics'!B:B,"Apr",'Data - Monthly Metrics'!C:C,"South King",'Data - Monthly Metrics'!D:D,"Non-Target Locations - Restaurant (#)")))</f>
        <v/>
      </c>
      <c r="K29" s="115">
        <f>IF((SUMIFS('Data - Monthly Metrics'!E:E,'Data - Monthly Metrics'!A:A,$B$4,'Data - Monthly Metrics'!B:B,"May",'Data - Monthly Metrics'!C:C,"South King",'Data - Monthly Metrics'!D:D,"Total Target Locations - Restaurant (#)")+SUMIFS('Data - Monthly Metrics'!E:E,'Data - Monthly Metrics'!A:A,$B$4,'Data - Monthly Metrics'!B:B,"May",'Data - Monthly Metrics'!C:C,"South King",'Data - Monthly Metrics'!D:D,"Non-Target Locations - Restaurant (#)"))=0,"-",(SUMIFS('Data - Monthly Metrics'!E:E,'Data - Monthly Metrics'!A:A,$B$4,'Data - Monthly Metrics'!B:B,"May",'Data - Monthly Metrics'!C:C,"South King",'Data - Monthly Metrics'!D:D,"Target Members - Restaurant (#)")+SUMIFS('Data - Monthly Metrics'!E:E,'Data - Monthly Metrics'!A:A,$B$4,'Data - Monthly Metrics'!B:B,"May",'Data - Monthly Metrics'!C:C,"South King",'Data - Monthly Metrics'!D:D,"Non-Target Members - Restaurant (#)"))/(SUMIFS('Data - Monthly Metrics'!E:E,'Data - Monthly Metrics'!A:A,$B$4,'Data - Monthly Metrics'!B:B,"May",'Data - Monthly Metrics'!C:C,"South King",'Data - Monthly Metrics'!D:D,"Total Target Locations - Restaurant (#)")+SUMIFS('Data - Monthly Metrics'!E:E,'Data - Monthly Metrics'!A:A,$B$4,'Data - Monthly Metrics'!B:B,"May",'Data - Monthly Metrics'!C:C,"South King",'Data - Monthly Metrics'!D:D,"Non-Target Locations - Restaurant (#)")))</f>
        <v/>
      </c>
      <c r="L29" s="115">
        <f>IF((SUMIFS('Data - Monthly Metrics'!E:E,'Data - Monthly Metrics'!A:A,$B$4,'Data - Monthly Metrics'!B:B,"Jun",'Data - Monthly Metrics'!C:C,"South King",'Data - Monthly Metrics'!D:D,"Total Target Locations - Restaurant (#)")+SUMIFS('Data - Monthly Metrics'!E:E,'Data - Monthly Metrics'!A:A,$B$4,'Data - Monthly Metrics'!B:B,"Jun",'Data - Monthly Metrics'!C:C,"South King",'Data - Monthly Metrics'!D:D,"Non-Target Locations - Restaurant (#)"))=0,"-",(SUMIFS('Data - Monthly Metrics'!E:E,'Data - Monthly Metrics'!A:A,$B$4,'Data - Monthly Metrics'!B:B,"Jun",'Data - Monthly Metrics'!C:C,"South King",'Data - Monthly Metrics'!D:D,"Target Members - Restaurant (#)")+SUMIFS('Data - Monthly Metrics'!E:E,'Data - Monthly Metrics'!A:A,$B$4,'Data - Monthly Metrics'!B:B,"Jun",'Data - Monthly Metrics'!C:C,"South King",'Data - Monthly Metrics'!D:D,"Non-Target Members - Restaurant (#)"))/(SUMIFS('Data - Monthly Metrics'!E:E,'Data - Monthly Metrics'!A:A,$B$4,'Data - Monthly Metrics'!B:B,"Jun",'Data - Monthly Metrics'!C:C,"South King",'Data - Monthly Metrics'!D:D,"Total Target Locations - Restaurant (#)")+SUMIFS('Data - Monthly Metrics'!E:E,'Data - Monthly Metrics'!A:A,$B$4,'Data - Monthly Metrics'!B:B,"Jun",'Data - Monthly Metrics'!C:C,"South King",'Data - Monthly Metrics'!D:D,"Non-Target Locations - Restaurant (#)")))</f>
        <v/>
      </c>
      <c r="M29" s="116">
        <f>IF(ISNUMBER(L29),L29,IF(ISNUMBER(K29),K29,IF(ISNUMBER(J29),J29,"-")))</f>
        <v/>
      </c>
      <c r="N29" s="115">
        <f>IF((SUMIFS('Data - Monthly Metrics'!E:E,'Data - Monthly Metrics'!A:A,$B$4,'Data - Monthly Metrics'!B:B,"Jul",'Data - Monthly Metrics'!C:C,"South King",'Data - Monthly Metrics'!D:D,"Total Target Locations - Restaurant (#)")+SUMIFS('Data - Monthly Metrics'!E:E,'Data - Monthly Metrics'!A:A,$B$4,'Data - Monthly Metrics'!B:B,"Jul",'Data - Monthly Metrics'!C:C,"South King",'Data - Monthly Metrics'!D:D,"Non-Target Locations - Restaurant (#)"))=0,"-",(SUMIFS('Data - Monthly Metrics'!E:E,'Data - Monthly Metrics'!A:A,$B$4,'Data - Monthly Metrics'!B:B,"Jul",'Data - Monthly Metrics'!C:C,"South King",'Data - Monthly Metrics'!D:D,"Target Members - Restaurant (#)")+SUMIFS('Data - Monthly Metrics'!E:E,'Data - Monthly Metrics'!A:A,$B$4,'Data - Monthly Metrics'!B:B,"Jul",'Data - Monthly Metrics'!C:C,"South King",'Data - Monthly Metrics'!D:D,"Non-Target Members - Restaurant (#)"))/(SUMIFS('Data - Monthly Metrics'!E:E,'Data - Monthly Metrics'!A:A,$B$4,'Data - Monthly Metrics'!B:B,"Jul",'Data - Monthly Metrics'!C:C,"South King",'Data - Monthly Metrics'!D:D,"Total Target Locations - Restaurant (#)")+SUMIFS('Data - Monthly Metrics'!E:E,'Data - Monthly Metrics'!A:A,$B$4,'Data - Monthly Metrics'!B:B,"Jul",'Data - Monthly Metrics'!C:C,"South King",'Data - Monthly Metrics'!D:D,"Non-Target Locations - Restaurant (#)")))</f>
        <v/>
      </c>
      <c r="O29" s="115">
        <f>IF((SUMIFS('Data - Monthly Metrics'!E:E,'Data - Monthly Metrics'!A:A,$B$4,'Data - Monthly Metrics'!B:B,"Aug",'Data - Monthly Metrics'!C:C,"South King",'Data - Monthly Metrics'!D:D,"Total Target Locations - Restaurant (#)")+SUMIFS('Data - Monthly Metrics'!E:E,'Data - Monthly Metrics'!A:A,$B$4,'Data - Monthly Metrics'!B:B,"Aug",'Data - Monthly Metrics'!C:C,"South King",'Data - Monthly Metrics'!D:D,"Non-Target Locations - Restaurant (#)"))=0,"-",(SUMIFS('Data - Monthly Metrics'!E:E,'Data - Monthly Metrics'!A:A,$B$4,'Data - Monthly Metrics'!B:B,"Aug",'Data - Monthly Metrics'!C:C,"South King",'Data - Monthly Metrics'!D:D,"Target Members - Restaurant (#)")+SUMIFS('Data - Monthly Metrics'!E:E,'Data - Monthly Metrics'!A:A,$B$4,'Data - Monthly Metrics'!B:B,"Aug",'Data - Monthly Metrics'!C:C,"South King",'Data - Monthly Metrics'!D:D,"Non-Target Members - Restaurant (#)"))/(SUMIFS('Data - Monthly Metrics'!E:E,'Data - Monthly Metrics'!A:A,$B$4,'Data - Monthly Metrics'!B:B,"Aug",'Data - Monthly Metrics'!C:C,"South King",'Data - Monthly Metrics'!D:D,"Total Target Locations - Restaurant (#)")+SUMIFS('Data - Monthly Metrics'!E:E,'Data - Monthly Metrics'!A:A,$B$4,'Data - Monthly Metrics'!B:B,"Aug",'Data - Monthly Metrics'!C:C,"South King",'Data - Monthly Metrics'!D:D,"Non-Target Locations - Restaurant (#)")))</f>
        <v/>
      </c>
      <c r="P29" s="115">
        <f>IF((SUMIFS('Data - Monthly Metrics'!E:E,'Data - Monthly Metrics'!A:A,$B$4,'Data - Monthly Metrics'!B:B,"Sep",'Data - Monthly Metrics'!C:C,"South King",'Data - Monthly Metrics'!D:D,"Total Target Locations - Restaurant (#)")+SUMIFS('Data - Monthly Metrics'!E:E,'Data - Monthly Metrics'!A:A,$B$4,'Data - Monthly Metrics'!B:B,"Sep",'Data - Monthly Metrics'!C:C,"South King",'Data - Monthly Metrics'!D:D,"Non-Target Locations - Restaurant (#)"))=0,"-",(SUMIFS('Data - Monthly Metrics'!E:E,'Data - Monthly Metrics'!A:A,$B$4,'Data - Monthly Metrics'!B:B,"Sep",'Data - Monthly Metrics'!C:C,"South King",'Data - Monthly Metrics'!D:D,"Target Members - Restaurant (#)")+SUMIFS('Data - Monthly Metrics'!E:E,'Data - Monthly Metrics'!A:A,$B$4,'Data - Monthly Metrics'!B:B,"Sep",'Data - Monthly Metrics'!C:C,"South King",'Data - Monthly Metrics'!D:D,"Non-Target Members - Restaurant (#)"))/(SUMIFS('Data - Monthly Metrics'!E:E,'Data - Monthly Metrics'!A:A,$B$4,'Data - Monthly Metrics'!B:B,"Sep",'Data - Monthly Metrics'!C:C,"South King",'Data - Monthly Metrics'!D:D,"Total Target Locations - Restaurant (#)")+SUMIFS('Data - Monthly Metrics'!E:E,'Data - Monthly Metrics'!A:A,$B$4,'Data - Monthly Metrics'!B:B,"Sep",'Data - Monthly Metrics'!C:C,"South King",'Data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Metrics'!C:C,"South King",'Data - Monthly Metrics'!D:D,"Total Target Locations - Lodging (#)")+SUMIFS('Data - Monthly Metrics'!E:E,'Data - Monthly Metrics'!A:A,$B$4-1,'Data - Monthly Metrics'!B:B,"Oct",'Data - Monthly Metrics'!C:C,"South King",'Data - Monthly Metrics'!D:D,"Non-Target Locations - Lodging (#)"))=0,"-",(SUMIFS('Data - Monthly Metrics'!E:E,'Data - Monthly Metrics'!A:A,$B$4-1,'Data - Monthly Metrics'!B:B,"Oct",'Data - Monthly Metrics'!C:C,"South King",'Data - Monthly Metrics'!D:D,"Target Members - Lodging (#)")+SUMIFS('Data - Monthly Metrics'!E:E,'Data - Monthly Metrics'!A:A,$B$4-1,'Data - Monthly Metrics'!B:B,"Oct",'Data - Monthly Metrics'!C:C,"South King",'Data - Monthly Metrics'!D:D,"Non-Target Members - Lodging (#)"))/(SUMIFS('Data - Monthly Metrics'!E:E,'Data - Monthly Metrics'!A:A,$B$4-1,'Data - Monthly Metrics'!B:B,"Oct",'Data - Monthly Metrics'!C:C,"South King",'Data - Monthly Metrics'!D:D,"Total Target Locations - Lodging (#)")+SUMIFS('Data - Monthly Metrics'!E:E,'Data - Monthly Metrics'!A:A,$B$4-1,'Data - Monthly Metrics'!B:B,"Oct",'Data - Monthly Metrics'!C:C,"South King",'Data - Monthly Metrics'!D:D,"Non-Target Locations - Lodging (#)")))</f>
        <v/>
      </c>
      <c r="C30" s="118">
        <f>IF((SUMIFS('Data - Monthly Metrics'!E:E,'Data - Monthly Metrics'!A:A,$B$4-1,'Data - Monthly Metrics'!B:B,"Nov",'Data - Monthly Metrics'!C:C,"South King",'Data - Monthly Metrics'!D:D,"Total Target Locations - Lodging (#)")+SUMIFS('Data - Monthly Metrics'!E:E,'Data - Monthly Metrics'!A:A,$B$4-1,'Data - Monthly Metrics'!B:B,"Nov",'Data - Monthly Metrics'!C:C,"South King",'Data - Monthly Metrics'!D:D,"Non-Target Locations - Lodging (#)"))=0,"-",(SUMIFS('Data - Monthly Metrics'!E:E,'Data - Monthly Metrics'!A:A,$B$4-1,'Data - Monthly Metrics'!B:B,"Nov",'Data - Monthly Metrics'!C:C,"South King",'Data - Monthly Metrics'!D:D,"Target Members - Lodging (#)")+SUMIFS('Data - Monthly Metrics'!E:E,'Data - Monthly Metrics'!A:A,$B$4-1,'Data - Monthly Metrics'!B:B,"Nov",'Data - Monthly Metrics'!C:C,"South King",'Data - Monthly Metrics'!D:D,"Non-Target Members - Lodging (#)"))/(SUMIFS('Data - Monthly Metrics'!E:E,'Data - Monthly Metrics'!A:A,$B$4-1,'Data - Monthly Metrics'!B:B,"Nov",'Data - Monthly Metrics'!C:C,"South King",'Data - Monthly Metrics'!D:D,"Total Target Locations - Lodging (#)")+SUMIFS('Data - Monthly Metrics'!E:E,'Data - Monthly Metrics'!A:A,$B$4-1,'Data - Monthly Metrics'!B:B,"Nov",'Data - Monthly Metrics'!C:C,"South King",'Data - Monthly Metrics'!D:D,"Non-Target Locations - Lodging (#)")))</f>
        <v/>
      </c>
      <c r="D30" s="118">
        <f>IF((SUMIFS('Data - Monthly Metrics'!E:E,'Data - Monthly Metrics'!A:A,$B$4-1,'Data - Monthly Metrics'!B:B,"Dec",'Data - Monthly Metrics'!C:C,"South King",'Data - Monthly Metrics'!D:D,"Total Target Locations - Lodging (#)")+SUMIFS('Data - Monthly Metrics'!E:E,'Data - Monthly Metrics'!A:A,$B$4-1,'Data - Monthly Metrics'!B:B,"Dec",'Data - Monthly Metrics'!C:C,"South King",'Data - Monthly Metrics'!D:D,"Non-Target Locations - Lodging (#)"))=0,"-",(SUMIFS('Data - Monthly Metrics'!E:E,'Data - Monthly Metrics'!A:A,$B$4-1,'Data - Monthly Metrics'!B:B,"Dec",'Data - Monthly Metrics'!C:C,"South King",'Data - Monthly Metrics'!D:D,"Target Members - Lodging (#)")+SUMIFS('Data - Monthly Metrics'!E:E,'Data - Monthly Metrics'!A:A,$B$4-1,'Data - Monthly Metrics'!B:B,"Dec",'Data - Monthly Metrics'!C:C,"South King",'Data - Monthly Metrics'!D:D,"Non-Target Members - Lodging (#)"))/(SUMIFS('Data - Monthly Metrics'!E:E,'Data - Monthly Metrics'!A:A,$B$4-1,'Data - Monthly Metrics'!B:B,"Dec",'Data - Monthly Metrics'!C:C,"South King",'Data - Monthly Metrics'!D:D,"Total Target Locations - Lodging (#)")+SUMIFS('Data - Monthly Metrics'!E:E,'Data - Monthly Metrics'!A:A,$B$4-1,'Data - Monthly Metrics'!B:B,"Dec",'Data - Monthly Metrics'!C:C,"South King",'Data - Monthly Metrics'!D:D,"Non-Target Locations - Lodging (#)")))</f>
        <v/>
      </c>
      <c r="E30" s="116">
        <f>IF(ISNUMBER(D30),D30,IF(ISNUMBER(C30),C30,IF(ISNUMBER(B30),B30,"-")))</f>
        <v/>
      </c>
      <c r="F30" s="118">
        <f>IF((SUMIFS('Data - Monthly Metrics'!E:E,'Data - Monthly Metrics'!A:A,$B$4,'Data - Monthly Metrics'!B:B,"Jan",'Data - Monthly Metrics'!C:C,"South King",'Data - Monthly Metrics'!D:D,"Total Target Locations - Lodging (#)")+SUMIFS('Data - Monthly Metrics'!E:E,'Data - Monthly Metrics'!A:A,$B$4,'Data - Monthly Metrics'!B:B,"Jan",'Data - Monthly Metrics'!C:C,"South King",'Data - Monthly Metrics'!D:D,"Non-Target Locations - Lodging (#)"))=0,"-",(SUMIFS('Data - Monthly Metrics'!E:E,'Data - Monthly Metrics'!A:A,$B$4,'Data - Monthly Metrics'!B:B,"Jan",'Data - Monthly Metrics'!C:C,"South King",'Data - Monthly Metrics'!D:D,"Target Members - Lodging (#)")+SUMIFS('Data - Monthly Metrics'!E:E,'Data - Monthly Metrics'!A:A,$B$4,'Data - Monthly Metrics'!B:B,"Jan",'Data - Monthly Metrics'!C:C,"South King",'Data - Monthly Metrics'!D:D,"Non-Target Members - Lodging (#)"))/(SUMIFS('Data - Monthly Metrics'!E:E,'Data - Monthly Metrics'!A:A,$B$4,'Data - Monthly Metrics'!B:B,"Jan",'Data - Monthly Metrics'!C:C,"South King",'Data - Monthly Metrics'!D:D,"Total Target Locations - Lodging (#)")+SUMIFS('Data - Monthly Metrics'!E:E,'Data - Monthly Metrics'!A:A,$B$4,'Data - Monthly Metrics'!B:B,"Jan",'Data - Monthly Metrics'!C:C,"South King",'Data - Monthly Metrics'!D:D,"Non-Target Locations - Lodging (#)")))</f>
        <v/>
      </c>
      <c r="G30" s="118">
        <f>IF((SUMIFS('Data - Monthly Metrics'!E:E,'Data - Monthly Metrics'!A:A,$B$4,'Data - Monthly Metrics'!B:B,"Feb",'Data - Monthly Metrics'!C:C,"South King",'Data - Monthly Metrics'!D:D,"Total Target Locations - Lodging (#)")+SUMIFS('Data - Monthly Metrics'!E:E,'Data - Monthly Metrics'!A:A,$B$4,'Data - Monthly Metrics'!B:B,"Feb",'Data - Monthly Metrics'!C:C,"South King",'Data - Monthly Metrics'!D:D,"Non-Target Locations - Lodging (#)"))=0,"-",(SUMIFS('Data - Monthly Metrics'!E:E,'Data - Monthly Metrics'!A:A,$B$4,'Data - Monthly Metrics'!B:B,"Feb",'Data - Monthly Metrics'!C:C,"South King",'Data - Monthly Metrics'!D:D,"Target Members - Lodging (#)")+SUMIFS('Data - Monthly Metrics'!E:E,'Data - Monthly Metrics'!A:A,$B$4,'Data - Monthly Metrics'!B:B,"Feb",'Data - Monthly Metrics'!C:C,"South King",'Data - Monthly Metrics'!D:D,"Non-Target Members - Lodging (#)"))/(SUMIFS('Data - Monthly Metrics'!E:E,'Data - Monthly Metrics'!A:A,$B$4,'Data - Monthly Metrics'!B:B,"Feb",'Data - Monthly Metrics'!C:C,"South King",'Data - Monthly Metrics'!D:D,"Total Target Locations - Lodging (#)")+SUMIFS('Data - Monthly Metrics'!E:E,'Data - Monthly Metrics'!A:A,$B$4,'Data - Monthly Metrics'!B:B,"Feb",'Data - Monthly Metrics'!C:C,"South King",'Data - Monthly Metrics'!D:D,"Non-Target Locations - Lodging (#)")))</f>
        <v/>
      </c>
      <c r="H30" s="118">
        <f>IF((SUMIFS('Data - Monthly Metrics'!E:E,'Data - Monthly Metrics'!A:A,$B$4,'Data - Monthly Metrics'!B:B,"Mar",'Data - Monthly Metrics'!C:C,"South King",'Data - Monthly Metrics'!D:D,"Total Target Locations - Lodging (#)")+SUMIFS('Data - Monthly Metrics'!E:E,'Data - Monthly Metrics'!A:A,$B$4,'Data - Monthly Metrics'!B:B,"Mar",'Data - Monthly Metrics'!C:C,"South King",'Data - Monthly Metrics'!D:D,"Non-Target Locations - Lodging (#)"))=0,"-",(SUMIFS('Data - Monthly Metrics'!E:E,'Data - Monthly Metrics'!A:A,$B$4,'Data - Monthly Metrics'!B:B,"Mar",'Data - Monthly Metrics'!C:C,"South King",'Data - Monthly Metrics'!D:D,"Target Members - Lodging (#)")+SUMIFS('Data - Monthly Metrics'!E:E,'Data - Monthly Metrics'!A:A,$B$4,'Data - Monthly Metrics'!B:B,"Mar",'Data - Monthly Metrics'!C:C,"South King",'Data - Monthly Metrics'!D:D,"Non-Target Members - Lodging (#)"))/(SUMIFS('Data - Monthly Metrics'!E:E,'Data - Monthly Metrics'!A:A,$B$4,'Data - Monthly Metrics'!B:B,"Mar",'Data - Monthly Metrics'!C:C,"South King",'Data - Monthly Metrics'!D:D,"Total Target Locations - Lodging (#)")+SUMIFS('Data - Monthly Metrics'!E:E,'Data - Monthly Metrics'!A:A,$B$4,'Data - Monthly Metrics'!B:B,"Mar",'Data - Monthly Metrics'!C:C,"South King",'Data - Monthly Metrics'!D:D,"Non-Target Locations - Lodging (#)")))</f>
        <v/>
      </c>
      <c r="I30" s="116">
        <f>IF(ISNUMBER(H30),H30,IF(ISNUMBER(G30),G30,IF(ISNUMBER(F30),F30,"-")))</f>
        <v/>
      </c>
      <c r="J30" s="118">
        <f>IF((SUMIFS('Data - Monthly Metrics'!E:E,'Data - Monthly Metrics'!A:A,$B$4,'Data - Monthly Metrics'!B:B,"Apr",'Data - Monthly Metrics'!C:C,"South King",'Data - Monthly Metrics'!D:D,"Total Target Locations - Lodging (#)")+SUMIFS('Data - Monthly Metrics'!E:E,'Data - Monthly Metrics'!A:A,$B$4,'Data - Monthly Metrics'!B:B,"Apr",'Data - Monthly Metrics'!C:C,"South King",'Data - Monthly Metrics'!D:D,"Non-Target Locations - Lodging (#)"))=0,"-",(SUMIFS('Data - Monthly Metrics'!E:E,'Data - Monthly Metrics'!A:A,$B$4,'Data - Monthly Metrics'!B:B,"Apr",'Data - Monthly Metrics'!C:C,"South King",'Data - Monthly Metrics'!D:D,"Target Members - Lodging (#)")+SUMIFS('Data - Monthly Metrics'!E:E,'Data - Monthly Metrics'!A:A,$B$4,'Data - Monthly Metrics'!B:B,"Apr",'Data - Monthly Metrics'!C:C,"South King",'Data - Monthly Metrics'!D:D,"Non-Target Members - Lodging (#)"))/(SUMIFS('Data - Monthly Metrics'!E:E,'Data - Monthly Metrics'!A:A,$B$4,'Data - Monthly Metrics'!B:B,"Apr",'Data - Monthly Metrics'!C:C,"South King",'Data - Monthly Metrics'!D:D,"Total Target Locations - Lodging (#)")+SUMIFS('Data - Monthly Metrics'!E:E,'Data - Monthly Metrics'!A:A,$B$4,'Data - Monthly Metrics'!B:B,"Apr",'Data - Monthly Metrics'!C:C,"South King",'Data - Monthly Metrics'!D:D,"Non-Target Locations - Lodging (#)")))</f>
        <v/>
      </c>
      <c r="K30" s="118">
        <f>IF((SUMIFS('Data - Monthly Metrics'!E:E,'Data - Monthly Metrics'!A:A,$B$4,'Data - Monthly Metrics'!B:B,"May",'Data - Monthly Metrics'!C:C,"South King",'Data - Monthly Metrics'!D:D,"Total Target Locations - Lodging (#)")+SUMIFS('Data - Monthly Metrics'!E:E,'Data - Monthly Metrics'!A:A,$B$4,'Data - Monthly Metrics'!B:B,"May",'Data - Monthly Metrics'!C:C,"South King",'Data - Monthly Metrics'!D:D,"Non-Target Locations - Lodging (#)"))=0,"-",(SUMIFS('Data - Monthly Metrics'!E:E,'Data - Monthly Metrics'!A:A,$B$4,'Data - Monthly Metrics'!B:B,"May",'Data - Monthly Metrics'!C:C,"South King",'Data - Monthly Metrics'!D:D,"Target Members - Lodging (#)")+SUMIFS('Data - Monthly Metrics'!E:E,'Data - Monthly Metrics'!A:A,$B$4,'Data - Monthly Metrics'!B:B,"May",'Data - Monthly Metrics'!C:C,"South King",'Data - Monthly Metrics'!D:D,"Non-Target Members - Lodging (#)"))/(SUMIFS('Data - Monthly Metrics'!E:E,'Data - Monthly Metrics'!A:A,$B$4,'Data - Monthly Metrics'!B:B,"May",'Data - Monthly Metrics'!C:C,"South King",'Data - Monthly Metrics'!D:D,"Total Target Locations - Lodging (#)")+SUMIFS('Data - Monthly Metrics'!E:E,'Data - Monthly Metrics'!A:A,$B$4,'Data - Monthly Metrics'!B:B,"May",'Data - Monthly Metrics'!C:C,"South King",'Data - Monthly Metrics'!D:D,"Non-Target Locations - Lodging (#)")))</f>
        <v/>
      </c>
      <c r="L30" s="118">
        <f>IF((SUMIFS('Data - Monthly Metrics'!E:E,'Data - Monthly Metrics'!A:A,$B$4,'Data - Monthly Metrics'!B:B,"Jun",'Data - Monthly Metrics'!C:C,"South King",'Data - Monthly Metrics'!D:D,"Total Target Locations - Lodging (#)")+SUMIFS('Data - Monthly Metrics'!E:E,'Data - Monthly Metrics'!A:A,$B$4,'Data - Monthly Metrics'!B:B,"Jun",'Data - Monthly Metrics'!C:C,"South King",'Data - Monthly Metrics'!D:D,"Non-Target Locations - Lodging (#)"))=0,"-",(SUMIFS('Data - Monthly Metrics'!E:E,'Data - Monthly Metrics'!A:A,$B$4,'Data - Monthly Metrics'!B:B,"Jun",'Data - Monthly Metrics'!C:C,"South King",'Data - Monthly Metrics'!D:D,"Target Members - Lodging (#)")+SUMIFS('Data - Monthly Metrics'!E:E,'Data - Monthly Metrics'!A:A,$B$4,'Data - Monthly Metrics'!B:B,"Jun",'Data - Monthly Metrics'!C:C,"South King",'Data - Monthly Metrics'!D:D,"Non-Target Members - Lodging (#)"))/(SUMIFS('Data - Monthly Metrics'!E:E,'Data - Monthly Metrics'!A:A,$B$4,'Data - Monthly Metrics'!B:B,"Jun",'Data - Monthly Metrics'!C:C,"South King",'Data - Monthly Metrics'!D:D,"Total Target Locations - Lodging (#)")+SUMIFS('Data - Monthly Metrics'!E:E,'Data - Monthly Metrics'!A:A,$B$4,'Data - Monthly Metrics'!B:B,"Jun",'Data - Monthly Metrics'!C:C,"South King",'Data - Monthly Metrics'!D:D,"Non-Target Locations - Lodging (#)")))</f>
        <v/>
      </c>
      <c r="M30" s="116">
        <f>IF(ISNUMBER(L30),L30,IF(ISNUMBER(K30),K30,IF(ISNUMBER(J30),J30,"-")))</f>
        <v/>
      </c>
      <c r="N30" s="118">
        <f>IF((SUMIFS('Data - Monthly Metrics'!E:E,'Data - Monthly Metrics'!A:A,$B$4,'Data - Monthly Metrics'!B:B,"Jul",'Data - Monthly Metrics'!C:C,"South King",'Data - Monthly Metrics'!D:D,"Total Target Locations - Lodging (#)")+SUMIFS('Data - Monthly Metrics'!E:E,'Data - Monthly Metrics'!A:A,$B$4,'Data - Monthly Metrics'!B:B,"Jul",'Data - Monthly Metrics'!C:C,"South King",'Data - Monthly Metrics'!D:D,"Non-Target Locations - Lodging (#)"))=0,"-",(SUMIFS('Data - Monthly Metrics'!E:E,'Data - Monthly Metrics'!A:A,$B$4,'Data - Monthly Metrics'!B:B,"Jul",'Data - Monthly Metrics'!C:C,"South King",'Data - Monthly Metrics'!D:D,"Target Members - Lodging (#)")+SUMIFS('Data - Monthly Metrics'!E:E,'Data - Monthly Metrics'!A:A,$B$4,'Data - Monthly Metrics'!B:B,"Jul",'Data - Monthly Metrics'!C:C,"South King",'Data - Monthly Metrics'!D:D,"Non-Target Members - Lodging (#)"))/(SUMIFS('Data - Monthly Metrics'!E:E,'Data - Monthly Metrics'!A:A,$B$4,'Data - Monthly Metrics'!B:B,"Jul",'Data - Monthly Metrics'!C:C,"South King",'Data - Monthly Metrics'!D:D,"Total Target Locations - Lodging (#)")+SUMIFS('Data - Monthly Metrics'!E:E,'Data - Monthly Metrics'!A:A,$B$4,'Data - Monthly Metrics'!B:B,"Jul",'Data - Monthly Metrics'!C:C,"South King",'Data - Monthly Metrics'!D:D,"Non-Target Locations - Lodging (#)")))</f>
        <v/>
      </c>
      <c r="O30" s="118">
        <f>IF((SUMIFS('Data - Monthly Metrics'!E:E,'Data - Monthly Metrics'!A:A,$B$4,'Data - Monthly Metrics'!B:B,"Aug",'Data - Monthly Metrics'!C:C,"South King",'Data - Monthly Metrics'!D:D,"Total Target Locations - Lodging (#)")+SUMIFS('Data - Monthly Metrics'!E:E,'Data - Monthly Metrics'!A:A,$B$4,'Data - Monthly Metrics'!B:B,"Aug",'Data - Monthly Metrics'!C:C,"South King",'Data - Monthly Metrics'!D:D,"Non-Target Locations - Lodging (#)"))=0,"-",(SUMIFS('Data - Monthly Metrics'!E:E,'Data - Monthly Metrics'!A:A,$B$4,'Data - Monthly Metrics'!B:B,"Aug",'Data - Monthly Metrics'!C:C,"South King",'Data - Monthly Metrics'!D:D,"Target Members - Lodging (#)")+SUMIFS('Data - Monthly Metrics'!E:E,'Data - Monthly Metrics'!A:A,$B$4,'Data - Monthly Metrics'!B:B,"Aug",'Data - Monthly Metrics'!C:C,"South King",'Data - Monthly Metrics'!D:D,"Non-Target Members - Lodging (#)"))/(SUMIFS('Data - Monthly Metrics'!E:E,'Data - Monthly Metrics'!A:A,$B$4,'Data - Monthly Metrics'!B:B,"Aug",'Data - Monthly Metrics'!C:C,"South King",'Data - Monthly Metrics'!D:D,"Total Target Locations - Lodging (#)")+SUMIFS('Data - Monthly Metrics'!E:E,'Data - Monthly Metrics'!A:A,$B$4,'Data - Monthly Metrics'!B:B,"Aug",'Data - Monthly Metrics'!C:C,"South King",'Data - Monthly Metrics'!D:D,"Non-Target Locations - Lodging (#)")))</f>
        <v/>
      </c>
      <c r="P30" s="118">
        <f>IF((SUMIFS('Data - Monthly Metrics'!E:E,'Data - Monthly Metrics'!A:A,$B$4,'Data - Monthly Metrics'!B:B,"Sep",'Data - Monthly Metrics'!C:C,"South King",'Data - Monthly Metrics'!D:D,"Total Target Locations - Lodging (#)")+SUMIFS('Data - Monthly Metrics'!E:E,'Data - Monthly Metrics'!A:A,$B$4,'Data - Monthly Metrics'!B:B,"Sep",'Data - Monthly Metrics'!C:C,"South King",'Data - Monthly Metrics'!D:D,"Non-Target Locations - Lodging (#)"))=0,"-",(SUMIFS('Data - Monthly Metrics'!E:E,'Data - Monthly Metrics'!A:A,$B$4,'Data - Monthly Metrics'!B:B,"Sep",'Data - Monthly Metrics'!C:C,"South King",'Data - Monthly Metrics'!D:D,"Target Members - Lodging (#)")+SUMIFS('Data - Monthly Metrics'!E:E,'Data - Monthly Metrics'!A:A,$B$4,'Data - Monthly Metrics'!B:B,"Sep",'Data - Monthly Metrics'!C:C,"South King",'Data - Monthly Metrics'!D:D,"Non-Target Members - Lodging (#)"))/(SUMIFS('Data - Monthly Metrics'!E:E,'Data - Monthly Metrics'!A:A,$B$4,'Data - Monthly Metrics'!B:B,"Sep",'Data - Monthly Metrics'!C:C,"South King",'Data - Monthly Metrics'!D:D,"Total Target Locations - Lodging (#)")+SUMIFS('Data - Monthly Metrics'!E:E,'Data - Monthly Metrics'!A:A,$B$4,'Data - Monthly Metrics'!B:B,"Sep",'Data - Monthly Metrics'!C:C,"South King",'Data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Metrics'!C:C,"South King",'Data - Monthly Metrics'!D:D,"Total Target Locations - Restaurant (#)")+SUMIFS('Data - Monthly Metrics'!E:E,'Data - Monthly Metrics'!A:A,$B$4-1,'Data - Monthly Metrics'!B:B,"Oct",'Data - Monthly Metrics'!C:C,"South King",'Data - Monthly Metrics'!D:D,"Total Target Locations - Lodging (#)")+SUMIFS('Data - Monthly Metrics'!E:E,'Data - Monthly Metrics'!A:A,$B$4-1,'Data - Monthly Metrics'!B:B,"Oct",'Data - Monthly Metrics'!C:C,"South King",'Data - Monthly Metrics'!D:D,"Non-Target Locations - Restaurant (#)")+SUMIFS('Data - Monthly Metrics'!E:E,'Data - Monthly Metrics'!A:A,$B$4-1,'Data - Monthly Metrics'!B:B,"Oct",'Data - Monthly Metrics'!C:C,"South King",'Data - Monthly Metrics'!D:D,"Non-Target Locations - Lodging (#)"))=0,"-",(SUMIFS('Data - Monthly Metrics'!E:E,'Data - Monthly Metrics'!A:A,$B$4-1,'Data - Monthly Metrics'!B:B,"Oct",'Data - Monthly Metrics'!C:C,"South King",'Data - Monthly Metrics'!D:D,"Target Members - Restaurant (#)")+SUMIFS('Data - Monthly Metrics'!E:E,'Data - Monthly Metrics'!A:A,$B$4-1,'Data - Monthly Metrics'!B:B,"Oct",'Data - Monthly Metrics'!C:C,"South King",'Data - Monthly Metrics'!D:D,"Target Members - Lodging (#)")+SUMIFS('Data - Monthly Metrics'!E:E,'Data - Monthly Metrics'!A:A,$B$4-1,'Data - Monthly Metrics'!B:B,"Oct",'Data - Monthly Metrics'!C:C,"South King",'Data - Monthly Metrics'!D:D,"Non-Target Members - Restaurant (#)")+SUMIFS('Data - Monthly Metrics'!E:E,'Data - Monthly Metrics'!A:A,$B$4-1,'Data - Monthly Metrics'!B:B,"Oct",'Data - Monthly Metrics'!C:C,"South King",'Data - Monthly Metrics'!D:D,"Non-Target Members - Lodging (#)"))/(SUMIFS('Data - Monthly Metrics'!E:E,'Data - Monthly Metrics'!A:A,$B$4-1,'Data - Monthly Metrics'!B:B,"Oct",'Data - Monthly Metrics'!C:C,"South King",'Data - Monthly Metrics'!D:D,"Total Target Locations - Restaurant (#)")+SUMIFS('Data - Monthly Metrics'!E:E,'Data - Monthly Metrics'!A:A,$B$4-1,'Data - Monthly Metrics'!B:B,"Oct",'Data - Monthly Metrics'!C:C,"South King",'Data - Monthly Metrics'!D:D,"Total Target Locations - Lodging (#)")+SUMIFS('Data - Monthly Metrics'!E:E,'Data - Monthly Metrics'!A:A,$B$4-1,'Data - Monthly Metrics'!B:B,"Oct",'Data - Monthly Metrics'!C:C,"South King",'Data - Monthly Metrics'!D:D,"Non-Target Locations - Restaurant (#)")+SUMIFS('Data - Monthly Metrics'!E:E,'Data - Monthly Metrics'!A:A,$B$4-1,'Data - Monthly Metrics'!B:B,"Oct",'Data - Monthly Metrics'!C:C,"South King",'Data - Monthly Metrics'!D:D,"Non-Target Locations - Lodging (#)")))</f>
        <v/>
      </c>
      <c r="C31" s="115">
        <f>IF((SUMIFS('Data - Monthly Metrics'!E:E,'Data - Monthly Metrics'!A:A,$B$4-1,'Data - Monthly Metrics'!B:B,"Nov",'Data - Monthly Metrics'!C:C,"South King",'Data - Monthly Metrics'!D:D,"Total Target Locations - Restaurant (#)")+SUMIFS('Data - Monthly Metrics'!E:E,'Data - Monthly Metrics'!A:A,$B$4-1,'Data - Monthly Metrics'!B:B,"Nov",'Data - Monthly Metrics'!C:C,"South King",'Data - Monthly Metrics'!D:D,"Total Target Locations - Lodging (#)")+SUMIFS('Data - Monthly Metrics'!E:E,'Data - Monthly Metrics'!A:A,$B$4-1,'Data - Monthly Metrics'!B:B,"Nov",'Data - Monthly Metrics'!C:C,"South King",'Data - Monthly Metrics'!D:D,"Non-Target Locations - Restaurant (#)")+SUMIFS('Data - Monthly Metrics'!E:E,'Data - Monthly Metrics'!A:A,$B$4-1,'Data - Monthly Metrics'!B:B,"Nov",'Data - Monthly Metrics'!C:C,"South King",'Data - Monthly Metrics'!D:D,"Non-Target Locations - Lodging (#)"))=0,"-",(SUMIFS('Data - Monthly Metrics'!E:E,'Data - Monthly Metrics'!A:A,$B$4-1,'Data - Monthly Metrics'!B:B,"Nov",'Data - Monthly Metrics'!C:C,"South King",'Data - Monthly Metrics'!D:D,"Target Members - Restaurant (#)")+SUMIFS('Data - Monthly Metrics'!E:E,'Data - Monthly Metrics'!A:A,$B$4-1,'Data - Monthly Metrics'!B:B,"Nov",'Data - Monthly Metrics'!C:C,"South King",'Data - Monthly Metrics'!D:D,"Target Members - Lodging (#)")+SUMIFS('Data - Monthly Metrics'!E:E,'Data - Monthly Metrics'!A:A,$B$4-1,'Data - Monthly Metrics'!B:B,"Nov",'Data - Monthly Metrics'!C:C,"South King",'Data - Monthly Metrics'!D:D,"Non-Target Members - Restaurant (#)")+SUMIFS('Data - Monthly Metrics'!E:E,'Data - Monthly Metrics'!A:A,$B$4-1,'Data - Monthly Metrics'!B:B,"Nov",'Data - Monthly Metrics'!C:C,"South King",'Data - Monthly Metrics'!D:D,"Non-Target Members - Lodging (#)"))/(SUMIFS('Data - Monthly Metrics'!E:E,'Data - Monthly Metrics'!A:A,$B$4-1,'Data - Monthly Metrics'!B:B,"Nov",'Data - Monthly Metrics'!C:C,"South King",'Data - Monthly Metrics'!D:D,"Total Target Locations - Restaurant (#)")+SUMIFS('Data - Monthly Metrics'!E:E,'Data - Monthly Metrics'!A:A,$B$4-1,'Data - Monthly Metrics'!B:B,"Nov",'Data - Monthly Metrics'!C:C,"South King",'Data - Monthly Metrics'!D:D,"Total Target Locations - Lodging (#)")+SUMIFS('Data - Monthly Metrics'!E:E,'Data - Monthly Metrics'!A:A,$B$4-1,'Data - Monthly Metrics'!B:B,"Nov",'Data - Monthly Metrics'!C:C,"South King",'Data - Monthly Metrics'!D:D,"Non-Target Locations - Restaurant (#)")+SUMIFS('Data - Monthly Metrics'!E:E,'Data - Monthly Metrics'!A:A,$B$4-1,'Data - Monthly Metrics'!B:B,"Nov",'Data - Monthly Metrics'!C:C,"South King",'Data - Monthly Metrics'!D:D,"Non-Target Locations - Lodging (#)")))</f>
        <v/>
      </c>
      <c r="D31" s="115">
        <f>IF((SUMIFS('Data - Monthly Metrics'!E:E,'Data - Monthly Metrics'!A:A,$B$4-1,'Data - Monthly Metrics'!B:B,"Dec",'Data - Monthly Metrics'!C:C,"South King",'Data - Monthly Metrics'!D:D,"Total Target Locations - Restaurant (#)")+SUMIFS('Data - Monthly Metrics'!E:E,'Data - Monthly Metrics'!A:A,$B$4-1,'Data - Monthly Metrics'!B:B,"Dec",'Data - Monthly Metrics'!C:C,"South King",'Data - Monthly Metrics'!D:D,"Total Target Locations - Lodging (#)")+SUMIFS('Data - Monthly Metrics'!E:E,'Data - Monthly Metrics'!A:A,$B$4-1,'Data - Monthly Metrics'!B:B,"Dec",'Data - Monthly Metrics'!C:C,"South King",'Data - Monthly Metrics'!D:D,"Non-Target Locations - Restaurant (#)")+SUMIFS('Data - Monthly Metrics'!E:E,'Data - Monthly Metrics'!A:A,$B$4-1,'Data - Monthly Metrics'!B:B,"Dec",'Data - Monthly Metrics'!C:C,"South King",'Data - Monthly Metrics'!D:D,"Non-Target Locations - Lodging (#)"))=0,"-",(SUMIFS('Data - Monthly Metrics'!E:E,'Data - Monthly Metrics'!A:A,$B$4-1,'Data - Monthly Metrics'!B:B,"Dec",'Data - Monthly Metrics'!C:C,"South King",'Data - Monthly Metrics'!D:D,"Target Members - Restaurant (#)")+SUMIFS('Data - Monthly Metrics'!E:E,'Data - Monthly Metrics'!A:A,$B$4-1,'Data - Monthly Metrics'!B:B,"Dec",'Data - Monthly Metrics'!C:C,"South King",'Data - Monthly Metrics'!D:D,"Target Members - Lodging (#)")+SUMIFS('Data - Monthly Metrics'!E:E,'Data - Monthly Metrics'!A:A,$B$4-1,'Data - Monthly Metrics'!B:B,"Dec",'Data - Monthly Metrics'!C:C,"South King",'Data - Monthly Metrics'!D:D,"Non-Target Members - Restaurant (#)")+SUMIFS('Data - Monthly Metrics'!E:E,'Data - Monthly Metrics'!A:A,$B$4-1,'Data - Monthly Metrics'!B:B,"Dec",'Data - Monthly Metrics'!C:C,"South King",'Data - Monthly Metrics'!D:D,"Non-Target Members - Lodging (#)"))/(SUMIFS('Data - Monthly Metrics'!E:E,'Data - Monthly Metrics'!A:A,$B$4-1,'Data - Monthly Metrics'!B:B,"Dec",'Data - Monthly Metrics'!C:C,"South King",'Data - Monthly Metrics'!D:D,"Total Target Locations - Restaurant (#)")+SUMIFS('Data - Monthly Metrics'!E:E,'Data - Monthly Metrics'!A:A,$B$4-1,'Data - Monthly Metrics'!B:B,"Dec",'Data - Monthly Metrics'!C:C,"South King",'Data - Monthly Metrics'!D:D,"Total Target Locations - Lodging (#)")+SUMIFS('Data - Monthly Metrics'!E:E,'Data - Monthly Metrics'!A:A,$B$4-1,'Data - Monthly Metrics'!B:B,"Dec",'Data - Monthly Metrics'!C:C,"South King",'Data - Monthly Metrics'!D:D,"Non-Target Locations - Restaurant (#)")+SUMIFS('Data - Monthly Metrics'!E:E,'Data - Monthly Metrics'!A:A,$B$4-1,'Data - Monthly Metrics'!B:B,"Dec",'Data - Monthly Metrics'!C:C,"South King",'Data - Monthly Metrics'!D:D,"Non-Target Locations - Lodging (#)")))</f>
        <v/>
      </c>
      <c r="E31" s="116">
        <f>IF(ISNUMBER(D31),D31,IF(ISNUMBER(C31),C31,IF(ISNUMBER(B31),B31,"-")))</f>
        <v/>
      </c>
      <c r="F31" s="115">
        <f>IF((SUMIFS('Data - Monthly Metrics'!E:E,'Data - Monthly Metrics'!A:A,$B$4,'Data - Monthly Metrics'!B:B,"Jan",'Data - Monthly Metrics'!C:C,"South King",'Data - Monthly Metrics'!D:D,"Total Target Locations - Restaurant (#)")+SUMIFS('Data - Monthly Metrics'!E:E,'Data - Monthly Metrics'!A:A,$B$4,'Data - Monthly Metrics'!B:B,"Jan",'Data - Monthly Metrics'!C:C,"South King",'Data - Monthly Metrics'!D:D,"Total Target Locations - Lodging (#)")+SUMIFS('Data - Monthly Metrics'!E:E,'Data - Monthly Metrics'!A:A,$B$4,'Data - Monthly Metrics'!B:B,"Jan",'Data - Monthly Metrics'!C:C,"South King",'Data - Monthly Metrics'!D:D,"Non-Target Locations - Restaurant (#)")+SUMIFS('Data - Monthly Metrics'!E:E,'Data - Monthly Metrics'!A:A,$B$4,'Data - Monthly Metrics'!B:B,"Jan",'Data - Monthly Metrics'!C:C,"South King",'Data - Monthly Metrics'!D:D,"Non-Target Locations - Lodging (#)"))=0,"-",(SUMIFS('Data - Monthly Metrics'!E:E,'Data - Monthly Metrics'!A:A,$B$4,'Data - Monthly Metrics'!B:B,"Jan",'Data - Monthly Metrics'!C:C,"South King",'Data - Monthly Metrics'!D:D,"Target Members - Restaurant (#)")+SUMIFS('Data - Monthly Metrics'!E:E,'Data - Monthly Metrics'!A:A,$B$4,'Data - Monthly Metrics'!B:B,"Jan",'Data - Monthly Metrics'!C:C,"South King",'Data - Monthly Metrics'!D:D,"Target Members - Lodging (#)")+SUMIFS('Data - Monthly Metrics'!E:E,'Data - Monthly Metrics'!A:A,$B$4,'Data - Monthly Metrics'!B:B,"Jan",'Data - Monthly Metrics'!C:C,"South King",'Data - Monthly Metrics'!D:D,"Non-Target Members - Restaurant (#)")+SUMIFS('Data - Monthly Metrics'!E:E,'Data - Monthly Metrics'!A:A,$B$4,'Data - Monthly Metrics'!B:B,"Jan",'Data - Monthly Metrics'!C:C,"South King",'Data - Monthly Metrics'!D:D,"Non-Target Members - Lodging (#)"))/(SUMIFS('Data - Monthly Metrics'!E:E,'Data - Monthly Metrics'!A:A,$B$4,'Data - Monthly Metrics'!B:B,"Jan",'Data - Monthly Metrics'!C:C,"South King",'Data - Monthly Metrics'!D:D,"Total Target Locations - Restaurant (#)")+SUMIFS('Data - Monthly Metrics'!E:E,'Data - Monthly Metrics'!A:A,$B$4,'Data - Monthly Metrics'!B:B,"Jan",'Data - Monthly Metrics'!C:C,"South King",'Data - Monthly Metrics'!D:D,"Total Target Locations - Lodging (#)")+SUMIFS('Data - Monthly Metrics'!E:E,'Data - Monthly Metrics'!A:A,$B$4,'Data - Monthly Metrics'!B:B,"Jan",'Data - Monthly Metrics'!C:C,"South King",'Data - Monthly Metrics'!D:D,"Non-Target Locations - Restaurant (#)")+SUMIFS('Data - Monthly Metrics'!E:E,'Data - Monthly Metrics'!A:A,$B$4,'Data - Monthly Metrics'!B:B,"Jan",'Data - Monthly Metrics'!C:C,"South King",'Data - Monthly Metrics'!D:D,"Non-Target Locations - Lodging (#)")))</f>
        <v/>
      </c>
      <c r="G31" s="115">
        <f>IF((SUMIFS('Data - Monthly Metrics'!E:E,'Data - Monthly Metrics'!A:A,$B$4,'Data - Monthly Metrics'!B:B,"Feb",'Data - Monthly Metrics'!C:C,"South King",'Data - Monthly Metrics'!D:D,"Total Target Locations - Restaurant (#)")+SUMIFS('Data - Monthly Metrics'!E:E,'Data - Monthly Metrics'!A:A,$B$4,'Data - Monthly Metrics'!B:B,"Feb",'Data - Monthly Metrics'!C:C,"South King",'Data - Monthly Metrics'!D:D,"Total Target Locations - Lodging (#)")+SUMIFS('Data - Monthly Metrics'!E:E,'Data - Monthly Metrics'!A:A,$B$4,'Data - Monthly Metrics'!B:B,"Feb",'Data - Monthly Metrics'!C:C,"South King",'Data - Monthly Metrics'!D:D,"Non-Target Locations - Restaurant (#)")+SUMIFS('Data - Monthly Metrics'!E:E,'Data - Monthly Metrics'!A:A,$B$4,'Data - Monthly Metrics'!B:B,"Feb",'Data - Monthly Metrics'!C:C,"South King",'Data - Monthly Metrics'!D:D,"Non-Target Locations - Lodging (#)"))=0,"-",(SUMIFS('Data - Monthly Metrics'!E:E,'Data - Monthly Metrics'!A:A,$B$4,'Data - Monthly Metrics'!B:B,"Feb",'Data - Monthly Metrics'!C:C,"South King",'Data - Monthly Metrics'!D:D,"Target Members - Restaurant (#)")+SUMIFS('Data - Monthly Metrics'!E:E,'Data - Monthly Metrics'!A:A,$B$4,'Data - Monthly Metrics'!B:B,"Feb",'Data - Monthly Metrics'!C:C,"South King",'Data - Monthly Metrics'!D:D,"Target Members - Lodging (#)")+SUMIFS('Data - Monthly Metrics'!E:E,'Data - Monthly Metrics'!A:A,$B$4,'Data - Monthly Metrics'!B:B,"Feb",'Data - Monthly Metrics'!C:C,"South King",'Data - Monthly Metrics'!D:D,"Non-Target Members - Restaurant (#)")+SUMIFS('Data - Monthly Metrics'!E:E,'Data - Monthly Metrics'!A:A,$B$4,'Data - Monthly Metrics'!B:B,"Feb",'Data - Monthly Metrics'!C:C,"South King",'Data - Monthly Metrics'!D:D,"Non-Target Members - Lodging (#)"))/(SUMIFS('Data - Monthly Metrics'!E:E,'Data - Monthly Metrics'!A:A,$B$4,'Data - Monthly Metrics'!B:B,"Feb",'Data - Monthly Metrics'!C:C,"South King",'Data - Monthly Metrics'!D:D,"Total Target Locations - Restaurant (#)")+SUMIFS('Data - Monthly Metrics'!E:E,'Data - Monthly Metrics'!A:A,$B$4,'Data - Monthly Metrics'!B:B,"Feb",'Data - Monthly Metrics'!C:C,"South King",'Data - Monthly Metrics'!D:D,"Total Target Locations - Lodging (#)")+SUMIFS('Data - Monthly Metrics'!E:E,'Data - Monthly Metrics'!A:A,$B$4,'Data - Monthly Metrics'!B:B,"Feb",'Data - Monthly Metrics'!C:C,"South King",'Data - Monthly Metrics'!D:D,"Non-Target Locations - Restaurant (#)")+SUMIFS('Data - Monthly Metrics'!E:E,'Data - Monthly Metrics'!A:A,$B$4,'Data - Monthly Metrics'!B:B,"Feb",'Data - Monthly Metrics'!C:C,"South King",'Data - Monthly Metrics'!D:D,"Non-Target Locations - Lodging (#)")))</f>
        <v/>
      </c>
      <c r="H31" s="115">
        <f>IF((SUMIFS('Data - Monthly Metrics'!E:E,'Data - Monthly Metrics'!A:A,$B$4,'Data - Monthly Metrics'!B:B,"Mar",'Data - Monthly Metrics'!C:C,"South King",'Data - Monthly Metrics'!D:D,"Total Target Locations - Restaurant (#)")+SUMIFS('Data - Monthly Metrics'!E:E,'Data - Monthly Metrics'!A:A,$B$4,'Data - Monthly Metrics'!B:B,"Mar",'Data - Monthly Metrics'!C:C,"South King",'Data - Monthly Metrics'!D:D,"Total Target Locations - Lodging (#)")+SUMIFS('Data - Monthly Metrics'!E:E,'Data - Monthly Metrics'!A:A,$B$4,'Data - Monthly Metrics'!B:B,"Mar",'Data - Monthly Metrics'!C:C,"South King",'Data - Monthly Metrics'!D:D,"Non-Target Locations - Restaurant (#)")+SUMIFS('Data - Monthly Metrics'!E:E,'Data - Monthly Metrics'!A:A,$B$4,'Data - Monthly Metrics'!B:B,"Mar",'Data - Monthly Metrics'!C:C,"South King",'Data - Monthly Metrics'!D:D,"Non-Target Locations - Lodging (#)"))=0,"-",(SUMIFS('Data - Monthly Metrics'!E:E,'Data - Monthly Metrics'!A:A,$B$4,'Data - Monthly Metrics'!B:B,"Mar",'Data - Monthly Metrics'!C:C,"South King",'Data - Monthly Metrics'!D:D,"Target Members - Restaurant (#)")+SUMIFS('Data - Monthly Metrics'!E:E,'Data - Monthly Metrics'!A:A,$B$4,'Data - Monthly Metrics'!B:B,"Mar",'Data - Monthly Metrics'!C:C,"South King",'Data - Monthly Metrics'!D:D,"Target Members - Lodging (#)")+SUMIFS('Data - Monthly Metrics'!E:E,'Data - Monthly Metrics'!A:A,$B$4,'Data - Monthly Metrics'!B:B,"Mar",'Data - Monthly Metrics'!C:C,"South King",'Data - Monthly Metrics'!D:D,"Non-Target Members - Restaurant (#)")+SUMIFS('Data - Monthly Metrics'!E:E,'Data - Monthly Metrics'!A:A,$B$4,'Data - Monthly Metrics'!B:B,"Mar",'Data - Monthly Metrics'!C:C,"South King",'Data - Monthly Metrics'!D:D,"Non-Target Members - Lodging (#)"))/(SUMIFS('Data - Monthly Metrics'!E:E,'Data - Monthly Metrics'!A:A,$B$4,'Data - Monthly Metrics'!B:B,"Mar",'Data - Monthly Metrics'!C:C,"South King",'Data - Monthly Metrics'!D:D,"Total Target Locations - Restaurant (#)")+SUMIFS('Data - Monthly Metrics'!E:E,'Data - Monthly Metrics'!A:A,$B$4,'Data - Monthly Metrics'!B:B,"Mar",'Data - Monthly Metrics'!C:C,"South King",'Data - Monthly Metrics'!D:D,"Total Target Locations - Lodging (#)")+SUMIFS('Data - Monthly Metrics'!E:E,'Data - Monthly Metrics'!A:A,$B$4,'Data - Monthly Metrics'!B:B,"Mar",'Data - Monthly Metrics'!C:C,"South King",'Data - Monthly Metrics'!D:D,"Non-Target Locations - Restaurant (#)")+SUMIFS('Data - Monthly Metrics'!E:E,'Data - Monthly Metrics'!A:A,$B$4,'Data - Monthly Metrics'!B:B,"Mar",'Data - Monthly Metrics'!C:C,"South King",'Data - Monthly Metrics'!D:D,"Non-Target Locations - Lodging (#)")))</f>
        <v/>
      </c>
      <c r="I31" s="116">
        <f>IF(ISNUMBER(H31),H31,IF(ISNUMBER(G31),G31,IF(ISNUMBER(F31),F31,"-")))</f>
        <v/>
      </c>
      <c r="J31" s="115">
        <f>IF((SUMIFS('Data - Monthly Metrics'!E:E,'Data - Monthly Metrics'!A:A,$B$4,'Data - Monthly Metrics'!B:B,"Apr",'Data - Monthly Metrics'!C:C,"South King",'Data - Monthly Metrics'!D:D,"Total Target Locations - Restaurant (#)")+SUMIFS('Data - Monthly Metrics'!E:E,'Data - Monthly Metrics'!A:A,$B$4,'Data - Monthly Metrics'!B:B,"Apr",'Data - Monthly Metrics'!C:C,"South King",'Data - Monthly Metrics'!D:D,"Total Target Locations - Lodging (#)")+SUMIFS('Data - Monthly Metrics'!E:E,'Data - Monthly Metrics'!A:A,$B$4,'Data - Monthly Metrics'!B:B,"Apr",'Data - Monthly Metrics'!C:C,"South King",'Data - Monthly Metrics'!D:D,"Non-Target Locations - Restaurant (#)")+SUMIFS('Data - Monthly Metrics'!E:E,'Data - Monthly Metrics'!A:A,$B$4,'Data - Monthly Metrics'!B:B,"Apr",'Data - Monthly Metrics'!C:C,"South King",'Data - Monthly Metrics'!D:D,"Non-Target Locations - Lodging (#)"))=0,"-",(SUMIFS('Data - Monthly Metrics'!E:E,'Data - Monthly Metrics'!A:A,$B$4,'Data - Monthly Metrics'!B:B,"Apr",'Data - Monthly Metrics'!C:C,"South King",'Data - Monthly Metrics'!D:D,"Target Members - Restaurant (#)")+SUMIFS('Data - Monthly Metrics'!E:E,'Data - Monthly Metrics'!A:A,$B$4,'Data - Monthly Metrics'!B:B,"Apr",'Data - Monthly Metrics'!C:C,"South King",'Data - Monthly Metrics'!D:D,"Target Members - Lodging (#)")+SUMIFS('Data - Monthly Metrics'!E:E,'Data - Monthly Metrics'!A:A,$B$4,'Data - Monthly Metrics'!B:B,"Apr",'Data - Monthly Metrics'!C:C,"South King",'Data - Monthly Metrics'!D:D,"Non-Target Members - Restaurant (#)")+SUMIFS('Data - Monthly Metrics'!E:E,'Data - Monthly Metrics'!A:A,$B$4,'Data - Monthly Metrics'!B:B,"Apr",'Data - Monthly Metrics'!C:C,"South King",'Data - Monthly Metrics'!D:D,"Non-Target Members - Lodging (#)"))/(SUMIFS('Data - Monthly Metrics'!E:E,'Data - Monthly Metrics'!A:A,$B$4,'Data - Monthly Metrics'!B:B,"Apr",'Data - Monthly Metrics'!C:C,"South King",'Data - Monthly Metrics'!D:D,"Total Target Locations - Restaurant (#)")+SUMIFS('Data - Monthly Metrics'!E:E,'Data - Monthly Metrics'!A:A,$B$4,'Data - Monthly Metrics'!B:B,"Apr",'Data - Monthly Metrics'!C:C,"South King",'Data - Monthly Metrics'!D:D,"Total Target Locations - Lodging (#)")+SUMIFS('Data - Monthly Metrics'!E:E,'Data - Monthly Metrics'!A:A,$B$4,'Data - Monthly Metrics'!B:B,"Apr",'Data - Monthly Metrics'!C:C,"South King",'Data - Monthly Metrics'!D:D,"Non-Target Locations - Restaurant (#)")+SUMIFS('Data - Monthly Metrics'!E:E,'Data - Monthly Metrics'!A:A,$B$4,'Data - Monthly Metrics'!B:B,"Apr",'Data - Monthly Metrics'!C:C,"South King",'Data - Monthly Metrics'!D:D,"Non-Target Locations - Lodging (#)")))</f>
        <v/>
      </c>
      <c r="K31" s="115">
        <f>IF((SUMIFS('Data - Monthly Metrics'!E:E,'Data - Monthly Metrics'!A:A,$B$4,'Data - Monthly Metrics'!B:B,"May",'Data - Monthly Metrics'!C:C,"South King",'Data - Monthly Metrics'!D:D,"Total Target Locations - Restaurant (#)")+SUMIFS('Data - Monthly Metrics'!E:E,'Data - Monthly Metrics'!A:A,$B$4,'Data - Monthly Metrics'!B:B,"May",'Data - Monthly Metrics'!C:C,"South King",'Data - Monthly Metrics'!D:D,"Total Target Locations - Lodging (#)")+SUMIFS('Data - Monthly Metrics'!E:E,'Data - Monthly Metrics'!A:A,$B$4,'Data - Monthly Metrics'!B:B,"May",'Data - Monthly Metrics'!C:C,"South King",'Data - Monthly Metrics'!D:D,"Non-Target Locations - Restaurant (#)")+SUMIFS('Data - Monthly Metrics'!E:E,'Data - Monthly Metrics'!A:A,$B$4,'Data - Monthly Metrics'!B:B,"May",'Data - Monthly Metrics'!C:C,"South King",'Data - Monthly Metrics'!D:D,"Non-Target Locations - Lodging (#)"))=0,"-",(SUMIFS('Data - Monthly Metrics'!E:E,'Data - Monthly Metrics'!A:A,$B$4,'Data - Monthly Metrics'!B:B,"May",'Data - Monthly Metrics'!C:C,"South King",'Data - Monthly Metrics'!D:D,"Target Members - Restaurant (#)")+SUMIFS('Data - Monthly Metrics'!E:E,'Data - Monthly Metrics'!A:A,$B$4,'Data - Monthly Metrics'!B:B,"May",'Data - Monthly Metrics'!C:C,"South King",'Data - Monthly Metrics'!D:D,"Target Members - Lodging (#)")+SUMIFS('Data - Monthly Metrics'!E:E,'Data - Monthly Metrics'!A:A,$B$4,'Data - Monthly Metrics'!B:B,"May",'Data - Monthly Metrics'!C:C,"South King",'Data - Monthly Metrics'!D:D,"Non-Target Members - Restaurant (#)")+SUMIFS('Data - Monthly Metrics'!E:E,'Data - Monthly Metrics'!A:A,$B$4,'Data - Monthly Metrics'!B:B,"May",'Data - Monthly Metrics'!C:C,"South King",'Data - Monthly Metrics'!D:D,"Non-Target Members - Lodging (#)"))/(SUMIFS('Data - Monthly Metrics'!E:E,'Data - Monthly Metrics'!A:A,$B$4,'Data - Monthly Metrics'!B:B,"May",'Data - Monthly Metrics'!C:C,"South King",'Data - Monthly Metrics'!D:D,"Total Target Locations - Restaurant (#)")+SUMIFS('Data - Monthly Metrics'!E:E,'Data - Monthly Metrics'!A:A,$B$4,'Data - Monthly Metrics'!B:B,"May",'Data - Monthly Metrics'!C:C,"South King",'Data - Monthly Metrics'!D:D,"Total Target Locations - Lodging (#)")+SUMIFS('Data - Monthly Metrics'!E:E,'Data - Monthly Metrics'!A:A,$B$4,'Data - Monthly Metrics'!B:B,"May",'Data - Monthly Metrics'!C:C,"South King",'Data - Monthly Metrics'!D:D,"Non-Target Locations - Restaurant (#)")+SUMIFS('Data - Monthly Metrics'!E:E,'Data - Monthly Metrics'!A:A,$B$4,'Data - Monthly Metrics'!B:B,"May",'Data - Monthly Metrics'!C:C,"South King",'Data - Monthly Metrics'!D:D,"Non-Target Locations - Lodging (#)")))</f>
        <v/>
      </c>
      <c r="L31" s="115">
        <f>IF((SUMIFS('Data - Monthly Metrics'!E:E,'Data - Monthly Metrics'!A:A,$B$4,'Data - Monthly Metrics'!B:B,"Jun",'Data - Monthly Metrics'!C:C,"South King",'Data - Monthly Metrics'!D:D,"Total Target Locations - Restaurant (#)")+SUMIFS('Data - Monthly Metrics'!E:E,'Data - Monthly Metrics'!A:A,$B$4,'Data - Monthly Metrics'!B:B,"Jun",'Data - Monthly Metrics'!C:C,"South King",'Data - Monthly Metrics'!D:D,"Total Target Locations - Lodging (#)")+SUMIFS('Data - Monthly Metrics'!E:E,'Data - Monthly Metrics'!A:A,$B$4,'Data - Monthly Metrics'!B:B,"Jun",'Data - Monthly Metrics'!C:C,"South King",'Data - Monthly Metrics'!D:D,"Non-Target Locations - Restaurant (#)")+SUMIFS('Data - Monthly Metrics'!E:E,'Data - Monthly Metrics'!A:A,$B$4,'Data - Monthly Metrics'!B:B,"Jun",'Data - Monthly Metrics'!C:C,"South King",'Data - Monthly Metrics'!D:D,"Non-Target Locations - Lodging (#)"))=0,"-",(SUMIFS('Data - Monthly Metrics'!E:E,'Data - Monthly Metrics'!A:A,$B$4,'Data - Monthly Metrics'!B:B,"Jun",'Data - Monthly Metrics'!C:C,"South King",'Data - Monthly Metrics'!D:D,"Target Members - Restaurant (#)")+SUMIFS('Data - Monthly Metrics'!E:E,'Data - Monthly Metrics'!A:A,$B$4,'Data - Monthly Metrics'!B:B,"Jun",'Data - Monthly Metrics'!C:C,"South King",'Data - Monthly Metrics'!D:D,"Target Members - Lodging (#)")+SUMIFS('Data - Monthly Metrics'!E:E,'Data - Monthly Metrics'!A:A,$B$4,'Data - Monthly Metrics'!B:B,"Jun",'Data - Monthly Metrics'!C:C,"South King",'Data - Monthly Metrics'!D:D,"Non-Target Members - Restaurant (#)")+SUMIFS('Data - Monthly Metrics'!E:E,'Data - Monthly Metrics'!A:A,$B$4,'Data - Monthly Metrics'!B:B,"Jun",'Data - Monthly Metrics'!C:C,"South King",'Data - Monthly Metrics'!D:D,"Non-Target Members - Lodging (#)"))/(SUMIFS('Data - Monthly Metrics'!E:E,'Data - Monthly Metrics'!A:A,$B$4,'Data - Monthly Metrics'!B:B,"Jun",'Data - Monthly Metrics'!C:C,"South King",'Data - Monthly Metrics'!D:D,"Total Target Locations - Restaurant (#)")+SUMIFS('Data - Monthly Metrics'!E:E,'Data - Monthly Metrics'!A:A,$B$4,'Data - Monthly Metrics'!B:B,"Jun",'Data - Monthly Metrics'!C:C,"South King",'Data - Monthly Metrics'!D:D,"Total Target Locations - Lodging (#)")+SUMIFS('Data - Monthly Metrics'!E:E,'Data - Monthly Metrics'!A:A,$B$4,'Data - Monthly Metrics'!B:B,"Jun",'Data - Monthly Metrics'!C:C,"South King",'Data - Monthly Metrics'!D:D,"Non-Target Locations - Restaurant (#)")+SUMIFS('Data - Monthly Metrics'!E:E,'Data - Monthly Metrics'!A:A,$B$4,'Data - Monthly Metrics'!B:B,"Jun",'Data - Monthly Metrics'!C:C,"South King",'Data - Monthly Metrics'!D:D,"Non-Target Locations - Lodging (#)")))</f>
        <v/>
      </c>
      <c r="M31" s="116">
        <f>IF(ISNUMBER(L31),L31,IF(ISNUMBER(K31),K31,IF(ISNUMBER(J31),J31,"-")))</f>
        <v/>
      </c>
      <c r="N31" s="115">
        <f>IF((SUMIFS('Data - Monthly Metrics'!E:E,'Data - Monthly Metrics'!A:A,$B$4,'Data - Monthly Metrics'!B:B,"Jul",'Data - Monthly Metrics'!C:C,"South King",'Data - Monthly Metrics'!D:D,"Total Target Locations - Restaurant (#)")+SUMIFS('Data - Monthly Metrics'!E:E,'Data - Monthly Metrics'!A:A,$B$4,'Data - Monthly Metrics'!B:B,"Jul",'Data - Monthly Metrics'!C:C,"South King",'Data - Monthly Metrics'!D:D,"Total Target Locations - Lodging (#)")+SUMIFS('Data - Monthly Metrics'!E:E,'Data - Monthly Metrics'!A:A,$B$4,'Data - Monthly Metrics'!B:B,"Jul",'Data - Monthly Metrics'!C:C,"South King",'Data - Monthly Metrics'!D:D,"Non-Target Locations - Restaurant (#)")+SUMIFS('Data - Monthly Metrics'!E:E,'Data - Monthly Metrics'!A:A,$B$4,'Data - Monthly Metrics'!B:B,"Jul",'Data - Monthly Metrics'!C:C,"South King",'Data - Monthly Metrics'!D:D,"Non-Target Locations - Lodging (#)"))=0,"-",(SUMIFS('Data - Monthly Metrics'!E:E,'Data - Monthly Metrics'!A:A,$B$4,'Data - Monthly Metrics'!B:B,"Jul",'Data - Monthly Metrics'!C:C,"South King",'Data - Monthly Metrics'!D:D,"Target Members - Restaurant (#)")+SUMIFS('Data - Monthly Metrics'!E:E,'Data - Monthly Metrics'!A:A,$B$4,'Data - Monthly Metrics'!B:B,"Jul",'Data - Monthly Metrics'!C:C,"South King",'Data - Monthly Metrics'!D:D,"Target Members - Lodging (#)")+SUMIFS('Data - Monthly Metrics'!E:E,'Data - Monthly Metrics'!A:A,$B$4,'Data - Monthly Metrics'!B:B,"Jul",'Data - Monthly Metrics'!C:C,"South King",'Data - Monthly Metrics'!D:D,"Non-Target Members - Restaurant (#)")+SUMIFS('Data - Monthly Metrics'!E:E,'Data - Monthly Metrics'!A:A,$B$4,'Data - Monthly Metrics'!B:B,"Jul",'Data - Monthly Metrics'!C:C,"South King",'Data - Monthly Metrics'!D:D,"Non-Target Members - Lodging (#)"))/(SUMIFS('Data - Monthly Metrics'!E:E,'Data - Monthly Metrics'!A:A,$B$4,'Data - Monthly Metrics'!B:B,"Jul",'Data - Monthly Metrics'!C:C,"South King",'Data - Monthly Metrics'!D:D,"Total Target Locations - Restaurant (#)")+SUMIFS('Data - Monthly Metrics'!E:E,'Data - Monthly Metrics'!A:A,$B$4,'Data - Monthly Metrics'!B:B,"Jul",'Data - Monthly Metrics'!C:C,"South King",'Data - Monthly Metrics'!D:D,"Total Target Locations - Lodging (#)")+SUMIFS('Data - Monthly Metrics'!E:E,'Data - Monthly Metrics'!A:A,$B$4,'Data - Monthly Metrics'!B:B,"Jul",'Data - Monthly Metrics'!C:C,"South King",'Data - Monthly Metrics'!D:D,"Non-Target Locations - Restaurant (#)")+SUMIFS('Data - Monthly Metrics'!E:E,'Data - Monthly Metrics'!A:A,$B$4,'Data - Monthly Metrics'!B:B,"Jul",'Data - Monthly Metrics'!C:C,"South King",'Data - Monthly Metrics'!D:D,"Non-Target Locations - Lodging (#)")))</f>
        <v/>
      </c>
      <c r="O31" s="115">
        <f>IF((SUMIFS('Data - Monthly Metrics'!E:E,'Data - Monthly Metrics'!A:A,$B$4,'Data - Monthly Metrics'!B:B,"Aug",'Data - Monthly Metrics'!C:C,"South King",'Data - Monthly Metrics'!D:D,"Total Target Locations - Restaurant (#)")+SUMIFS('Data - Monthly Metrics'!E:E,'Data - Monthly Metrics'!A:A,$B$4,'Data - Monthly Metrics'!B:B,"Aug",'Data - Monthly Metrics'!C:C,"South King",'Data - Monthly Metrics'!D:D,"Total Target Locations - Lodging (#)")+SUMIFS('Data - Monthly Metrics'!E:E,'Data - Monthly Metrics'!A:A,$B$4,'Data - Monthly Metrics'!B:B,"Aug",'Data - Monthly Metrics'!C:C,"South King",'Data - Monthly Metrics'!D:D,"Non-Target Locations - Restaurant (#)")+SUMIFS('Data - Monthly Metrics'!E:E,'Data - Monthly Metrics'!A:A,$B$4,'Data - Monthly Metrics'!B:B,"Aug",'Data - Monthly Metrics'!C:C,"South King",'Data - Monthly Metrics'!D:D,"Non-Target Locations - Lodging (#)"))=0,"-",(SUMIFS('Data - Monthly Metrics'!E:E,'Data - Monthly Metrics'!A:A,$B$4,'Data - Monthly Metrics'!B:B,"Aug",'Data - Monthly Metrics'!C:C,"South King",'Data - Monthly Metrics'!D:D,"Target Members - Restaurant (#)")+SUMIFS('Data - Monthly Metrics'!E:E,'Data - Monthly Metrics'!A:A,$B$4,'Data - Monthly Metrics'!B:B,"Aug",'Data - Monthly Metrics'!C:C,"South King",'Data - Monthly Metrics'!D:D,"Target Members - Lodging (#)")+SUMIFS('Data - Monthly Metrics'!E:E,'Data - Monthly Metrics'!A:A,$B$4,'Data - Monthly Metrics'!B:B,"Aug",'Data - Monthly Metrics'!C:C,"South King",'Data - Monthly Metrics'!D:D,"Non-Target Members - Restaurant (#)")+SUMIFS('Data - Monthly Metrics'!E:E,'Data - Monthly Metrics'!A:A,$B$4,'Data - Monthly Metrics'!B:B,"Aug",'Data - Monthly Metrics'!C:C,"South King",'Data - Monthly Metrics'!D:D,"Non-Target Members - Lodging (#)"))/(SUMIFS('Data - Monthly Metrics'!E:E,'Data - Monthly Metrics'!A:A,$B$4,'Data - Monthly Metrics'!B:B,"Aug",'Data - Monthly Metrics'!C:C,"South King",'Data - Monthly Metrics'!D:D,"Total Target Locations - Restaurant (#)")+SUMIFS('Data - Monthly Metrics'!E:E,'Data - Monthly Metrics'!A:A,$B$4,'Data - Monthly Metrics'!B:B,"Aug",'Data - Monthly Metrics'!C:C,"South King",'Data - Monthly Metrics'!D:D,"Total Target Locations - Lodging (#)")+SUMIFS('Data - Monthly Metrics'!E:E,'Data - Monthly Metrics'!A:A,$B$4,'Data - Monthly Metrics'!B:B,"Aug",'Data - Monthly Metrics'!C:C,"South King",'Data - Monthly Metrics'!D:D,"Non-Target Locations - Restaurant (#)")+SUMIFS('Data - Monthly Metrics'!E:E,'Data - Monthly Metrics'!A:A,$B$4,'Data - Monthly Metrics'!B:B,"Aug",'Data - Monthly Metrics'!C:C,"South King",'Data - Monthly Metrics'!D:D,"Non-Target Locations - Lodging (#)")))</f>
        <v/>
      </c>
      <c r="P31" s="115">
        <f>IF((SUMIFS('Data - Monthly Metrics'!E:E,'Data - Monthly Metrics'!A:A,$B$4,'Data - Monthly Metrics'!B:B,"Sep",'Data - Monthly Metrics'!C:C,"South King",'Data - Monthly Metrics'!D:D,"Total Target Locations - Restaurant (#)")+SUMIFS('Data - Monthly Metrics'!E:E,'Data - Monthly Metrics'!A:A,$B$4,'Data - Monthly Metrics'!B:B,"Sep",'Data - Monthly Metrics'!C:C,"South King",'Data - Monthly Metrics'!D:D,"Total Target Locations - Lodging (#)")+SUMIFS('Data - Monthly Metrics'!E:E,'Data - Monthly Metrics'!A:A,$B$4,'Data - Monthly Metrics'!B:B,"Sep",'Data - Monthly Metrics'!C:C,"South King",'Data - Monthly Metrics'!D:D,"Non-Target Locations - Restaurant (#)")+SUMIFS('Data - Monthly Metrics'!E:E,'Data - Monthly Metrics'!A:A,$B$4,'Data - Monthly Metrics'!B:B,"Sep",'Data - Monthly Metrics'!C:C,"South King",'Data - Monthly Metrics'!D:D,"Non-Target Locations - Lodging (#)"))=0,"-",(SUMIFS('Data - Monthly Metrics'!E:E,'Data - Monthly Metrics'!A:A,$B$4,'Data - Monthly Metrics'!B:B,"Sep",'Data - Monthly Metrics'!C:C,"South King",'Data - Monthly Metrics'!D:D,"Target Members - Restaurant (#)")+SUMIFS('Data - Monthly Metrics'!E:E,'Data - Monthly Metrics'!A:A,$B$4,'Data - Monthly Metrics'!B:B,"Sep",'Data - Monthly Metrics'!C:C,"South King",'Data - Monthly Metrics'!D:D,"Target Members - Lodging (#)")+SUMIFS('Data - Monthly Metrics'!E:E,'Data - Monthly Metrics'!A:A,$B$4,'Data - Monthly Metrics'!B:B,"Sep",'Data - Monthly Metrics'!C:C,"South King",'Data - Monthly Metrics'!D:D,"Non-Target Members - Restaurant (#)")+SUMIFS('Data - Monthly Metrics'!E:E,'Data - Monthly Metrics'!A:A,$B$4,'Data - Monthly Metrics'!B:B,"Sep",'Data - Monthly Metrics'!C:C,"South King",'Data - Monthly Metrics'!D:D,"Non-Target Members - Lodging (#)"))/(SUMIFS('Data - Monthly Metrics'!E:E,'Data - Monthly Metrics'!A:A,$B$4,'Data - Monthly Metrics'!B:B,"Sep",'Data - Monthly Metrics'!C:C,"South King",'Data - Monthly Metrics'!D:D,"Total Target Locations - Restaurant (#)")+SUMIFS('Data - Monthly Metrics'!E:E,'Data - Monthly Metrics'!A:A,$B$4,'Data - Monthly Metrics'!B:B,"Sep",'Data - Monthly Metrics'!C:C,"South King",'Data - Monthly Metrics'!D:D,"Total Target Locations - Lodging (#)")+SUMIFS('Data - Monthly Metrics'!E:E,'Data - Monthly Metrics'!A:A,$B$4,'Data - Monthly Metrics'!B:B,"Sep",'Data - Monthly Metrics'!C:C,"South King",'Data - Monthly Metrics'!D:D,"Non-Target Locations - Restaurant (#)")+SUMIFS('Data - Monthly Metrics'!E:E,'Data - Monthly Metrics'!A:A,$B$4,'Data - Monthly Metrics'!B:B,"Sep",'Data - Monthly Metrics'!C:C,"South King",'Data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Metrics'!C:C,"South King",'Data - Monthly Metrics'!D:D,"Goal - New Sales Revenue ($)")=0,"-",SUMIFS('Data - Monthly Metrics'!E:E,'Data - Monthly Metrics'!A:A,$B$4-1,'Data - Monthly Metrics'!B:B,"Oct",'Data - Monthly Metrics'!C:C,"South King",'Data - Monthly Metrics'!D:D,"Goal - New Sales Revenue ($)"))</f>
        <v/>
      </c>
      <c r="C37" s="91">
        <f>IF(COUNTIFS('Data - Monthly Metrics'!A:A,$B$4-1,'Data - Monthly Metrics'!B:B,"Nov",'Data - Monthly Metrics'!C:C,"South King",'Data - Monthly Metrics'!D:D,"Goal - New Sales Revenue ($)")=0,"-",SUMIFS('Data - Monthly Metrics'!E:E,'Data - Monthly Metrics'!A:A,$B$4-1,'Data - Monthly Metrics'!B:B,"Nov",'Data - Monthly Metrics'!C:C,"South King",'Data - Monthly Metrics'!D:D,"Goal - New Sales Revenue ($)"))</f>
        <v/>
      </c>
      <c r="D37" s="91">
        <f>IF(COUNTIFS('Data - Monthly Metrics'!A:A,$B$4-1,'Data - Monthly Metrics'!B:B,"Dec",'Data - Monthly Metrics'!C:C,"South King",'Data - Monthly Metrics'!D:D,"Goal - New Sales Revenue ($)")=0,"-",SUMIFS('Data - Monthly Metrics'!E:E,'Data - Monthly Metrics'!A:A,$B$4-1,'Data - Monthly Metrics'!B:B,"Dec",'Data - Monthly Metrics'!C:C,"South King",'Data - Monthly Metrics'!D:D,"Goal - New Sales Revenue ($)"))</f>
        <v/>
      </c>
      <c r="E37" s="101">
        <f>SUM(B37,C37,D37)</f>
        <v/>
      </c>
      <c r="F37" s="91">
        <f>IF(COUNTIFS('Data - Monthly Metrics'!A:A,$B$4,'Data - Monthly Metrics'!B:B,"Jan",'Data - Monthly Metrics'!C:C,"South King",'Data - Monthly Metrics'!D:D,"Goal - New Sales Revenue ($)")=0,"-",SUMIFS('Data - Monthly Metrics'!E:E,'Data - Monthly Metrics'!A:A,$B$4,'Data - Monthly Metrics'!B:B,"Jan",'Data - Monthly Metrics'!C:C,"South King",'Data - Monthly Metrics'!D:D,"Goal - New Sales Revenue ($)"))</f>
        <v/>
      </c>
      <c r="G37" s="91">
        <f>IF(COUNTIFS('Data - Monthly Metrics'!A:A,$B$4,'Data - Monthly Metrics'!B:B,"Feb",'Data - Monthly Metrics'!C:C,"South King",'Data - Monthly Metrics'!D:D,"Goal - New Sales Revenue ($)")=0,"-",SUMIFS('Data - Monthly Metrics'!E:E,'Data - Monthly Metrics'!A:A,$B$4,'Data - Monthly Metrics'!B:B,"Feb",'Data - Monthly Metrics'!C:C,"South King",'Data - Monthly Metrics'!D:D,"Goal - New Sales Revenue ($)"))</f>
        <v/>
      </c>
      <c r="H37" s="91">
        <f>IF(COUNTIFS('Data - Monthly Metrics'!A:A,$B$4,'Data - Monthly Metrics'!B:B,"Mar",'Data - Monthly Metrics'!C:C,"South King",'Data - Monthly Metrics'!D:D,"Goal - New Sales Revenue ($)")=0,"-",SUMIFS('Data - Monthly Metrics'!E:E,'Data - Monthly Metrics'!A:A,$B$4,'Data - Monthly Metrics'!B:B,"Mar",'Data - Monthly Metrics'!C:C,"South King",'Data - Monthly Metrics'!D:D,"Goal - New Sales Revenue ($)"))</f>
        <v/>
      </c>
      <c r="I37" s="101">
        <f>SUM(F37,G37,H37)</f>
        <v/>
      </c>
      <c r="J37" s="91">
        <f>IF(COUNTIFS('Data - Monthly Metrics'!A:A,$B$4,'Data - Monthly Metrics'!B:B,"Apr",'Data - Monthly Metrics'!C:C,"South King",'Data - Monthly Metrics'!D:D,"Goal - New Sales Revenue ($)")=0,"-",SUMIFS('Data - Monthly Metrics'!E:E,'Data - Monthly Metrics'!A:A,$B$4,'Data - Monthly Metrics'!B:B,"Apr",'Data - Monthly Metrics'!C:C,"South King",'Data - Monthly Metrics'!D:D,"Goal - New Sales Revenue ($)"))</f>
        <v/>
      </c>
      <c r="K37" s="91">
        <f>IF(COUNTIFS('Data - Monthly Metrics'!A:A,$B$4,'Data - Monthly Metrics'!B:B,"May",'Data - Monthly Metrics'!C:C,"South King",'Data - Monthly Metrics'!D:D,"Goal - New Sales Revenue ($)")=0,"-",SUMIFS('Data - Monthly Metrics'!E:E,'Data - Monthly Metrics'!A:A,$B$4,'Data - Monthly Metrics'!B:B,"May",'Data - Monthly Metrics'!C:C,"South King",'Data - Monthly Metrics'!D:D,"Goal - New Sales Revenue ($)"))</f>
        <v/>
      </c>
      <c r="L37" s="91">
        <f>IF(COUNTIFS('Data - Monthly Metrics'!A:A,$B$4,'Data - Monthly Metrics'!B:B,"Jun",'Data - Monthly Metrics'!C:C,"South King",'Data - Monthly Metrics'!D:D,"Goal - New Sales Revenue ($)")=0,"-",SUMIFS('Data - Monthly Metrics'!E:E,'Data - Monthly Metrics'!A:A,$B$4,'Data - Monthly Metrics'!B:B,"Jun",'Data - Monthly Metrics'!C:C,"South King",'Data - Monthly Metrics'!D:D,"Goal - New Sales Revenue ($)"))</f>
        <v/>
      </c>
      <c r="M37" s="101">
        <f>SUM(J37,K37,L37)</f>
        <v/>
      </c>
      <c r="N37" s="91">
        <f>IF(COUNTIFS('Data - Monthly Metrics'!A:A,$B$4,'Data - Monthly Metrics'!B:B,"Jul",'Data - Monthly Metrics'!C:C,"South King",'Data - Monthly Metrics'!D:D,"Goal - New Sales Revenue ($)")=0,"-",SUMIFS('Data - Monthly Metrics'!E:E,'Data - Monthly Metrics'!A:A,$B$4,'Data - Monthly Metrics'!B:B,"Jul",'Data - Monthly Metrics'!C:C,"South King",'Data - Monthly Metrics'!D:D,"Goal - New Sales Revenue ($)"))</f>
        <v/>
      </c>
      <c r="O37" s="91">
        <f>IF(COUNTIFS('Data - Monthly Metrics'!A:A,$B$4,'Data - Monthly Metrics'!B:B,"Aug",'Data - Monthly Metrics'!C:C,"South King",'Data - Monthly Metrics'!D:D,"Goal - New Sales Revenue ($)")=0,"-",SUMIFS('Data - Monthly Metrics'!E:E,'Data - Monthly Metrics'!A:A,$B$4,'Data - Monthly Metrics'!B:B,"Aug",'Data - Monthly Metrics'!C:C,"South King",'Data - Monthly Metrics'!D:D,"Goal - New Sales Revenue ($)"))</f>
        <v/>
      </c>
      <c r="P37" s="91">
        <f>IF(COUNTIFS('Data - Monthly Metrics'!A:A,$B$4,'Data - Monthly Metrics'!B:B,"Sep",'Data - Monthly Metrics'!C:C,"South King",'Data - Monthly Metrics'!D:D,"Goal - New Sales Revenue ($)")=0,"-",SUMIFS('Data - Monthly Metrics'!E:E,'Data - Monthly Metrics'!A:A,$B$4,'Data - Monthly Metrics'!B:B,"Sep",'Data - Monthly Metrics'!C:C,"South King",'Data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Metrics'!C:C,"South King",'Data - Monthly Metrics'!D:D,"New Sales Revenue - Target ($)")=0,"-",SUMIFS('Data - Monthly Metrics'!E:E,'Data - Monthly Metrics'!A:A,$B$4-1,'Data - Monthly Metrics'!B:B,"Oct",'Data - Monthly Metrics'!C:C,"South King",'Data - Monthly Metrics'!D:D,"New Sales Revenue - Target ($)"))</f>
        <v/>
      </c>
      <c r="C38" s="96">
        <f>IF(COUNTIFS('Data - Monthly Metrics'!A:A,$B$4-1,'Data - Monthly Metrics'!B:B,"Nov",'Data - Monthly Metrics'!C:C,"South King",'Data - Monthly Metrics'!D:D,"New Sales Revenue - Target ($)")=0,"-",SUMIFS('Data - Monthly Metrics'!E:E,'Data - Monthly Metrics'!A:A,$B$4-1,'Data - Monthly Metrics'!B:B,"Nov",'Data - Monthly Metrics'!C:C,"South King",'Data - Monthly Metrics'!D:D,"New Sales Revenue - Target ($)"))</f>
        <v/>
      </c>
      <c r="D38" s="96">
        <f>IF(COUNTIFS('Data - Monthly Metrics'!A:A,$B$4-1,'Data - Monthly Metrics'!B:B,"Dec",'Data - Monthly Metrics'!C:C,"South King",'Data - Monthly Metrics'!D:D,"New Sales Revenue - Target ($)")=0,"-",SUMIFS('Data - Monthly Metrics'!E:E,'Data - Monthly Metrics'!A:A,$B$4-1,'Data - Monthly Metrics'!B:B,"Dec",'Data - Monthly Metrics'!C:C,"South King",'Data - Monthly Metrics'!D:D,"New Sales Revenue - Target ($)"))</f>
        <v/>
      </c>
      <c r="E38" s="101">
        <f>SUM(B38,C38,D38)</f>
        <v/>
      </c>
      <c r="F38" s="96">
        <f>IF(COUNTIFS('Data - Monthly Metrics'!A:A,$B$4,'Data - Monthly Metrics'!B:B,"Jan",'Data - Monthly Metrics'!C:C,"South King",'Data - Monthly Metrics'!D:D,"New Sales Revenue - Target ($)")=0,"-",SUMIFS('Data - Monthly Metrics'!E:E,'Data - Monthly Metrics'!A:A,$B$4,'Data - Monthly Metrics'!B:B,"Jan",'Data - Monthly Metrics'!C:C,"South King",'Data - Monthly Metrics'!D:D,"New Sales Revenue - Target ($)"))</f>
        <v/>
      </c>
      <c r="G38" s="96">
        <f>IF(COUNTIFS('Data - Monthly Metrics'!A:A,$B$4,'Data - Monthly Metrics'!B:B,"Feb",'Data - Monthly Metrics'!C:C,"South King",'Data - Monthly Metrics'!D:D,"New Sales Revenue - Target ($)")=0,"-",SUMIFS('Data - Monthly Metrics'!E:E,'Data - Monthly Metrics'!A:A,$B$4,'Data - Monthly Metrics'!B:B,"Feb",'Data - Monthly Metrics'!C:C,"South King",'Data - Monthly Metrics'!D:D,"New Sales Revenue - Target ($)"))</f>
        <v/>
      </c>
      <c r="H38" s="96">
        <f>IF(COUNTIFS('Data - Monthly Metrics'!A:A,$B$4,'Data - Monthly Metrics'!B:B,"Mar",'Data - Monthly Metrics'!C:C,"South King",'Data - Monthly Metrics'!D:D,"New Sales Revenue - Target ($)")=0,"-",SUMIFS('Data - Monthly Metrics'!E:E,'Data - Monthly Metrics'!A:A,$B$4,'Data - Monthly Metrics'!B:B,"Mar",'Data - Monthly Metrics'!C:C,"South King",'Data - Monthly Metrics'!D:D,"New Sales Revenue - Target ($)"))</f>
        <v/>
      </c>
      <c r="I38" s="101">
        <f>SUM(F38,G38,H38)</f>
        <v/>
      </c>
      <c r="J38" s="96">
        <f>IF(COUNTIFS('Data - Monthly Metrics'!A:A,$B$4,'Data - Monthly Metrics'!B:B,"Apr",'Data - Monthly Metrics'!C:C,"South King",'Data - Monthly Metrics'!D:D,"New Sales Revenue - Target ($)")=0,"-",SUMIFS('Data - Monthly Metrics'!E:E,'Data - Monthly Metrics'!A:A,$B$4,'Data - Monthly Metrics'!B:B,"Apr",'Data - Monthly Metrics'!C:C,"South King",'Data - Monthly Metrics'!D:D,"New Sales Revenue - Target ($)"))</f>
        <v/>
      </c>
      <c r="K38" s="96">
        <f>IF(COUNTIFS('Data - Monthly Metrics'!A:A,$B$4,'Data - Monthly Metrics'!B:B,"May",'Data - Monthly Metrics'!C:C,"South King",'Data - Monthly Metrics'!D:D,"New Sales Revenue - Target ($)")=0,"-",SUMIFS('Data - Monthly Metrics'!E:E,'Data - Monthly Metrics'!A:A,$B$4,'Data - Monthly Metrics'!B:B,"May",'Data - Monthly Metrics'!C:C,"South King",'Data - Monthly Metrics'!D:D,"New Sales Revenue - Target ($)"))</f>
        <v/>
      </c>
      <c r="L38" s="96">
        <f>IF(COUNTIFS('Data - Monthly Metrics'!A:A,$B$4,'Data - Monthly Metrics'!B:B,"Jun",'Data - Monthly Metrics'!C:C,"South King",'Data - Monthly Metrics'!D:D,"New Sales Revenue - Target ($)")=0,"-",SUMIFS('Data - Monthly Metrics'!E:E,'Data - Monthly Metrics'!A:A,$B$4,'Data - Monthly Metrics'!B:B,"Jun",'Data - Monthly Metrics'!C:C,"South King",'Data - Monthly Metrics'!D:D,"New Sales Revenue - Target ($)"))</f>
        <v/>
      </c>
      <c r="M38" s="101">
        <f>SUM(J38,K38,L38)</f>
        <v/>
      </c>
      <c r="N38" s="96">
        <f>IF(COUNTIFS('Data - Monthly Metrics'!A:A,$B$4,'Data - Monthly Metrics'!B:B,"Jul",'Data - Monthly Metrics'!C:C,"South King",'Data - Monthly Metrics'!D:D,"New Sales Revenue - Target ($)")=0,"-",SUMIFS('Data - Monthly Metrics'!E:E,'Data - Monthly Metrics'!A:A,$B$4,'Data - Monthly Metrics'!B:B,"Jul",'Data - Monthly Metrics'!C:C,"South King",'Data - Monthly Metrics'!D:D,"New Sales Revenue - Target ($)"))</f>
        <v/>
      </c>
      <c r="O38" s="96">
        <f>IF(COUNTIFS('Data - Monthly Metrics'!A:A,$B$4,'Data - Monthly Metrics'!B:B,"Aug",'Data - Monthly Metrics'!C:C,"South King",'Data - Monthly Metrics'!D:D,"New Sales Revenue - Target ($)")=0,"-",SUMIFS('Data - Monthly Metrics'!E:E,'Data - Monthly Metrics'!A:A,$B$4,'Data - Monthly Metrics'!B:B,"Aug",'Data - Monthly Metrics'!C:C,"South King",'Data - Monthly Metrics'!D:D,"New Sales Revenue - Target ($)"))</f>
        <v/>
      </c>
      <c r="P38" s="96">
        <f>IF(COUNTIFS('Data - Monthly Metrics'!A:A,$B$4,'Data - Monthly Metrics'!B:B,"Sep",'Data - Monthly Metrics'!C:C,"South King",'Data - Monthly Metrics'!D:D,"New Sales Revenue - Target ($)")=0,"-",SUMIFS('Data - Monthly Metrics'!E:E,'Data - Monthly Metrics'!A:A,$B$4,'Data - Monthly Metrics'!B:B,"Sep",'Data - Monthly Metrics'!C:C,"South King",'Data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Metrics'!C:C,"South King",'Data - Monthly Metrics'!D:D,"Goal - New Members (#)")=0,"-",SUMIFS('Data - Monthly Metrics'!E:E,'Data - Monthly Metrics'!A:A,$B$4-1,'Data - Monthly Metrics'!B:B,"Oct",'Data - Monthly Metrics'!C:C,"South King",'Data - Monthly Metrics'!D:D,"Goal - New Members (#)"))</f>
        <v/>
      </c>
      <c r="C41" s="93">
        <f>IF(COUNTIFS('Data - Monthly Metrics'!A:A,$B$4-1,'Data - Monthly Metrics'!B:B,"Nov",'Data - Monthly Metrics'!C:C,"South King",'Data - Monthly Metrics'!D:D,"Goal - New Members (#)")=0,"-",SUMIFS('Data - Monthly Metrics'!E:E,'Data - Monthly Metrics'!A:A,$B$4-1,'Data - Monthly Metrics'!B:B,"Nov",'Data - Monthly Metrics'!C:C,"South King",'Data - Monthly Metrics'!D:D,"Goal - New Members (#)"))</f>
        <v/>
      </c>
      <c r="D41" s="93">
        <f>IF(COUNTIFS('Data - Monthly Metrics'!A:A,$B$4-1,'Data - Monthly Metrics'!B:B,"Dec",'Data - Monthly Metrics'!C:C,"South King",'Data - Monthly Metrics'!D:D,"Goal - New Members (#)")=0,"-",SUMIFS('Data - Monthly Metrics'!E:E,'Data - Monthly Metrics'!A:A,$B$4-1,'Data - Monthly Metrics'!B:B,"Dec",'Data - Monthly Metrics'!C:C,"South King",'Data - Monthly Metrics'!D:D,"Goal - New Members (#)"))</f>
        <v/>
      </c>
      <c r="E41" s="103">
        <f>SUM(B41,C41,D41)</f>
        <v/>
      </c>
      <c r="F41" s="93">
        <f>IF(COUNTIFS('Data - Monthly Metrics'!A:A,$B$4,'Data - Monthly Metrics'!B:B,"Jan",'Data - Monthly Metrics'!C:C,"South King",'Data - Monthly Metrics'!D:D,"Goal - New Members (#)")=0,"-",SUMIFS('Data - Monthly Metrics'!E:E,'Data - Monthly Metrics'!A:A,$B$4,'Data - Monthly Metrics'!B:B,"Jan",'Data - Monthly Metrics'!C:C,"South King",'Data - Monthly Metrics'!D:D,"Goal - New Members (#)"))</f>
        <v/>
      </c>
      <c r="G41" s="93">
        <f>IF(COUNTIFS('Data - Monthly Metrics'!A:A,$B$4,'Data - Monthly Metrics'!B:B,"Feb",'Data - Monthly Metrics'!C:C,"South King",'Data - Monthly Metrics'!D:D,"Goal - New Members (#)")=0,"-",SUMIFS('Data - Monthly Metrics'!E:E,'Data - Monthly Metrics'!A:A,$B$4,'Data - Monthly Metrics'!B:B,"Feb",'Data - Monthly Metrics'!C:C,"South King",'Data - Monthly Metrics'!D:D,"Goal - New Members (#)"))</f>
        <v/>
      </c>
      <c r="H41" s="93">
        <f>IF(COUNTIFS('Data - Monthly Metrics'!A:A,$B$4,'Data - Monthly Metrics'!B:B,"Mar",'Data - Monthly Metrics'!C:C,"South King",'Data - Monthly Metrics'!D:D,"Goal - New Members (#)")=0,"-",SUMIFS('Data - Monthly Metrics'!E:E,'Data - Monthly Metrics'!A:A,$B$4,'Data - Monthly Metrics'!B:B,"Mar",'Data - Monthly Metrics'!C:C,"South King",'Data - Monthly Metrics'!D:D,"Goal - New Members (#)"))</f>
        <v/>
      </c>
      <c r="I41" s="103">
        <f>SUM(F41,G41,H41)</f>
        <v/>
      </c>
      <c r="J41" s="93">
        <f>IF(COUNTIFS('Data - Monthly Metrics'!A:A,$B$4,'Data - Monthly Metrics'!B:B,"Apr",'Data - Monthly Metrics'!C:C,"South King",'Data - Monthly Metrics'!D:D,"Goal - New Members (#)")=0,"-",SUMIFS('Data - Monthly Metrics'!E:E,'Data - Monthly Metrics'!A:A,$B$4,'Data - Monthly Metrics'!B:B,"Apr",'Data - Monthly Metrics'!C:C,"South King",'Data - Monthly Metrics'!D:D,"Goal - New Members (#)"))</f>
        <v/>
      </c>
      <c r="K41" s="93">
        <f>IF(COUNTIFS('Data - Monthly Metrics'!A:A,$B$4,'Data - Monthly Metrics'!B:B,"May",'Data - Monthly Metrics'!C:C,"South King",'Data - Monthly Metrics'!D:D,"Goal - New Members (#)")=0,"-",SUMIFS('Data - Monthly Metrics'!E:E,'Data - Monthly Metrics'!A:A,$B$4,'Data - Monthly Metrics'!B:B,"May",'Data - Monthly Metrics'!C:C,"South King",'Data - Monthly Metrics'!D:D,"Goal - New Members (#)"))</f>
        <v/>
      </c>
      <c r="L41" s="93">
        <f>IF(COUNTIFS('Data - Monthly Metrics'!A:A,$B$4,'Data - Monthly Metrics'!B:B,"Jun",'Data - Monthly Metrics'!C:C,"South King",'Data - Monthly Metrics'!D:D,"Goal - New Members (#)")=0,"-",SUMIFS('Data - Monthly Metrics'!E:E,'Data - Monthly Metrics'!A:A,$B$4,'Data - Monthly Metrics'!B:B,"Jun",'Data - Monthly Metrics'!C:C,"South King",'Data - Monthly Metrics'!D:D,"Goal - New Members (#)"))</f>
        <v/>
      </c>
      <c r="M41" s="103">
        <f>SUM(J41,K41,L41)</f>
        <v/>
      </c>
      <c r="N41" s="93">
        <f>IF(COUNTIFS('Data - Monthly Metrics'!A:A,$B$4,'Data - Monthly Metrics'!B:B,"Jul",'Data - Monthly Metrics'!C:C,"South King",'Data - Monthly Metrics'!D:D,"Goal - New Members (#)")=0,"-",SUMIFS('Data - Monthly Metrics'!E:E,'Data - Monthly Metrics'!A:A,$B$4,'Data - Monthly Metrics'!B:B,"Jul",'Data - Monthly Metrics'!C:C,"South King",'Data - Monthly Metrics'!D:D,"Goal - New Members (#)"))</f>
        <v/>
      </c>
      <c r="O41" s="93">
        <f>IF(COUNTIFS('Data - Monthly Metrics'!A:A,$B$4,'Data - Monthly Metrics'!B:B,"Aug",'Data - Monthly Metrics'!C:C,"South King",'Data - Monthly Metrics'!D:D,"Goal - New Members (#)")=0,"-",SUMIFS('Data - Monthly Metrics'!E:E,'Data - Monthly Metrics'!A:A,$B$4,'Data - Monthly Metrics'!B:B,"Aug",'Data - Monthly Metrics'!C:C,"South King",'Data - Monthly Metrics'!D:D,"Goal - New Members (#)"))</f>
        <v/>
      </c>
      <c r="P41" s="93">
        <f>IF(COUNTIFS('Data - Monthly Metrics'!A:A,$B$4,'Data - Monthly Metrics'!B:B,"Sep",'Data - Monthly Metrics'!C:C,"South King",'Data - Monthly Metrics'!D:D,"Goal - New Members (#)")=0,"-",SUMIFS('Data - Monthly Metrics'!E:E,'Data - Monthly Metrics'!A:A,$B$4,'Data - Monthly Metrics'!B:B,"Sep",'Data - Monthly Metrics'!C:C,"South King",'Data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Metrics'!C:C,"South King",'Data - Monthly Metrics'!D:D,"New Members - Target (#)")=0,"-",SUMIFS('Data - Monthly Metrics'!E:E,'Data - Monthly Metrics'!A:A,$B$4-1,'Data - Monthly Metrics'!B:B,"Oct",'Data - Monthly Metrics'!C:C,"South King",'Data - Monthly Metrics'!D:D,"New Members - Target (#)"))</f>
        <v/>
      </c>
      <c r="C42" s="98">
        <f>IF(COUNTIFS('Data - Monthly Metrics'!A:A,$B$4-1,'Data - Monthly Metrics'!B:B,"Nov",'Data - Monthly Metrics'!C:C,"South King",'Data - Monthly Metrics'!D:D,"New Members - Target (#)")=0,"-",SUMIFS('Data - Monthly Metrics'!E:E,'Data - Monthly Metrics'!A:A,$B$4-1,'Data - Monthly Metrics'!B:B,"Nov",'Data - Monthly Metrics'!C:C,"South King",'Data - Monthly Metrics'!D:D,"New Members - Target (#)"))</f>
        <v/>
      </c>
      <c r="D42" s="98">
        <f>IF(COUNTIFS('Data - Monthly Metrics'!A:A,$B$4-1,'Data - Monthly Metrics'!B:B,"Dec",'Data - Monthly Metrics'!C:C,"South King",'Data - Monthly Metrics'!D:D,"New Members - Target (#)")=0,"-",SUMIFS('Data - Monthly Metrics'!E:E,'Data - Monthly Metrics'!A:A,$B$4-1,'Data - Monthly Metrics'!B:B,"Dec",'Data - Monthly Metrics'!C:C,"South King",'Data - Monthly Metrics'!D:D,"New Members - Target (#)"))</f>
        <v/>
      </c>
      <c r="E42" s="103">
        <f>SUM(B42,C42,D42)</f>
        <v/>
      </c>
      <c r="F42" s="98">
        <f>IF(COUNTIFS('Data - Monthly Metrics'!A:A,$B$4,'Data - Monthly Metrics'!B:B,"Jan",'Data - Monthly Metrics'!C:C,"South King",'Data - Monthly Metrics'!D:D,"New Members - Target (#)")=0,"-",SUMIFS('Data - Monthly Metrics'!E:E,'Data - Monthly Metrics'!A:A,$B$4,'Data - Monthly Metrics'!B:B,"Jan",'Data - Monthly Metrics'!C:C,"South King",'Data - Monthly Metrics'!D:D,"New Members - Target (#)"))</f>
        <v/>
      </c>
      <c r="G42" s="98">
        <f>IF(COUNTIFS('Data - Monthly Metrics'!A:A,$B$4,'Data - Monthly Metrics'!B:B,"Feb",'Data - Monthly Metrics'!C:C,"South King",'Data - Monthly Metrics'!D:D,"New Members - Target (#)")=0,"-",SUMIFS('Data - Monthly Metrics'!E:E,'Data - Monthly Metrics'!A:A,$B$4,'Data - Monthly Metrics'!B:B,"Feb",'Data - Monthly Metrics'!C:C,"South King",'Data - Monthly Metrics'!D:D,"New Members - Target (#)"))</f>
        <v/>
      </c>
      <c r="H42" s="98">
        <f>IF(COUNTIFS('Data - Monthly Metrics'!A:A,$B$4,'Data - Monthly Metrics'!B:B,"Mar",'Data - Monthly Metrics'!C:C,"South King",'Data - Monthly Metrics'!D:D,"New Members - Target (#)")=0,"-",SUMIFS('Data - Monthly Metrics'!E:E,'Data - Monthly Metrics'!A:A,$B$4,'Data - Monthly Metrics'!B:B,"Mar",'Data - Monthly Metrics'!C:C,"South King",'Data - Monthly Metrics'!D:D,"New Members - Target (#)"))</f>
        <v/>
      </c>
      <c r="I42" s="103">
        <f>SUM(F42,G42,H42)</f>
        <v/>
      </c>
      <c r="J42" s="98">
        <f>IF(COUNTIFS('Data - Monthly Metrics'!A:A,$B$4,'Data - Monthly Metrics'!B:B,"Apr",'Data - Monthly Metrics'!C:C,"South King",'Data - Monthly Metrics'!D:D,"New Members - Target (#)")=0,"-",SUMIFS('Data - Monthly Metrics'!E:E,'Data - Monthly Metrics'!A:A,$B$4,'Data - Monthly Metrics'!B:B,"Apr",'Data - Monthly Metrics'!C:C,"South King",'Data - Monthly Metrics'!D:D,"New Members - Target (#)"))</f>
        <v/>
      </c>
      <c r="K42" s="98">
        <f>IF(COUNTIFS('Data - Monthly Metrics'!A:A,$B$4,'Data - Monthly Metrics'!B:B,"May",'Data - Monthly Metrics'!C:C,"South King",'Data - Monthly Metrics'!D:D,"New Members - Target (#)")=0,"-",SUMIFS('Data - Monthly Metrics'!E:E,'Data - Monthly Metrics'!A:A,$B$4,'Data - Monthly Metrics'!B:B,"May",'Data - Monthly Metrics'!C:C,"South King",'Data - Monthly Metrics'!D:D,"New Members - Target (#)"))</f>
        <v/>
      </c>
      <c r="L42" s="98">
        <f>IF(COUNTIFS('Data - Monthly Metrics'!A:A,$B$4,'Data - Monthly Metrics'!B:B,"Jun",'Data - Monthly Metrics'!C:C,"South King",'Data - Monthly Metrics'!D:D,"New Members - Target (#)")=0,"-",SUMIFS('Data - Monthly Metrics'!E:E,'Data - Monthly Metrics'!A:A,$B$4,'Data - Monthly Metrics'!B:B,"Jun",'Data - Monthly Metrics'!C:C,"South King",'Data - Monthly Metrics'!D:D,"New Members - Target (#)"))</f>
        <v/>
      </c>
      <c r="M42" s="103">
        <f>SUM(J42,K42,L42)</f>
        <v/>
      </c>
      <c r="N42" s="98">
        <f>IF(COUNTIFS('Data - Monthly Metrics'!A:A,$B$4,'Data - Monthly Metrics'!B:B,"Jul",'Data - Monthly Metrics'!C:C,"South King",'Data - Monthly Metrics'!D:D,"New Members - Target (#)")=0,"-",SUMIFS('Data - Monthly Metrics'!E:E,'Data - Monthly Metrics'!A:A,$B$4,'Data - Monthly Metrics'!B:B,"Jul",'Data - Monthly Metrics'!C:C,"South King",'Data - Monthly Metrics'!D:D,"New Members - Target (#)"))</f>
        <v/>
      </c>
      <c r="O42" s="98">
        <f>IF(COUNTIFS('Data - Monthly Metrics'!A:A,$B$4,'Data - Monthly Metrics'!B:B,"Aug",'Data - Monthly Metrics'!C:C,"South King",'Data - Monthly Metrics'!D:D,"New Members - Target (#)")=0,"-",SUMIFS('Data - Monthly Metrics'!E:E,'Data - Monthly Metrics'!A:A,$B$4,'Data - Monthly Metrics'!B:B,"Aug",'Data - Monthly Metrics'!C:C,"South King",'Data - Monthly Metrics'!D:D,"New Members - Target (#)"))</f>
        <v/>
      </c>
      <c r="P42" s="98">
        <f>IF(COUNTIFS('Data - Monthly Metrics'!A:A,$B$4,'Data - Monthly Metrics'!B:B,"Sep",'Data - Monthly Metrics'!C:C,"South King",'Data - Monthly Metrics'!D:D,"New Members - Target (#)")=0,"-",SUMIFS('Data - Monthly Metrics'!E:E,'Data - Monthly Metrics'!A:A,$B$4,'Data - Monthly Metrics'!B:B,"Sep",'Data - Monthly Metrics'!C:C,"South King",'Data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Metrics'!C:C,"South King",'Data - Monthly Metrics'!D:D,"Billables - Hospitality Target (#)")=0,"-",SUMIFS('Data - Monthly Metrics'!E:E,'Data - Monthly Metrics'!A:A,$B$4-1,'Data - Monthly Metrics'!B:B,"Oct",'Data - Monthly Metrics'!C:C,"South King",'Data - Monthly Metrics'!D:D,"Billables - Hospitality Target (#)"))</f>
        <v/>
      </c>
      <c r="C46" s="93">
        <f>IF(COUNTIFS('Data - Monthly Metrics'!A:A,$B$4-1,'Data - Monthly Metrics'!B:B,"Nov",'Data - Monthly Metrics'!C:C,"South King",'Data - Monthly Metrics'!D:D,"Billables - Hospitality Target (#)")=0,"-",SUMIFS('Data - Monthly Metrics'!E:E,'Data - Monthly Metrics'!A:A,$B$4-1,'Data - Monthly Metrics'!B:B,"Nov",'Data - Monthly Metrics'!C:C,"South King",'Data - Monthly Metrics'!D:D,"Billables - Hospitality Target (#)"))</f>
        <v/>
      </c>
      <c r="D46" s="93">
        <f>IF(COUNTIFS('Data - Monthly Metrics'!A:A,$B$4-1,'Data - Monthly Metrics'!B:B,"Dec",'Data - Monthly Metrics'!C:C,"South King",'Data - Monthly Metrics'!D:D,"Billables - Hospitality Target (#)")=0,"-",SUMIFS('Data - Monthly Metrics'!E:E,'Data - Monthly Metrics'!A:A,$B$4-1,'Data - Monthly Metrics'!B:B,"Dec",'Data - Monthly Metrics'!C:C,"South King",'Data - Monthly Metrics'!D:D,"Billables - Hospitality Target (#)"))</f>
        <v/>
      </c>
      <c r="E46" s="103">
        <f>IF(ISNUMBER(D46),D46,IF(ISNUMBER(C46),C46,IF(ISNUMBER(B46),B46,"-")))</f>
        <v/>
      </c>
      <c r="F46" s="93">
        <f>IF(COUNTIFS('Data - Monthly Metrics'!A:A,$B$4,'Data - Monthly Metrics'!B:B,"Jan",'Data - Monthly Metrics'!C:C,"South King",'Data - Monthly Metrics'!D:D,"Billables - Hospitality Target (#)")=0,"-",SUMIFS('Data - Monthly Metrics'!E:E,'Data - Monthly Metrics'!A:A,$B$4,'Data - Monthly Metrics'!B:B,"Jan",'Data - Monthly Metrics'!C:C,"South King",'Data - Monthly Metrics'!D:D,"Billables - Hospitality Target (#)"))</f>
        <v/>
      </c>
      <c r="G46" s="93">
        <f>IF(COUNTIFS('Data - Monthly Metrics'!A:A,$B$4,'Data - Monthly Metrics'!B:B,"Feb",'Data - Monthly Metrics'!C:C,"South King",'Data - Monthly Metrics'!D:D,"Billables - Hospitality Target (#)")=0,"-",SUMIFS('Data - Monthly Metrics'!E:E,'Data - Monthly Metrics'!A:A,$B$4,'Data - Monthly Metrics'!B:B,"Feb",'Data - Monthly Metrics'!C:C,"South King",'Data - Monthly Metrics'!D:D,"Billables - Hospitality Target (#)"))</f>
        <v/>
      </c>
      <c r="H46" s="93">
        <f>IF(COUNTIFS('Data - Monthly Metrics'!A:A,$B$4,'Data - Monthly Metrics'!B:B,"Mar",'Data - Monthly Metrics'!C:C,"South King",'Data - Monthly Metrics'!D:D,"Billables - Hospitality Target (#)")=0,"-",SUMIFS('Data - Monthly Metrics'!E:E,'Data - Monthly Metrics'!A:A,$B$4,'Data - Monthly Metrics'!B:B,"Mar",'Data - Monthly Metrics'!C:C,"South King",'Data - Monthly Metrics'!D:D,"Billables - Hospitality Target (#)"))</f>
        <v/>
      </c>
      <c r="I46" s="103">
        <f>IF(ISNUMBER(H46),H46,IF(ISNUMBER(G46),G46,IF(ISNUMBER(F46),F46,"-")))</f>
        <v/>
      </c>
      <c r="J46" s="93">
        <f>IF(COUNTIFS('Data - Monthly Metrics'!A:A,$B$4,'Data - Monthly Metrics'!B:B,"Apr",'Data - Monthly Metrics'!C:C,"South King",'Data - Monthly Metrics'!D:D,"Billables - Hospitality Target (#)")=0,"-",SUMIFS('Data - Monthly Metrics'!E:E,'Data - Monthly Metrics'!A:A,$B$4,'Data - Monthly Metrics'!B:B,"Apr",'Data - Monthly Metrics'!C:C,"South King",'Data - Monthly Metrics'!D:D,"Billables - Hospitality Target (#)"))</f>
        <v/>
      </c>
      <c r="K46" s="93">
        <f>IF(COUNTIFS('Data - Monthly Metrics'!A:A,$B$4,'Data - Monthly Metrics'!B:B,"May",'Data - Monthly Metrics'!C:C,"South King",'Data - Monthly Metrics'!D:D,"Billables - Hospitality Target (#)")=0,"-",SUMIFS('Data - Monthly Metrics'!E:E,'Data - Monthly Metrics'!A:A,$B$4,'Data - Monthly Metrics'!B:B,"May",'Data - Monthly Metrics'!C:C,"South King",'Data - Monthly Metrics'!D:D,"Billables - Hospitality Target (#)"))</f>
        <v/>
      </c>
      <c r="L46" s="93">
        <f>IF(COUNTIFS('Data - Monthly Metrics'!A:A,$B$4,'Data - Monthly Metrics'!B:B,"Jun",'Data - Monthly Metrics'!C:C,"South King",'Data - Monthly Metrics'!D:D,"Billables - Hospitality Target (#)")=0,"-",SUMIFS('Data - Monthly Metrics'!E:E,'Data - Monthly Metrics'!A:A,$B$4,'Data - Monthly Metrics'!B:B,"Jun",'Data - Monthly Metrics'!C:C,"South King",'Data - Monthly Metrics'!D:D,"Billables - Hospitality Target (#)"))</f>
        <v/>
      </c>
      <c r="M46" s="103">
        <f>IF(ISNUMBER(L46),L46,IF(ISNUMBER(K46),K46,IF(ISNUMBER(J46),J46,"-")))</f>
        <v/>
      </c>
      <c r="N46" s="93">
        <f>IF(COUNTIFS('Data - Monthly Metrics'!A:A,$B$4,'Data - Monthly Metrics'!B:B,"Jul",'Data - Monthly Metrics'!C:C,"South King",'Data - Monthly Metrics'!D:D,"Billables - Hospitality Target (#)")=0,"-",SUMIFS('Data - Monthly Metrics'!E:E,'Data - Monthly Metrics'!A:A,$B$4,'Data - Monthly Metrics'!B:B,"Jul",'Data - Monthly Metrics'!C:C,"South King",'Data - Monthly Metrics'!D:D,"Billables - Hospitality Target (#)"))</f>
        <v/>
      </c>
      <c r="O46" s="93">
        <f>IF(COUNTIFS('Data - Monthly Metrics'!A:A,$B$4,'Data - Monthly Metrics'!B:B,"Aug",'Data - Monthly Metrics'!C:C,"South King",'Data - Monthly Metrics'!D:D,"Billables - Hospitality Target (#)")=0,"-",SUMIFS('Data - Monthly Metrics'!E:E,'Data - Monthly Metrics'!A:A,$B$4,'Data - Monthly Metrics'!B:B,"Aug",'Data - Monthly Metrics'!C:C,"South King",'Data - Monthly Metrics'!D:D,"Billables - Hospitality Target (#)"))</f>
        <v/>
      </c>
      <c r="P46" s="93">
        <f>IF(COUNTIFS('Data - Monthly Metrics'!A:A,$B$4,'Data - Monthly Metrics'!B:B,"Sep",'Data - Monthly Metrics'!C:C,"South King",'Data - Monthly Metrics'!D:D,"Billables - Hospitality Target (#)")=0,"-",SUMIFS('Data - Monthly Metrics'!E:E,'Data - Monthly Metrics'!A:A,$B$4,'Data - Monthly Metrics'!B:B,"Sep",'Data - Monthly Metrics'!C:C,"South King",'Data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Metrics'!C:C,"South King",'Data - Monthly Metrics'!D:D,"Member Locations - Target (#)")=0,"-",SUMIFS('Data - Monthly Metrics'!E:E,'Data - Monthly Metrics'!A:A,$B$4-1,'Data - Monthly Metrics'!B:B,"Oct",'Data - Monthly Metrics'!C:C,"South King",'Data - Monthly Metrics'!D:D,"Member Locations - Target (#)"))</f>
        <v/>
      </c>
      <c r="C47" s="93">
        <f>IF(COUNTIFS('Data - Monthly Metrics'!A:A,$B$4-1,'Data - Monthly Metrics'!B:B,"Nov",'Data - Monthly Metrics'!C:C,"South King",'Data - Monthly Metrics'!D:D,"Member Locations - Target (#)")=0,"-",SUMIFS('Data - Monthly Metrics'!E:E,'Data - Monthly Metrics'!A:A,$B$4-1,'Data - Monthly Metrics'!B:B,"Nov",'Data - Monthly Metrics'!C:C,"South King",'Data - Monthly Metrics'!D:D,"Member Locations - Target (#)"))</f>
        <v/>
      </c>
      <c r="D47" s="93">
        <f>IF(COUNTIFS('Data - Monthly Metrics'!A:A,$B$4-1,'Data - Monthly Metrics'!B:B,"Dec",'Data - Monthly Metrics'!C:C,"South King",'Data - Monthly Metrics'!D:D,"Member Locations - Target (#)")=0,"-",SUMIFS('Data - Monthly Metrics'!E:E,'Data - Monthly Metrics'!A:A,$B$4-1,'Data - Monthly Metrics'!B:B,"Dec",'Data - Monthly Metrics'!C:C,"South King",'Data - Monthly Metrics'!D:D,"Member Locations - Target (#)"))</f>
        <v/>
      </c>
      <c r="E47" s="103">
        <f>IF(ISNUMBER(D47),D47,IF(ISNUMBER(C47),C47,IF(ISNUMBER(B47),B47,"-")))</f>
        <v/>
      </c>
      <c r="F47" s="93">
        <f>IF(COUNTIFS('Data - Monthly Metrics'!A:A,$B$4,'Data - Monthly Metrics'!B:B,"Jan",'Data - Monthly Metrics'!C:C,"South King",'Data - Monthly Metrics'!D:D,"Member Locations - Target (#)")=0,"-",SUMIFS('Data - Monthly Metrics'!E:E,'Data - Monthly Metrics'!A:A,$B$4,'Data - Monthly Metrics'!B:B,"Jan",'Data - Monthly Metrics'!C:C,"South King",'Data - Monthly Metrics'!D:D,"Member Locations - Target (#)"))</f>
        <v/>
      </c>
      <c r="G47" s="93">
        <f>IF(COUNTIFS('Data - Monthly Metrics'!A:A,$B$4,'Data - Monthly Metrics'!B:B,"Feb",'Data - Monthly Metrics'!C:C,"South King",'Data - Monthly Metrics'!D:D,"Member Locations - Target (#)")=0,"-",SUMIFS('Data - Monthly Metrics'!E:E,'Data - Monthly Metrics'!A:A,$B$4,'Data - Monthly Metrics'!B:B,"Feb",'Data - Monthly Metrics'!C:C,"South King",'Data - Monthly Metrics'!D:D,"Member Locations - Target (#)"))</f>
        <v/>
      </c>
      <c r="H47" s="93">
        <f>IF(COUNTIFS('Data - Monthly Metrics'!A:A,$B$4,'Data - Monthly Metrics'!B:B,"Mar",'Data - Monthly Metrics'!C:C,"South King",'Data - Monthly Metrics'!D:D,"Member Locations - Target (#)")=0,"-",SUMIFS('Data - Monthly Metrics'!E:E,'Data - Monthly Metrics'!A:A,$B$4,'Data - Monthly Metrics'!B:B,"Mar",'Data - Monthly Metrics'!C:C,"South King",'Data - Monthly Metrics'!D:D,"Member Locations - Target (#)"))</f>
        <v/>
      </c>
      <c r="I47" s="103">
        <f>IF(ISNUMBER(H47),H47,IF(ISNUMBER(G47),G47,IF(ISNUMBER(F47),F47,"-")))</f>
        <v/>
      </c>
      <c r="J47" s="93">
        <f>IF(COUNTIFS('Data - Monthly Metrics'!A:A,$B$4,'Data - Monthly Metrics'!B:B,"Apr",'Data - Monthly Metrics'!C:C,"South King",'Data - Monthly Metrics'!D:D,"Member Locations - Target (#)")=0,"-",SUMIFS('Data - Monthly Metrics'!E:E,'Data - Monthly Metrics'!A:A,$B$4,'Data - Monthly Metrics'!B:B,"Apr",'Data - Monthly Metrics'!C:C,"South King",'Data - Monthly Metrics'!D:D,"Member Locations - Target (#)"))</f>
        <v/>
      </c>
      <c r="K47" s="93">
        <f>IF(COUNTIFS('Data - Monthly Metrics'!A:A,$B$4,'Data - Monthly Metrics'!B:B,"May",'Data - Monthly Metrics'!C:C,"South King",'Data - Monthly Metrics'!D:D,"Member Locations - Target (#)")=0,"-",SUMIFS('Data - Monthly Metrics'!E:E,'Data - Monthly Metrics'!A:A,$B$4,'Data - Monthly Metrics'!B:B,"May",'Data - Monthly Metrics'!C:C,"South King",'Data - Monthly Metrics'!D:D,"Member Locations - Target (#)"))</f>
        <v/>
      </c>
      <c r="L47" s="93">
        <f>IF(COUNTIFS('Data - Monthly Metrics'!A:A,$B$4,'Data - Monthly Metrics'!B:B,"Jun",'Data - Monthly Metrics'!C:C,"South King",'Data - Monthly Metrics'!D:D,"Member Locations - Target (#)")=0,"-",SUMIFS('Data - Monthly Metrics'!E:E,'Data - Monthly Metrics'!A:A,$B$4,'Data - Monthly Metrics'!B:B,"Jun",'Data - Monthly Metrics'!C:C,"South King",'Data - Monthly Metrics'!D:D,"Member Locations - Target (#)"))</f>
        <v/>
      </c>
      <c r="M47" s="103">
        <f>IF(ISNUMBER(L47),L47,IF(ISNUMBER(K47),K47,IF(ISNUMBER(J47),J47,"-")))</f>
        <v/>
      </c>
      <c r="N47" s="93">
        <f>IF(COUNTIFS('Data - Monthly Metrics'!A:A,$B$4,'Data - Monthly Metrics'!B:B,"Jul",'Data - Monthly Metrics'!C:C,"South King",'Data - Monthly Metrics'!D:D,"Member Locations - Target (#)")=0,"-",SUMIFS('Data - Monthly Metrics'!E:E,'Data - Monthly Metrics'!A:A,$B$4,'Data - Monthly Metrics'!B:B,"Jul",'Data - Monthly Metrics'!C:C,"South King",'Data - Monthly Metrics'!D:D,"Member Locations - Target (#)"))</f>
        <v/>
      </c>
      <c r="O47" s="93">
        <f>IF(COUNTIFS('Data - Monthly Metrics'!A:A,$B$4,'Data - Monthly Metrics'!B:B,"Aug",'Data - Monthly Metrics'!C:C,"South King",'Data - Monthly Metrics'!D:D,"Member Locations - Target (#)")=0,"-",SUMIFS('Data - Monthly Metrics'!E:E,'Data - Monthly Metrics'!A:A,$B$4,'Data - Monthly Metrics'!B:B,"Aug",'Data - Monthly Metrics'!C:C,"South King",'Data - Monthly Metrics'!D:D,"Member Locations - Target (#)"))</f>
        <v/>
      </c>
      <c r="P47" s="93">
        <f>IF(COUNTIFS('Data - Monthly Metrics'!A:A,$B$4,'Data - Monthly Metrics'!B:B,"Sep",'Data - Monthly Metrics'!C:C,"South King",'Data - Monthly Metrics'!D:D,"Member Locations - Target (#)")=0,"-",SUMIFS('Data - Monthly Metrics'!E:E,'Data - Monthly Metrics'!A:A,$B$4,'Data - Monthly Metrics'!B:B,"Sep",'Data - Monthly Metrics'!C:C,"South King",'Data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Metrics'!C:C,"South King",'Data - Monthly Metrics'!D:D,"Members Up for Renewal - Target (#)")=0,"-",SUMIFS('Data - Monthly Metrics'!E:E,'Data - Monthly Metrics'!A:A,$B$4-1,'Data - Monthly Metrics'!B:B,"Oct",'Data - Monthly Metrics'!C:C,"South King",'Data - Monthly Metrics'!D:D,"Members Up for Renewal - Target (#)"))</f>
        <v/>
      </c>
      <c r="C51" s="93">
        <f>IF(COUNTIFS('Data - Monthly Metrics'!A:A,$B$4-1,'Data - Monthly Metrics'!B:B,"Nov",'Data - Monthly Metrics'!C:C,"South King",'Data - Monthly Metrics'!D:D,"Members Up for Renewal - Target (#)")=0,"-",SUMIFS('Data - Monthly Metrics'!E:E,'Data - Monthly Metrics'!A:A,$B$4-1,'Data - Monthly Metrics'!B:B,"Nov",'Data - Monthly Metrics'!C:C,"South King",'Data - Monthly Metrics'!D:D,"Members Up for Renewal - Target (#)"))</f>
        <v/>
      </c>
      <c r="D51" s="93">
        <f>IF(COUNTIFS('Data - Monthly Metrics'!A:A,$B$4-1,'Data - Monthly Metrics'!B:B,"Dec",'Data - Monthly Metrics'!C:C,"South King",'Data - Monthly Metrics'!D:D,"Members Up for Renewal - Target (#)")=0,"-",SUMIFS('Data - Monthly Metrics'!E:E,'Data - Monthly Metrics'!A:A,$B$4-1,'Data - Monthly Metrics'!B:B,"Dec",'Data - Monthly Metrics'!C:C,"South King",'Data - Monthly Metrics'!D:D,"Members Up for Renewal - Target (#)"))</f>
        <v/>
      </c>
      <c r="E51" s="103">
        <f>SUM(B51,C51,D51)</f>
        <v/>
      </c>
      <c r="F51" s="93">
        <f>IF(COUNTIFS('Data - Monthly Metrics'!A:A,$B$4,'Data - Monthly Metrics'!B:B,"Jan",'Data - Monthly Metrics'!C:C,"South King",'Data - Monthly Metrics'!D:D,"Members Up for Renewal - Target (#)")=0,"-",SUMIFS('Data - Monthly Metrics'!E:E,'Data - Monthly Metrics'!A:A,$B$4,'Data - Monthly Metrics'!B:B,"Jan",'Data - Monthly Metrics'!C:C,"South King",'Data - Monthly Metrics'!D:D,"Members Up for Renewal - Target (#)"))</f>
        <v/>
      </c>
      <c r="G51" s="93">
        <f>IF(COUNTIFS('Data - Monthly Metrics'!A:A,$B$4,'Data - Monthly Metrics'!B:B,"Feb",'Data - Monthly Metrics'!C:C,"South King",'Data - Monthly Metrics'!D:D,"Members Up for Renewal - Target (#)")=0,"-",SUMIFS('Data - Monthly Metrics'!E:E,'Data - Monthly Metrics'!A:A,$B$4,'Data - Monthly Metrics'!B:B,"Feb",'Data - Monthly Metrics'!C:C,"South King",'Data - Monthly Metrics'!D:D,"Members Up for Renewal - Target (#)"))</f>
        <v/>
      </c>
      <c r="H51" s="93">
        <f>IF(COUNTIFS('Data - Monthly Metrics'!A:A,$B$4,'Data - Monthly Metrics'!B:B,"Mar",'Data - Monthly Metrics'!C:C,"South King",'Data - Monthly Metrics'!D:D,"Members Up for Renewal - Target (#)")=0,"-",SUMIFS('Data - Monthly Metrics'!E:E,'Data - Monthly Metrics'!A:A,$B$4,'Data - Monthly Metrics'!B:B,"Mar",'Data - Monthly Metrics'!C:C,"South King",'Data - Monthly Metrics'!D:D,"Members Up for Renewal - Target (#)"))</f>
        <v/>
      </c>
      <c r="I51" s="103">
        <f>SUM(F51,G51,H51)</f>
        <v/>
      </c>
      <c r="J51" s="93">
        <f>IF(COUNTIFS('Data - Monthly Metrics'!A:A,$B$4,'Data - Monthly Metrics'!B:B,"Apr",'Data - Monthly Metrics'!C:C,"South King",'Data - Monthly Metrics'!D:D,"Members Up for Renewal - Target (#)")=0,"-",SUMIFS('Data - Monthly Metrics'!E:E,'Data - Monthly Metrics'!A:A,$B$4,'Data - Monthly Metrics'!B:B,"Apr",'Data - Monthly Metrics'!C:C,"South King",'Data - Monthly Metrics'!D:D,"Members Up for Renewal - Target (#)"))</f>
        <v/>
      </c>
      <c r="K51" s="93">
        <f>IF(COUNTIFS('Data - Monthly Metrics'!A:A,$B$4,'Data - Monthly Metrics'!B:B,"May",'Data - Monthly Metrics'!C:C,"South King",'Data - Monthly Metrics'!D:D,"Members Up for Renewal - Target (#)")=0,"-",SUMIFS('Data - Monthly Metrics'!E:E,'Data - Monthly Metrics'!A:A,$B$4,'Data - Monthly Metrics'!B:B,"May",'Data - Monthly Metrics'!C:C,"South King",'Data - Monthly Metrics'!D:D,"Members Up for Renewal - Target (#)"))</f>
        <v/>
      </c>
      <c r="L51" s="93">
        <f>IF(COUNTIFS('Data - Monthly Metrics'!A:A,$B$4,'Data - Monthly Metrics'!B:B,"Jun",'Data - Monthly Metrics'!C:C,"South King",'Data - Monthly Metrics'!D:D,"Members Up for Renewal - Target (#)")=0,"-",SUMIFS('Data - Monthly Metrics'!E:E,'Data - Monthly Metrics'!A:A,$B$4,'Data - Monthly Metrics'!B:B,"Jun",'Data - Monthly Metrics'!C:C,"South King",'Data - Monthly Metrics'!D:D,"Members Up for Renewal - Target (#)"))</f>
        <v/>
      </c>
      <c r="M51" s="103">
        <f>SUM(J51,K51,L51)</f>
        <v/>
      </c>
      <c r="N51" s="93">
        <f>IF(COUNTIFS('Data - Monthly Metrics'!A:A,$B$4,'Data - Monthly Metrics'!B:B,"Jul",'Data - Monthly Metrics'!C:C,"South King",'Data - Monthly Metrics'!D:D,"Members Up for Renewal - Target (#)")=0,"-",SUMIFS('Data - Monthly Metrics'!E:E,'Data - Monthly Metrics'!A:A,$B$4,'Data - Monthly Metrics'!B:B,"Jul",'Data - Monthly Metrics'!C:C,"South King",'Data - Monthly Metrics'!D:D,"Members Up for Renewal - Target (#)"))</f>
        <v/>
      </c>
      <c r="O51" s="93">
        <f>IF(COUNTIFS('Data - Monthly Metrics'!A:A,$B$4,'Data - Monthly Metrics'!B:B,"Aug",'Data - Monthly Metrics'!C:C,"South King",'Data - Monthly Metrics'!D:D,"Members Up for Renewal - Target (#)")=0,"-",SUMIFS('Data - Monthly Metrics'!E:E,'Data - Monthly Metrics'!A:A,$B$4,'Data - Monthly Metrics'!B:B,"Aug",'Data - Monthly Metrics'!C:C,"South King",'Data - Monthly Metrics'!D:D,"Members Up for Renewal - Target (#)"))</f>
        <v/>
      </c>
      <c r="P51" s="93">
        <f>IF(COUNTIFS('Data - Monthly Metrics'!A:A,$B$4,'Data - Monthly Metrics'!B:B,"Sep",'Data - Monthly Metrics'!C:C,"South King",'Data - Monthly Metrics'!D:D,"Members Up for Renewal - Target (#)")=0,"-",SUMIFS('Data - Monthly Metrics'!E:E,'Data - Monthly Metrics'!A:A,$B$4,'Data - Monthly Metrics'!B:B,"Sep",'Data - Monthly Metrics'!C:C,"South King",'Data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Metrics'!C:C,"South King",'Data - Monthly Metrics'!D:D,"Members Retained - Target (#)")=0,"-",SUMIFS('Data - Monthly Metrics'!E:E,'Data - Monthly Metrics'!A:A,$B$4-1,'Data - Monthly Metrics'!B:B,"Oct",'Data - Monthly Metrics'!C:C,"South King",'Data - Monthly Metrics'!D:D,"Members Retained - Target (#)"))</f>
        <v/>
      </c>
      <c r="C52" s="98">
        <f>IF(COUNTIFS('Data - Monthly Metrics'!A:A,$B$4-1,'Data - Monthly Metrics'!B:B,"Nov",'Data - Monthly Metrics'!C:C,"South King",'Data - Monthly Metrics'!D:D,"Members Retained - Target (#)")=0,"-",SUMIFS('Data - Monthly Metrics'!E:E,'Data - Monthly Metrics'!A:A,$B$4-1,'Data - Monthly Metrics'!B:B,"Nov",'Data - Monthly Metrics'!C:C,"South King",'Data - Monthly Metrics'!D:D,"Members Retained - Target (#)"))</f>
        <v/>
      </c>
      <c r="D52" s="98">
        <f>IF(COUNTIFS('Data - Monthly Metrics'!A:A,$B$4-1,'Data - Monthly Metrics'!B:B,"Dec",'Data - Monthly Metrics'!C:C,"South King",'Data - Monthly Metrics'!D:D,"Members Retained - Target (#)")=0,"-",SUMIFS('Data - Monthly Metrics'!E:E,'Data - Monthly Metrics'!A:A,$B$4-1,'Data - Monthly Metrics'!B:B,"Dec",'Data - Monthly Metrics'!C:C,"South King",'Data - Monthly Metrics'!D:D,"Members Retained - Target (#)"))</f>
        <v/>
      </c>
      <c r="E52" s="103">
        <f>SUM(B52,C52,D52)</f>
        <v/>
      </c>
      <c r="F52" s="98">
        <f>IF(COUNTIFS('Data - Monthly Metrics'!A:A,$B$4,'Data - Monthly Metrics'!B:B,"Jan",'Data - Monthly Metrics'!C:C,"South King",'Data - Monthly Metrics'!D:D,"Members Retained - Target (#)")=0,"-",SUMIFS('Data - Monthly Metrics'!E:E,'Data - Monthly Metrics'!A:A,$B$4,'Data - Monthly Metrics'!B:B,"Jan",'Data - Monthly Metrics'!C:C,"South King",'Data - Monthly Metrics'!D:D,"Members Retained - Target (#)"))</f>
        <v/>
      </c>
      <c r="G52" s="98">
        <f>IF(COUNTIFS('Data - Monthly Metrics'!A:A,$B$4,'Data - Monthly Metrics'!B:B,"Feb",'Data - Monthly Metrics'!C:C,"South King",'Data - Monthly Metrics'!D:D,"Members Retained - Target (#)")=0,"-",SUMIFS('Data - Monthly Metrics'!E:E,'Data - Monthly Metrics'!A:A,$B$4,'Data - Monthly Metrics'!B:B,"Feb",'Data - Monthly Metrics'!C:C,"South King",'Data - Monthly Metrics'!D:D,"Members Retained - Target (#)"))</f>
        <v/>
      </c>
      <c r="H52" s="98">
        <f>IF(COUNTIFS('Data - Monthly Metrics'!A:A,$B$4,'Data - Monthly Metrics'!B:B,"Mar",'Data - Monthly Metrics'!C:C,"South King",'Data - Monthly Metrics'!D:D,"Members Retained - Target (#)")=0,"-",SUMIFS('Data - Monthly Metrics'!E:E,'Data - Monthly Metrics'!A:A,$B$4,'Data - Monthly Metrics'!B:B,"Mar",'Data - Monthly Metrics'!C:C,"South King",'Data - Monthly Metrics'!D:D,"Members Retained - Target (#)"))</f>
        <v/>
      </c>
      <c r="I52" s="103">
        <f>SUM(F52,G52,H52)</f>
        <v/>
      </c>
      <c r="J52" s="98">
        <f>IF(COUNTIFS('Data - Monthly Metrics'!A:A,$B$4,'Data - Monthly Metrics'!B:B,"Apr",'Data - Monthly Metrics'!C:C,"South King",'Data - Monthly Metrics'!D:D,"Members Retained - Target (#)")=0,"-",SUMIFS('Data - Monthly Metrics'!E:E,'Data - Monthly Metrics'!A:A,$B$4,'Data - Monthly Metrics'!B:B,"Apr",'Data - Monthly Metrics'!C:C,"South King",'Data - Monthly Metrics'!D:D,"Members Retained - Target (#)"))</f>
        <v/>
      </c>
      <c r="K52" s="98">
        <f>IF(COUNTIFS('Data - Monthly Metrics'!A:A,$B$4,'Data - Monthly Metrics'!B:B,"May",'Data - Monthly Metrics'!C:C,"South King",'Data - Monthly Metrics'!D:D,"Members Retained - Target (#)")=0,"-",SUMIFS('Data - Monthly Metrics'!E:E,'Data - Monthly Metrics'!A:A,$B$4,'Data - Monthly Metrics'!B:B,"May",'Data - Monthly Metrics'!C:C,"South King",'Data - Monthly Metrics'!D:D,"Members Retained - Target (#)"))</f>
        <v/>
      </c>
      <c r="L52" s="98">
        <f>IF(COUNTIFS('Data - Monthly Metrics'!A:A,$B$4,'Data - Monthly Metrics'!B:B,"Jun",'Data - Monthly Metrics'!C:C,"South King",'Data - Monthly Metrics'!D:D,"Members Retained - Target (#)")=0,"-",SUMIFS('Data - Monthly Metrics'!E:E,'Data - Monthly Metrics'!A:A,$B$4,'Data - Monthly Metrics'!B:B,"Jun",'Data - Monthly Metrics'!C:C,"South King",'Data - Monthly Metrics'!D:D,"Members Retained - Target (#)"))</f>
        <v/>
      </c>
      <c r="M52" s="103">
        <f>SUM(J52,K52,L52)</f>
        <v/>
      </c>
      <c r="N52" s="98">
        <f>IF(COUNTIFS('Data - Monthly Metrics'!A:A,$B$4,'Data - Monthly Metrics'!B:B,"Jul",'Data - Monthly Metrics'!C:C,"South King",'Data - Monthly Metrics'!D:D,"Members Retained - Target (#)")=0,"-",SUMIFS('Data - Monthly Metrics'!E:E,'Data - Monthly Metrics'!A:A,$B$4,'Data - Monthly Metrics'!B:B,"Jul",'Data - Monthly Metrics'!C:C,"South King",'Data - Monthly Metrics'!D:D,"Members Retained - Target (#)"))</f>
        <v/>
      </c>
      <c r="O52" s="98">
        <f>IF(COUNTIFS('Data - Monthly Metrics'!A:A,$B$4,'Data - Monthly Metrics'!B:B,"Aug",'Data - Monthly Metrics'!C:C,"South King",'Data - Monthly Metrics'!D:D,"Members Retained - Target (#)")=0,"-",SUMIFS('Data - Monthly Metrics'!E:E,'Data - Monthly Metrics'!A:A,$B$4,'Data - Monthly Metrics'!B:B,"Aug",'Data - Monthly Metrics'!C:C,"South King",'Data - Monthly Metrics'!D:D,"Members Retained - Target (#)"))</f>
        <v/>
      </c>
      <c r="P52" s="98">
        <f>IF(COUNTIFS('Data - Monthly Metrics'!A:A,$B$4,'Data - Monthly Metrics'!B:B,"Sep",'Data - Monthly Metrics'!C:C,"South King",'Data - Monthly Metrics'!D:D,"Members Retained - Target (#)")=0,"-",SUMIFS('Data - Monthly Metrics'!E:E,'Data - Monthly Metrics'!A:A,$B$4,'Data - Monthly Metrics'!B:B,"Sep",'Data - Monthly Metrics'!C:C,"South King",'Data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Metrics'!$C:$C,"South King",'Data - Monthly Metrics'!$D:$D,"Goal - Retention %")=0),"—",IF(B53&gt;=SUMIFS('Data - Monthly Metrics'!$E:$E,'Data - Monthly Metrics'!$A:$A,$B$4-1,'Data - Monthly Metrics'!$B:$B,B$8,'Data - Monthly Metrics'!$C:$C,"South King",'Data - Monthly Metrics'!$D:$D,"Goal - Retention %"),"On Track",IF(B53&gt;=SUMIFS('Data - Monthly Metrics'!$E:$E,'Data - Monthly Metrics'!$A:$A,$B$4-1,'Data - Monthly Metrics'!$B:$B,B$8,'Data - Monthly Metrics'!$C:$C,"South King",'Data - Monthly Metrics'!$D:$D,"Goal - Retention %")-0.05,"Watch","At Risk")))</f>
        <v/>
      </c>
      <c r="C54" s="120">
        <f>IF(OR(NOT(ISNUMBER(C53)),C53=0,COUNTIFS('Data - Monthly Metrics'!$A:$A,$B$4-1,'Data - Monthly Metrics'!$B:$B,C$8,'Data - Monthly Metrics'!$C:$C,"South King",'Data - Monthly Metrics'!$D:$D,"Goal - Retention %")=0),"—",IF(C53&gt;=SUMIFS('Data - Monthly Metrics'!$E:$E,'Data - Monthly Metrics'!$A:$A,$B$4-1,'Data - Monthly Metrics'!$B:$B,C$8,'Data - Monthly Metrics'!$C:$C,"South King",'Data - Monthly Metrics'!$D:$D,"Goal - Retention %"),"On Track",IF(C53&gt;=SUMIFS('Data - Monthly Metrics'!$E:$E,'Data - Monthly Metrics'!$A:$A,$B$4-1,'Data - Monthly Metrics'!$B:$B,C$8,'Data - Monthly Metrics'!$C:$C,"South King",'Data - Monthly Metrics'!$D:$D,"Goal - Retention %")-0.05,"Watch","At Risk")))</f>
        <v/>
      </c>
      <c r="D54" s="120">
        <f>IF(OR(NOT(ISNUMBER(D53)),D53=0,COUNTIFS('Data - Monthly Metrics'!$A:$A,$B$4-1,'Data - Monthly Metrics'!$B:$B,D$8,'Data - Monthly Metrics'!$C:$C,"South King",'Data - Monthly Metrics'!$D:$D,"Goal - Retention %")=0),"—",IF(D53&gt;=SUMIFS('Data - Monthly Metrics'!$E:$E,'Data - Monthly Metrics'!$A:$A,$B$4-1,'Data - Monthly Metrics'!$B:$B,D$8,'Data - Monthly Metrics'!$C:$C,"South King",'Data - Monthly Metrics'!$D:$D,"Goal - Retention %"),"On Track",IF(D53&gt;=SUMIFS('Data - Monthly Metrics'!$E:$E,'Data - Monthly Metrics'!$A:$A,$B$4-1,'Data - Monthly Metrics'!$B:$B,D$8,'Data - Monthly Metrics'!$C:$C,"South King",'Data - Monthly Metrics'!$D:$D,"Goal - Retention %")-0.05,"Watch","At Risk")))</f>
        <v/>
      </c>
      <c r="E54" s="121">
        <f>"—"</f>
        <v/>
      </c>
      <c r="F54" s="120">
        <f>IF(OR(NOT(ISNUMBER(F53)),F53=0,COUNTIFS('Data - Monthly Metrics'!$A:$A,$B$4,'Data - Monthly Metrics'!$B:$B,F$8,'Data - Monthly Metrics'!$C:$C,"South King",'Data - Monthly Metrics'!$D:$D,"Goal - Retention %")=0),"—",IF(F53&gt;=SUMIFS('Data - Monthly Metrics'!$E:$E,'Data - Monthly Metrics'!$A:$A,$B$4,'Data - Monthly Metrics'!$B:$B,F$8,'Data - Monthly Metrics'!$C:$C,"South King",'Data - Monthly Metrics'!$D:$D,"Goal - Retention %"),"On Track",IF(F53&gt;=SUMIFS('Data - Monthly Metrics'!$E:$E,'Data - Monthly Metrics'!$A:$A,$B$4,'Data - Monthly Metrics'!$B:$B,F$8,'Data - Monthly Metrics'!$C:$C,"South King",'Data - Monthly Metrics'!$D:$D,"Goal - Retention %")-0.05,"Watch","At Risk")))</f>
        <v/>
      </c>
      <c r="G54" s="120">
        <f>IF(OR(NOT(ISNUMBER(G53)),G53=0,COUNTIFS('Data - Monthly Metrics'!$A:$A,$B$4,'Data - Monthly Metrics'!$B:$B,G$8,'Data - Monthly Metrics'!$C:$C,"South King",'Data - Monthly Metrics'!$D:$D,"Goal - Retention %")=0),"—",IF(G53&gt;=SUMIFS('Data - Monthly Metrics'!$E:$E,'Data - Monthly Metrics'!$A:$A,$B$4,'Data - Monthly Metrics'!$B:$B,G$8,'Data - Monthly Metrics'!$C:$C,"South King",'Data - Monthly Metrics'!$D:$D,"Goal - Retention %"),"On Track",IF(G53&gt;=SUMIFS('Data - Monthly Metrics'!$E:$E,'Data - Monthly Metrics'!$A:$A,$B$4,'Data - Monthly Metrics'!$B:$B,G$8,'Data - Monthly Metrics'!$C:$C,"South King",'Data - Monthly Metrics'!$D:$D,"Goal - Retention %")-0.05,"Watch","At Risk")))</f>
        <v/>
      </c>
      <c r="H54" s="120">
        <f>IF(OR(NOT(ISNUMBER(H53)),H53=0,COUNTIFS('Data - Monthly Metrics'!$A:$A,$B$4,'Data - Monthly Metrics'!$B:$B,H$8,'Data - Monthly Metrics'!$C:$C,"South King",'Data - Monthly Metrics'!$D:$D,"Goal - Retention %")=0),"—",IF(H53&gt;=SUMIFS('Data - Monthly Metrics'!$E:$E,'Data - Monthly Metrics'!$A:$A,$B$4,'Data - Monthly Metrics'!$B:$B,H$8,'Data - Monthly Metrics'!$C:$C,"South King",'Data - Monthly Metrics'!$D:$D,"Goal - Retention %"),"On Track",IF(H53&gt;=SUMIFS('Data - Monthly Metrics'!$E:$E,'Data - Monthly Metrics'!$A:$A,$B$4,'Data - Monthly Metrics'!$B:$B,H$8,'Data - Monthly Metrics'!$C:$C,"South King",'Data - Monthly Metrics'!$D:$D,"Goal - Retention %")-0.05,"Watch","At Risk")))</f>
        <v/>
      </c>
      <c r="I54" s="121">
        <f>"—"</f>
        <v/>
      </c>
      <c r="J54" s="120">
        <f>IF(OR(NOT(ISNUMBER(J53)),J53=0,COUNTIFS('Data - Monthly Metrics'!$A:$A,$B$4,'Data - Monthly Metrics'!$B:$B,J$8,'Data - Monthly Metrics'!$C:$C,"South King",'Data - Monthly Metrics'!$D:$D,"Goal - Retention %")=0),"—",IF(J53&gt;=SUMIFS('Data - Monthly Metrics'!$E:$E,'Data - Monthly Metrics'!$A:$A,$B$4,'Data - Monthly Metrics'!$B:$B,J$8,'Data - Monthly Metrics'!$C:$C,"South King",'Data - Monthly Metrics'!$D:$D,"Goal - Retention %"),"On Track",IF(J53&gt;=SUMIFS('Data - Monthly Metrics'!$E:$E,'Data - Monthly Metrics'!$A:$A,$B$4,'Data - Monthly Metrics'!$B:$B,J$8,'Data - Monthly Metrics'!$C:$C,"South King",'Data - Monthly Metrics'!$D:$D,"Goal - Retention %")-0.05,"Watch","At Risk")))</f>
        <v/>
      </c>
      <c r="K54" s="120">
        <f>IF(OR(NOT(ISNUMBER(K53)),K53=0,COUNTIFS('Data - Monthly Metrics'!$A:$A,$B$4,'Data - Monthly Metrics'!$B:$B,K$8,'Data - Monthly Metrics'!$C:$C,"South King",'Data - Monthly Metrics'!$D:$D,"Goal - Retention %")=0),"—",IF(K53&gt;=SUMIFS('Data - Monthly Metrics'!$E:$E,'Data - Monthly Metrics'!$A:$A,$B$4,'Data - Monthly Metrics'!$B:$B,K$8,'Data - Monthly Metrics'!$C:$C,"South King",'Data - Monthly Metrics'!$D:$D,"Goal - Retention %"),"On Track",IF(K53&gt;=SUMIFS('Data - Monthly Metrics'!$E:$E,'Data - Monthly Metrics'!$A:$A,$B$4,'Data - Monthly Metrics'!$B:$B,K$8,'Data - Monthly Metrics'!$C:$C,"South King",'Data - Monthly Metrics'!$D:$D,"Goal - Retention %")-0.05,"Watch","At Risk")))</f>
        <v/>
      </c>
      <c r="L54" s="120">
        <f>IF(OR(NOT(ISNUMBER(L53)),L53=0,COUNTIFS('Data - Monthly Metrics'!$A:$A,$B$4,'Data - Monthly Metrics'!$B:$B,L$8,'Data - Monthly Metrics'!$C:$C,"South King",'Data - Monthly Metrics'!$D:$D,"Goal - Retention %")=0),"—",IF(L53&gt;=SUMIFS('Data - Monthly Metrics'!$E:$E,'Data - Monthly Metrics'!$A:$A,$B$4,'Data - Monthly Metrics'!$B:$B,L$8,'Data - Monthly Metrics'!$C:$C,"South King",'Data - Monthly Metrics'!$D:$D,"Goal - Retention %"),"On Track",IF(L53&gt;=SUMIFS('Data - Monthly Metrics'!$E:$E,'Data - Monthly Metrics'!$A:$A,$B$4,'Data - Monthly Metrics'!$B:$B,L$8,'Data - Monthly Metrics'!$C:$C,"South King",'Data - Monthly Metrics'!$D:$D,"Goal - Retention %")-0.05,"Watch","At Risk")))</f>
        <v/>
      </c>
      <c r="M54" s="121">
        <f>"—"</f>
        <v/>
      </c>
      <c r="N54" s="120">
        <f>IF(OR(NOT(ISNUMBER(N53)),N53=0,COUNTIFS('Data - Monthly Metrics'!$A:$A,$B$4,'Data - Monthly Metrics'!$B:$B,N$8,'Data - Monthly Metrics'!$C:$C,"South King",'Data - Monthly Metrics'!$D:$D,"Goal - Retention %")=0),"—",IF(N53&gt;=SUMIFS('Data - Monthly Metrics'!$E:$E,'Data - Monthly Metrics'!$A:$A,$B$4,'Data - Monthly Metrics'!$B:$B,N$8,'Data - Monthly Metrics'!$C:$C,"South King",'Data - Monthly Metrics'!$D:$D,"Goal - Retention %"),"On Track",IF(N53&gt;=SUMIFS('Data - Monthly Metrics'!$E:$E,'Data - Monthly Metrics'!$A:$A,$B$4,'Data - Monthly Metrics'!$B:$B,N$8,'Data - Monthly Metrics'!$C:$C,"South King",'Data - Monthly Metrics'!$D:$D,"Goal - Retention %")-0.05,"Watch","At Risk")))</f>
        <v/>
      </c>
      <c r="O54" s="120">
        <f>IF(OR(NOT(ISNUMBER(O53)),O53=0,COUNTIFS('Data - Monthly Metrics'!$A:$A,$B$4,'Data - Monthly Metrics'!$B:$B,O$8,'Data - Monthly Metrics'!$C:$C,"South King",'Data - Monthly Metrics'!$D:$D,"Goal - Retention %")=0),"—",IF(O53&gt;=SUMIFS('Data - Monthly Metrics'!$E:$E,'Data - Monthly Metrics'!$A:$A,$B$4,'Data - Monthly Metrics'!$B:$B,O$8,'Data - Monthly Metrics'!$C:$C,"South King",'Data - Monthly Metrics'!$D:$D,"Goal - Retention %"),"On Track",IF(O53&gt;=SUMIFS('Data - Monthly Metrics'!$E:$E,'Data - Monthly Metrics'!$A:$A,$B$4,'Data - Monthly Metrics'!$B:$B,O$8,'Data - Monthly Metrics'!$C:$C,"South King",'Data - Monthly Metrics'!$D:$D,"Goal - Retention %")-0.05,"Watch","At Risk")))</f>
        <v/>
      </c>
      <c r="P54" s="120">
        <f>IF(OR(NOT(ISNUMBER(P53)),P53=0,COUNTIFS('Data - Monthly Metrics'!$A:$A,$B$4,'Data - Monthly Metrics'!$B:$B,P$8,'Data - Monthly Metrics'!$C:$C,"South King",'Data - Monthly Metrics'!$D:$D,"Goal - Retention %")=0),"—",IF(P53&gt;=SUMIFS('Data - Monthly Metrics'!$E:$E,'Data - Monthly Metrics'!$A:$A,$B$4,'Data - Monthly Metrics'!$B:$B,P$8,'Data - Monthly Metrics'!$C:$C,"South King",'Data - Monthly Metrics'!$D:$D,"Goal - Retention %"),"On Track",IF(P53&gt;=SUMIFS('Data - Monthly Metrics'!$E:$E,'Data - Monthly Metrics'!$A:$A,$B$4,'Data - Monthly Metrics'!$B:$B,P$8,'Data - Monthly Metrics'!$C:$C,"South King",'Data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Metrics'!C:C,"South King",'Data - Monthly Metrics'!D:D,"Revenue Up for Renewal - Target ($)")=0,"-",SUMIFS('Data - Monthly Metrics'!E:E,'Data - Monthly Metrics'!A:A,$B$4-1,'Data - Monthly Metrics'!B:B,"Oct",'Data - Monthly Metrics'!C:C,"South King",'Data - Monthly Metrics'!D:D,"Revenue Up for Renewal - Target ($)"))</f>
        <v/>
      </c>
      <c r="C55" s="91">
        <f>IF(COUNTIFS('Data - Monthly Metrics'!A:A,$B$4-1,'Data - Monthly Metrics'!B:B,"Nov",'Data - Monthly Metrics'!C:C,"South King",'Data - Monthly Metrics'!D:D,"Revenue Up for Renewal - Target ($)")=0,"-",SUMIFS('Data - Monthly Metrics'!E:E,'Data - Monthly Metrics'!A:A,$B$4-1,'Data - Monthly Metrics'!B:B,"Nov",'Data - Monthly Metrics'!C:C,"South King",'Data - Monthly Metrics'!D:D,"Revenue Up for Renewal - Target ($)"))</f>
        <v/>
      </c>
      <c r="D55" s="91">
        <f>IF(COUNTIFS('Data - Monthly Metrics'!A:A,$B$4-1,'Data - Monthly Metrics'!B:B,"Dec",'Data - Monthly Metrics'!C:C,"South King",'Data - Monthly Metrics'!D:D,"Revenue Up for Renewal - Target ($)")=0,"-",SUMIFS('Data - Monthly Metrics'!E:E,'Data - Monthly Metrics'!A:A,$B$4-1,'Data - Monthly Metrics'!B:B,"Dec",'Data - Monthly Metrics'!C:C,"South King",'Data - Monthly Metrics'!D:D,"Revenue Up for Renewal - Target ($)"))</f>
        <v/>
      </c>
      <c r="E55" s="101">
        <f>SUM(B55,C55,D55)</f>
        <v/>
      </c>
      <c r="F55" s="91">
        <f>IF(COUNTIFS('Data - Monthly Metrics'!A:A,$B$4,'Data - Monthly Metrics'!B:B,"Jan",'Data - Monthly Metrics'!C:C,"South King",'Data - Monthly Metrics'!D:D,"Revenue Up for Renewal - Target ($)")=0,"-",SUMIFS('Data - Monthly Metrics'!E:E,'Data - Monthly Metrics'!A:A,$B$4,'Data - Monthly Metrics'!B:B,"Jan",'Data - Monthly Metrics'!C:C,"South King",'Data - Monthly Metrics'!D:D,"Revenue Up for Renewal - Target ($)"))</f>
        <v/>
      </c>
      <c r="G55" s="91">
        <f>IF(COUNTIFS('Data - Monthly Metrics'!A:A,$B$4,'Data - Monthly Metrics'!B:B,"Feb",'Data - Monthly Metrics'!C:C,"South King",'Data - Monthly Metrics'!D:D,"Revenue Up for Renewal - Target ($)")=0,"-",SUMIFS('Data - Monthly Metrics'!E:E,'Data - Monthly Metrics'!A:A,$B$4,'Data - Monthly Metrics'!B:B,"Feb",'Data - Monthly Metrics'!C:C,"South King",'Data - Monthly Metrics'!D:D,"Revenue Up for Renewal - Target ($)"))</f>
        <v/>
      </c>
      <c r="H55" s="91">
        <f>IF(COUNTIFS('Data - Monthly Metrics'!A:A,$B$4,'Data - Monthly Metrics'!B:B,"Mar",'Data - Monthly Metrics'!C:C,"South King",'Data - Monthly Metrics'!D:D,"Revenue Up for Renewal - Target ($)")=0,"-",SUMIFS('Data - Monthly Metrics'!E:E,'Data - Monthly Metrics'!A:A,$B$4,'Data - Monthly Metrics'!B:B,"Mar",'Data - Monthly Metrics'!C:C,"South King",'Data - Monthly Metrics'!D:D,"Revenue Up for Renewal - Target ($)"))</f>
        <v/>
      </c>
      <c r="I55" s="101">
        <f>SUM(F55,G55,H55)</f>
        <v/>
      </c>
      <c r="J55" s="91">
        <f>IF(COUNTIFS('Data - Monthly Metrics'!A:A,$B$4,'Data - Monthly Metrics'!B:B,"Apr",'Data - Monthly Metrics'!C:C,"South King",'Data - Monthly Metrics'!D:D,"Revenue Up for Renewal - Target ($)")=0,"-",SUMIFS('Data - Monthly Metrics'!E:E,'Data - Monthly Metrics'!A:A,$B$4,'Data - Monthly Metrics'!B:B,"Apr",'Data - Monthly Metrics'!C:C,"South King",'Data - Monthly Metrics'!D:D,"Revenue Up for Renewal - Target ($)"))</f>
        <v/>
      </c>
      <c r="K55" s="91">
        <f>IF(COUNTIFS('Data - Monthly Metrics'!A:A,$B$4,'Data - Monthly Metrics'!B:B,"May",'Data - Monthly Metrics'!C:C,"South King",'Data - Monthly Metrics'!D:D,"Revenue Up for Renewal - Target ($)")=0,"-",SUMIFS('Data - Monthly Metrics'!E:E,'Data - Monthly Metrics'!A:A,$B$4,'Data - Monthly Metrics'!B:B,"May",'Data - Monthly Metrics'!C:C,"South King",'Data - Monthly Metrics'!D:D,"Revenue Up for Renewal - Target ($)"))</f>
        <v/>
      </c>
      <c r="L55" s="91">
        <f>IF(COUNTIFS('Data - Monthly Metrics'!A:A,$B$4,'Data - Monthly Metrics'!B:B,"Jun",'Data - Monthly Metrics'!C:C,"South King",'Data - Monthly Metrics'!D:D,"Revenue Up for Renewal - Target ($)")=0,"-",SUMIFS('Data - Monthly Metrics'!E:E,'Data - Monthly Metrics'!A:A,$B$4,'Data - Monthly Metrics'!B:B,"Jun",'Data - Monthly Metrics'!C:C,"South King",'Data - Monthly Metrics'!D:D,"Revenue Up for Renewal - Target ($)"))</f>
        <v/>
      </c>
      <c r="M55" s="101">
        <f>SUM(J55,K55,L55)</f>
        <v/>
      </c>
      <c r="N55" s="91">
        <f>IF(COUNTIFS('Data - Monthly Metrics'!A:A,$B$4,'Data - Monthly Metrics'!B:B,"Jul",'Data - Monthly Metrics'!C:C,"South King",'Data - Monthly Metrics'!D:D,"Revenue Up for Renewal - Target ($)")=0,"-",SUMIFS('Data - Monthly Metrics'!E:E,'Data - Monthly Metrics'!A:A,$B$4,'Data - Monthly Metrics'!B:B,"Jul",'Data - Monthly Metrics'!C:C,"South King",'Data - Monthly Metrics'!D:D,"Revenue Up for Renewal - Target ($)"))</f>
        <v/>
      </c>
      <c r="O55" s="91">
        <f>IF(COUNTIFS('Data - Monthly Metrics'!A:A,$B$4,'Data - Monthly Metrics'!B:B,"Aug",'Data - Monthly Metrics'!C:C,"South King",'Data - Monthly Metrics'!D:D,"Revenue Up for Renewal - Target ($)")=0,"-",SUMIFS('Data - Monthly Metrics'!E:E,'Data - Monthly Metrics'!A:A,$B$4,'Data - Monthly Metrics'!B:B,"Aug",'Data - Monthly Metrics'!C:C,"South King",'Data - Monthly Metrics'!D:D,"Revenue Up for Renewal - Target ($)"))</f>
        <v/>
      </c>
      <c r="P55" s="91">
        <f>IF(COUNTIFS('Data - Monthly Metrics'!A:A,$B$4,'Data - Monthly Metrics'!B:B,"Sep",'Data - Monthly Metrics'!C:C,"South King",'Data - Monthly Metrics'!D:D,"Revenue Up for Renewal - Target ($)")=0,"-",SUMIFS('Data - Monthly Metrics'!E:E,'Data - Monthly Metrics'!A:A,$B$4,'Data - Monthly Metrics'!B:B,"Sep",'Data - Monthly Metrics'!C:C,"South King",'Data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Metrics'!C:C,"South King",'Data - Monthly Metrics'!D:D,"Revenue Retained - Target ($)")=0,"-",SUMIFS('Data - Monthly Metrics'!E:E,'Data - Monthly Metrics'!A:A,$B$4-1,'Data - Monthly Metrics'!B:B,"Oct",'Data - Monthly Metrics'!C:C,"South King",'Data - Monthly Metrics'!D:D,"Revenue Retained - Target ($)"))</f>
        <v/>
      </c>
      <c r="C56" s="96">
        <f>IF(COUNTIFS('Data - Monthly Metrics'!A:A,$B$4-1,'Data - Monthly Metrics'!B:B,"Nov",'Data - Monthly Metrics'!C:C,"South King",'Data - Monthly Metrics'!D:D,"Revenue Retained - Target ($)")=0,"-",SUMIFS('Data - Monthly Metrics'!E:E,'Data - Monthly Metrics'!A:A,$B$4-1,'Data - Monthly Metrics'!B:B,"Nov",'Data - Monthly Metrics'!C:C,"South King",'Data - Monthly Metrics'!D:D,"Revenue Retained - Target ($)"))</f>
        <v/>
      </c>
      <c r="D56" s="96">
        <f>IF(COUNTIFS('Data - Monthly Metrics'!A:A,$B$4-1,'Data - Monthly Metrics'!B:B,"Dec",'Data - Monthly Metrics'!C:C,"South King",'Data - Monthly Metrics'!D:D,"Revenue Retained - Target ($)")=0,"-",SUMIFS('Data - Monthly Metrics'!E:E,'Data - Monthly Metrics'!A:A,$B$4-1,'Data - Monthly Metrics'!B:B,"Dec",'Data - Monthly Metrics'!C:C,"South King",'Data - Monthly Metrics'!D:D,"Revenue Retained - Target ($)"))</f>
        <v/>
      </c>
      <c r="E56" s="101">
        <f>SUM(B56,C56,D56)</f>
        <v/>
      </c>
      <c r="F56" s="96">
        <f>IF(COUNTIFS('Data - Monthly Metrics'!A:A,$B$4,'Data - Monthly Metrics'!B:B,"Jan",'Data - Monthly Metrics'!C:C,"South King",'Data - Monthly Metrics'!D:D,"Revenue Retained - Target ($)")=0,"-",SUMIFS('Data - Monthly Metrics'!E:E,'Data - Monthly Metrics'!A:A,$B$4,'Data - Monthly Metrics'!B:B,"Jan",'Data - Monthly Metrics'!C:C,"South King",'Data - Monthly Metrics'!D:D,"Revenue Retained - Target ($)"))</f>
        <v/>
      </c>
      <c r="G56" s="96">
        <f>IF(COUNTIFS('Data - Monthly Metrics'!A:A,$B$4,'Data - Monthly Metrics'!B:B,"Feb",'Data - Monthly Metrics'!C:C,"South King",'Data - Monthly Metrics'!D:D,"Revenue Retained - Target ($)")=0,"-",SUMIFS('Data - Monthly Metrics'!E:E,'Data - Monthly Metrics'!A:A,$B$4,'Data - Monthly Metrics'!B:B,"Feb",'Data - Monthly Metrics'!C:C,"South King",'Data - Monthly Metrics'!D:D,"Revenue Retained - Target ($)"))</f>
        <v/>
      </c>
      <c r="H56" s="96">
        <f>IF(COUNTIFS('Data - Monthly Metrics'!A:A,$B$4,'Data - Monthly Metrics'!B:B,"Mar",'Data - Monthly Metrics'!C:C,"South King",'Data - Monthly Metrics'!D:D,"Revenue Retained - Target ($)")=0,"-",SUMIFS('Data - Monthly Metrics'!E:E,'Data - Monthly Metrics'!A:A,$B$4,'Data - Monthly Metrics'!B:B,"Mar",'Data - Monthly Metrics'!C:C,"South King",'Data - Monthly Metrics'!D:D,"Revenue Retained - Target ($)"))</f>
        <v/>
      </c>
      <c r="I56" s="101">
        <f>SUM(F56,G56,H56)</f>
        <v/>
      </c>
      <c r="J56" s="96">
        <f>IF(COUNTIFS('Data - Monthly Metrics'!A:A,$B$4,'Data - Monthly Metrics'!B:B,"Apr",'Data - Monthly Metrics'!C:C,"South King",'Data - Monthly Metrics'!D:D,"Revenue Retained - Target ($)")=0,"-",SUMIFS('Data - Monthly Metrics'!E:E,'Data - Monthly Metrics'!A:A,$B$4,'Data - Monthly Metrics'!B:B,"Apr",'Data - Monthly Metrics'!C:C,"South King",'Data - Monthly Metrics'!D:D,"Revenue Retained - Target ($)"))</f>
        <v/>
      </c>
      <c r="K56" s="96">
        <f>IF(COUNTIFS('Data - Monthly Metrics'!A:A,$B$4,'Data - Monthly Metrics'!B:B,"May",'Data - Monthly Metrics'!C:C,"South King",'Data - Monthly Metrics'!D:D,"Revenue Retained - Target ($)")=0,"-",SUMIFS('Data - Monthly Metrics'!E:E,'Data - Monthly Metrics'!A:A,$B$4,'Data - Monthly Metrics'!B:B,"May",'Data - Monthly Metrics'!C:C,"South King",'Data - Monthly Metrics'!D:D,"Revenue Retained - Target ($)"))</f>
        <v/>
      </c>
      <c r="L56" s="96">
        <f>IF(COUNTIFS('Data - Monthly Metrics'!A:A,$B$4,'Data - Monthly Metrics'!B:B,"Jun",'Data - Monthly Metrics'!C:C,"South King",'Data - Monthly Metrics'!D:D,"Revenue Retained - Target ($)")=0,"-",SUMIFS('Data - Monthly Metrics'!E:E,'Data - Monthly Metrics'!A:A,$B$4,'Data - Monthly Metrics'!B:B,"Jun",'Data - Monthly Metrics'!C:C,"South King",'Data - Monthly Metrics'!D:D,"Revenue Retained - Target ($)"))</f>
        <v/>
      </c>
      <c r="M56" s="101">
        <f>SUM(J56,K56,L56)</f>
        <v/>
      </c>
      <c r="N56" s="96">
        <f>IF(COUNTIFS('Data - Monthly Metrics'!A:A,$B$4,'Data - Monthly Metrics'!B:B,"Jul",'Data - Monthly Metrics'!C:C,"South King",'Data - Monthly Metrics'!D:D,"Revenue Retained - Target ($)")=0,"-",SUMIFS('Data - Monthly Metrics'!E:E,'Data - Monthly Metrics'!A:A,$B$4,'Data - Monthly Metrics'!B:B,"Jul",'Data - Monthly Metrics'!C:C,"South King",'Data - Monthly Metrics'!D:D,"Revenue Retained - Target ($)"))</f>
        <v/>
      </c>
      <c r="O56" s="96">
        <f>IF(COUNTIFS('Data - Monthly Metrics'!A:A,$B$4,'Data - Monthly Metrics'!B:B,"Aug",'Data - Monthly Metrics'!C:C,"South King",'Data - Monthly Metrics'!D:D,"Revenue Retained - Target ($)")=0,"-",SUMIFS('Data - Monthly Metrics'!E:E,'Data - Monthly Metrics'!A:A,$B$4,'Data - Monthly Metrics'!B:B,"Aug",'Data - Monthly Metrics'!C:C,"South King",'Data - Monthly Metrics'!D:D,"Revenue Retained - Target ($)"))</f>
        <v/>
      </c>
      <c r="P56" s="96">
        <f>IF(COUNTIFS('Data - Monthly Metrics'!A:A,$B$4,'Data - Monthly Metrics'!B:B,"Sep",'Data - Monthly Metrics'!C:C,"South King",'Data - Monthly Metrics'!D:D,"Revenue Retained - Target ($)")=0,"-",SUMIFS('Data - Monthly Metrics'!E:E,'Data - Monthly Metrics'!A:A,$B$4,'Data - Monthly Metrics'!B:B,"Sep",'Data - Monthly Metrics'!C:C,"South King",'Data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Metrics'!C:C,"South King",'Data - Monthly Metrics'!D:D,"Retention - Comped Target (#)")=0,"-",SUMIFS('Data - Monthly Metrics'!E:E,'Data - Monthly Metrics'!A:A,$B$4-1,'Data - Monthly Metrics'!B:B,"Oct",'Data - Monthly Metrics'!C:C,"South King",'Data - Monthly Metrics'!D:D,"Retention - Comped Target (#)"))</f>
        <v/>
      </c>
      <c r="C57" s="98">
        <f>IF(COUNTIFS('Data - Monthly Metrics'!A:A,$B$4-1,'Data - Monthly Metrics'!B:B,"Nov",'Data - Monthly Metrics'!C:C,"South King",'Data - Monthly Metrics'!D:D,"Retention - Comped Target (#)")=0,"-",SUMIFS('Data - Monthly Metrics'!E:E,'Data - Monthly Metrics'!A:A,$B$4-1,'Data - Monthly Metrics'!B:B,"Nov",'Data - Monthly Metrics'!C:C,"South King",'Data - Monthly Metrics'!D:D,"Retention - Comped Target (#)"))</f>
        <v/>
      </c>
      <c r="D57" s="98">
        <f>IF(COUNTIFS('Data - Monthly Metrics'!A:A,$B$4-1,'Data - Monthly Metrics'!B:B,"Dec",'Data - Monthly Metrics'!C:C,"South King",'Data - Monthly Metrics'!D:D,"Retention - Comped Target (#)")=0,"-",SUMIFS('Data - Monthly Metrics'!E:E,'Data - Monthly Metrics'!A:A,$B$4-1,'Data - Monthly Metrics'!B:B,"Dec",'Data - Monthly Metrics'!C:C,"South King",'Data - Monthly Metrics'!D:D,"Retention - Comped Target (#)"))</f>
        <v/>
      </c>
      <c r="E57" s="103">
        <f>SUM(B57,C57,D57)</f>
        <v/>
      </c>
      <c r="F57" s="98">
        <f>IF(COUNTIFS('Data - Monthly Metrics'!A:A,$B$4,'Data - Monthly Metrics'!B:B,"Jan",'Data - Monthly Metrics'!C:C,"South King",'Data - Monthly Metrics'!D:D,"Retention - Comped Target (#)")=0,"-",SUMIFS('Data - Monthly Metrics'!E:E,'Data - Monthly Metrics'!A:A,$B$4,'Data - Monthly Metrics'!B:B,"Jan",'Data - Monthly Metrics'!C:C,"South King",'Data - Monthly Metrics'!D:D,"Retention - Comped Target (#)"))</f>
        <v/>
      </c>
      <c r="G57" s="98">
        <f>IF(COUNTIFS('Data - Monthly Metrics'!A:A,$B$4,'Data - Monthly Metrics'!B:B,"Feb",'Data - Monthly Metrics'!C:C,"South King",'Data - Monthly Metrics'!D:D,"Retention - Comped Target (#)")=0,"-",SUMIFS('Data - Monthly Metrics'!E:E,'Data - Monthly Metrics'!A:A,$B$4,'Data - Monthly Metrics'!B:B,"Feb",'Data - Monthly Metrics'!C:C,"South King",'Data - Monthly Metrics'!D:D,"Retention - Comped Target (#)"))</f>
        <v/>
      </c>
      <c r="H57" s="98">
        <f>IF(COUNTIFS('Data - Monthly Metrics'!A:A,$B$4,'Data - Monthly Metrics'!B:B,"Mar",'Data - Monthly Metrics'!C:C,"South King",'Data - Monthly Metrics'!D:D,"Retention - Comped Target (#)")=0,"-",SUMIFS('Data - Monthly Metrics'!E:E,'Data - Monthly Metrics'!A:A,$B$4,'Data - Monthly Metrics'!B:B,"Mar",'Data - Monthly Metrics'!C:C,"South King",'Data - Monthly Metrics'!D:D,"Retention - Comped Target (#)"))</f>
        <v/>
      </c>
      <c r="I57" s="103">
        <f>SUM(F57,G57,H57)</f>
        <v/>
      </c>
      <c r="J57" s="98">
        <f>IF(COUNTIFS('Data - Monthly Metrics'!A:A,$B$4,'Data - Monthly Metrics'!B:B,"Apr",'Data - Monthly Metrics'!C:C,"South King",'Data - Monthly Metrics'!D:D,"Retention - Comped Target (#)")=0,"-",SUMIFS('Data - Monthly Metrics'!E:E,'Data - Monthly Metrics'!A:A,$B$4,'Data - Monthly Metrics'!B:B,"Apr",'Data - Monthly Metrics'!C:C,"South King",'Data - Monthly Metrics'!D:D,"Retention - Comped Target (#)"))</f>
        <v/>
      </c>
      <c r="K57" s="98">
        <f>IF(COUNTIFS('Data - Monthly Metrics'!A:A,$B$4,'Data - Monthly Metrics'!B:B,"May",'Data - Monthly Metrics'!C:C,"South King",'Data - Monthly Metrics'!D:D,"Retention - Comped Target (#)")=0,"-",SUMIFS('Data - Monthly Metrics'!E:E,'Data - Monthly Metrics'!A:A,$B$4,'Data - Monthly Metrics'!B:B,"May",'Data - Monthly Metrics'!C:C,"South King",'Data - Monthly Metrics'!D:D,"Retention - Comped Target (#)"))</f>
        <v/>
      </c>
      <c r="L57" s="98">
        <f>IF(COUNTIFS('Data - Monthly Metrics'!A:A,$B$4,'Data - Monthly Metrics'!B:B,"Jun",'Data - Monthly Metrics'!C:C,"South King",'Data - Monthly Metrics'!D:D,"Retention - Comped Target (#)")=0,"-",SUMIFS('Data - Monthly Metrics'!E:E,'Data - Monthly Metrics'!A:A,$B$4,'Data - Monthly Metrics'!B:B,"Jun",'Data - Monthly Metrics'!C:C,"South King",'Data - Monthly Metrics'!D:D,"Retention - Comped Target (#)"))</f>
        <v/>
      </c>
      <c r="M57" s="103">
        <f>SUM(J57,K57,L57)</f>
        <v/>
      </c>
      <c r="N57" s="98">
        <f>IF(COUNTIFS('Data - Monthly Metrics'!A:A,$B$4,'Data - Monthly Metrics'!B:B,"Jul",'Data - Monthly Metrics'!C:C,"South King",'Data - Monthly Metrics'!D:D,"Retention - Comped Target (#)")=0,"-",SUMIFS('Data - Monthly Metrics'!E:E,'Data - Monthly Metrics'!A:A,$B$4,'Data - Monthly Metrics'!B:B,"Jul",'Data - Monthly Metrics'!C:C,"South King",'Data - Monthly Metrics'!D:D,"Retention - Comped Target (#)"))</f>
        <v/>
      </c>
      <c r="O57" s="98">
        <f>IF(COUNTIFS('Data - Monthly Metrics'!A:A,$B$4,'Data - Monthly Metrics'!B:B,"Aug",'Data - Monthly Metrics'!C:C,"South King",'Data - Monthly Metrics'!D:D,"Retention - Comped Target (#)")=0,"-",SUMIFS('Data - Monthly Metrics'!E:E,'Data - Monthly Metrics'!A:A,$B$4,'Data - Monthly Metrics'!B:B,"Aug",'Data - Monthly Metrics'!C:C,"South King",'Data - Monthly Metrics'!D:D,"Retention - Comped Target (#)"))</f>
        <v/>
      </c>
      <c r="P57" s="98">
        <f>IF(COUNTIFS('Data - Monthly Metrics'!A:A,$B$4,'Data - Monthly Metrics'!B:B,"Sep",'Data - Monthly Metrics'!C:C,"South King",'Data - Monthly Metrics'!D:D,"Retention - Comped Target (#)")=0,"-",SUMIFS('Data - Monthly Metrics'!E:E,'Data - Monthly Metrics'!A:A,$B$4,'Data - Monthly Metrics'!B:B,"Sep",'Data - Monthly Metrics'!C:C,"South King",'Data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Metrics'!C:C,"South King",'Data - Monthly Metrics'!D:D,"Retention - Comped Target ($)")=0,"-",SUMIFS('Data - Monthly Metrics'!E:E,'Data - Monthly Metrics'!A:A,$B$4-1,'Data - Monthly Metrics'!B:B,"Oct",'Data - Monthly Metrics'!C:C,"South King",'Data - Monthly Metrics'!D:D,"Retention - Comped Target ($)"))</f>
        <v/>
      </c>
      <c r="C58" s="96">
        <f>IF(COUNTIFS('Data - Monthly Metrics'!A:A,$B$4-1,'Data - Monthly Metrics'!B:B,"Nov",'Data - Monthly Metrics'!C:C,"South King",'Data - Monthly Metrics'!D:D,"Retention - Comped Target ($)")=0,"-",SUMIFS('Data - Monthly Metrics'!E:E,'Data - Monthly Metrics'!A:A,$B$4-1,'Data - Monthly Metrics'!B:B,"Nov",'Data - Monthly Metrics'!C:C,"South King",'Data - Monthly Metrics'!D:D,"Retention - Comped Target ($)"))</f>
        <v/>
      </c>
      <c r="D58" s="96">
        <f>IF(COUNTIFS('Data - Monthly Metrics'!A:A,$B$4-1,'Data - Monthly Metrics'!B:B,"Dec",'Data - Monthly Metrics'!C:C,"South King",'Data - Monthly Metrics'!D:D,"Retention - Comped Target ($)")=0,"-",SUMIFS('Data - Monthly Metrics'!E:E,'Data - Monthly Metrics'!A:A,$B$4-1,'Data - Monthly Metrics'!B:B,"Dec",'Data - Monthly Metrics'!C:C,"South King",'Data - Monthly Metrics'!D:D,"Retention - Comped Target ($)"))</f>
        <v/>
      </c>
      <c r="E58" s="101">
        <f>SUM(B58,C58,D58)</f>
        <v/>
      </c>
      <c r="F58" s="96">
        <f>IF(COUNTIFS('Data - Monthly Metrics'!A:A,$B$4,'Data - Monthly Metrics'!B:B,"Jan",'Data - Monthly Metrics'!C:C,"South King",'Data - Monthly Metrics'!D:D,"Retention - Comped Target ($)")=0,"-",SUMIFS('Data - Monthly Metrics'!E:E,'Data - Monthly Metrics'!A:A,$B$4,'Data - Monthly Metrics'!B:B,"Jan",'Data - Monthly Metrics'!C:C,"South King",'Data - Monthly Metrics'!D:D,"Retention - Comped Target ($)"))</f>
        <v/>
      </c>
      <c r="G58" s="96">
        <f>IF(COUNTIFS('Data - Monthly Metrics'!A:A,$B$4,'Data - Monthly Metrics'!B:B,"Feb",'Data - Monthly Metrics'!C:C,"South King",'Data - Monthly Metrics'!D:D,"Retention - Comped Target ($)")=0,"-",SUMIFS('Data - Monthly Metrics'!E:E,'Data - Monthly Metrics'!A:A,$B$4,'Data - Monthly Metrics'!B:B,"Feb",'Data - Monthly Metrics'!C:C,"South King",'Data - Monthly Metrics'!D:D,"Retention - Comped Target ($)"))</f>
        <v/>
      </c>
      <c r="H58" s="96">
        <f>IF(COUNTIFS('Data - Monthly Metrics'!A:A,$B$4,'Data - Monthly Metrics'!B:B,"Mar",'Data - Monthly Metrics'!C:C,"South King",'Data - Monthly Metrics'!D:D,"Retention - Comped Target ($)")=0,"-",SUMIFS('Data - Monthly Metrics'!E:E,'Data - Monthly Metrics'!A:A,$B$4,'Data - Monthly Metrics'!B:B,"Mar",'Data - Monthly Metrics'!C:C,"South King",'Data - Monthly Metrics'!D:D,"Retention - Comped Target ($)"))</f>
        <v/>
      </c>
      <c r="I58" s="101">
        <f>SUM(F58,G58,H58)</f>
        <v/>
      </c>
      <c r="J58" s="96">
        <f>IF(COUNTIFS('Data - Monthly Metrics'!A:A,$B$4,'Data - Monthly Metrics'!B:B,"Apr",'Data - Monthly Metrics'!C:C,"South King",'Data - Monthly Metrics'!D:D,"Retention - Comped Target ($)")=0,"-",SUMIFS('Data - Monthly Metrics'!E:E,'Data - Monthly Metrics'!A:A,$B$4,'Data - Monthly Metrics'!B:B,"Apr",'Data - Monthly Metrics'!C:C,"South King",'Data - Monthly Metrics'!D:D,"Retention - Comped Target ($)"))</f>
        <v/>
      </c>
      <c r="K58" s="96">
        <f>IF(COUNTIFS('Data - Monthly Metrics'!A:A,$B$4,'Data - Monthly Metrics'!B:B,"May",'Data - Monthly Metrics'!C:C,"South King",'Data - Monthly Metrics'!D:D,"Retention - Comped Target ($)")=0,"-",SUMIFS('Data - Monthly Metrics'!E:E,'Data - Monthly Metrics'!A:A,$B$4,'Data - Monthly Metrics'!B:B,"May",'Data - Monthly Metrics'!C:C,"South King",'Data - Monthly Metrics'!D:D,"Retention - Comped Target ($)"))</f>
        <v/>
      </c>
      <c r="L58" s="96">
        <f>IF(COUNTIFS('Data - Monthly Metrics'!A:A,$B$4,'Data - Monthly Metrics'!B:B,"Jun",'Data - Monthly Metrics'!C:C,"South King",'Data - Monthly Metrics'!D:D,"Retention - Comped Target ($)")=0,"-",SUMIFS('Data - Monthly Metrics'!E:E,'Data - Monthly Metrics'!A:A,$B$4,'Data - Monthly Metrics'!B:B,"Jun",'Data - Monthly Metrics'!C:C,"South King",'Data - Monthly Metrics'!D:D,"Retention - Comped Target ($)"))</f>
        <v/>
      </c>
      <c r="M58" s="101">
        <f>SUM(J58,K58,L58)</f>
        <v/>
      </c>
      <c r="N58" s="96">
        <f>IF(COUNTIFS('Data - Monthly Metrics'!A:A,$B$4,'Data - Monthly Metrics'!B:B,"Jul",'Data - Monthly Metrics'!C:C,"South King",'Data - Monthly Metrics'!D:D,"Retention - Comped Target ($)")=0,"-",SUMIFS('Data - Monthly Metrics'!E:E,'Data - Monthly Metrics'!A:A,$B$4,'Data - Monthly Metrics'!B:B,"Jul",'Data - Monthly Metrics'!C:C,"South King",'Data - Monthly Metrics'!D:D,"Retention - Comped Target ($)"))</f>
        <v/>
      </c>
      <c r="O58" s="96">
        <f>IF(COUNTIFS('Data - Monthly Metrics'!A:A,$B$4,'Data - Monthly Metrics'!B:B,"Aug",'Data - Monthly Metrics'!C:C,"South King",'Data - Monthly Metrics'!D:D,"Retention - Comped Target ($)")=0,"-",SUMIFS('Data - Monthly Metrics'!E:E,'Data - Monthly Metrics'!A:A,$B$4,'Data - Monthly Metrics'!B:B,"Aug",'Data - Monthly Metrics'!C:C,"South King",'Data - Monthly Metrics'!D:D,"Retention - Comped Target ($)"))</f>
        <v/>
      </c>
      <c r="P58" s="96">
        <f>IF(COUNTIFS('Data - Monthly Metrics'!A:A,$B$4,'Data - Monthly Metrics'!B:B,"Sep",'Data - Monthly Metrics'!C:C,"South King",'Data - Monthly Metrics'!D:D,"Retention - Comped Target ($)")=0,"-",SUMIFS('Data - Monthly Metrics'!E:E,'Data - Monthly Metrics'!A:A,$B$4,'Data - Monthly Metrics'!B:B,"Sep",'Data - Monthly Metrics'!C:C,"South King",'Data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Metrics'!C:C,"South King",'Data - Monthly Metrics'!D:D,"Drops - Target (#)")=0,"-",SUMIFS('Data - Monthly Metrics'!E:E,'Data - Monthly Metrics'!A:A,$B$4-1,'Data - Monthly Metrics'!B:B,"Oct",'Data - Monthly Metrics'!C:C,"South King",'Data - Monthly Metrics'!D:D,"Drops - Target (#)"))</f>
        <v/>
      </c>
      <c r="C63" s="93">
        <f>IF(COUNTIFS('Data - Monthly Metrics'!A:A,$B$4-1,'Data - Monthly Metrics'!B:B,"Nov",'Data - Monthly Metrics'!C:C,"South King",'Data - Monthly Metrics'!D:D,"Drops - Target (#)")=0,"-",SUMIFS('Data - Monthly Metrics'!E:E,'Data - Monthly Metrics'!A:A,$B$4-1,'Data - Monthly Metrics'!B:B,"Nov",'Data - Monthly Metrics'!C:C,"South King",'Data - Monthly Metrics'!D:D,"Drops - Target (#)"))</f>
        <v/>
      </c>
      <c r="D63" s="93">
        <f>IF(COUNTIFS('Data - Monthly Metrics'!A:A,$B$4-1,'Data - Monthly Metrics'!B:B,"Dec",'Data - Monthly Metrics'!C:C,"South King",'Data - Monthly Metrics'!D:D,"Drops - Target (#)")=0,"-",SUMIFS('Data - Monthly Metrics'!E:E,'Data - Monthly Metrics'!A:A,$B$4-1,'Data - Monthly Metrics'!B:B,"Dec",'Data - Monthly Metrics'!C:C,"South King",'Data - Monthly Metrics'!D:D,"Drops - Target (#)"))</f>
        <v/>
      </c>
      <c r="E63" s="103">
        <f>SUM(B63,C63,D63)</f>
        <v/>
      </c>
      <c r="F63" s="93">
        <f>IF(COUNTIFS('Data - Monthly Metrics'!A:A,$B$4,'Data - Monthly Metrics'!B:B,"Jan",'Data - Monthly Metrics'!C:C,"South King",'Data - Monthly Metrics'!D:D,"Drops - Target (#)")=0,"-",SUMIFS('Data - Monthly Metrics'!E:E,'Data - Monthly Metrics'!A:A,$B$4,'Data - Monthly Metrics'!B:B,"Jan",'Data - Monthly Metrics'!C:C,"South King",'Data - Monthly Metrics'!D:D,"Drops - Target (#)"))</f>
        <v/>
      </c>
      <c r="G63" s="93">
        <f>IF(COUNTIFS('Data - Monthly Metrics'!A:A,$B$4,'Data - Monthly Metrics'!B:B,"Feb",'Data - Monthly Metrics'!C:C,"South King",'Data - Monthly Metrics'!D:D,"Drops - Target (#)")=0,"-",SUMIFS('Data - Monthly Metrics'!E:E,'Data - Monthly Metrics'!A:A,$B$4,'Data - Monthly Metrics'!B:B,"Feb",'Data - Monthly Metrics'!C:C,"South King",'Data - Monthly Metrics'!D:D,"Drops - Target (#)"))</f>
        <v/>
      </c>
      <c r="H63" s="93">
        <f>IF(COUNTIFS('Data - Monthly Metrics'!A:A,$B$4,'Data - Monthly Metrics'!B:B,"Mar",'Data - Monthly Metrics'!C:C,"South King",'Data - Monthly Metrics'!D:D,"Drops - Target (#)")=0,"-",SUMIFS('Data - Monthly Metrics'!E:E,'Data - Monthly Metrics'!A:A,$B$4,'Data - Monthly Metrics'!B:B,"Mar",'Data - Monthly Metrics'!C:C,"South King",'Data - Monthly Metrics'!D:D,"Drops - Target (#)"))</f>
        <v/>
      </c>
      <c r="I63" s="103">
        <f>SUM(F63,G63,H63)</f>
        <v/>
      </c>
      <c r="J63" s="93">
        <f>IF(COUNTIFS('Data - Monthly Metrics'!A:A,$B$4,'Data - Monthly Metrics'!B:B,"Apr",'Data - Monthly Metrics'!C:C,"South King",'Data - Monthly Metrics'!D:D,"Drops - Target (#)")=0,"-",SUMIFS('Data - Monthly Metrics'!E:E,'Data - Monthly Metrics'!A:A,$B$4,'Data - Monthly Metrics'!B:B,"Apr",'Data - Monthly Metrics'!C:C,"South King",'Data - Monthly Metrics'!D:D,"Drops - Target (#)"))</f>
        <v/>
      </c>
      <c r="K63" s="93">
        <f>IF(COUNTIFS('Data - Monthly Metrics'!A:A,$B$4,'Data - Monthly Metrics'!B:B,"May",'Data - Monthly Metrics'!C:C,"South King",'Data - Monthly Metrics'!D:D,"Drops - Target (#)")=0,"-",SUMIFS('Data - Monthly Metrics'!E:E,'Data - Monthly Metrics'!A:A,$B$4,'Data - Monthly Metrics'!B:B,"May",'Data - Monthly Metrics'!C:C,"South King",'Data - Monthly Metrics'!D:D,"Drops - Target (#)"))</f>
        <v/>
      </c>
      <c r="L63" s="93">
        <f>IF(COUNTIFS('Data - Monthly Metrics'!A:A,$B$4,'Data - Monthly Metrics'!B:B,"Jun",'Data - Monthly Metrics'!C:C,"South King",'Data - Monthly Metrics'!D:D,"Drops - Target (#)")=0,"-",SUMIFS('Data - Monthly Metrics'!E:E,'Data - Monthly Metrics'!A:A,$B$4,'Data - Monthly Metrics'!B:B,"Jun",'Data - Monthly Metrics'!C:C,"South King",'Data - Monthly Metrics'!D:D,"Drops - Target (#)"))</f>
        <v/>
      </c>
      <c r="M63" s="103">
        <f>SUM(J63,K63,L63)</f>
        <v/>
      </c>
      <c r="N63" s="93">
        <f>IF(COUNTIFS('Data - Monthly Metrics'!A:A,$B$4,'Data - Monthly Metrics'!B:B,"Jul",'Data - Monthly Metrics'!C:C,"South King",'Data - Monthly Metrics'!D:D,"Drops - Target (#)")=0,"-",SUMIFS('Data - Monthly Metrics'!E:E,'Data - Monthly Metrics'!A:A,$B$4,'Data - Monthly Metrics'!B:B,"Jul",'Data - Monthly Metrics'!C:C,"South King",'Data - Monthly Metrics'!D:D,"Drops - Target (#)"))</f>
        <v/>
      </c>
      <c r="O63" s="93">
        <f>IF(COUNTIFS('Data - Monthly Metrics'!A:A,$B$4,'Data - Monthly Metrics'!B:B,"Aug",'Data - Monthly Metrics'!C:C,"South King",'Data - Monthly Metrics'!D:D,"Drops - Target (#)")=0,"-",SUMIFS('Data - Monthly Metrics'!E:E,'Data - Monthly Metrics'!A:A,$B$4,'Data - Monthly Metrics'!B:B,"Aug",'Data - Monthly Metrics'!C:C,"South King",'Data - Monthly Metrics'!D:D,"Drops - Target (#)"))</f>
        <v/>
      </c>
      <c r="P63" s="93">
        <f>IF(COUNTIFS('Data - Monthly Metrics'!A:A,$B$4,'Data - Monthly Metrics'!B:B,"Sep",'Data - Monthly Metrics'!C:C,"South King",'Data - Monthly Metrics'!D:D,"Drops - Target (#)")=0,"-",SUMIFS('Data - Monthly Metrics'!E:E,'Data - Monthly Metrics'!A:A,$B$4,'Data - Monthly Metrics'!B:B,"Sep",'Data - Monthly Metrics'!C:C,"South King",'Data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Metrics'!C:C,"South King",'Data - Monthly Metrics'!D:D,"Dropped Revenue - Target ($)")=0,"-",SUMIFS('Data - Monthly Metrics'!E:E,'Data - Monthly Metrics'!A:A,$B$4-1,'Data - Monthly Metrics'!B:B,"Oct",'Data - Monthly Metrics'!C:C,"South King",'Data - Monthly Metrics'!D:D,"Dropped Revenue - Target ($)"))</f>
        <v/>
      </c>
      <c r="C64" s="96">
        <f>IF(COUNTIFS('Data - Monthly Metrics'!A:A,$B$4-1,'Data - Monthly Metrics'!B:B,"Nov",'Data - Monthly Metrics'!C:C,"South King",'Data - Monthly Metrics'!D:D,"Dropped Revenue - Target ($)")=0,"-",SUMIFS('Data - Monthly Metrics'!E:E,'Data - Monthly Metrics'!A:A,$B$4-1,'Data - Monthly Metrics'!B:B,"Nov",'Data - Monthly Metrics'!C:C,"South King",'Data - Monthly Metrics'!D:D,"Dropped Revenue - Target ($)"))</f>
        <v/>
      </c>
      <c r="D64" s="96">
        <f>IF(COUNTIFS('Data - Monthly Metrics'!A:A,$B$4-1,'Data - Monthly Metrics'!B:B,"Dec",'Data - Monthly Metrics'!C:C,"South King",'Data - Monthly Metrics'!D:D,"Dropped Revenue - Target ($)")=0,"-",SUMIFS('Data - Monthly Metrics'!E:E,'Data - Monthly Metrics'!A:A,$B$4-1,'Data - Monthly Metrics'!B:B,"Dec",'Data - Monthly Metrics'!C:C,"South King",'Data - Monthly Metrics'!D:D,"Dropped Revenue - Target ($)"))</f>
        <v/>
      </c>
      <c r="E64" s="101">
        <f>SUM(B64,C64,D64)</f>
        <v/>
      </c>
      <c r="F64" s="96">
        <f>IF(COUNTIFS('Data - Monthly Metrics'!A:A,$B$4,'Data - Monthly Metrics'!B:B,"Jan",'Data - Monthly Metrics'!C:C,"South King",'Data - Monthly Metrics'!D:D,"Dropped Revenue - Target ($)")=0,"-",SUMIFS('Data - Monthly Metrics'!E:E,'Data - Monthly Metrics'!A:A,$B$4,'Data - Monthly Metrics'!B:B,"Jan",'Data - Monthly Metrics'!C:C,"South King",'Data - Monthly Metrics'!D:D,"Dropped Revenue - Target ($)"))</f>
        <v/>
      </c>
      <c r="G64" s="96">
        <f>IF(COUNTIFS('Data - Monthly Metrics'!A:A,$B$4,'Data - Monthly Metrics'!B:B,"Feb",'Data - Monthly Metrics'!C:C,"South King",'Data - Monthly Metrics'!D:D,"Dropped Revenue - Target ($)")=0,"-",SUMIFS('Data - Monthly Metrics'!E:E,'Data - Monthly Metrics'!A:A,$B$4,'Data - Monthly Metrics'!B:B,"Feb",'Data - Monthly Metrics'!C:C,"South King",'Data - Monthly Metrics'!D:D,"Dropped Revenue - Target ($)"))</f>
        <v/>
      </c>
      <c r="H64" s="96">
        <f>IF(COUNTIFS('Data - Monthly Metrics'!A:A,$B$4,'Data - Monthly Metrics'!B:B,"Mar",'Data - Monthly Metrics'!C:C,"South King",'Data - Monthly Metrics'!D:D,"Dropped Revenue - Target ($)")=0,"-",SUMIFS('Data - Monthly Metrics'!E:E,'Data - Monthly Metrics'!A:A,$B$4,'Data - Monthly Metrics'!B:B,"Mar",'Data - Monthly Metrics'!C:C,"South King",'Data - Monthly Metrics'!D:D,"Dropped Revenue - Target ($)"))</f>
        <v/>
      </c>
      <c r="I64" s="101">
        <f>SUM(F64,G64,H64)</f>
        <v/>
      </c>
      <c r="J64" s="96">
        <f>IF(COUNTIFS('Data - Monthly Metrics'!A:A,$B$4,'Data - Monthly Metrics'!B:B,"Apr",'Data - Monthly Metrics'!C:C,"South King",'Data - Monthly Metrics'!D:D,"Dropped Revenue - Target ($)")=0,"-",SUMIFS('Data - Monthly Metrics'!E:E,'Data - Monthly Metrics'!A:A,$B$4,'Data - Monthly Metrics'!B:B,"Apr",'Data - Monthly Metrics'!C:C,"South King",'Data - Monthly Metrics'!D:D,"Dropped Revenue - Target ($)"))</f>
        <v/>
      </c>
      <c r="K64" s="96">
        <f>IF(COUNTIFS('Data - Monthly Metrics'!A:A,$B$4,'Data - Monthly Metrics'!B:B,"May",'Data - Monthly Metrics'!C:C,"South King",'Data - Monthly Metrics'!D:D,"Dropped Revenue - Target ($)")=0,"-",SUMIFS('Data - Monthly Metrics'!E:E,'Data - Monthly Metrics'!A:A,$B$4,'Data - Monthly Metrics'!B:B,"May",'Data - Monthly Metrics'!C:C,"South King",'Data - Monthly Metrics'!D:D,"Dropped Revenue - Target ($)"))</f>
        <v/>
      </c>
      <c r="L64" s="96">
        <f>IF(COUNTIFS('Data - Monthly Metrics'!A:A,$B$4,'Data - Monthly Metrics'!B:B,"Jun",'Data - Monthly Metrics'!C:C,"South King",'Data - Monthly Metrics'!D:D,"Dropped Revenue - Target ($)")=0,"-",SUMIFS('Data - Monthly Metrics'!E:E,'Data - Monthly Metrics'!A:A,$B$4,'Data - Monthly Metrics'!B:B,"Jun",'Data - Monthly Metrics'!C:C,"South King",'Data - Monthly Metrics'!D:D,"Dropped Revenue - Target ($)"))</f>
        <v/>
      </c>
      <c r="M64" s="101">
        <f>SUM(J64,K64,L64)</f>
        <v/>
      </c>
      <c r="N64" s="96">
        <f>IF(COUNTIFS('Data - Monthly Metrics'!A:A,$B$4,'Data - Monthly Metrics'!B:B,"Jul",'Data - Monthly Metrics'!C:C,"South King",'Data - Monthly Metrics'!D:D,"Dropped Revenue - Target ($)")=0,"-",SUMIFS('Data - Monthly Metrics'!E:E,'Data - Monthly Metrics'!A:A,$B$4,'Data - Monthly Metrics'!B:B,"Jul",'Data - Monthly Metrics'!C:C,"South King",'Data - Monthly Metrics'!D:D,"Dropped Revenue - Target ($)"))</f>
        <v/>
      </c>
      <c r="O64" s="96">
        <f>IF(COUNTIFS('Data - Monthly Metrics'!A:A,$B$4,'Data - Monthly Metrics'!B:B,"Aug",'Data - Monthly Metrics'!C:C,"South King",'Data - Monthly Metrics'!D:D,"Dropped Revenue - Target ($)")=0,"-",SUMIFS('Data - Monthly Metrics'!E:E,'Data - Monthly Metrics'!A:A,$B$4,'Data - Monthly Metrics'!B:B,"Aug",'Data - Monthly Metrics'!C:C,"South King",'Data - Monthly Metrics'!D:D,"Dropped Revenue - Target ($)"))</f>
        <v/>
      </c>
      <c r="P64" s="96">
        <f>IF(COUNTIFS('Data - Monthly Metrics'!A:A,$B$4,'Data - Monthly Metrics'!B:B,"Sep",'Data - Monthly Metrics'!C:C,"South King",'Data - Monthly Metrics'!D:D,"Dropped Revenue - Target ($)")=0,"-",SUMIFS('Data - Monthly Metrics'!E:E,'Data - Monthly Metrics'!A:A,$B$4,'Data - Monthly Metrics'!B:B,"Sep",'Data - Monthly Metrics'!C:C,"South King",'Data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Metrics'!C:C,"South King",'Data - Monthly Metrics'!D:D,"Penetration - Restaurant %")=0,"-",SUMIFS('Data - Monthly Metrics'!E:E,'Data - Monthly Metrics'!A:A,$B$4-1,'Data - Monthly Metrics'!B:B,"Oct",'Data - Monthly Metrics'!C:C,"South King",'Data - Monthly Metrics'!D:D,"Penetration - Restaurant %"))</f>
        <v/>
      </c>
      <c r="C68" s="92">
        <f>IF(COUNTIFS('Data - Monthly Metrics'!A:A,$B$4-1,'Data - Monthly Metrics'!B:B,"Nov",'Data - Monthly Metrics'!C:C,"South King",'Data - Monthly Metrics'!D:D,"Penetration - Restaurant %")=0,"-",SUMIFS('Data - Monthly Metrics'!E:E,'Data - Monthly Metrics'!A:A,$B$4-1,'Data - Monthly Metrics'!B:B,"Nov",'Data - Monthly Metrics'!C:C,"South King",'Data - Monthly Metrics'!D:D,"Penetration - Restaurant %"))</f>
        <v/>
      </c>
      <c r="D68" s="92">
        <f>IF(COUNTIFS('Data - Monthly Metrics'!A:A,$B$4-1,'Data - Monthly Metrics'!B:B,"Dec",'Data - Monthly Metrics'!C:C,"South King",'Data - Monthly Metrics'!D:D,"Penetration - Restaurant %")=0,"-",SUMIFS('Data - Monthly Metrics'!E:E,'Data - Monthly Metrics'!A:A,$B$4-1,'Data - Monthly Metrics'!B:B,"Dec",'Data - Monthly Metrics'!C:C,"South King",'Data - Monthly Metrics'!D:D,"Penetration - Restaurant %"))</f>
        <v/>
      </c>
      <c r="E68" s="102">
        <f>IF(ISNUMBER(D68),D68,IF(ISNUMBER(C68),C68,IF(ISNUMBER(B68),B68,"-")))</f>
        <v/>
      </c>
      <c r="F68" s="92">
        <f>IF(COUNTIFS('Data - Monthly Metrics'!A:A,$B$4,'Data - Monthly Metrics'!B:B,"Jan",'Data - Monthly Metrics'!C:C,"South King",'Data - Monthly Metrics'!D:D,"Penetration - Restaurant %")=0,"-",SUMIFS('Data - Monthly Metrics'!E:E,'Data - Monthly Metrics'!A:A,$B$4,'Data - Monthly Metrics'!B:B,"Jan",'Data - Monthly Metrics'!C:C,"South King",'Data - Monthly Metrics'!D:D,"Penetration - Restaurant %"))</f>
        <v/>
      </c>
      <c r="G68" s="92">
        <f>IF(COUNTIFS('Data - Monthly Metrics'!A:A,$B$4,'Data - Monthly Metrics'!B:B,"Feb",'Data - Monthly Metrics'!C:C,"South King",'Data - Monthly Metrics'!D:D,"Penetration - Restaurant %")=0,"-",SUMIFS('Data - Monthly Metrics'!E:E,'Data - Monthly Metrics'!A:A,$B$4,'Data - Monthly Metrics'!B:B,"Feb",'Data - Monthly Metrics'!C:C,"South King",'Data - Monthly Metrics'!D:D,"Penetration - Restaurant %"))</f>
        <v/>
      </c>
      <c r="H68" s="92">
        <f>IF(COUNTIFS('Data - Monthly Metrics'!A:A,$B$4,'Data - Monthly Metrics'!B:B,"Mar",'Data - Monthly Metrics'!C:C,"South King",'Data - Monthly Metrics'!D:D,"Penetration - Restaurant %")=0,"-",SUMIFS('Data - Monthly Metrics'!E:E,'Data - Monthly Metrics'!A:A,$B$4,'Data - Monthly Metrics'!B:B,"Mar",'Data - Monthly Metrics'!C:C,"South King",'Data - Monthly Metrics'!D:D,"Penetration - Restaurant %"))</f>
        <v/>
      </c>
      <c r="I68" s="102">
        <f>IF(ISNUMBER(H68),H68,IF(ISNUMBER(G68),G68,IF(ISNUMBER(F68),F68,"-")))</f>
        <v/>
      </c>
      <c r="J68" s="92">
        <f>IF(COUNTIFS('Data - Monthly Metrics'!A:A,$B$4,'Data - Monthly Metrics'!B:B,"Apr",'Data - Monthly Metrics'!C:C,"South King",'Data - Monthly Metrics'!D:D,"Penetration - Restaurant %")=0,"-",SUMIFS('Data - Monthly Metrics'!E:E,'Data - Monthly Metrics'!A:A,$B$4,'Data - Monthly Metrics'!B:B,"Apr",'Data - Monthly Metrics'!C:C,"South King",'Data - Monthly Metrics'!D:D,"Penetration - Restaurant %"))</f>
        <v/>
      </c>
      <c r="K68" s="92">
        <f>IF(COUNTIFS('Data - Monthly Metrics'!A:A,$B$4,'Data - Monthly Metrics'!B:B,"May",'Data - Monthly Metrics'!C:C,"South King",'Data - Monthly Metrics'!D:D,"Penetration - Restaurant %")=0,"-",SUMIFS('Data - Monthly Metrics'!E:E,'Data - Monthly Metrics'!A:A,$B$4,'Data - Monthly Metrics'!B:B,"May",'Data - Monthly Metrics'!C:C,"South King",'Data - Monthly Metrics'!D:D,"Penetration - Restaurant %"))</f>
        <v/>
      </c>
      <c r="L68" s="92">
        <f>IF(COUNTIFS('Data - Monthly Metrics'!A:A,$B$4,'Data - Monthly Metrics'!B:B,"Jun",'Data - Monthly Metrics'!C:C,"South King",'Data - Monthly Metrics'!D:D,"Penetration - Restaurant %")=0,"-",SUMIFS('Data - Monthly Metrics'!E:E,'Data - Monthly Metrics'!A:A,$B$4,'Data - Monthly Metrics'!B:B,"Jun",'Data - Monthly Metrics'!C:C,"South King",'Data - Monthly Metrics'!D:D,"Penetration - Restaurant %"))</f>
        <v/>
      </c>
      <c r="M68" s="102">
        <f>IF(ISNUMBER(L68),L68,IF(ISNUMBER(K68),K68,IF(ISNUMBER(J68),J68,"-")))</f>
        <v/>
      </c>
      <c r="N68" s="92">
        <f>IF(COUNTIFS('Data - Monthly Metrics'!A:A,$B$4,'Data - Monthly Metrics'!B:B,"Jul",'Data - Monthly Metrics'!C:C,"South King",'Data - Monthly Metrics'!D:D,"Penetration - Restaurant %")=0,"-",SUMIFS('Data - Monthly Metrics'!E:E,'Data - Monthly Metrics'!A:A,$B$4,'Data - Monthly Metrics'!B:B,"Jul",'Data - Monthly Metrics'!C:C,"South King",'Data - Monthly Metrics'!D:D,"Penetration - Restaurant %"))</f>
        <v/>
      </c>
      <c r="O68" s="92">
        <f>IF(COUNTIFS('Data - Monthly Metrics'!A:A,$B$4,'Data - Monthly Metrics'!B:B,"Aug",'Data - Monthly Metrics'!C:C,"South King",'Data - Monthly Metrics'!D:D,"Penetration - Restaurant %")=0,"-",SUMIFS('Data - Monthly Metrics'!E:E,'Data - Monthly Metrics'!A:A,$B$4,'Data - Monthly Metrics'!B:B,"Aug",'Data - Monthly Metrics'!C:C,"South King",'Data - Monthly Metrics'!D:D,"Penetration - Restaurant %"))</f>
        <v/>
      </c>
      <c r="P68" s="92">
        <f>IF(COUNTIFS('Data - Monthly Metrics'!A:A,$B$4,'Data - Monthly Metrics'!B:B,"Sep",'Data - Monthly Metrics'!C:C,"South King",'Data - Monthly Metrics'!D:D,"Penetration - Restaurant %")=0,"-",SUMIFS('Data - Monthly Metrics'!E:E,'Data - Monthly Metrics'!A:A,$B$4,'Data - Monthly Metrics'!B:B,"Sep",'Data - Monthly Metrics'!C:C,"South King",'Data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Metrics'!C:C,"South King",'Data - Monthly Metrics'!D:D,"Penetration - Lodging %")=0,"-",SUMIFS('Data - Monthly Metrics'!E:E,'Data - Monthly Metrics'!A:A,$B$4-1,'Data - Monthly Metrics'!B:B,"Oct",'Data - Monthly Metrics'!C:C,"South King",'Data - Monthly Metrics'!D:D,"Penetration - Lodging %"))</f>
        <v/>
      </c>
      <c r="C69" s="97">
        <f>IF(COUNTIFS('Data - Monthly Metrics'!A:A,$B$4-1,'Data - Monthly Metrics'!B:B,"Nov",'Data - Monthly Metrics'!C:C,"South King",'Data - Monthly Metrics'!D:D,"Penetration - Lodging %")=0,"-",SUMIFS('Data - Monthly Metrics'!E:E,'Data - Monthly Metrics'!A:A,$B$4-1,'Data - Monthly Metrics'!B:B,"Nov",'Data - Monthly Metrics'!C:C,"South King",'Data - Monthly Metrics'!D:D,"Penetration - Lodging %"))</f>
        <v/>
      </c>
      <c r="D69" s="97">
        <f>IF(COUNTIFS('Data - Monthly Metrics'!A:A,$B$4-1,'Data - Monthly Metrics'!B:B,"Dec",'Data - Monthly Metrics'!C:C,"South King",'Data - Monthly Metrics'!D:D,"Penetration - Lodging %")=0,"-",SUMIFS('Data - Monthly Metrics'!E:E,'Data - Monthly Metrics'!A:A,$B$4-1,'Data - Monthly Metrics'!B:B,"Dec",'Data - Monthly Metrics'!C:C,"South King",'Data - Monthly Metrics'!D:D,"Penetration - Lodging %"))</f>
        <v/>
      </c>
      <c r="E69" s="102">
        <f>IF(ISNUMBER(D69),D69,IF(ISNUMBER(C69),C69,IF(ISNUMBER(B69),B69,"-")))</f>
        <v/>
      </c>
      <c r="F69" s="97">
        <f>IF(COUNTIFS('Data - Monthly Metrics'!A:A,$B$4,'Data - Monthly Metrics'!B:B,"Jan",'Data - Monthly Metrics'!C:C,"South King",'Data - Monthly Metrics'!D:D,"Penetration - Lodging %")=0,"-",SUMIFS('Data - Monthly Metrics'!E:E,'Data - Monthly Metrics'!A:A,$B$4,'Data - Monthly Metrics'!B:B,"Jan",'Data - Monthly Metrics'!C:C,"South King",'Data - Monthly Metrics'!D:D,"Penetration - Lodging %"))</f>
        <v/>
      </c>
      <c r="G69" s="97">
        <f>IF(COUNTIFS('Data - Monthly Metrics'!A:A,$B$4,'Data - Monthly Metrics'!B:B,"Feb",'Data - Monthly Metrics'!C:C,"South King",'Data - Monthly Metrics'!D:D,"Penetration - Lodging %")=0,"-",SUMIFS('Data - Monthly Metrics'!E:E,'Data - Monthly Metrics'!A:A,$B$4,'Data - Monthly Metrics'!B:B,"Feb",'Data - Monthly Metrics'!C:C,"South King",'Data - Monthly Metrics'!D:D,"Penetration - Lodging %"))</f>
        <v/>
      </c>
      <c r="H69" s="97">
        <f>IF(COUNTIFS('Data - Monthly Metrics'!A:A,$B$4,'Data - Monthly Metrics'!B:B,"Mar",'Data - Monthly Metrics'!C:C,"South King",'Data - Monthly Metrics'!D:D,"Penetration - Lodging %")=0,"-",SUMIFS('Data - Monthly Metrics'!E:E,'Data - Monthly Metrics'!A:A,$B$4,'Data - Monthly Metrics'!B:B,"Mar",'Data - Monthly Metrics'!C:C,"South King",'Data - Monthly Metrics'!D:D,"Penetration - Lodging %"))</f>
        <v/>
      </c>
      <c r="I69" s="102">
        <f>IF(ISNUMBER(H69),H69,IF(ISNUMBER(G69),G69,IF(ISNUMBER(F69),F69,"-")))</f>
        <v/>
      </c>
      <c r="J69" s="97">
        <f>IF(COUNTIFS('Data - Monthly Metrics'!A:A,$B$4,'Data - Monthly Metrics'!B:B,"Apr",'Data - Monthly Metrics'!C:C,"South King",'Data - Monthly Metrics'!D:D,"Penetration - Lodging %")=0,"-",SUMIFS('Data - Monthly Metrics'!E:E,'Data - Monthly Metrics'!A:A,$B$4,'Data - Monthly Metrics'!B:B,"Apr",'Data - Monthly Metrics'!C:C,"South King",'Data - Monthly Metrics'!D:D,"Penetration - Lodging %"))</f>
        <v/>
      </c>
      <c r="K69" s="97">
        <f>IF(COUNTIFS('Data - Monthly Metrics'!A:A,$B$4,'Data - Monthly Metrics'!B:B,"May",'Data - Monthly Metrics'!C:C,"South King",'Data - Monthly Metrics'!D:D,"Penetration - Lodging %")=0,"-",SUMIFS('Data - Monthly Metrics'!E:E,'Data - Monthly Metrics'!A:A,$B$4,'Data - Monthly Metrics'!B:B,"May",'Data - Monthly Metrics'!C:C,"South King",'Data - Monthly Metrics'!D:D,"Penetration - Lodging %"))</f>
        <v/>
      </c>
      <c r="L69" s="97">
        <f>IF(COUNTIFS('Data - Monthly Metrics'!A:A,$B$4,'Data - Monthly Metrics'!B:B,"Jun",'Data - Monthly Metrics'!C:C,"South King",'Data - Monthly Metrics'!D:D,"Penetration - Lodging %")=0,"-",SUMIFS('Data - Monthly Metrics'!E:E,'Data - Monthly Metrics'!A:A,$B$4,'Data - Monthly Metrics'!B:B,"Jun",'Data - Monthly Metrics'!C:C,"South King",'Data - Monthly Metrics'!D:D,"Penetration - Lodging %"))</f>
        <v/>
      </c>
      <c r="M69" s="102">
        <f>IF(ISNUMBER(L69),L69,IF(ISNUMBER(K69),K69,IF(ISNUMBER(J69),J69,"-")))</f>
        <v/>
      </c>
      <c r="N69" s="97">
        <f>IF(COUNTIFS('Data - Monthly Metrics'!A:A,$B$4,'Data - Monthly Metrics'!B:B,"Jul",'Data - Monthly Metrics'!C:C,"South King",'Data - Monthly Metrics'!D:D,"Penetration - Lodging %")=0,"-",SUMIFS('Data - Monthly Metrics'!E:E,'Data - Monthly Metrics'!A:A,$B$4,'Data - Monthly Metrics'!B:B,"Jul",'Data - Monthly Metrics'!C:C,"South King",'Data - Monthly Metrics'!D:D,"Penetration - Lodging %"))</f>
        <v/>
      </c>
      <c r="O69" s="97">
        <f>IF(COUNTIFS('Data - Monthly Metrics'!A:A,$B$4,'Data - Monthly Metrics'!B:B,"Aug",'Data - Monthly Metrics'!C:C,"South King",'Data - Monthly Metrics'!D:D,"Penetration - Lodging %")=0,"-",SUMIFS('Data - Monthly Metrics'!E:E,'Data - Monthly Metrics'!A:A,$B$4,'Data - Monthly Metrics'!B:B,"Aug",'Data - Monthly Metrics'!C:C,"South King",'Data - Monthly Metrics'!D:D,"Penetration - Lodging %"))</f>
        <v/>
      </c>
      <c r="P69" s="97">
        <f>IF(COUNTIFS('Data - Monthly Metrics'!A:A,$B$4,'Data - Monthly Metrics'!B:B,"Sep",'Data - Monthly Metrics'!C:C,"South King",'Data - Monthly Metrics'!D:D,"Penetration - Lodging %")=0,"-",SUMIFS('Data - Monthly Metrics'!E:E,'Data - Monthly Metrics'!A:A,$B$4,'Data - Monthly Metrics'!B:B,"Sep",'Data - Monthly Metrics'!C:C,"South King",'Data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Metrics'!C:C,"South King",'Data - Monthly Metrics'!D:D,"Penetration - Combined %")=0,"-",SUMIFS('Data - Monthly Metrics'!E:E,'Data - Monthly Metrics'!A:A,$B$4-1,'Data - Monthly Metrics'!B:B,"Oct",'Data - Monthly Metrics'!C:C,"South King",'Data - Monthly Metrics'!D:D,"Penetration - Combined %"))</f>
        <v/>
      </c>
      <c r="C70" s="92">
        <f>IF(COUNTIFS('Data - Monthly Metrics'!A:A,$B$4-1,'Data - Monthly Metrics'!B:B,"Nov",'Data - Monthly Metrics'!C:C,"South King",'Data - Monthly Metrics'!D:D,"Penetration - Combined %")=0,"-",SUMIFS('Data - Monthly Metrics'!E:E,'Data - Monthly Metrics'!A:A,$B$4-1,'Data - Monthly Metrics'!B:B,"Nov",'Data - Monthly Metrics'!C:C,"South King",'Data - Monthly Metrics'!D:D,"Penetration - Combined %"))</f>
        <v/>
      </c>
      <c r="D70" s="92">
        <f>IF(COUNTIFS('Data - Monthly Metrics'!A:A,$B$4-1,'Data - Monthly Metrics'!B:B,"Dec",'Data - Monthly Metrics'!C:C,"South King",'Data - Monthly Metrics'!D:D,"Penetration - Combined %")=0,"-",SUMIFS('Data - Monthly Metrics'!E:E,'Data - Monthly Metrics'!A:A,$B$4-1,'Data - Monthly Metrics'!B:B,"Dec",'Data - Monthly Metrics'!C:C,"South King",'Data - Monthly Metrics'!D:D,"Penetration - Combined %"))</f>
        <v/>
      </c>
      <c r="E70" s="102">
        <f>IF(ISNUMBER(D70),D70,IF(ISNUMBER(C70),C70,IF(ISNUMBER(B70),B70,"-")))</f>
        <v/>
      </c>
      <c r="F70" s="92">
        <f>IF(COUNTIFS('Data - Monthly Metrics'!A:A,$B$4,'Data - Monthly Metrics'!B:B,"Jan",'Data - Monthly Metrics'!C:C,"South King",'Data - Monthly Metrics'!D:D,"Penetration - Combined %")=0,"-",SUMIFS('Data - Monthly Metrics'!E:E,'Data - Monthly Metrics'!A:A,$B$4,'Data - Monthly Metrics'!B:B,"Jan",'Data - Monthly Metrics'!C:C,"South King",'Data - Monthly Metrics'!D:D,"Penetration - Combined %"))</f>
        <v/>
      </c>
      <c r="G70" s="92">
        <f>IF(COUNTIFS('Data - Monthly Metrics'!A:A,$B$4,'Data - Monthly Metrics'!B:B,"Feb",'Data - Monthly Metrics'!C:C,"South King",'Data - Monthly Metrics'!D:D,"Penetration - Combined %")=0,"-",SUMIFS('Data - Monthly Metrics'!E:E,'Data - Monthly Metrics'!A:A,$B$4,'Data - Monthly Metrics'!B:B,"Feb",'Data - Monthly Metrics'!C:C,"South King",'Data - Monthly Metrics'!D:D,"Penetration - Combined %"))</f>
        <v/>
      </c>
      <c r="H70" s="92">
        <f>IF(COUNTIFS('Data - Monthly Metrics'!A:A,$B$4,'Data - Monthly Metrics'!B:B,"Mar",'Data - Monthly Metrics'!C:C,"South King",'Data - Monthly Metrics'!D:D,"Penetration - Combined %")=0,"-",SUMIFS('Data - Monthly Metrics'!E:E,'Data - Monthly Metrics'!A:A,$B$4,'Data - Monthly Metrics'!B:B,"Mar",'Data - Monthly Metrics'!C:C,"South King",'Data - Monthly Metrics'!D:D,"Penetration - Combined %"))</f>
        <v/>
      </c>
      <c r="I70" s="102">
        <f>IF(ISNUMBER(H70),H70,IF(ISNUMBER(G70),G70,IF(ISNUMBER(F70),F70,"-")))</f>
        <v/>
      </c>
      <c r="J70" s="92">
        <f>IF(COUNTIFS('Data - Monthly Metrics'!A:A,$B$4,'Data - Monthly Metrics'!B:B,"Apr",'Data - Monthly Metrics'!C:C,"South King",'Data - Monthly Metrics'!D:D,"Penetration - Combined %")=0,"-",SUMIFS('Data - Monthly Metrics'!E:E,'Data - Monthly Metrics'!A:A,$B$4,'Data - Monthly Metrics'!B:B,"Apr",'Data - Monthly Metrics'!C:C,"South King",'Data - Monthly Metrics'!D:D,"Penetration - Combined %"))</f>
        <v/>
      </c>
      <c r="K70" s="92">
        <f>IF(COUNTIFS('Data - Monthly Metrics'!A:A,$B$4,'Data - Monthly Metrics'!B:B,"May",'Data - Monthly Metrics'!C:C,"South King",'Data - Monthly Metrics'!D:D,"Penetration - Combined %")=0,"-",SUMIFS('Data - Monthly Metrics'!E:E,'Data - Monthly Metrics'!A:A,$B$4,'Data - Monthly Metrics'!B:B,"May",'Data - Monthly Metrics'!C:C,"South King",'Data - Monthly Metrics'!D:D,"Penetration - Combined %"))</f>
        <v/>
      </c>
      <c r="L70" s="92">
        <f>IF(COUNTIFS('Data - Monthly Metrics'!A:A,$B$4,'Data - Monthly Metrics'!B:B,"Jun",'Data - Monthly Metrics'!C:C,"South King",'Data - Monthly Metrics'!D:D,"Penetration - Combined %")=0,"-",SUMIFS('Data - Monthly Metrics'!E:E,'Data - Monthly Metrics'!A:A,$B$4,'Data - Monthly Metrics'!B:B,"Jun",'Data - Monthly Metrics'!C:C,"South King",'Data - Monthly Metrics'!D:D,"Penetration - Combined %"))</f>
        <v/>
      </c>
      <c r="M70" s="102">
        <f>IF(ISNUMBER(L70),L70,IF(ISNUMBER(K70),K70,IF(ISNUMBER(J70),J70,"-")))</f>
        <v/>
      </c>
      <c r="N70" s="92">
        <f>IF(COUNTIFS('Data - Monthly Metrics'!A:A,$B$4,'Data - Monthly Metrics'!B:B,"Jul",'Data - Monthly Metrics'!C:C,"South King",'Data - Monthly Metrics'!D:D,"Penetration - Combined %")=0,"-",SUMIFS('Data - Monthly Metrics'!E:E,'Data - Monthly Metrics'!A:A,$B$4,'Data - Monthly Metrics'!B:B,"Jul",'Data - Monthly Metrics'!C:C,"South King",'Data - Monthly Metrics'!D:D,"Penetration - Combined %"))</f>
        <v/>
      </c>
      <c r="O70" s="92">
        <f>IF(COUNTIFS('Data - Monthly Metrics'!A:A,$B$4,'Data - Monthly Metrics'!B:B,"Aug",'Data - Monthly Metrics'!C:C,"South King",'Data - Monthly Metrics'!D:D,"Penetration - Combined %")=0,"-",SUMIFS('Data - Monthly Metrics'!E:E,'Data - Monthly Metrics'!A:A,$B$4,'Data - Monthly Metrics'!B:B,"Aug",'Data - Monthly Metrics'!C:C,"South King",'Data - Monthly Metrics'!D:D,"Penetration - Combined %"))</f>
        <v/>
      </c>
      <c r="P70" s="92">
        <f>IF(COUNTIFS('Data - Monthly Metrics'!A:A,$B$4,'Data - Monthly Metrics'!B:B,"Sep",'Data - Monthly Metrics'!C:C,"South King",'Data - Monthly Metrics'!D:D,"Penetration - Combined %")=0,"-",SUMIFS('Data - Monthly Metrics'!E:E,'Data - Monthly Metrics'!A:A,$B$4,'Data - Monthly Metrics'!B:B,"Sep",'Data - Monthly Metrics'!C:C,"South King",'Data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Metrics'!$C:$C,"South King",'Data - Monthly Metrics'!$D:$D,"Goal - Penetration %")=0),"—",IF(B70&gt;=SUMIFS('Data - Monthly Metrics'!$E:$E,'Data - Monthly Metrics'!$A:$A,$B$4-1,'Data - Monthly Metrics'!$B:$B,B$8,'Data - Monthly Metrics'!$C:$C,"South King",'Data - Monthly Metrics'!$D:$D,"Goal - Penetration %"),"On Track",IF(B70&gt;=SUMIFS('Data - Monthly Metrics'!$E:$E,'Data - Monthly Metrics'!$A:$A,$B$4-1,'Data - Monthly Metrics'!$B:$B,B$8,'Data - Monthly Metrics'!$C:$C,"South King",'Data - Monthly Metrics'!$D:$D,"Goal - Penetration %")-0.05,"Watch","At Risk")))</f>
        <v/>
      </c>
      <c r="C71" s="120">
        <f>IF(OR(NOT(ISNUMBER(C70)),C70=0,COUNTIFS('Data - Monthly Metrics'!$A:$A,$B$4-1,'Data - Monthly Metrics'!$B:$B,C$8,'Data - Monthly Metrics'!$C:$C,"South King",'Data - Monthly Metrics'!$D:$D,"Goal - Penetration %")=0),"—",IF(C70&gt;=SUMIFS('Data - Monthly Metrics'!$E:$E,'Data - Monthly Metrics'!$A:$A,$B$4-1,'Data - Monthly Metrics'!$B:$B,C$8,'Data - Monthly Metrics'!$C:$C,"South King",'Data - Monthly Metrics'!$D:$D,"Goal - Penetration %"),"On Track",IF(C70&gt;=SUMIFS('Data - Monthly Metrics'!$E:$E,'Data - Monthly Metrics'!$A:$A,$B$4-1,'Data - Monthly Metrics'!$B:$B,C$8,'Data - Monthly Metrics'!$C:$C,"South King",'Data - Monthly Metrics'!$D:$D,"Goal - Penetration %")-0.05,"Watch","At Risk")))</f>
        <v/>
      </c>
      <c r="D71" s="120">
        <f>IF(OR(NOT(ISNUMBER(D70)),D70=0,COUNTIFS('Data - Monthly Metrics'!$A:$A,$B$4-1,'Data - Monthly Metrics'!$B:$B,D$8,'Data - Monthly Metrics'!$C:$C,"South King",'Data - Monthly Metrics'!$D:$D,"Goal - Penetration %")=0),"—",IF(D70&gt;=SUMIFS('Data - Monthly Metrics'!$E:$E,'Data - Monthly Metrics'!$A:$A,$B$4-1,'Data - Monthly Metrics'!$B:$B,D$8,'Data - Monthly Metrics'!$C:$C,"South King",'Data - Monthly Metrics'!$D:$D,"Goal - Penetration %"),"On Track",IF(D70&gt;=SUMIFS('Data - Monthly Metrics'!$E:$E,'Data - Monthly Metrics'!$A:$A,$B$4-1,'Data - Monthly Metrics'!$B:$B,D$8,'Data - Monthly Metrics'!$C:$C,"South King",'Data - Monthly Metrics'!$D:$D,"Goal - Penetration %")-0.05,"Watch","At Risk")))</f>
        <v/>
      </c>
      <c r="E71" s="121">
        <f>"—"</f>
        <v/>
      </c>
      <c r="F71" s="120">
        <f>IF(OR(NOT(ISNUMBER(F70)),F70=0,COUNTIFS('Data - Monthly Metrics'!$A:$A,$B$4,'Data - Monthly Metrics'!$B:$B,F$8,'Data - Monthly Metrics'!$C:$C,"South King",'Data - Monthly Metrics'!$D:$D,"Goal - Penetration %")=0),"—",IF(F70&gt;=SUMIFS('Data - Monthly Metrics'!$E:$E,'Data - Monthly Metrics'!$A:$A,$B$4,'Data - Monthly Metrics'!$B:$B,F$8,'Data - Monthly Metrics'!$C:$C,"South King",'Data - Monthly Metrics'!$D:$D,"Goal - Penetration %"),"On Track",IF(F70&gt;=SUMIFS('Data - Monthly Metrics'!$E:$E,'Data - Monthly Metrics'!$A:$A,$B$4,'Data - Monthly Metrics'!$B:$B,F$8,'Data - Monthly Metrics'!$C:$C,"South King",'Data - Monthly Metrics'!$D:$D,"Goal - Penetration %")-0.05,"Watch","At Risk")))</f>
        <v/>
      </c>
      <c r="G71" s="120">
        <f>IF(OR(NOT(ISNUMBER(G70)),G70=0,COUNTIFS('Data - Monthly Metrics'!$A:$A,$B$4,'Data - Monthly Metrics'!$B:$B,G$8,'Data - Monthly Metrics'!$C:$C,"South King",'Data - Monthly Metrics'!$D:$D,"Goal - Penetration %")=0),"—",IF(G70&gt;=SUMIFS('Data - Monthly Metrics'!$E:$E,'Data - Monthly Metrics'!$A:$A,$B$4,'Data - Monthly Metrics'!$B:$B,G$8,'Data - Monthly Metrics'!$C:$C,"South King",'Data - Monthly Metrics'!$D:$D,"Goal - Penetration %"),"On Track",IF(G70&gt;=SUMIFS('Data - Monthly Metrics'!$E:$E,'Data - Monthly Metrics'!$A:$A,$B$4,'Data - Monthly Metrics'!$B:$B,G$8,'Data - Monthly Metrics'!$C:$C,"South King",'Data - Monthly Metrics'!$D:$D,"Goal - Penetration %")-0.05,"Watch","At Risk")))</f>
        <v/>
      </c>
      <c r="H71" s="120">
        <f>IF(OR(NOT(ISNUMBER(H70)),H70=0,COUNTIFS('Data - Monthly Metrics'!$A:$A,$B$4,'Data - Monthly Metrics'!$B:$B,H$8,'Data - Monthly Metrics'!$C:$C,"South King",'Data - Monthly Metrics'!$D:$D,"Goal - Penetration %")=0),"—",IF(H70&gt;=SUMIFS('Data - Monthly Metrics'!$E:$E,'Data - Monthly Metrics'!$A:$A,$B$4,'Data - Monthly Metrics'!$B:$B,H$8,'Data - Monthly Metrics'!$C:$C,"South King",'Data - Monthly Metrics'!$D:$D,"Goal - Penetration %"),"On Track",IF(H70&gt;=SUMIFS('Data - Monthly Metrics'!$E:$E,'Data - Monthly Metrics'!$A:$A,$B$4,'Data - Monthly Metrics'!$B:$B,H$8,'Data - Monthly Metrics'!$C:$C,"South King",'Data - Monthly Metrics'!$D:$D,"Goal - Penetration %")-0.05,"Watch","At Risk")))</f>
        <v/>
      </c>
      <c r="I71" s="121">
        <f>"—"</f>
        <v/>
      </c>
      <c r="J71" s="120">
        <f>IF(OR(NOT(ISNUMBER(J70)),J70=0,COUNTIFS('Data - Monthly Metrics'!$A:$A,$B$4,'Data - Monthly Metrics'!$B:$B,J$8,'Data - Monthly Metrics'!$C:$C,"South King",'Data - Monthly Metrics'!$D:$D,"Goal - Penetration %")=0),"—",IF(J70&gt;=SUMIFS('Data - Monthly Metrics'!$E:$E,'Data - Monthly Metrics'!$A:$A,$B$4,'Data - Monthly Metrics'!$B:$B,J$8,'Data - Monthly Metrics'!$C:$C,"South King",'Data - Monthly Metrics'!$D:$D,"Goal - Penetration %"),"On Track",IF(J70&gt;=SUMIFS('Data - Monthly Metrics'!$E:$E,'Data - Monthly Metrics'!$A:$A,$B$4,'Data - Monthly Metrics'!$B:$B,J$8,'Data - Monthly Metrics'!$C:$C,"South King",'Data - Monthly Metrics'!$D:$D,"Goal - Penetration %")-0.05,"Watch","At Risk")))</f>
        <v/>
      </c>
      <c r="K71" s="120">
        <f>IF(OR(NOT(ISNUMBER(K70)),K70=0,COUNTIFS('Data - Monthly Metrics'!$A:$A,$B$4,'Data - Monthly Metrics'!$B:$B,K$8,'Data - Monthly Metrics'!$C:$C,"South King",'Data - Monthly Metrics'!$D:$D,"Goal - Penetration %")=0),"—",IF(K70&gt;=SUMIFS('Data - Monthly Metrics'!$E:$E,'Data - Monthly Metrics'!$A:$A,$B$4,'Data - Monthly Metrics'!$B:$B,K$8,'Data - Monthly Metrics'!$C:$C,"South King",'Data - Monthly Metrics'!$D:$D,"Goal - Penetration %"),"On Track",IF(K70&gt;=SUMIFS('Data - Monthly Metrics'!$E:$E,'Data - Monthly Metrics'!$A:$A,$B$4,'Data - Monthly Metrics'!$B:$B,K$8,'Data - Monthly Metrics'!$C:$C,"South King",'Data - Monthly Metrics'!$D:$D,"Goal - Penetration %")-0.05,"Watch","At Risk")))</f>
        <v/>
      </c>
      <c r="L71" s="120">
        <f>IF(OR(NOT(ISNUMBER(L70)),L70=0,COUNTIFS('Data - Monthly Metrics'!$A:$A,$B$4,'Data - Monthly Metrics'!$B:$B,L$8,'Data - Monthly Metrics'!$C:$C,"South King",'Data - Monthly Metrics'!$D:$D,"Goal - Penetration %")=0),"—",IF(L70&gt;=SUMIFS('Data - Monthly Metrics'!$E:$E,'Data - Monthly Metrics'!$A:$A,$B$4,'Data - Monthly Metrics'!$B:$B,L$8,'Data - Monthly Metrics'!$C:$C,"South King",'Data - Monthly Metrics'!$D:$D,"Goal - Penetration %"),"On Track",IF(L70&gt;=SUMIFS('Data - Monthly Metrics'!$E:$E,'Data - Monthly Metrics'!$A:$A,$B$4,'Data - Monthly Metrics'!$B:$B,L$8,'Data - Monthly Metrics'!$C:$C,"South King",'Data - Monthly Metrics'!$D:$D,"Goal - Penetration %")-0.05,"Watch","At Risk")))</f>
        <v/>
      </c>
      <c r="M71" s="121">
        <f>"—"</f>
        <v/>
      </c>
      <c r="N71" s="120">
        <f>IF(OR(NOT(ISNUMBER(N70)),N70=0,COUNTIFS('Data - Monthly Metrics'!$A:$A,$B$4,'Data - Monthly Metrics'!$B:$B,N$8,'Data - Monthly Metrics'!$C:$C,"South King",'Data - Monthly Metrics'!$D:$D,"Goal - Penetration %")=0),"—",IF(N70&gt;=SUMIFS('Data - Monthly Metrics'!$E:$E,'Data - Monthly Metrics'!$A:$A,$B$4,'Data - Monthly Metrics'!$B:$B,N$8,'Data - Monthly Metrics'!$C:$C,"South King",'Data - Monthly Metrics'!$D:$D,"Goal - Penetration %"),"On Track",IF(N70&gt;=SUMIFS('Data - Monthly Metrics'!$E:$E,'Data - Monthly Metrics'!$A:$A,$B$4,'Data - Monthly Metrics'!$B:$B,N$8,'Data - Monthly Metrics'!$C:$C,"South King",'Data - Monthly Metrics'!$D:$D,"Goal - Penetration %")-0.05,"Watch","At Risk")))</f>
        <v/>
      </c>
      <c r="O71" s="120">
        <f>IF(OR(NOT(ISNUMBER(O70)),O70=0,COUNTIFS('Data - Monthly Metrics'!$A:$A,$B$4,'Data - Monthly Metrics'!$B:$B,O$8,'Data - Monthly Metrics'!$C:$C,"South King",'Data - Monthly Metrics'!$D:$D,"Goal - Penetration %")=0),"—",IF(O70&gt;=SUMIFS('Data - Monthly Metrics'!$E:$E,'Data - Monthly Metrics'!$A:$A,$B$4,'Data - Monthly Metrics'!$B:$B,O$8,'Data - Monthly Metrics'!$C:$C,"South King",'Data - Monthly Metrics'!$D:$D,"Goal - Penetration %"),"On Track",IF(O70&gt;=SUMIFS('Data - Monthly Metrics'!$E:$E,'Data - Monthly Metrics'!$A:$A,$B$4,'Data - Monthly Metrics'!$B:$B,O$8,'Data - Monthly Metrics'!$C:$C,"South King",'Data - Monthly Metrics'!$D:$D,"Goal - Penetration %")-0.05,"Watch","At Risk")))</f>
        <v/>
      </c>
      <c r="P71" s="120">
        <f>IF(OR(NOT(ISNUMBER(P70)),P70=0,COUNTIFS('Data - Monthly Metrics'!$A:$A,$B$4,'Data - Monthly Metrics'!$B:$B,P$8,'Data - Monthly Metrics'!$C:$C,"South King",'Data - Monthly Metrics'!$D:$D,"Goal - Penetration %")=0),"—",IF(P70&gt;=SUMIFS('Data - Monthly Metrics'!$E:$E,'Data - Monthly Metrics'!$A:$A,$B$4,'Data - Monthly Metrics'!$B:$B,P$8,'Data - Monthly Metrics'!$C:$C,"South King",'Data - Monthly Metrics'!$D:$D,"Goal - Penetration %"),"On Track",IF(P70&gt;=SUMIFS('Data - Monthly Metrics'!$E:$E,'Data - Monthly Metrics'!$A:$A,$B$4,'Data - Monthly Metrics'!$B:$B,P$8,'Data - Monthly Metrics'!$C:$C,"South King",'Data - Monthly Metrics'!$D:$D,"Goal - Penetration %")-0.05,"Watch","At Risk")))</f>
        <v/>
      </c>
      <c r="Q71" s="121">
        <f>"—"</f>
        <v/>
      </c>
      <c r="R71" s="121">
        <f>"—"</f>
        <v/>
      </c>
    </row>
    <row r="72" ht="14.25" customHeight="1" s="82">
      <c r="A72" s="151" t="inlineStr">
        <is>
          <t>Goal</t>
        </is>
      </c>
      <c r="B72" s="152">
        <f>IF(COUNTIFS('Data - Monthly Metrics'!$A:$A,$B$4-1,'Data - Monthly Metrics'!$B:$B,B$8,'Data - Monthly Metrics'!$C:$C,"South King",'Data - Monthly Metrics'!$D:$D,"Goal - Penetration %")=0,"-",SUMIFS('Data - Monthly Metrics'!$E:$E,'Data - Monthly Metrics'!$A:$A,$B$4-1,'Data - Monthly Metrics'!$B:$B,B$8,'Data - Monthly Metrics'!$C:$C,"South King",'Data - Monthly Metrics'!$D:$D,"Goal - Penetration %"))</f>
        <v/>
      </c>
      <c r="C72" s="152">
        <f>IF(COUNTIFS('Data - Monthly Metrics'!$A:$A,$B$4-1,'Data - Monthly Metrics'!$B:$B,C$8,'Data - Monthly Metrics'!$C:$C,"South King",'Data - Monthly Metrics'!$D:$D,"Goal - Penetration %")=0,"-",SUMIFS('Data - Monthly Metrics'!$E:$E,'Data - Monthly Metrics'!$A:$A,$B$4-1,'Data - Monthly Metrics'!$B:$B,C$8,'Data - Monthly Metrics'!$C:$C,"South King",'Data - Monthly Metrics'!$D:$D,"Goal - Penetration %"))</f>
        <v/>
      </c>
      <c r="D72" s="152">
        <f>IF(COUNTIFS('Data - Monthly Metrics'!$A:$A,$B$4-1,'Data - Monthly Metrics'!$B:$B,D$8,'Data - Monthly Metrics'!$C:$C,"South King",'Data - Monthly Metrics'!$D:$D,"Goal - Penetration %")=0,"-",SUMIFS('Data - Monthly Metrics'!$E:$E,'Data - Monthly Metrics'!$A:$A,$B$4-1,'Data - Monthly Metrics'!$B:$B,D$8,'Data - Monthly Metrics'!$C:$C,"South King",'Data - Monthly Metrics'!$D:$D,"Goal - Penetration %"))</f>
        <v/>
      </c>
      <c r="E72" s="153" t="n"/>
      <c r="F72" s="152">
        <f>IF(COUNTIFS('Data - Monthly Metrics'!$A:$A,$B$4,'Data - Monthly Metrics'!$B:$B,F$8,'Data - Monthly Metrics'!$C:$C,"South King",'Data - Monthly Metrics'!$D:$D,"Goal - Penetration %")=0,"-",SUMIFS('Data - Monthly Metrics'!$E:$E,'Data - Monthly Metrics'!$A:$A,$B$4,'Data - Monthly Metrics'!$B:$B,F$8,'Data - Monthly Metrics'!$C:$C,"South King",'Data - Monthly Metrics'!$D:$D,"Goal - Penetration %"))</f>
        <v/>
      </c>
      <c r="G72" s="152">
        <f>IF(COUNTIFS('Data - Monthly Metrics'!$A:$A,$B$4,'Data - Monthly Metrics'!$B:$B,G$8,'Data - Monthly Metrics'!$C:$C,"South King",'Data - Monthly Metrics'!$D:$D,"Goal - Penetration %")=0,"-",SUMIFS('Data - Monthly Metrics'!$E:$E,'Data - Monthly Metrics'!$A:$A,$B$4,'Data - Monthly Metrics'!$B:$B,G$8,'Data - Monthly Metrics'!$C:$C,"South King",'Data - Monthly Metrics'!$D:$D,"Goal - Penetration %"))</f>
        <v/>
      </c>
      <c r="H72" s="152">
        <f>IF(COUNTIFS('Data - Monthly Metrics'!$A:$A,$B$4,'Data - Monthly Metrics'!$B:$B,H$8,'Data - Monthly Metrics'!$C:$C,"South King",'Data - Monthly Metrics'!$D:$D,"Goal - Penetration %")=0,"-",SUMIFS('Data - Monthly Metrics'!$E:$E,'Data - Monthly Metrics'!$A:$A,$B$4,'Data - Monthly Metrics'!$B:$B,H$8,'Data - Monthly Metrics'!$C:$C,"South King",'Data - Monthly Metrics'!$D:$D,"Goal - Penetration %"))</f>
        <v/>
      </c>
      <c r="I72" s="153" t="n"/>
      <c r="J72" s="152">
        <f>IF(COUNTIFS('Data - Monthly Metrics'!$A:$A,$B$4,'Data - Monthly Metrics'!$B:$B,J$8,'Data - Monthly Metrics'!$C:$C,"South King",'Data - Monthly Metrics'!$D:$D,"Goal - Penetration %")=0,"-",SUMIFS('Data - Monthly Metrics'!$E:$E,'Data - Monthly Metrics'!$A:$A,$B$4,'Data - Monthly Metrics'!$B:$B,J$8,'Data - Monthly Metrics'!$C:$C,"South King",'Data - Monthly Metrics'!$D:$D,"Goal - Penetration %"))</f>
        <v/>
      </c>
      <c r="K72" s="152">
        <f>IF(COUNTIFS('Data - Monthly Metrics'!$A:$A,$B$4,'Data - Monthly Metrics'!$B:$B,K$8,'Data - Monthly Metrics'!$C:$C,"South King",'Data - Monthly Metrics'!$D:$D,"Goal - Penetration %")=0,"-",SUMIFS('Data - Monthly Metrics'!$E:$E,'Data - Monthly Metrics'!$A:$A,$B$4,'Data - Monthly Metrics'!$B:$B,K$8,'Data - Monthly Metrics'!$C:$C,"South King",'Data - Monthly Metrics'!$D:$D,"Goal - Penetration %"))</f>
        <v/>
      </c>
      <c r="L72" s="152">
        <f>IF(COUNTIFS('Data - Monthly Metrics'!$A:$A,$B$4,'Data - Monthly Metrics'!$B:$B,L$8,'Data - Monthly Metrics'!$C:$C,"South King",'Data - Monthly Metrics'!$D:$D,"Goal - Penetration %")=0,"-",SUMIFS('Data - Monthly Metrics'!$E:$E,'Data - Monthly Metrics'!$A:$A,$B$4,'Data - Monthly Metrics'!$B:$B,L$8,'Data - Monthly Metrics'!$C:$C,"South King",'Data - Monthly Metrics'!$D:$D,"Goal - Penetration %"))</f>
        <v/>
      </c>
      <c r="M72" s="153" t="n"/>
      <c r="N72" s="152">
        <f>IF(COUNTIFS('Data - Monthly Metrics'!$A:$A,$B$4,'Data - Monthly Metrics'!$B:$B,N$8,'Data - Monthly Metrics'!$C:$C,"South King",'Data - Monthly Metrics'!$D:$D,"Goal - Penetration %")=0,"-",SUMIFS('Data - Monthly Metrics'!$E:$E,'Data - Monthly Metrics'!$A:$A,$B$4,'Data - Monthly Metrics'!$B:$B,N$8,'Data - Monthly Metrics'!$C:$C,"South King",'Data - Monthly Metrics'!$D:$D,"Goal - Penetration %"))</f>
        <v/>
      </c>
      <c r="O72" s="152">
        <f>IF(COUNTIFS('Data - Monthly Metrics'!$A:$A,$B$4,'Data - Monthly Metrics'!$B:$B,O$8,'Data - Monthly Metrics'!$C:$C,"South King",'Data - Monthly Metrics'!$D:$D,"Goal - Penetration %")=0,"-",SUMIFS('Data - Monthly Metrics'!$E:$E,'Data - Monthly Metrics'!$A:$A,$B$4,'Data - Monthly Metrics'!$B:$B,O$8,'Data - Monthly Metrics'!$C:$C,"South King",'Data - Monthly Metrics'!$D:$D,"Goal - Penetration %"))</f>
        <v/>
      </c>
      <c r="P72" s="152">
        <f>IF(COUNTIFS('Data - Monthly Metrics'!$A:$A,$B$4,'Data - Monthly Metrics'!$B:$B,P$8,'Data - Monthly Metrics'!$C:$C,"South King",'Data - Monthly Metrics'!$D:$D,"Goal - Penetration %")=0,"-",SUMIFS('Data - Monthly Metrics'!$E:$E,'Data - Monthly Metrics'!$A:$A,$B$4,'Data - Monthly Metrics'!$B:$B,P$8,'Data - Monthly Metrics'!$C:$C,"South King",'Data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Metrics'!C:C,"South King",'Data - Monthly Metrics'!D:D,"New Sales Revenue - Non-Target ($)")=0,"-",SUMIFS('Data - Monthly Metrics'!E:E,'Data - Monthly Metrics'!A:A,$B$4-1,'Data - Monthly Metrics'!B:B,"Oct",'Data - Monthly Metrics'!C:C,"South King",'Data - Monthly Metrics'!D:D,"New Sales Revenue - Non-Target ($)"))</f>
        <v/>
      </c>
      <c r="C79" s="91">
        <f>IF(COUNTIFS('Data - Monthly Metrics'!A:A,$B$4-1,'Data - Monthly Metrics'!B:B,"Nov",'Data - Monthly Metrics'!C:C,"South King",'Data - Monthly Metrics'!D:D,"New Sales Revenue - Non-Target ($)")=0,"-",SUMIFS('Data - Monthly Metrics'!E:E,'Data - Monthly Metrics'!A:A,$B$4-1,'Data - Monthly Metrics'!B:B,"Nov",'Data - Monthly Metrics'!C:C,"South King",'Data - Monthly Metrics'!D:D,"New Sales Revenue - Non-Target ($)"))</f>
        <v/>
      </c>
      <c r="D79" s="91">
        <f>IF(COUNTIFS('Data - Monthly Metrics'!A:A,$B$4-1,'Data - Monthly Metrics'!B:B,"Dec",'Data - Monthly Metrics'!C:C,"South King",'Data - Monthly Metrics'!D:D,"New Sales Revenue - Non-Target ($)")=0,"-",SUMIFS('Data - Monthly Metrics'!E:E,'Data - Monthly Metrics'!A:A,$B$4-1,'Data - Monthly Metrics'!B:B,"Dec",'Data - Monthly Metrics'!C:C,"South King",'Data - Monthly Metrics'!D:D,"New Sales Revenue - Non-Target ($)"))</f>
        <v/>
      </c>
      <c r="E79" s="101">
        <f>SUM(B79,C79,D79)</f>
        <v/>
      </c>
      <c r="F79" s="91">
        <f>IF(COUNTIFS('Data - Monthly Metrics'!A:A,$B$4,'Data - Monthly Metrics'!B:B,"Jan",'Data - Monthly Metrics'!C:C,"South King",'Data - Monthly Metrics'!D:D,"New Sales Revenue - Non-Target ($)")=0,"-",SUMIFS('Data - Monthly Metrics'!E:E,'Data - Monthly Metrics'!A:A,$B$4,'Data - Monthly Metrics'!B:B,"Jan",'Data - Monthly Metrics'!C:C,"South King",'Data - Monthly Metrics'!D:D,"New Sales Revenue - Non-Target ($)"))</f>
        <v/>
      </c>
      <c r="G79" s="91">
        <f>IF(COUNTIFS('Data - Monthly Metrics'!A:A,$B$4,'Data - Monthly Metrics'!B:B,"Feb",'Data - Monthly Metrics'!C:C,"South King",'Data - Monthly Metrics'!D:D,"New Sales Revenue - Non-Target ($)")=0,"-",SUMIFS('Data - Monthly Metrics'!E:E,'Data - Monthly Metrics'!A:A,$B$4,'Data - Monthly Metrics'!B:B,"Feb",'Data - Monthly Metrics'!C:C,"South King",'Data - Monthly Metrics'!D:D,"New Sales Revenue - Non-Target ($)"))</f>
        <v/>
      </c>
      <c r="H79" s="91">
        <f>IF(COUNTIFS('Data - Monthly Metrics'!A:A,$B$4,'Data - Monthly Metrics'!B:B,"Mar",'Data - Monthly Metrics'!C:C,"South King",'Data - Monthly Metrics'!D:D,"New Sales Revenue - Non-Target ($)")=0,"-",SUMIFS('Data - Monthly Metrics'!E:E,'Data - Monthly Metrics'!A:A,$B$4,'Data - Monthly Metrics'!B:B,"Mar",'Data - Monthly Metrics'!C:C,"South King",'Data - Monthly Metrics'!D:D,"New Sales Revenue - Non-Target ($)"))</f>
        <v/>
      </c>
      <c r="I79" s="101">
        <f>SUM(F79,G79,H79)</f>
        <v/>
      </c>
      <c r="J79" s="91">
        <f>IF(COUNTIFS('Data - Monthly Metrics'!A:A,$B$4,'Data - Monthly Metrics'!B:B,"Apr",'Data - Monthly Metrics'!C:C,"South King",'Data - Monthly Metrics'!D:D,"New Sales Revenue - Non-Target ($)")=0,"-",SUMIFS('Data - Monthly Metrics'!E:E,'Data - Monthly Metrics'!A:A,$B$4,'Data - Monthly Metrics'!B:B,"Apr",'Data - Monthly Metrics'!C:C,"South King",'Data - Monthly Metrics'!D:D,"New Sales Revenue - Non-Target ($)"))</f>
        <v/>
      </c>
      <c r="K79" s="91">
        <f>IF(COUNTIFS('Data - Monthly Metrics'!A:A,$B$4,'Data - Monthly Metrics'!B:B,"May",'Data - Monthly Metrics'!C:C,"South King",'Data - Monthly Metrics'!D:D,"New Sales Revenue - Non-Target ($)")=0,"-",SUMIFS('Data - Monthly Metrics'!E:E,'Data - Monthly Metrics'!A:A,$B$4,'Data - Monthly Metrics'!B:B,"May",'Data - Monthly Metrics'!C:C,"South King",'Data - Monthly Metrics'!D:D,"New Sales Revenue - Non-Target ($)"))</f>
        <v/>
      </c>
      <c r="L79" s="91">
        <f>IF(COUNTIFS('Data - Monthly Metrics'!A:A,$B$4,'Data - Monthly Metrics'!B:B,"Jun",'Data - Monthly Metrics'!C:C,"South King",'Data - Monthly Metrics'!D:D,"New Sales Revenue - Non-Target ($)")=0,"-",SUMIFS('Data - Monthly Metrics'!E:E,'Data - Monthly Metrics'!A:A,$B$4,'Data - Monthly Metrics'!B:B,"Jun",'Data - Monthly Metrics'!C:C,"South King",'Data - Monthly Metrics'!D:D,"New Sales Revenue - Non-Target ($)"))</f>
        <v/>
      </c>
      <c r="M79" s="101">
        <f>SUM(J79,K79,L79)</f>
        <v/>
      </c>
      <c r="N79" s="91">
        <f>IF(COUNTIFS('Data - Monthly Metrics'!A:A,$B$4,'Data - Monthly Metrics'!B:B,"Jul",'Data - Monthly Metrics'!C:C,"South King",'Data - Monthly Metrics'!D:D,"New Sales Revenue - Non-Target ($)")=0,"-",SUMIFS('Data - Monthly Metrics'!E:E,'Data - Monthly Metrics'!A:A,$B$4,'Data - Monthly Metrics'!B:B,"Jul",'Data - Monthly Metrics'!C:C,"South King",'Data - Monthly Metrics'!D:D,"New Sales Revenue - Non-Target ($)"))</f>
        <v/>
      </c>
      <c r="O79" s="91">
        <f>IF(COUNTIFS('Data - Monthly Metrics'!A:A,$B$4,'Data - Monthly Metrics'!B:B,"Aug",'Data - Monthly Metrics'!C:C,"South King",'Data - Monthly Metrics'!D:D,"New Sales Revenue - Non-Target ($)")=0,"-",SUMIFS('Data - Monthly Metrics'!E:E,'Data - Monthly Metrics'!A:A,$B$4,'Data - Monthly Metrics'!B:B,"Aug",'Data - Monthly Metrics'!C:C,"South King",'Data - Monthly Metrics'!D:D,"New Sales Revenue - Non-Target ($)"))</f>
        <v/>
      </c>
      <c r="P79" s="91">
        <f>IF(COUNTIFS('Data - Monthly Metrics'!A:A,$B$4,'Data - Monthly Metrics'!B:B,"Sep",'Data - Monthly Metrics'!C:C,"South King",'Data - Monthly Metrics'!D:D,"New Sales Revenue - Non-Target ($)")=0,"-",SUMIFS('Data - Monthly Metrics'!E:E,'Data - Monthly Metrics'!A:A,$B$4,'Data - Monthly Metrics'!B:B,"Sep",'Data - Monthly Metrics'!C:C,"South King",'Data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Metrics'!C:C,"South King",'Data - Monthly Metrics'!D:D,"New Members - Non-Target (#)")=0,"-",SUMIFS('Data - Monthly Metrics'!E:E,'Data - Monthly Metrics'!A:A,$B$4-1,'Data - Monthly Metrics'!B:B,"Oct",'Data - Monthly Metrics'!C:C,"South King",'Data - Monthly Metrics'!D:D,"New Members - Non-Target (#)"))</f>
        <v/>
      </c>
      <c r="C80" s="98">
        <f>IF(COUNTIFS('Data - Monthly Metrics'!A:A,$B$4-1,'Data - Monthly Metrics'!B:B,"Nov",'Data - Monthly Metrics'!C:C,"South King",'Data - Monthly Metrics'!D:D,"New Members - Non-Target (#)")=0,"-",SUMIFS('Data - Monthly Metrics'!E:E,'Data - Monthly Metrics'!A:A,$B$4-1,'Data - Monthly Metrics'!B:B,"Nov",'Data - Monthly Metrics'!C:C,"South King",'Data - Monthly Metrics'!D:D,"New Members - Non-Target (#)"))</f>
        <v/>
      </c>
      <c r="D80" s="98">
        <f>IF(COUNTIFS('Data - Monthly Metrics'!A:A,$B$4-1,'Data - Monthly Metrics'!B:B,"Dec",'Data - Monthly Metrics'!C:C,"South King",'Data - Monthly Metrics'!D:D,"New Members - Non-Target (#)")=0,"-",SUMIFS('Data - Monthly Metrics'!E:E,'Data - Monthly Metrics'!A:A,$B$4-1,'Data - Monthly Metrics'!B:B,"Dec",'Data - Monthly Metrics'!C:C,"South King",'Data - Monthly Metrics'!D:D,"New Members - Non-Target (#)"))</f>
        <v/>
      </c>
      <c r="E80" s="103">
        <f>SUM(B80,C80,D80)</f>
        <v/>
      </c>
      <c r="F80" s="98">
        <f>IF(COUNTIFS('Data - Monthly Metrics'!A:A,$B$4,'Data - Monthly Metrics'!B:B,"Jan",'Data - Monthly Metrics'!C:C,"South King",'Data - Monthly Metrics'!D:D,"New Members - Non-Target (#)")=0,"-",SUMIFS('Data - Monthly Metrics'!E:E,'Data - Monthly Metrics'!A:A,$B$4,'Data - Monthly Metrics'!B:B,"Jan",'Data - Monthly Metrics'!C:C,"South King",'Data - Monthly Metrics'!D:D,"New Members - Non-Target (#)"))</f>
        <v/>
      </c>
      <c r="G80" s="98">
        <f>IF(COUNTIFS('Data - Monthly Metrics'!A:A,$B$4,'Data - Monthly Metrics'!B:B,"Feb",'Data - Monthly Metrics'!C:C,"South King",'Data - Monthly Metrics'!D:D,"New Members - Non-Target (#)")=0,"-",SUMIFS('Data - Monthly Metrics'!E:E,'Data - Monthly Metrics'!A:A,$B$4,'Data - Monthly Metrics'!B:B,"Feb",'Data - Monthly Metrics'!C:C,"South King",'Data - Monthly Metrics'!D:D,"New Members - Non-Target (#)"))</f>
        <v/>
      </c>
      <c r="H80" s="98">
        <f>IF(COUNTIFS('Data - Monthly Metrics'!A:A,$B$4,'Data - Monthly Metrics'!B:B,"Mar",'Data - Monthly Metrics'!C:C,"South King",'Data - Monthly Metrics'!D:D,"New Members - Non-Target (#)")=0,"-",SUMIFS('Data - Monthly Metrics'!E:E,'Data - Monthly Metrics'!A:A,$B$4,'Data - Monthly Metrics'!B:B,"Mar",'Data - Monthly Metrics'!C:C,"South King",'Data - Monthly Metrics'!D:D,"New Members - Non-Target (#)"))</f>
        <v/>
      </c>
      <c r="I80" s="103">
        <f>SUM(F80,G80,H80)</f>
        <v/>
      </c>
      <c r="J80" s="98">
        <f>IF(COUNTIFS('Data - Monthly Metrics'!A:A,$B$4,'Data - Monthly Metrics'!B:B,"Apr",'Data - Monthly Metrics'!C:C,"South King",'Data - Monthly Metrics'!D:D,"New Members - Non-Target (#)")=0,"-",SUMIFS('Data - Monthly Metrics'!E:E,'Data - Monthly Metrics'!A:A,$B$4,'Data - Monthly Metrics'!B:B,"Apr",'Data - Monthly Metrics'!C:C,"South King",'Data - Monthly Metrics'!D:D,"New Members - Non-Target (#)"))</f>
        <v/>
      </c>
      <c r="K80" s="98">
        <f>IF(COUNTIFS('Data - Monthly Metrics'!A:A,$B$4,'Data - Monthly Metrics'!B:B,"May",'Data - Monthly Metrics'!C:C,"South King",'Data - Monthly Metrics'!D:D,"New Members - Non-Target (#)")=0,"-",SUMIFS('Data - Monthly Metrics'!E:E,'Data - Monthly Metrics'!A:A,$B$4,'Data - Monthly Metrics'!B:B,"May",'Data - Monthly Metrics'!C:C,"South King",'Data - Monthly Metrics'!D:D,"New Members - Non-Target (#)"))</f>
        <v/>
      </c>
      <c r="L80" s="98">
        <f>IF(COUNTIFS('Data - Monthly Metrics'!A:A,$B$4,'Data - Monthly Metrics'!B:B,"Jun",'Data - Monthly Metrics'!C:C,"South King",'Data - Monthly Metrics'!D:D,"New Members - Non-Target (#)")=0,"-",SUMIFS('Data - Monthly Metrics'!E:E,'Data - Monthly Metrics'!A:A,$B$4,'Data - Monthly Metrics'!B:B,"Jun",'Data - Monthly Metrics'!C:C,"South King",'Data - Monthly Metrics'!D:D,"New Members - Non-Target (#)"))</f>
        <v/>
      </c>
      <c r="M80" s="103">
        <f>SUM(J80,K80,L80)</f>
        <v/>
      </c>
      <c r="N80" s="98">
        <f>IF(COUNTIFS('Data - Monthly Metrics'!A:A,$B$4,'Data - Monthly Metrics'!B:B,"Jul",'Data - Monthly Metrics'!C:C,"South King",'Data - Monthly Metrics'!D:D,"New Members - Non-Target (#)")=0,"-",SUMIFS('Data - Monthly Metrics'!E:E,'Data - Monthly Metrics'!A:A,$B$4,'Data - Monthly Metrics'!B:B,"Jul",'Data - Monthly Metrics'!C:C,"South King",'Data - Monthly Metrics'!D:D,"New Members - Non-Target (#)"))</f>
        <v/>
      </c>
      <c r="O80" s="98">
        <f>IF(COUNTIFS('Data - Monthly Metrics'!A:A,$B$4,'Data - Monthly Metrics'!B:B,"Aug",'Data - Monthly Metrics'!C:C,"South King",'Data - Monthly Metrics'!D:D,"New Members - Non-Target (#)")=0,"-",SUMIFS('Data - Monthly Metrics'!E:E,'Data - Monthly Metrics'!A:A,$B$4,'Data - Monthly Metrics'!B:B,"Aug",'Data - Monthly Metrics'!C:C,"South King",'Data - Monthly Metrics'!D:D,"New Members - Non-Target (#)"))</f>
        <v/>
      </c>
      <c r="P80" s="98">
        <f>IF(COUNTIFS('Data - Monthly Metrics'!A:A,$B$4,'Data - Monthly Metrics'!B:B,"Sep",'Data - Monthly Metrics'!C:C,"South King",'Data - Monthly Metrics'!D:D,"New Members - Non-Target (#)")=0,"-",SUMIFS('Data - Monthly Metrics'!E:E,'Data - Monthly Metrics'!A:A,$B$4,'Data - Monthly Metrics'!B:B,"Sep",'Data - Monthly Metrics'!C:C,"South King",'Data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Metrics'!C:C,"South King",'Data - Monthly Metrics'!D:D,"Billables - Hospitality Non-Target (#)")=0,"-",SUMIFS('Data - Monthly Metrics'!E:E,'Data - Monthly Metrics'!A:A,$B$4-1,'Data - Monthly Metrics'!B:B,"Oct",'Data - Monthly Metrics'!C:C,"South King",'Data - Monthly Metrics'!D:D,"Billables - Hospitality Non-Target (#)"))</f>
        <v/>
      </c>
      <c r="C84" s="93">
        <f>IF(COUNTIFS('Data - Monthly Metrics'!A:A,$B$4-1,'Data - Monthly Metrics'!B:B,"Nov",'Data - Monthly Metrics'!C:C,"South King",'Data - Monthly Metrics'!D:D,"Billables - Hospitality Non-Target (#)")=0,"-",SUMIFS('Data - Monthly Metrics'!E:E,'Data - Monthly Metrics'!A:A,$B$4-1,'Data - Monthly Metrics'!B:B,"Nov",'Data - Monthly Metrics'!C:C,"South King",'Data - Monthly Metrics'!D:D,"Billables - Hospitality Non-Target (#)"))</f>
        <v/>
      </c>
      <c r="D84" s="93">
        <f>IF(COUNTIFS('Data - Monthly Metrics'!A:A,$B$4-1,'Data - Monthly Metrics'!B:B,"Dec",'Data - Monthly Metrics'!C:C,"South King",'Data - Monthly Metrics'!D:D,"Billables - Hospitality Non-Target (#)")=0,"-",SUMIFS('Data - Monthly Metrics'!E:E,'Data - Monthly Metrics'!A:A,$B$4-1,'Data - Monthly Metrics'!B:B,"Dec",'Data - Monthly Metrics'!C:C,"South King",'Data - Monthly Metrics'!D:D,"Billables - Hospitality Non-Target (#)"))</f>
        <v/>
      </c>
      <c r="E84" s="103">
        <f>IF(ISNUMBER(D84),D84,IF(ISNUMBER(C84),C84,IF(ISNUMBER(B84),B84,"-")))</f>
        <v/>
      </c>
      <c r="F84" s="93">
        <f>IF(COUNTIFS('Data - Monthly Metrics'!A:A,$B$4,'Data - Monthly Metrics'!B:B,"Jan",'Data - Monthly Metrics'!C:C,"South King",'Data - Monthly Metrics'!D:D,"Billables - Hospitality Non-Target (#)")=0,"-",SUMIFS('Data - Monthly Metrics'!E:E,'Data - Monthly Metrics'!A:A,$B$4,'Data - Monthly Metrics'!B:B,"Jan",'Data - Monthly Metrics'!C:C,"South King",'Data - Monthly Metrics'!D:D,"Billables - Hospitality Non-Target (#)"))</f>
        <v/>
      </c>
      <c r="G84" s="93">
        <f>IF(COUNTIFS('Data - Monthly Metrics'!A:A,$B$4,'Data - Monthly Metrics'!B:B,"Feb",'Data - Monthly Metrics'!C:C,"South King",'Data - Monthly Metrics'!D:D,"Billables - Hospitality Non-Target (#)")=0,"-",SUMIFS('Data - Monthly Metrics'!E:E,'Data - Monthly Metrics'!A:A,$B$4,'Data - Monthly Metrics'!B:B,"Feb",'Data - Monthly Metrics'!C:C,"South King",'Data - Monthly Metrics'!D:D,"Billables - Hospitality Non-Target (#)"))</f>
        <v/>
      </c>
      <c r="H84" s="93">
        <f>IF(COUNTIFS('Data - Monthly Metrics'!A:A,$B$4,'Data - Monthly Metrics'!B:B,"Mar",'Data - Monthly Metrics'!C:C,"South King",'Data - Monthly Metrics'!D:D,"Billables - Hospitality Non-Target (#)")=0,"-",SUMIFS('Data - Monthly Metrics'!E:E,'Data - Monthly Metrics'!A:A,$B$4,'Data - Monthly Metrics'!B:B,"Mar",'Data - Monthly Metrics'!C:C,"South King",'Data - Monthly Metrics'!D:D,"Billables - Hospitality Non-Target (#)"))</f>
        <v/>
      </c>
      <c r="I84" s="103">
        <f>IF(ISNUMBER(H84),H84,IF(ISNUMBER(G84),G84,IF(ISNUMBER(F84),F84,"-")))</f>
        <v/>
      </c>
      <c r="J84" s="93">
        <f>IF(COUNTIFS('Data - Monthly Metrics'!A:A,$B$4,'Data - Monthly Metrics'!B:B,"Apr",'Data - Monthly Metrics'!C:C,"South King",'Data - Monthly Metrics'!D:D,"Billables - Hospitality Non-Target (#)")=0,"-",SUMIFS('Data - Monthly Metrics'!E:E,'Data - Monthly Metrics'!A:A,$B$4,'Data - Monthly Metrics'!B:B,"Apr",'Data - Monthly Metrics'!C:C,"South King",'Data - Monthly Metrics'!D:D,"Billables - Hospitality Non-Target (#)"))</f>
        <v/>
      </c>
      <c r="K84" s="93">
        <f>IF(COUNTIFS('Data - Monthly Metrics'!A:A,$B$4,'Data - Monthly Metrics'!B:B,"May",'Data - Monthly Metrics'!C:C,"South King",'Data - Monthly Metrics'!D:D,"Billables - Hospitality Non-Target (#)")=0,"-",SUMIFS('Data - Monthly Metrics'!E:E,'Data - Monthly Metrics'!A:A,$B$4,'Data - Monthly Metrics'!B:B,"May",'Data - Monthly Metrics'!C:C,"South King",'Data - Monthly Metrics'!D:D,"Billables - Hospitality Non-Target (#)"))</f>
        <v/>
      </c>
      <c r="L84" s="93">
        <f>IF(COUNTIFS('Data - Monthly Metrics'!A:A,$B$4,'Data - Monthly Metrics'!B:B,"Jun",'Data - Monthly Metrics'!C:C,"South King",'Data - Monthly Metrics'!D:D,"Billables - Hospitality Non-Target (#)")=0,"-",SUMIFS('Data - Monthly Metrics'!E:E,'Data - Monthly Metrics'!A:A,$B$4,'Data - Monthly Metrics'!B:B,"Jun",'Data - Monthly Metrics'!C:C,"South King",'Data - Monthly Metrics'!D:D,"Billables - Hospitality Non-Target (#)"))</f>
        <v/>
      </c>
      <c r="M84" s="103">
        <f>IF(ISNUMBER(L84),L84,IF(ISNUMBER(K84),K84,IF(ISNUMBER(J84),J84,"-")))</f>
        <v/>
      </c>
      <c r="N84" s="93">
        <f>IF(COUNTIFS('Data - Monthly Metrics'!A:A,$B$4,'Data - Monthly Metrics'!B:B,"Jul",'Data - Monthly Metrics'!C:C,"South King",'Data - Monthly Metrics'!D:D,"Billables - Hospitality Non-Target (#)")=0,"-",SUMIFS('Data - Monthly Metrics'!E:E,'Data - Monthly Metrics'!A:A,$B$4,'Data - Monthly Metrics'!B:B,"Jul",'Data - Monthly Metrics'!C:C,"South King",'Data - Monthly Metrics'!D:D,"Billables - Hospitality Non-Target (#)"))</f>
        <v/>
      </c>
      <c r="O84" s="93">
        <f>IF(COUNTIFS('Data - Monthly Metrics'!A:A,$B$4,'Data - Monthly Metrics'!B:B,"Aug",'Data - Monthly Metrics'!C:C,"South King",'Data - Monthly Metrics'!D:D,"Billables - Hospitality Non-Target (#)")=0,"-",SUMIFS('Data - Monthly Metrics'!E:E,'Data - Monthly Metrics'!A:A,$B$4,'Data - Monthly Metrics'!B:B,"Aug",'Data - Monthly Metrics'!C:C,"South King",'Data - Monthly Metrics'!D:D,"Billables - Hospitality Non-Target (#)"))</f>
        <v/>
      </c>
      <c r="P84" s="93">
        <f>IF(COUNTIFS('Data - Monthly Metrics'!A:A,$B$4,'Data - Monthly Metrics'!B:B,"Sep",'Data - Monthly Metrics'!C:C,"South King",'Data - Monthly Metrics'!D:D,"Billables - Hospitality Non-Target (#)")=0,"-",SUMIFS('Data - Monthly Metrics'!E:E,'Data - Monthly Metrics'!A:A,$B$4,'Data - Monthly Metrics'!B:B,"Sep",'Data - Monthly Metrics'!C:C,"South King",'Data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Metrics'!C:C,"South King",'Data - Monthly Metrics'!D:D,"Member Locations - Non-Target (#)")=0,"-",SUMIFS('Data - Monthly Metrics'!E:E,'Data - Monthly Metrics'!A:A,$B$4-1,'Data - Monthly Metrics'!B:B,"Oct",'Data - Monthly Metrics'!C:C,"South King",'Data - Monthly Metrics'!D:D,"Member Locations - Non-Target (#)"))</f>
        <v/>
      </c>
      <c r="C85" s="93">
        <f>IF(COUNTIFS('Data - Monthly Metrics'!A:A,$B$4-1,'Data - Monthly Metrics'!B:B,"Nov",'Data - Monthly Metrics'!C:C,"South King",'Data - Monthly Metrics'!D:D,"Member Locations - Non-Target (#)")=0,"-",SUMIFS('Data - Monthly Metrics'!E:E,'Data - Monthly Metrics'!A:A,$B$4-1,'Data - Monthly Metrics'!B:B,"Nov",'Data - Monthly Metrics'!C:C,"South King",'Data - Monthly Metrics'!D:D,"Member Locations - Non-Target (#)"))</f>
        <v/>
      </c>
      <c r="D85" s="93">
        <f>IF(COUNTIFS('Data - Monthly Metrics'!A:A,$B$4-1,'Data - Monthly Metrics'!B:B,"Dec",'Data - Monthly Metrics'!C:C,"South King",'Data - Monthly Metrics'!D:D,"Member Locations - Non-Target (#)")=0,"-",SUMIFS('Data - Monthly Metrics'!E:E,'Data - Monthly Metrics'!A:A,$B$4-1,'Data - Monthly Metrics'!B:B,"Dec",'Data - Monthly Metrics'!C:C,"South King",'Data - Monthly Metrics'!D:D,"Member Locations - Non-Target (#)"))</f>
        <v/>
      </c>
      <c r="E85" s="103">
        <f>IF(ISNUMBER(D85),D85,IF(ISNUMBER(C85),C85,IF(ISNUMBER(B85),B85,"-")))</f>
        <v/>
      </c>
      <c r="F85" s="93">
        <f>IF(COUNTIFS('Data - Monthly Metrics'!A:A,$B$4,'Data - Monthly Metrics'!B:B,"Jan",'Data - Monthly Metrics'!C:C,"South King",'Data - Monthly Metrics'!D:D,"Member Locations - Non-Target (#)")=0,"-",SUMIFS('Data - Monthly Metrics'!E:E,'Data - Monthly Metrics'!A:A,$B$4,'Data - Monthly Metrics'!B:B,"Jan",'Data - Monthly Metrics'!C:C,"South King",'Data - Monthly Metrics'!D:D,"Member Locations - Non-Target (#)"))</f>
        <v/>
      </c>
      <c r="G85" s="93">
        <f>IF(COUNTIFS('Data - Monthly Metrics'!A:A,$B$4,'Data - Monthly Metrics'!B:B,"Feb",'Data - Monthly Metrics'!C:C,"South King",'Data - Monthly Metrics'!D:D,"Member Locations - Non-Target (#)")=0,"-",SUMIFS('Data - Monthly Metrics'!E:E,'Data - Monthly Metrics'!A:A,$B$4,'Data - Monthly Metrics'!B:B,"Feb",'Data - Monthly Metrics'!C:C,"South King",'Data - Monthly Metrics'!D:D,"Member Locations - Non-Target (#)"))</f>
        <v/>
      </c>
      <c r="H85" s="93">
        <f>IF(COUNTIFS('Data - Monthly Metrics'!A:A,$B$4,'Data - Monthly Metrics'!B:B,"Mar",'Data - Monthly Metrics'!C:C,"South King",'Data - Monthly Metrics'!D:D,"Member Locations - Non-Target (#)")=0,"-",SUMIFS('Data - Monthly Metrics'!E:E,'Data - Monthly Metrics'!A:A,$B$4,'Data - Monthly Metrics'!B:B,"Mar",'Data - Monthly Metrics'!C:C,"South King",'Data - Monthly Metrics'!D:D,"Member Locations - Non-Target (#)"))</f>
        <v/>
      </c>
      <c r="I85" s="103">
        <f>IF(ISNUMBER(H85),H85,IF(ISNUMBER(G85),G85,IF(ISNUMBER(F85),F85,"-")))</f>
        <v/>
      </c>
      <c r="J85" s="93">
        <f>IF(COUNTIFS('Data - Monthly Metrics'!A:A,$B$4,'Data - Monthly Metrics'!B:B,"Apr",'Data - Monthly Metrics'!C:C,"South King",'Data - Monthly Metrics'!D:D,"Member Locations - Non-Target (#)")=0,"-",SUMIFS('Data - Monthly Metrics'!E:E,'Data - Monthly Metrics'!A:A,$B$4,'Data - Monthly Metrics'!B:B,"Apr",'Data - Monthly Metrics'!C:C,"South King",'Data - Monthly Metrics'!D:D,"Member Locations - Non-Target (#)"))</f>
        <v/>
      </c>
      <c r="K85" s="93">
        <f>IF(COUNTIFS('Data - Monthly Metrics'!A:A,$B$4,'Data - Monthly Metrics'!B:B,"May",'Data - Monthly Metrics'!C:C,"South King",'Data - Monthly Metrics'!D:D,"Member Locations - Non-Target (#)")=0,"-",SUMIFS('Data - Monthly Metrics'!E:E,'Data - Monthly Metrics'!A:A,$B$4,'Data - Monthly Metrics'!B:B,"May",'Data - Monthly Metrics'!C:C,"South King",'Data - Monthly Metrics'!D:D,"Member Locations - Non-Target (#)"))</f>
        <v/>
      </c>
      <c r="L85" s="93">
        <f>IF(COUNTIFS('Data - Monthly Metrics'!A:A,$B$4,'Data - Monthly Metrics'!B:B,"Jun",'Data - Monthly Metrics'!C:C,"South King",'Data - Monthly Metrics'!D:D,"Member Locations - Non-Target (#)")=0,"-",SUMIFS('Data - Monthly Metrics'!E:E,'Data - Monthly Metrics'!A:A,$B$4,'Data - Monthly Metrics'!B:B,"Jun",'Data - Monthly Metrics'!C:C,"South King",'Data - Monthly Metrics'!D:D,"Member Locations - Non-Target (#)"))</f>
        <v/>
      </c>
      <c r="M85" s="103">
        <f>IF(ISNUMBER(L85),L85,IF(ISNUMBER(K85),K85,IF(ISNUMBER(J85),J85,"-")))</f>
        <v/>
      </c>
      <c r="N85" s="93">
        <f>IF(COUNTIFS('Data - Monthly Metrics'!A:A,$B$4,'Data - Monthly Metrics'!B:B,"Jul",'Data - Monthly Metrics'!C:C,"South King",'Data - Monthly Metrics'!D:D,"Member Locations - Non-Target (#)")=0,"-",SUMIFS('Data - Monthly Metrics'!E:E,'Data - Monthly Metrics'!A:A,$B$4,'Data - Monthly Metrics'!B:B,"Jul",'Data - Monthly Metrics'!C:C,"South King",'Data - Monthly Metrics'!D:D,"Member Locations - Non-Target (#)"))</f>
        <v/>
      </c>
      <c r="O85" s="93">
        <f>IF(COUNTIFS('Data - Monthly Metrics'!A:A,$B$4,'Data - Monthly Metrics'!B:B,"Aug",'Data - Monthly Metrics'!C:C,"South King",'Data - Monthly Metrics'!D:D,"Member Locations - Non-Target (#)")=0,"-",SUMIFS('Data - Monthly Metrics'!E:E,'Data - Monthly Metrics'!A:A,$B$4,'Data - Monthly Metrics'!B:B,"Aug",'Data - Monthly Metrics'!C:C,"South King",'Data - Monthly Metrics'!D:D,"Member Locations - Non-Target (#)"))</f>
        <v/>
      </c>
      <c r="P85" s="93">
        <f>IF(COUNTIFS('Data - Monthly Metrics'!A:A,$B$4,'Data - Monthly Metrics'!B:B,"Sep",'Data - Monthly Metrics'!C:C,"South King",'Data - Monthly Metrics'!D:D,"Member Locations - Non-Target (#)")=0,"-",SUMIFS('Data - Monthly Metrics'!E:E,'Data - Monthly Metrics'!A:A,$B$4,'Data - Monthly Metrics'!B:B,"Sep",'Data - Monthly Metrics'!C:C,"South King",'Data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Metrics'!C:C,"South King",'Data - Monthly Metrics'!D:D,"Billables - Allied (#)")=0,"-",SUMIFS('Data - Monthly Metrics'!E:E,'Data - Monthly Metrics'!A:A,$B$4-1,'Data - Monthly Metrics'!B:B,"Oct",'Data - Monthly Metrics'!C:C,"South King",'Data - Monthly Metrics'!D:D,"Billables - Allied (#)"))</f>
        <v/>
      </c>
      <c r="C86" s="98">
        <f>IF(COUNTIFS('Data - Monthly Metrics'!A:A,$B$4-1,'Data - Monthly Metrics'!B:B,"Nov",'Data - Monthly Metrics'!C:C,"South King",'Data - Monthly Metrics'!D:D,"Billables - Allied (#)")=0,"-",SUMIFS('Data - Monthly Metrics'!E:E,'Data - Monthly Metrics'!A:A,$B$4-1,'Data - Monthly Metrics'!B:B,"Nov",'Data - Monthly Metrics'!C:C,"South King",'Data - Monthly Metrics'!D:D,"Billables - Allied (#)"))</f>
        <v/>
      </c>
      <c r="D86" s="98">
        <f>IF(COUNTIFS('Data - Monthly Metrics'!A:A,$B$4-1,'Data - Monthly Metrics'!B:B,"Dec",'Data - Monthly Metrics'!C:C,"South King",'Data - Monthly Metrics'!D:D,"Billables - Allied (#)")=0,"-",SUMIFS('Data - Monthly Metrics'!E:E,'Data - Monthly Metrics'!A:A,$B$4-1,'Data - Monthly Metrics'!B:B,"Dec",'Data - Monthly Metrics'!C:C,"South King",'Data - Monthly Metrics'!D:D,"Billables - Allied (#)"))</f>
        <v/>
      </c>
      <c r="E86" s="103">
        <f>IF(ISNUMBER(D86),D86,IF(ISNUMBER(C86),C86,IF(ISNUMBER(B86),B86,"-")))</f>
        <v/>
      </c>
      <c r="F86" s="98">
        <f>IF(COUNTIFS('Data - Monthly Metrics'!A:A,$B$4,'Data - Monthly Metrics'!B:B,"Jan",'Data - Monthly Metrics'!C:C,"South King",'Data - Monthly Metrics'!D:D,"Billables - Allied (#)")=0,"-",SUMIFS('Data - Monthly Metrics'!E:E,'Data - Monthly Metrics'!A:A,$B$4,'Data - Monthly Metrics'!B:B,"Jan",'Data - Monthly Metrics'!C:C,"South King",'Data - Monthly Metrics'!D:D,"Billables - Allied (#)"))</f>
        <v/>
      </c>
      <c r="G86" s="98">
        <f>IF(COUNTIFS('Data - Monthly Metrics'!A:A,$B$4,'Data - Monthly Metrics'!B:B,"Feb",'Data - Monthly Metrics'!C:C,"South King",'Data - Monthly Metrics'!D:D,"Billables - Allied (#)")=0,"-",SUMIFS('Data - Monthly Metrics'!E:E,'Data - Monthly Metrics'!A:A,$B$4,'Data - Monthly Metrics'!B:B,"Feb",'Data - Monthly Metrics'!C:C,"South King",'Data - Monthly Metrics'!D:D,"Billables - Allied (#)"))</f>
        <v/>
      </c>
      <c r="H86" s="98">
        <f>IF(COUNTIFS('Data - Monthly Metrics'!A:A,$B$4,'Data - Monthly Metrics'!B:B,"Mar",'Data - Monthly Metrics'!C:C,"South King",'Data - Monthly Metrics'!D:D,"Billables - Allied (#)")=0,"-",SUMIFS('Data - Monthly Metrics'!E:E,'Data - Monthly Metrics'!A:A,$B$4,'Data - Monthly Metrics'!B:B,"Mar",'Data - Monthly Metrics'!C:C,"South King",'Data - Monthly Metrics'!D:D,"Billables - Allied (#)"))</f>
        <v/>
      </c>
      <c r="I86" s="103">
        <f>IF(ISNUMBER(H86),H86,IF(ISNUMBER(G86),G86,IF(ISNUMBER(F86),F86,"-")))</f>
        <v/>
      </c>
      <c r="J86" s="98">
        <f>IF(COUNTIFS('Data - Monthly Metrics'!A:A,$B$4,'Data - Monthly Metrics'!B:B,"Apr",'Data - Monthly Metrics'!C:C,"South King",'Data - Monthly Metrics'!D:D,"Billables - Allied (#)")=0,"-",SUMIFS('Data - Monthly Metrics'!E:E,'Data - Monthly Metrics'!A:A,$B$4,'Data - Monthly Metrics'!B:B,"Apr",'Data - Monthly Metrics'!C:C,"South King",'Data - Monthly Metrics'!D:D,"Billables - Allied (#)"))</f>
        <v/>
      </c>
      <c r="K86" s="98">
        <f>IF(COUNTIFS('Data - Monthly Metrics'!A:A,$B$4,'Data - Monthly Metrics'!B:B,"May",'Data - Monthly Metrics'!C:C,"South King",'Data - Monthly Metrics'!D:D,"Billables - Allied (#)")=0,"-",SUMIFS('Data - Monthly Metrics'!E:E,'Data - Monthly Metrics'!A:A,$B$4,'Data - Monthly Metrics'!B:B,"May",'Data - Monthly Metrics'!C:C,"South King",'Data - Monthly Metrics'!D:D,"Billables - Allied (#)"))</f>
        <v/>
      </c>
      <c r="L86" s="98">
        <f>IF(COUNTIFS('Data - Monthly Metrics'!A:A,$B$4,'Data - Monthly Metrics'!B:B,"Jun",'Data - Monthly Metrics'!C:C,"South King",'Data - Monthly Metrics'!D:D,"Billables - Allied (#)")=0,"-",SUMIFS('Data - Monthly Metrics'!E:E,'Data - Monthly Metrics'!A:A,$B$4,'Data - Monthly Metrics'!B:B,"Jun",'Data - Monthly Metrics'!C:C,"South King",'Data - Monthly Metrics'!D:D,"Billables - Allied (#)"))</f>
        <v/>
      </c>
      <c r="M86" s="103">
        <f>IF(ISNUMBER(L86),L86,IF(ISNUMBER(K86),K86,IF(ISNUMBER(J86),J86,"-")))</f>
        <v/>
      </c>
      <c r="N86" s="98">
        <f>IF(COUNTIFS('Data - Monthly Metrics'!A:A,$B$4,'Data - Monthly Metrics'!B:B,"Jul",'Data - Monthly Metrics'!C:C,"South King",'Data - Monthly Metrics'!D:D,"Billables - Allied (#)")=0,"-",SUMIFS('Data - Monthly Metrics'!E:E,'Data - Monthly Metrics'!A:A,$B$4,'Data - Monthly Metrics'!B:B,"Jul",'Data - Monthly Metrics'!C:C,"South King",'Data - Monthly Metrics'!D:D,"Billables - Allied (#)"))</f>
        <v/>
      </c>
      <c r="O86" s="98">
        <f>IF(COUNTIFS('Data - Monthly Metrics'!A:A,$B$4,'Data - Monthly Metrics'!B:B,"Aug",'Data - Monthly Metrics'!C:C,"South King",'Data - Monthly Metrics'!D:D,"Billables - Allied (#)")=0,"-",SUMIFS('Data - Monthly Metrics'!E:E,'Data - Monthly Metrics'!A:A,$B$4,'Data - Monthly Metrics'!B:B,"Aug",'Data - Monthly Metrics'!C:C,"South King",'Data - Monthly Metrics'!D:D,"Billables - Allied (#)"))</f>
        <v/>
      </c>
      <c r="P86" s="98">
        <f>IF(COUNTIFS('Data - Monthly Metrics'!A:A,$B$4,'Data - Monthly Metrics'!B:B,"Sep",'Data - Monthly Metrics'!C:C,"South King",'Data - Monthly Metrics'!D:D,"Billables - Allied (#)")=0,"-",SUMIFS('Data - Monthly Metrics'!E:E,'Data - Monthly Metrics'!A:A,$B$4,'Data - Monthly Metrics'!B:B,"Sep",'Data - Monthly Metrics'!C:C,"South King",'Data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Metrics'!C:C,"South King",'Data - Monthly Metrics'!D:D,"Members Up for Renewal - Non-Target (#)")=0,"-",SUMIFS('Data - Monthly Metrics'!E:E,'Data - Monthly Metrics'!A:A,$B$4-1,'Data - Monthly Metrics'!B:B,"Oct",'Data - Monthly Metrics'!C:C,"South King",'Data - Monthly Metrics'!D:D,"Members Up for Renewal - Non-Target (#)"))</f>
        <v/>
      </c>
      <c r="C91" s="93">
        <f>IF(COUNTIFS('Data - Monthly Metrics'!A:A,$B$4-1,'Data - Monthly Metrics'!B:B,"Nov",'Data - Monthly Metrics'!C:C,"South King",'Data - Monthly Metrics'!D:D,"Members Up for Renewal - Non-Target (#)")=0,"-",SUMIFS('Data - Monthly Metrics'!E:E,'Data - Monthly Metrics'!A:A,$B$4-1,'Data - Monthly Metrics'!B:B,"Nov",'Data - Monthly Metrics'!C:C,"South King",'Data - Monthly Metrics'!D:D,"Members Up for Renewal - Non-Target (#)"))</f>
        <v/>
      </c>
      <c r="D91" s="93">
        <f>IF(COUNTIFS('Data - Monthly Metrics'!A:A,$B$4-1,'Data - Monthly Metrics'!B:B,"Dec",'Data - Monthly Metrics'!C:C,"South King",'Data - Monthly Metrics'!D:D,"Members Up for Renewal - Non-Target (#)")=0,"-",SUMIFS('Data - Monthly Metrics'!E:E,'Data - Monthly Metrics'!A:A,$B$4-1,'Data - Monthly Metrics'!B:B,"Dec",'Data - Monthly Metrics'!C:C,"South King",'Data - Monthly Metrics'!D:D,"Members Up for Renewal - Non-Target (#)"))</f>
        <v/>
      </c>
      <c r="E91" s="103">
        <f>SUM(B91,C91,D91)</f>
        <v/>
      </c>
      <c r="F91" s="93">
        <f>IF(COUNTIFS('Data - Monthly Metrics'!A:A,$B$4,'Data - Monthly Metrics'!B:B,"Jan",'Data - Monthly Metrics'!C:C,"South King",'Data - Monthly Metrics'!D:D,"Members Up for Renewal - Non-Target (#)")=0,"-",SUMIFS('Data - Monthly Metrics'!E:E,'Data - Monthly Metrics'!A:A,$B$4,'Data - Monthly Metrics'!B:B,"Jan",'Data - Monthly Metrics'!C:C,"South King",'Data - Monthly Metrics'!D:D,"Members Up for Renewal - Non-Target (#)"))</f>
        <v/>
      </c>
      <c r="G91" s="93">
        <f>IF(COUNTIFS('Data - Monthly Metrics'!A:A,$B$4,'Data - Monthly Metrics'!B:B,"Feb",'Data - Monthly Metrics'!C:C,"South King",'Data - Monthly Metrics'!D:D,"Members Up for Renewal - Non-Target (#)")=0,"-",SUMIFS('Data - Monthly Metrics'!E:E,'Data - Monthly Metrics'!A:A,$B$4,'Data - Monthly Metrics'!B:B,"Feb",'Data - Monthly Metrics'!C:C,"South King",'Data - Monthly Metrics'!D:D,"Members Up for Renewal - Non-Target (#)"))</f>
        <v/>
      </c>
      <c r="H91" s="93">
        <f>IF(COUNTIFS('Data - Monthly Metrics'!A:A,$B$4,'Data - Monthly Metrics'!B:B,"Mar",'Data - Monthly Metrics'!C:C,"South King",'Data - Monthly Metrics'!D:D,"Members Up for Renewal - Non-Target (#)")=0,"-",SUMIFS('Data - Monthly Metrics'!E:E,'Data - Monthly Metrics'!A:A,$B$4,'Data - Monthly Metrics'!B:B,"Mar",'Data - Monthly Metrics'!C:C,"South King",'Data - Monthly Metrics'!D:D,"Members Up for Renewal - Non-Target (#)"))</f>
        <v/>
      </c>
      <c r="I91" s="103">
        <f>SUM(F91,G91,H91)</f>
        <v/>
      </c>
      <c r="J91" s="93">
        <f>IF(COUNTIFS('Data - Monthly Metrics'!A:A,$B$4,'Data - Monthly Metrics'!B:B,"Apr",'Data - Monthly Metrics'!C:C,"South King",'Data - Monthly Metrics'!D:D,"Members Up for Renewal - Non-Target (#)")=0,"-",SUMIFS('Data - Monthly Metrics'!E:E,'Data - Monthly Metrics'!A:A,$B$4,'Data - Monthly Metrics'!B:B,"Apr",'Data - Monthly Metrics'!C:C,"South King",'Data - Monthly Metrics'!D:D,"Members Up for Renewal - Non-Target (#)"))</f>
        <v/>
      </c>
      <c r="K91" s="93">
        <f>IF(COUNTIFS('Data - Monthly Metrics'!A:A,$B$4,'Data - Monthly Metrics'!B:B,"May",'Data - Monthly Metrics'!C:C,"South King",'Data - Monthly Metrics'!D:D,"Members Up for Renewal - Non-Target (#)")=0,"-",SUMIFS('Data - Monthly Metrics'!E:E,'Data - Monthly Metrics'!A:A,$B$4,'Data - Monthly Metrics'!B:B,"May",'Data - Monthly Metrics'!C:C,"South King",'Data - Monthly Metrics'!D:D,"Members Up for Renewal - Non-Target (#)"))</f>
        <v/>
      </c>
      <c r="L91" s="93">
        <f>IF(COUNTIFS('Data - Monthly Metrics'!A:A,$B$4,'Data - Monthly Metrics'!B:B,"Jun",'Data - Monthly Metrics'!C:C,"South King",'Data - Monthly Metrics'!D:D,"Members Up for Renewal - Non-Target (#)")=0,"-",SUMIFS('Data - Monthly Metrics'!E:E,'Data - Monthly Metrics'!A:A,$B$4,'Data - Monthly Metrics'!B:B,"Jun",'Data - Monthly Metrics'!C:C,"South King",'Data - Monthly Metrics'!D:D,"Members Up for Renewal - Non-Target (#)"))</f>
        <v/>
      </c>
      <c r="M91" s="103">
        <f>SUM(J91,K91,L91)</f>
        <v/>
      </c>
      <c r="N91" s="93">
        <f>IF(COUNTIFS('Data - Monthly Metrics'!A:A,$B$4,'Data - Monthly Metrics'!B:B,"Jul",'Data - Monthly Metrics'!C:C,"South King",'Data - Monthly Metrics'!D:D,"Members Up for Renewal - Non-Target (#)")=0,"-",SUMIFS('Data - Monthly Metrics'!E:E,'Data - Monthly Metrics'!A:A,$B$4,'Data - Monthly Metrics'!B:B,"Jul",'Data - Monthly Metrics'!C:C,"South King",'Data - Monthly Metrics'!D:D,"Members Up for Renewal - Non-Target (#)"))</f>
        <v/>
      </c>
      <c r="O91" s="93">
        <f>IF(COUNTIFS('Data - Monthly Metrics'!A:A,$B$4,'Data - Monthly Metrics'!B:B,"Aug",'Data - Monthly Metrics'!C:C,"South King",'Data - Monthly Metrics'!D:D,"Members Up for Renewal - Non-Target (#)")=0,"-",SUMIFS('Data - Monthly Metrics'!E:E,'Data - Monthly Metrics'!A:A,$B$4,'Data - Monthly Metrics'!B:B,"Aug",'Data - Monthly Metrics'!C:C,"South King",'Data - Monthly Metrics'!D:D,"Members Up for Renewal - Non-Target (#)"))</f>
        <v/>
      </c>
      <c r="P91" s="93">
        <f>IF(COUNTIFS('Data - Monthly Metrics'!A:A,$B$4,'Data - Monthly Metrics'!B:B,"Sep",'Data - Monthly Metrics'!C:C,"South King",'Data - Monthly Metrics'!D:D,"Members Up for Renewal - Non-Target (#)")=0,"-",SUMIFS('Data - Monthly Metrics'!E:E,'Data - Monthly Metrics'!A:A,$B$4,'Data - Monthly Metrics'!B:B,"Sep",'Data - Monthly Metrics'!C:C,"South King",'Data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Metrics'!C:C,"South King",'Data - Monthly Metrics'!D:D,"Members Retained - Non-Target (#)")=0,"-",SUMIFS('Data - Monthly Metrics'!E:E,'Data - Monthly Metrics'!A:A,$B$4-1,'Data - Monthly Metrics'!B:B,"Oct",'Data - Monthly Metrics'!C:C,"South King",'Data - Monthly Metrics'!D:D,"Members Retained - Non-Target (#)"))</f>
        <v/>
      </c>
      <c r="C92" s="98">
        <f>IF(COUNTIFS('Data - Monthly Metrics'!A:A,$B$4-1,'Data - Monthly Metrics'!B:B,"Nov",'Data - Monthly Metrics'!C:C,"South King",'Data - Monthly Metrics'!D:D,"Members Retained - Non-Target (#)")=0,"-",SUMIFS('Data - Monthly Metrics'!E:E,'Data - Monthly Metrics'!A:A,$B$4-1,'Data - Monthly Metrics'!B:B,"Nov",'Data - Monthly Metrics'!C:C,"South King",'Data - Monthly Metrics'!D:D,"Members Retained - Non-Target (#)"))</f>
        <v/>
      </c>
      <c r="D92" s="98">
        <f>IF(COUNTIFS('Data - Monthly Metrics'!A:A,$B$4-1,'Data - Monthly Metrics'!B:B,"Dec",'Data - Monthly Metrics'!C:C,"South King",'Data - Monthly Metrics'!D:D,"Members Retained - Non-Target (#)")=0,"-",SUMIFS('Data - Monthly Metrics'!E:E,'Data - Monthly Metrics'!A:A,$B$4-1,'Data - Monthly Metrics'!B:B,"Dec",'Data - Monthly Metrics'!C:C,"South King",'Data - Monthly Metrics'!D:D,"Members Retained - Non-Target (#)"))</f>
        <v/>
      </c>
      <c r="E92" s="103">
        <f>SUM(B92,C92,D92)</f>
        <v/>
      </c>
      <c r="F92" s="98">
        <f>IF(COUNTIFS('Data - Monthly Metrics'!A:A,$B$4,'Data - Monthly Metrics'!B:B,"Jan",'Data - Monthly Metrics'!C:C,"South King",'Data - Monthly Metrics'!D:D,"Members Retained - Non-Target (#)")=0,"-",SUMIFS('Data - Monthly Metrics'!E:E,'Data - Monthly Metrics'!A:A,$B$4,'Data - Monthly Metrics'!B:B,"Jan",'Data - Monthly Metrics'!C:C,"South King",'Data - Monthly Metrics'!D:D,"Members Retained - Non-Target (#)"))</f>
        <v/>
      </c>
      <c r="G92" s="98">
        <f>IF(COUNTIFS('Data - Monthly Metrics'!A:A,$B$4,'Data - Monthly Metrics'!B:B,"Feb",'Data - Monthly Metrics'!C:C,"South King",'Data - Monthly Metrics'!D:D,"Members Retained - Non-Target (#)")=0,"-",SUMIFS('Data - Monthly Metrics'!E:E,'Data - Monthly Metrics'!A:A,$B$4,'Data - Monthly Metrics'!B:B,"Feb",'Data - Monthly Metrics'!C:C,"South King",'Data - Monthly Metrics'!D:D,"Members Retained - Non-Target (#)"))</f>
        <v/>
      </c>
      <c r="H92" s="98">
        <f>IF(COUNTIFS('Data - Monthly Metrics'!A:A,$B$4,'Data - Monthly Metrics'!B:B,"Mar",'Data - Monthly Metrics'!C:C,"South King",'Data - Monthly Metrics'!D:D,"Members Retained - Non-Target (#)")=0,"-",SUMIFS('Data - Monthly Metrics'!E:E,'Data - Monthly Metrics'!A:A,$B$4,'Data - Monthly Metrics'!B:B,"Mar",'Data - Monthly Metrics'!C:C,"South King",'Data - Monthly Metrics'!D:D,"Members Retained - Non-Target (#)"))</f>
        <v/>
      </c>
      <c r="I92" s="103">
        <f>SUM(F92,G92,H92)</f>
        <v/>
      </c>
      <c r="J92" s="98">
        <f>IF(COUNTIFS('Data - Monthly Metrics'!A:A,$B$4,'Data - Monthly Metrics'!B:B,"Apr",'Data - Monthly Metrics'!C:C,"South King",'Data - Monthly Metrics'!D:D,"Members Retained - Non-Target (#)")=0,"-",SUMIFS('Data - Monthly Metrics'!E:E,'Data - Monthly Metrics'!A:A,$B$4,'Data - Monthly Metrics'!B:B,"Apr",'Data - Monthly Metrics'!C:C,"South King",'Data - Monthly Metrics'!D:D,"Members Retained - Non-Target (#)"))</f>
        <v/>
      </c>
      <c r="K92" s="98">
        <f>IF(COUNTIFS('Data - Monthly Metrics'!A:A,$B$4,'Data - Monthly Metrics'!B:B,"May",'Data - Monthly Metrics'!C:C,"South King",'Data - Monthly Metrics'!D:D,"Members Retained - Non-Target (#)")=0,"-",SUMIFS('Data - Monthly Metrics'!E:E,'Data - Monthly Metrics'!A:A,$B$4,'Data - Monthly Metrics'!B:B,"May",'Data - Monthly Metrics'!C:C,"South King",'Data - Monthly Metrics'!D:D,"Members Retained - Non-Target (#)"))</f>
        <v/>
      </c>
      <c r="L92" s="98">
        <f>IF(COUNTIFS('Data - Monthly Metrics'!A:A,$B$4,'Data - Monthly Metrics'!B:B,"Jun",'Data - Monthly Metrics'!C:C,"South King",'Data - Monthly Metrics'!D:D,"Members Retained - Non-Target (#)")=0,"-",SUMIFS('Data - Monthly Metrics'!E:E,'Data - Monthly Metrics'!A:A,$B$4,'Data - Monthly Metrics'!B:B,"Jun",'Data - Monthly Metrics'!C:C,"South King",'Data - Monthly Metrics'!D:D,"Members Retained - Non-Target (#)"))</f>
        <v/>
      </c>
      <c r="M92" s="103">
        <f>SUM(J92,K92,L92)</f>
        <v/>
      </c>
      <c r="N92" s="98">
        <f>IF(COUNTIFS('Data - Monthly Metrics'!A:A,$B$4,'Data - Monthly Metrics'!B:B,"Jul",'Data - Monthly Metrics'!C:C,"South King",'Data - Monthly Metrics'!D:D,"Members Retained - Non-Target (#)")=0,"-",SUMIFS('Data - Monthly Metrics'!E:E,'Data - Monthly Metrics'!A:A,$B$4,'Data - Monthly Metrics'!B:B,"Jul",'Data - Monthly Metrics'!C:C,"South King",'Data - Monthly Metrics'!D:D,"Members Retained - Non-Target (#)"))</f>
        <v/>
      </c>
      <c r="O92" s="98">
        <f>IF(COUNTIFS('Data - Monthly Metrics'!A:A,$B$4,'Data - Monthly Metrics'!B:B,"Aug",'Data - Monthly Metrics'!C:C,"South King",'Data - Monthly Metrics'!D:D,"Members Retained - Non-Target (#)")=0,"-",SUMIFS('Data - Monthly Metrics'!E:E,'Data - Monthly Metrics'!A:A,$B$4,'Data - Monthly Metrics'!B:B,"Aug",'Data - Monthly Metrics'!C:C,"South King",'Data - Monthly Metrics'!D:D,"Members Retained - Non-Target (#)"))</f>
        <v/>
      </c>
      <c r="P92" s="98">
        <f>IF(COUNTIFS('Data - Monthly Metrics'!A:A,$B$4,'Data - Monthly Metrics'!B:B,"Sep",'Data - Monthly Metrics'!C:C,"South King",'Data - Monthly Metrics'!D:D,"Members Retained - Non-Target (#)")=0,"-",SUMIFS('Data - Monthly Metrics'!E:E,'Data - Monthly Metrics'!A:A,$B$4,'Data - Monthly Metrics'!B:B,"Sep",'Data - Monthly Metrics'!C:C,"South King",'Data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Metrics'!$C:$C,"South King",'Data - Monthly Metrics'!$D:$D,"Goal - Retention %")=0),"—",IF(B93&gt;=SUMIFS('Data - Monthly Metrics'!$E:$E,'Data - Monthly Metrics'!$A:$A,$B$4-1,'Data - Monthly Metrics'!$B:$B,B$8,'Data - Monthly Metrics'!$C:$C,"South King",'Data - Monthly Metrics'!$D:$D,"Goal - Retention %"),"On Track",IF(B93&gt;=SUMIFS('Data - Monthly Metrics'!$E:$E,'Data - Monthly Metrics'!$A:$A,$B$4-1,'Data - Monthly Metrics'!$B:$B,B$8,'Data - Monthly Metrics'!$C:$C,"South King",'Data - Monthly Metrics'!$D:$D,"Goal - Retention %")-0.05,"Watch","At Risk")))</f>
        <v/>
      </c>
      <c r="C94" s="120">
        <f>IF(OR(NOT(ISNUMBER(C93)),C93=0,COUNTIFS('Data - Monthly Metrics'!$A:$A,$B$4-1,'Data - Monthly Metrics'!$B:$B,C$8,'Data - Monthly Metrics'!$C:$C,"South King",'Data - Monthly Metrics'!$D:$D,"Goal - Retention %")=0),"—",IF(C93&gt;=SUMIFS('Data - Monthly Metrics'!$E:$E,'Data - Monthly Metrics'!$A:$A,$B$4-1,'Data - Monthly Metrics'!$B:$B,C$8,'Data - Monthly Metrics'!$C:$C,"South King",'Data - Monthly Metrics'!$D:$D,"Goal - Retention %"),"On Track",IF(C93&gt;=SUMIFS('Data - Monthly Metrics'!$E:$E,'Data - Monthly Metrics'!$A:$A,$B$4-1,'Data - Monthly Metrics'!$B:$B,C$8,'Data - Monthly Metrics'!$C:$C,"South King",'Data - Monthly Metrics'!$D:$D,"Goal - Retention %")-0.05,"Watch","At Risk")))</f>
        <v/>
      </c>
      <c r="D94" s="120">
        <f>IF(OR(NOT(ISNUMBER(D93)),D93=0,COUNTIFS('Data - Monthly Metrics'!$A:$A,$B$4-1,'Data - Monthly Metrics'!$B:$B,D$8,'Data - Monthly Metrics'!$C:$C,"South King",'Data - Monthly Metrics'!$D:$D,"Goal - Retention %")=0),"—",IF(D93&gt;=SUMIFS('Data - Monthly Metrics'!$E:$E,'Data - Monthly Metrics'!$A:$A,$B$4-1,'Data - Monthly Metrics'!$B:$B,D$8,'Data - Monthly Metrics'!$C:$C,"South King",'Data - Monthly Metrics'!$D:$D,"Goal - Retention %"),"On Track",IF(D93&gt;=SUMIFS('Data - Monthly Metrics'!$E:$E,'Data - Monthly Metrics'!$A:$A,$B$4-1,'Data - Monthly Metrics'!$B:$B,D$8,'Data - Monthly Metrics'!$C:$C,"South King",'Data - Monthly Metrics'!$D:$D,"Goal - Retention %")-0.05,"Watch","At Risk")))</f>
        <v/>
      </c>
      <c r="E94" s="121">
        <f>"—"</f>
        <v/>
      </c>
      <c r="F94" s="120">
        <f>IF(OR(NOT(ISNUMBER(F93)),F93=0,COUNTIFS('Data - Monthly Metrics'!$A:$A,$B$4,'Data - Monthly Metrics'!$B:$B,F$8,'Data - Monthly Metrics'!$C:$C,"South King",'Data - Monthly Metrics'!$D:$D,"Goal - Retention %")=0),"—",IF(F93&gt;=SUMIFS('Data - Monthly Metrics'!$E:$E,'Data - Monthly Metrics'!$A:$A,$B$4,'Data - Monthly Metrics'!$B:$B,F$8,'Data - Monthly Metrics'!$C:$C,"South King",'Data - Monthly Metrics'!$D:$D,"Goal - Retention %"),"On Track",IF(F93&gt;=SUMIFS('Data - Monthly Metrics'!$E:$E,'Data - Monthly Metrics'!$A:$A,$B$4,'Data - Monthly Metrics'!$B:$B,F$8,'Data - Monthly Metrics'!$C:$C,"South King",'Data - Monthly Metrics'!$D:$D,"Goal - Retention %")-0.05,"Watch","At Risk")))</f>
        <v/>
      </c>
      <c r="G94" s="120">
        <f>IF(OR(NOT(ISNUMBER(G93)),G93=0,COUNTIFS('Data - Monthly Metrics'!$A:$A,$B$4,'Data - Monthly Metrics'!$B:$B,G$8,'Data - Monthly Metrics'!$C:$C,"South King",'Data - Monthly Metrics'!$D:$D,"Goal - Retention %")=0),"—",IF(G93&gt;=SUMIFS('Data - Monthly Metrics'!$E:$E,'Data - Monthly Metrics'!$A:$A,$B$4,'Data - Monthly Metrics'!$B:$B,G$8,'Data - Monthly Metrics'!$C:$C,"South King",'Data - Monthly Metrics'!$D:$D,"Goal - Retention %"),"On Track",IF(G93&gt;=SUMIFS('Data - Monthly Metrics'!$E:$E,'Data - Monthly Metrics'!$A:$A,$B$4,'Data - Monthly Metrics'!$B:$B,G$8,'Data - Monthly Metrics'!$C:$C,"South King",'Data - Monthly Metrics'!$D:$D,"Goal - Retention %")-0.05,"Watch","At Risk")))</f>
        <v/>
      </c>
      <c r="H94" s="120">
        <f>IF(OR(NOT(ISNUMBER(H93)),H93=0,COUNTIFS('Data - Monthly Metrics'!$A:$A,$B$4,'Data - Monthly Metrics'!$B:$B,H$8,'Data - Monthly Metrics'!$C:$C,"South King",'Data - Monthly Metrics'!$D:$D,"Goal - Retention %")=0),"—",IF(H93&gt;=SUMIFS('Data - Monthly Metrics'!$E:$E,'Data - Monthly Metrics'!$A:$A,$B$4,'Data - Monthly Metrics'!$B:$B,H$8,'Data - Monthly Metrics'!$C:$C,"South King",'Data - Monthly Metrics'!$D:$D,"Goal - Retention %"),"On Track",IF(H93&gt;=SUMIFS('Data - Monthly Metrics'!$E:$E,'Data - Monthly Metrics'!$A:$A,$B$4,'Data - Monthly Metrics'!$B:$B,H$8,'Data - Monthly Metrics'!$C:$C,"South King",'Data - Monthly Metrics'!$D:$D,"Goal - Retention %")-0.05,"Watch","At Risk")))</f>
        <v/>
      </c>
      <c r="I94" s="121">
        <f>"—"</f>
        <v/>
      </c>
      <c r="J94" s="120">
        <f>IF(OR(NOT(ISNUMBER(J93)),J93=0,COUNTIFS('Data - Monthly Metrics'!$A:$A,$B$4,'Data - Monthly Metrics'!$B:$B,J$8,'Data - Monthly Metrics'!$C:$C,"South King",'Data - Monthly Metrics'!$D:$D,"Goal - Retention %")=0),"—",IF(J93&gt;=SUMIFS('Data - Monthly Metrics'!$E:$E,'Data - Monthly Metrics'!$A:$A,$B$4,'Data - Monthly Metrics'!$B:$B,J$8,'Data - Monthly Metrics'!$C:$C,"South King",'Data - Monthly Metrics'!$D:$D,"Goal - Retention %"),"On Track",IF(J93&gt;=SUMIFS('Data - Monthly Metrics'!$E:$E,'Data - Monthly Metrics'!$A:$A,$B$4,'Data - Monthly Metrics'!$B:$B,J$8,'Data - Monthly Metrics'!$C:$C,"South King",'Data - Monthly Metrics'!$D:$D,"Goal - Retention %")-0.05,"Watch","At Risk")))</f>
        <v/>
      </c>
      <c r="K94" s="120">
        <f>IF(OR(NOT(ISNUMBER(K93)),K93=0,COUNTIFS('Data - Monthly Metrics'!$A:$A,$B$4,'Data - Monthly Metrics'!$B:$B,K$8,'Data - Monthly Metrics'!$C:$C,"South King",'Data - Monthly Metrics'!$D:$D,"Goal - Retention %")=0),"—",IF(K93&gt;=SUMIFS('Data - Monthly Metrics'!$E:$E,'Data - Monthly Metrics'!$A:$A,$B$4,'Data - Monthly Metrics'!$B:$B,K$8,'Data - Monthly Metrics'!$C:$C,"South King",'Data - Monthly Metrics'!$D:$D,"Goal - Retention %"),"On Track",IF(K93&gt;=SUMIFS('Data - Monthly Metrics'!$E:$E,'Data - Monthly Metrics'!$A:$A,$B$4,'Data - Monthly Metrics'!$B:$B,K$8,'Data - Monthly Metrics'!$C:$C,"South King",'Data - Monthly Metrics'!$D:$D,"Goal - Retention %")-0.05,"Watch","At Risk")))</f>
        <v/>
      </c>
      <c r="L94" s="120">
        <f>IF(OR(NOT(ISNUMBER(L93)),L93=0,COUNTIFS('Data - Monthly Metrics'!$A:$A,$B$4,'Data - Monthly Metrics'!$B:$B,L$8,'Data - Monthly Metrics'!$C:$C,"South King",'Data - Monthly Metrics'!$D:$D,"Goal - Retention %")=0),"—",IF(L93&gt;=SUMIFS('Data - Monthly Metrics'!$E:$E,'Data - Monthly Metrics'!$A:$A,$B$4,'Data - Monthly Metrics'!$B:$B,L$8,'Data - Monthly Metrics'!$C:$C,"South King",'Data - Monthly Metrics'!$D:$D,"Goal - Retention %"),"On Track",IF(L93&gt;=SUMIFS('Data - Monthly Metrics'!$E:$E,'Data - Monthly Metrics'!$A:$A,$B$4,'Data - Monthly Metrics'!$B:$B,L$8,'Data - Monthly Metrics'!$C:$C,"South King",'Data - Monthly Metrics'!$D:$D,"Goal - Retention %")-0.05,"Watch","At Risk")))</f>
        <v/>
      </c>
      <c r="M94" s="121">
        <f>"—"</f>
        <v/>
      </c>
      <c r="N94" s="120">
        <f>IF(OR(NOT(ISNUMBER(N93)),N93=0,COUNTIFS('Data - Monthly Metrics'!$A:$A,$B$4,'Data - Monthly Metrics'!$B:$B,N$8,'Data - Monthly Metrics'!$C:$C,"South King",'Data - Monthly Metrics'!$D:$D,"Goal - Retention %")=0),"—",IF(N93&gt;=SUMIFS('Data - Monthly Metrics'!$E:$E,'Data - Monthly Metrics'!$A:$A,$B$4,'Data - Monthly Metrics'!$B:$B,N$8,'Data - Monthly Metrics'!$C:$C,"South King",'Data - Monthly Metrics'!$D:$D,"Goal - Retention %"),"On Track",IF(N93&gt;=SUMIFS('Data - Monthly Metrics'!$E:$E,'Data - Monthly Metrics'!$A:$A,$B$4,'Data - Monthly Metrics'!$B:$B,N$8,'Data - Monthly Metrics'!$C:$C,"South King",'Data - Monthly Metrics'!$D:$D,"Goal - Retention %")-0.05,"Watch","At Risk")))</f>
        <v/>
      </c>
      <c r="O94" s="120">
        <f>IF(OR(NOT(ISNUMBER(O93)),O93=0,COUNTIFS('Data - Monthly Metrics'!$A:$A,$B$4,'Data - Monthly Metrics'!$B:$B,O$8,'Data - Monthly Metrics'!$C:$C,"South King",'Data - Monthly Metrics'!$D:$D,"Goal - Retention %")=0),"—",IF(O93&gt;=SUMIFS('Data - Monthly Metrics'!$E:$E,'Data - Monthly Metrics'!$A:$A,$B$4,'Data - Monthly Metrics'!$B:$B,O$8,'Data - Monthly Metrics'!$C:$C,"South King",'Data - Monthly Metrics'!$D:$D,"Goal - Retention %"),"On Track",IF(O93&gt;=SUMIFS('Data - Monthly Metrics'!$E:$E,'Data - Monthly Metrics'!$A:$A,$B$4,'Data - Monthly Metrics'!$B:$B,O$8,'Data - Monthly Metrics'!$C:$C,"South King",'Data - Monthly Metrics'!$D:$D,"Goal - Retention %")-0.05,"Watch","At Risk")))</f>
        <v/>
      </c>
      <c r="P94" s="120">
        <f>IF(OR(NOT(ISNUMBER(P93)),P93=0,COUNTIFS('Data - Monthly Metrics'!$A:$A,$B$4,'Data - Monthly Metrics'!$B:$B,P$8,'Data - Monthly Metrics'!$C:$C,"South King",'Data - Monthly Metrics'!$D:$D,"Goal - Retention %")=0),"—",IF(P93&gt;=SUMIFS('Data - Monthly Metrics'!$E:$E,'Data - Monthly Metrics'!$A:$A,$B$4,'Data - Monthly Metrics'!$B:$B,P$8,'Data - Monthly Metrics'!$C:$C,"South King",'Data - Monthly Metrics'!$D:$D,"Goal - Retention %"),"On Track",IF(P93&gt;=SUMIFS('Data - Monthly Metrics'!$E:$E,'Data - Monthly Metrics'!$A:$A,$B$4,'Data - Monthly Metrics'!$B:$B,P$8,'Data - Monthly Metrics'!$C:$C,"South King",'Data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Metrics'!C:C,"South King",'Data - Monthly Metrics'!D:D,"Retention - Comped Non-Target (#)")=0,"-",SUMIFS('Data - Monthly Metrics'!E:E,'Data - Monthly Metrics'!A:A,$B$4-1,'Data - Monthly Metrics'!B:B,"Oct",'Data - Monthly Metrics'!C:C,"South King",'Data - Monthly Metrics'!D:D,"Retention - Comped Non-Target (#)"))</f>
        <v/>
      </c>
      <c r="C95" s="98">
        <f>IF(COUNTIFS('Data - Monthly Metrics'!A:A,$B$4-1,'Data - Monthly Metrics'!B:B,"Nov",'Data - Monthly Metrics'!C:C,"South King",'Data - Monthly Metrics'!D:D,"Retention - Comped Non-Target (#)")=0,"-",SUMIFS('Data - Monthly Metrics'!E:E,'Data - Monthly Metrics'!A:A,$B$4-1,'Data - Monthly Metrics'!B:B,"Nov",'Data - Monthly Metrics'!C:C,"South King",'Data - Monthly Metrics'!D:D,"Retention - Comped Non-Target (#)"))</f>
        <v/>
      </c>
      <c r="D95" s="98">
        <f>IF(COUNTIFS('Data - Monthly Metrics'!A:A,$B$4-1,'Data - Monthly Metrics'!B:B,"Dec",'Data - Monthly Metrics'!C:C,"South King",'Data - Monthly Metrics'!D:D,"Retention - Comped Non-Target (#)")=0,"-",SUMIFS('Data - Monthly Metrics'!E:E,'Data - Monthly Metrics'!A:A,$B$4-1,'Data - Monthly Metrics'!B:B,"Dec",'Data - Monthly Metrics'!C:C,"South King",'Data - Monthly Metrics'!D:D,"Retention - Comped Non-Target (#)"))</f>
        <v/>
      </c>
      <c r="E95" s="103">
        <f>SUM(B95,C95,D95)</f>
        <v/>
      </c>
      <c r="F95" s="98">
        <f>IF(COUNTIFS('Data - Monthly Metrics'!A:A,$B$4,'Data - Monthly Metrics'!B:B,"Jan",'Data - Monthly Metrics'!C:C,"South King",'Data - Monthly Metrics'!D:D,"Retention - Comped Non-Target (#)")=0,"-",SUMIFS('Data - Monthly Metrics'!E:E,'Data - Monthly Metrics'!A:A,$B$4,'Data - Monthly Metrics'!B:B,"Jan",'Data - Monthly Metrics'!C:C,"South King",'Data - Monthly Metrics'!D:D,"Retention - Comped Non-Target (#)"))</f>
        <v/>
      </c>
      <c r="G95" s="98">
        <f>IF(COUNTIFS('Data - Monthly Metrics'!A:A,$B$4,'Data - Monthly Metrics'!B:B,"Feb",'Data - Monthly Metrics'!C:C,"South King",'Data - Monthly Metrics'!D:D,"Retention - Comped Non-Target (#)")=0,"-",SUMIFS('Data - Monthly Metrics'!E:E,'Data - Monthly Metrics'!A:A,$B$4,'Data - Monthly Metrics'!B:B,"Feb",'Data - Monthly Metrics'!C:C,"South King",'Data - Monthly Metrics'!D:D,"Retention - Comped Non-Target (#)"))</f>
        <v/>
      </c>
      <c r="H95" s="98">
        <f>IF(COUNTIFS('Data - Monthly Metrics'!A:A,$B$4,'Data - Monthly Metrics'!B:B,"Mar",'Data - Monthly Metrics'!C:C,"South King",'Data - Monthly Metrics'!D:D,"Retention - Comped Non-Target (#)")=0,"-",SUMIFS('Data - Monthly Metrics'!E:E,'Data - Monthly Metrics'!A:A,$B$4,'Data - Monthly Metrics'!B:B,"Mar",'Data - Monthly Metrics'!C:C,"South King",'Data - Monthly Metrics'!D:D,"Retention - Comped Non-Target (#)"))</f>
        <v/>
      </c>
      <c r="I95" s="103">
        <f>SUM(F95,G95,H95)</f>
        <v/>
      </c>
      <c r="J95" s="98">
        <f>IF(COUNTIFS('Data - Monthly Metrics'!A:A,$B$4,'Data - Monthly Metrics'!B:B,"Apr",'Data - Monthly Metrics'!C:C,"South King",'Data - Monthly Metrics'!D:D,"Retention - Comped Non-Target (#)")=0,"-",SUMIFS('Data - Monthly Metrics'!E:E,'Data - Monthly Metrics'!A:A,$B$4,'Data - Monthly Metrics'!B:B,"Apr",'Data - Monthly Metrics'!C:C,"South King",'Data - Monthly Metrics'!D:D,"Retention - Comped Non-Target (#)"))</f>
        <v/>
      </c>
      <c r="K95" s="98">
        <f>IF(COUNTIFS('Data - Monthly Metrics'!A:A,$B$4,'Data - Monthly Metrics'!B:B,"May",'Data - Monthly Metrics'!C:C,"South King",'Data - Monthly Metrics'!D:D,"Retention - Comped Non-Target (#)")=0,"-",SUMIFS('Data - Monthly Metrics'!E:E,'Data - Monthly Metrics'!A:A,$B$4,'Data - Monthly Metrics'!B:B,"May",'Data - Monthly Metrics'!C:C,"South King",'Data - Monthly Metrics'!D:D,"Retention - Comped Non-Target (#)"))</f>
        <v/>
      </c>
      <c r="L95" s="98">
        <f>IF(COUNTIFS('Data - Monthly Metrics'!A:A,$B$4,'Data - Monthly Metrics'!B:B,"Jun",'Data - Monthly Metrics'!C:C,"South King",'Data - Monthly Metrics'!D:D,"Retention - Comped Non-Target (#)")=0,"-",SUMIFS('Data - Monthly Metrics'!E:E,'Data - Monthly Metrics'!A:A,$B$4,'Data - Monthly Metrics'!B:B,"Jun",'Data - Monthly Metrics'!C:C,"South King",'Data - Monthly Metrics'!D:D,"Retention - Comped Non-Target (#)"))</f>
        <v/>
      </c>
      <c r="M95" s="103">
        <f>SUM(J95,K95,L95)</f>
        <v/>
      </c>
      <c r="N95" s="98">
        <f>IF(COUNTIFS('Data - Monthly Metrics'!A:A,$B$4,'Data - Monthly Metrics'!B:B,"Jul",'Data - Monthly Metrics'!C:C,"South King",'Data - Monthly Metrics'!D:D,"Retention - Comped Non-Target (#)")=0,"-",SUMIFS('Data - Monthly Metrics'!E:E,'Data - Monthly Metrics'!A:A,$B$4,'Data - Monthly Metrics'!B:B,"Jul",'Data - Monthly Metrics'!C:C,"South King",'Data - Monthly Metrics'!D:D,"Retention - Comped Non-Target (#)"))</f>
        <v/>
      </c>
      <c r="O95" s="98">
        <f>IF(COUNTIFS('Data - Monthly Metrics'!A:A,$B$4,'Data - Monthly Metrics'!B:B,"Aug",'Data - Monthly Metrics'!C:C,"South King",'Data - Monthly Metrics'!D:D,"Retention - Comped Non-Target (#)")=0,"-",SUMIFS('Data - Monthly Metrics'!E:E,'Data - Monthly Metrics'!A:A,$B$4,'Data - Monthly Metrics'!B:B,"Aug",'Data - Monthly Metrics'!C:C,"South King",'Data - Monthly Metrics'!D:D,"Retention - Comped Non-Target (#)"))</f>
        <v/>
      </c>
      <c r="P95" s="98">
        <f>IF(COUNTIFS('Data - Monthly Metrics'!A:A,$B$4,'Data - Monthly Metrics'!B:B,"Sep",'Data - Monthly Metrics'!C:C,"South King",'Data - Monthly Metrics'!D:D,"Retention - Comped Non-Target (#)")=0,"-",SUMIFS('Data - Monthly Metrics'!E:E,'Data - Monthly Metrics'!A:A,$B$4,'Data - Monthly Metrics'!B:B,"Sep",'Data - Monthly Metrics'!C:C,"South King",'Data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Metrics'!C:C,"South King",'Data - Monthly Metrics'!D:D,"Retention - Comped Non-Target ($)")=0,"-",SUMIFS('Data - Monthly Metrics'!E:E,'Data - Monthly Metrics'!A:A,$B$4-1,'Data - Monthly Metrics'!B:B,"Oct",'Data - Monthly Metrics'!C:C,"South King",'Data - Monthly Metrics'!D:D,"Retention - Comped Non-Target ($)"))</f>
        <v/>
      </c>
      <c r="C96" s="96">
        <f>IF(COUNTIFS('Data - Monthly Metrics'!A:A,$B$4-1,'Data - Monthly Metrics'!B:B,"Nov",'Data - Monthly Metrics'!C:C,"South King",'Data - Monthly Metrics'!D:D,"Retention - Comped Non-Target ($)")=0,"-",SUMIFS('Data - Monthly Metrics'!E:E,'Data - Monthly Metrics'!A:A,$B$4-1,'Data - Monthly Metrics'!B:B,"Nov",'Data - Monthly Metrics'!C:C,"South King",'Data - Monthly Metrics'!D:D,"Retention - Comped Non-Target ($)"))</f>
        <v/>
      </c>
      <c r="D96" s="96">
        <f>IF(COUNTIFS('Data - Monthly Metrics'!A:A,$B$4-1,'Data - Monthly Metrics'!B:B,"Dec",'Data - Monthly Metrics'!C:C,"South King",'Data - Monthly Metrics'!D:D,"Retention - Comped Non-Target ($)")=0,"-",SUMIFS('Data - Monthly Metrics'!E:E,'Data - Monthly Metrics'!A:A,$B$4-1,'Data - Monthly Metrics'!B:B,"Dec",'Data - Monthly Metrics'!C:C,"South King",'Data - Monthly Metrics'!D:D,"Retention - Comped Non-Target ($)"))</f>
        <v/>
      </c>
      <c r="E96" s="101">
        <f>SUM(B96,C96,D96)</f>
        <v/>
      </c>
      <c r="F96" s="96">
        <f>IF(COUNTIFS('Data - Monthly Metrics'!A:A,$B$4,'Data - Monthly Metrics'!B:B,"Jan",'Data - Monthly Metrics'!C:C,"South King",'Data - Monthly Metrics'!D:D,"Retention - Comped Non-Target ($)")=0,"-",SUMIFS('Data - Monthly Metrics'!E:E,'Data - Monthly Metrics'!A:A,$B$4,'Data - Monthly Metrics'!B:B,"Jan",'Data - Monthly Metrics'!C:C,"South King",'Data - Monthly Metrics'!D:D,"Retention - Comped Non-Target ($)"))</f>
        <v/>
      </c>
      <c r="G96" s="96">
        <f>IF(COUNTIFS('Data - Monthly Metrics'!A:A,$B$4,'Data - Monthly Metrics'!B:B,"Feb",'Data - Monthly Metrics'!C:C,"South King",'Data - Monthly Metrics'!D:D,"Retention - Comped Non-Target ($)")=0,"-",SUMIFS('Data - Monthly Metrics'!E:E,'Data - Monthly Metrics'!A:A,$B$4,'Data - Monthly Metrics'!B:B,"Feb",'Data - Monthly Metrics'!C:C,"South King",'Data - Monthly Metrics'!D:D,"Retention - Comped Non-Target ($)"))</f>
        <v/>
      </c>
      <c r="H96" s="96">
        <f>IF(COUNTIFS('Data - Monthly Metrics'!A:A,$B$4,'Data - Monthly Metrics'!B:B,"Mar",'Data - Monthly Metrics'!C:C,"South King",'Data - Monthly Metrics'!D:D,"Retention - Comped Non-Target ($)")=0,"-",SUMIFS('Data - Monthly Metrics'!E:E,'Data - Monthly Metrics'!A:A,$B$4,'Data - Monthly Metrics'!B:B,"Mar",'Data - Monthly Metrics'!C:C,"South King",'Data - Monthly Metrics'!D:D,"Retention - Comped Non-Target ($)"))</f>
        <v/>
      </c>
      <c r="I96" s="101">
        <f>SUM(F96,G96,H96)</f>
        <v/>
      </c>
      <c r="J96" s="96">
        <f>IF(COUNTIFS('Data - Monthly Metrics'!A:A,$B$4,'Data - Monthly Metrics'!B:B,"Apr",'Data - Monthly Metrics'!C:C,"South King",'Data - Monthly Metrics'!D:D,"Retention - Comped Non-Target ($)")=0,"-",SUMIFS('Data - Monthly Metrics'!E:E,'Data - Monthly Metrics'!A:A,$B$4,'Data - Monthly Metrics'!B:B,"Apr",'Data - Monthly Metrics'!C:C,"South King",'Data - Monthly Metrics'!D:D,"Retention - Comped Non-Target ($)"))</f>
        <v/>
      </c>
      <c r="K96" s="96">
        <f>IF(COUNTIFS('Data - Monthly Metrics'!A:A,$B$4,'Data - Monthly Metrics'!B:B,"May",'Data - Monthly Metrics'!C:C,"South King",'Data - Monthly Metrics'!D:D,"Retention - Comped Non-Target ($)")=0,"-",SUMIFS('Data - Monthly Metrics'!E:E,'Data - Monthly Metrics'!A:A,$B$4,'Data - Monthly Metrics'!B:B,"May",'Data - Monthly Metrics'!C:C,"South King",'Data - Monthly Metrics'!D:D,"Retention - Comped Non-Target ($)"))</f>
        <v/>
      </c>
      <c r="L96" s="96">
        <f>IF(COUNTIFS('Data - Monthly Metrics'!A:A,$B$4,'Data - Monthly Metrics'!B:B,"Jun",'Data - Monthly Metrics'!C:C,"South King",'Data - Monthly Metrics'!D:D,"Retention - Comped Non-Target ($)")=0,"-",SUMIFS('Data - Monthly Metrics'!E:E,'Data - Monthly Metrics'!A:A,$B$4,'Data - Monthly Metrics'!B:B,"Jun",'Data - Monthly Metrics'!C:C,"South King",'Data - Monthly Metrics'!D:D,"Retention - Comped Non-Target ($)"))</f>
        <v/>
      </c>
      <c r="M96" s="101">
        <f>SUM(J96,K96,L96)</f>
        <v/>
      </c>
      <c r="N96" s="96">
        <f>IF(COUNTIFS('Data - Monthly Metrics'!A:A,$B$4,'Data - Monthly Metrics'!B:B,"Jul",'Data - Monthly Metrics'!C:C,"South King",'Data - Monthly Metrics'!D:D,"Retention - Comped Non-Target ($)")=0,"-",SUMIFS('Data - Monthly Metrics'!E:E,'Data - Monthly Metrics'!A:A,$B$4,'Data - Monthly Metrics'!B:B,"Jul",'Data - Monthly Metrics'!C:C,"South King",'Data - Monthly Metrics'!D:D,"Retention - Comped Non-Target ($)"))</f>
        <v/>
      </c>
      <c r="O96" s="96">
        <f>IF(COUNTIFS('Data - Monthly Metrics'!A:A,$B$4,'Data - Monthly Metrics'!B:B,"Aug",'Data - Monthly Metrics'!C:C,"South King",'Data - Monthly Metrics'!D:D,"Retention - Comped Non-Target ($)")=0,"-",SUMIFS('Data - Monthly Metrics'!E:E,'Data - Monthly Metrics'!A:A,$B$4,'Data - Monthly Metrics'!B:B,"Aug",'Data - Monthly Metrics'!C:C,"South King",'Data - Monthly Metrics'!D:D,"Retention - Comped Non-Target ($)"))</f>
        <v/>
      </c>
      <c r="P96" s="96">
        <f>IF(COUNTIFS('Data - Monthly Metrics'!A:A,$B$4,'Data - Monthly Metrics'!B:B,"Sep",'Data - Monthly Metrics'!C:C,"South King",'Data - Monthly Metrics'!D:D,"Retention - Comped Non-Target ($)")=0,"-",SUMIFS('Data - Monthly Metrics'!E:E,'Data - Monthly Metrics'!A:A,$B$4,'Data - Monthly Metrics'!B:B,"Sep",'Data - Monthly Metrics'!C:C,"South King",'Data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Metrics'!C:C,"South King",'Data - Monthly Metrics'!D:D,"Drops - Non-Target (#)")=0,"-",SUMIFS('Data - Monthly Metrics'!E:E,'Data - Monthly Metrics'!A:A,$B$4-1,'Data - Monthly Metrics'!B:B,"Oct",'Data - Monthly Metrics'!C:C,"South King",'Data - Monthly Metrics'!D:D,"Drops - Non-Target (#)"))</f>
        <v/>
      </c>
      <c r="C100" s="93">
        <f>IF(COUNTIFS('Data - Monthly Metrics'!A:A,$B$4-1,'Data - Monthly Metrics'!B:B,"Nov",'Data - Monthly Metrics'!C:C,"South King",'Data - Monthly Metrics'!D:D,"Drops - Non-Target (#)")=0,"-",SUMIFS('Data - Monthly Metrics'!E:E,'Data - Monthly Metrics'!A:A,$B$4-1,'Data - Monthly Metrics'!B:B,"Nov",'Data - Monthly Metrics'!C:C,"South King",'Data - Monthly Metrics'!D:D,"Drops - Non-Target (#)"))</f>
        <v/>
      </c>
      <c r="D100" s="93">
        <f>IF(COUNTIFS('Data - Monthly Metrics'!A:A,$B$4-1,'Data - Monthly Metrics'!B:B,"Dec",'Data - Monthly Metrics'!C:C,"South King",'Data - Monthly Metrics'!D:D,"Drops - Non-Target (#)")=0,"-",SUMIFS('Data - Monthly Metrics'!E:E,'Data - Monthly Metrics'!A:A,$B$4-1,'Data - Monthly Metrics'!B:B,"Dec",'Data - Monthly Metrics'!C:C,"South King",'Data - Monthly Metrics'!D:D,"Drops - Non-Target (#)"))</f>
        <v/>
      </c>
      <c r="E100" s="103">
        <f>SUM(B100,C100,D100)</f>
        <v/>
      </c>
      <c r="F100" s="93">
        <f>IF(COUNTIFS('Data - Monthly Metrics'!A:A,$B$4,'Data - Monthly Metrics'!B:B,"Jan",'Data - Monthly Metrics'!C:C,"South King",'Data - Monthly Metrics'!D:D,"Drops - Non-Target (#)")=0,"-",SUMIFS('Data - Monthly Metrics'!E:E,'Data - Monthly Metrics'!A:A,$B$4,'Data - Monthly Metrics'!B:B,"Jan",'Data - Monthly Metrics'!C:C,"South King",'Data - Monthly Metrics'!D:D,"Drops - Non-Target (#)"))</f>
        <v/>
      </c>
      <c r="G100" s="93">
        <f>IF(COUNTIFS('Data - Monthly Metrics'!A:A,$B$4,'Data - Monthly Metrics'!B:B,"Feb",'Data - Monthly Metrics'!C:C,"South King",'Data - Monthly Metrics'!D:D,"Drops - Non-Target (#)")=0,"-",SUMIFS('Data - Monthly Metrics'!E:E,'Data - Monthly Metrics'!A:A,$B$4,'Data - Monthly Metrics'!B:B,"Feb",'Data - Monthly Metrics'!C:C,"South King",'Data - Monthly Metrics'!D:D,"Drops - Non-Target (#)"))</f>
        <v/>
      </c>
      <c r="H100" s="93">
        <f>IF(COUNTIFS('Data - Monthly Metrics'!A:A,$B$4,'Data - Monthly Metrics'!B:B,"Mar",'Data - Monthly Metrics'!C:C,"South King",'Data - Monthly Metrics'!D:D,"Drops - Non-Target (#)")=0,"-",SUMIFS('Data - Monthly Metrics'!E:E,'Data - Monthly Metrics'!A:A,$B$4,'Data - Monthly Metrics'!B:B,"Mar",'Data - Monthly Metrics'!C:C,"South King",'Data - Monthly Metrics'!D:D,"Drops - Non-Target (#)"))</f>
        <v/>
      </c>
      <c r="I100" s="103">
        <f>SUM(F100,G100,H100)</f>
        <v/>
      </c>
      <c r="J100" s="93">
        <f>IF(COUNTIFS('Data - Monthly Metrics'!A:A,$B$4,'Data - Monthly Metrics'!B:B,"Apr",'Data - Monthly Metrics'!C:C,"South King",'Data - Monthly Metrics'!D:D,"Drops - Non-Target (#)")=0,"-",SUMIFS('Data - Monthly Metrics'!E:E,'Data - Monthly Metrics'!A:A,$B$4,'Data - Monthly Metrics'!B:B,"Apr",'Data - Monthly Metrics'!C:C,"South King",'Data - Monthly Metrics'!D:D,"Drops - Non-Target (#)"))</f>
        <v/>
      </c>
      <c r="K100" s="93">
        <f>IF(COUNTIFS('Data - Monthly Metrics'!A:A,$B$4,'Data - Monthly Metrics'!B:B,"May",'Data - Monthly Metrics'!C:C,"South King",'Data - Monthly Metrics'!D:D,"Drops - Non-Target (#)")=0,"-",SUMIFS('Data - Monthly Metrics'!E:E,'Data - Monthly Metrics'!A:A,$B$4,'Data - Monthly Metrics'!B:B,"May",'Data - Monthly Metrics'!C:C,"South King",'Data - Monthly Metrics'!D:D,"Drops - Non-Target (#)"))</f>
        <v/>
      </c>
      <c r="L100" s="93">
        <f>IF(COUNTIFS('Data - Monthly Metrics'!A:A,$B$4,'Data - Monthly Metrics'!B:B,"Jun",'Data - Monthly Metrics'!C:C,"South King",'Data - Monthly Metrics'!D:D,"Drops - Non-Target (#)")=0,"-",SUMIFS('Data - Monthly Metrics'!E:E,'Data - Monthly Metrics'!A:A,$B$4,'Data - Monthly Metrics'!B:B,"Jun",'Data - Monthly Metrics'!C:C,"South King",'Data - Monthly Metrics'!D:D,"Drops - Non-Target (#)"))</f>
        <v/>
      </c>
      <c r="M100" s="103">
        <f>SUM(J100,K100,L100)</f>
        <v/>
      </c>
      <c r="N100" s="93">
        <f>IF(COUNTIFS('Data - Monthly Metrics'!A:A,$B$4,'Data - Monthly Metrics'!B:B,"Jul",'Data - Monthly Metrics'!C:C,"South King",'Data - Monthly Metrics'!D:D,"Drops - Non-Target (#)")=0,"-",SUMIFS('Data - Monthly Metrics'!E:E,'Data - Monthly Metrics'!A:A,$B$4,'Data - Monthly Metrics'!B:B,"Jul",'Data - Monthly Metrics'!C:C,"South King",'Data - Monthly Metrics'!D:D,"Drops - Non-Target (#)"))</f>
        <v/>
      </c>
      <c r="O100" s="93">
        <f>IF(COUNTIFS('Data - Monthly Metrics'!A:A,$B$4,'Data - Monthly Metrics'!B:B,"Aug",'Data - Monthly Metrics'!C:C,"South King",'Data - Monthly Metrics'!D:D,"Drops - Non-Target (#)")=0,"-",SUMIFS('Data - Monthly Metrics'!E:E,'Data - Monthly Metrics'!A:A,$B$4,'Data - Monthly Metrics'!B:B,"Aug",'Data - Monthly Metrics'!C:C,"South King",'Data - Monthly Metrics'!D:D,"Drops - Non-Target (#)"))</f>
        <v/>
      </c>
      <c r="P100" s="93">
        <f>IF(COUNTIFS('Data - Monthly Metrics'!A:A,$B$4,'Data - Monthly Metrics'!B:B,"Sep",'Data - Monthly Metrics'!C:C,"South King",'Data - Monthly Metrics'!D:D,"Drops - Non-Target (#)")=0,"-",SUMIFS('Data - Monthly Metrics'!E:E,'Data - Monthly Metrics'!A:A,$B$4,'Data - Monthly Metrics'!B:B,"Sep",'Data - Monthly Metrics'!C:C,"South King",'Data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Metrics'!C:C,"South King",'Data - Monthly Metrics'!D:D,"Dropped Revenue - Non-Target ($)")=0,"-",SUMIFS('Data - Monthly Metrics'!E:E,'Data - Monthly Metrics'!A:A,$B$4-1,'Data - Monthly Metrics'!B:B,"Oct",'Data - Monthly Metrics'!C:C,"South King",'Data - Monthly Metrics'!D:D,"Dropped Revenue - Non-Target ($)"))</f>
        <v/>
      </c>
      <c r="C101" s="96">
        <f>IF(COUNTIFS('Data - Monthly Metrics'!A:A,$B$4-1,'Data - Monthly Metrics'!B:B,"Nov",'Data - Monthly Metrics'!C:C,"South King",'Data - Monthly Metrics'!D:D,"Dropped Revenue - Non-Target ($)")=0,"-",SUMIFS('Data - Monthly Metrics'!E:E,'Data - Monthly Metrics'!A:A,$B$4-1,'Data - Monthly Metrics'!B:B,"Nov",'Data - Monthly Metrics'!C:C,"South King",'Data - Monthly Metrics'!D:D,"Dropped Revenue - Non-Target ($)"))</f>
        <v/>
      </c>
      <c r="D101" s="96">
        <f>IF(COUNTIFS('Data - Monthly Metrics'!A:A,$B$4-1,'Data - Monthly Metrics'!B:B,"Dec",'Data - Monthly Metrics'!C:C,"South King",'Data - Monthly Metrics'!D:D,"Dropped Revenue - Non-Target ($)")=0,"-",SUMIFS('Data - Monthly Metrics'!E:E,'Data - Monthly Metrics'!A:A,$B$4-1,'Data - Monthly Metrics'!B:B,"Dec",'Data - Monthly Metrics'!C:C,"South King",'Data - Monthly Metrics'!D:D,"Dropped Revenue - Non-Target ($)"))</f>
        <v/>
      </c>
      <c r="E101" s="101">
        <f>SUM(B101,C101,D101)</f>
        <v/>
      </c>
      <c r="F101" s="96">
        <f>IF(COUNTIFS('Data - Monthly Metrics'!A:A,$B$4,'Data - Monthly Metrics'!B:B,"Jan",'Data - Monthly Metrics'!C:C,"South King",'Data - Monthly Metrics'!D:D,"Dropped Revenue - Non-Target ($)")=0,"-",SUMIFS('Data - Monthly Metrics'!E:E,'Data - Monthly Metrics'!A:A,$B$4,'Data - Monthly Metrics'!B:B,"Jan",'Data - Monthly Metrics'!C:C,"South King",'Data - Monthly Metrics'!D:D,"Dropped Revenue - Non-Target ($)"))</f>
        <v/>
      </c>
      <c r="G101" s="96">
        <f>IF(COUNTIFS('Data - Monthly Metrics'!A:A,$B$4,'Data - Monthly Metrics'!B:B,"Feb",'Data - Monthly Metrics'!C:C,"South King",'Data - Monthly Metrics'!D:D,"Dropped Revenue - Non-Target ($)")=0,"-",SUMIFS('Data - Monthly Metrics'!E:E,'Data - Monthly Metrics'!A:A,$B$4,'Data - Monthly Metrics'!B:B,"Feb",'Data - Monthly Metrics'!C:C,"South King",'Data - Monthly Metrics'!D:D,"Dropped Revenue - Non-Target ($)"))</f>
        <v/>
      </c>
      <c r="H101" s="96">
        <f>IF(COUNTIFS('Data - Monthly Metrics'!A:A,$B$4,'Data - Monthly Metrics'!B:B,"Mar",'Data - Monthly Metrics'!C:C,"South King",'Data - Monthly Metrics'!D:D,"Dropped Revenue - Non-Target ($)")=0,"-",SUMIFS('Data - Monthly Metrics'!E:E,'Data - Monthly Metrics'!A:A,$B$4,'Data - Monthly Metrics'!B:B,"Mar",'Data - Monthly Metrics'!C:C,"South King",'Data - Monthly Metrics'!D:D,"Dropped Revenue - Non-Target ($)"))</f>
        <v/>
      </c>
      <c r="I101" s="101">
        <f>SUM(F101,G101,H101)</f>
        <v/>
      </c>
      <c r="J101" s="96">
        <f>IF(COUNTIFS('Data - Monthly Metrics'!A:A,$B$4,'Data - Monthly Metrics'!B:B,"Apr",'Data - Monthly Metrics'!C:C,"South King",'Data - Monthly Metrics'!D:D,"Dropped Revenue - Non-Target ($)")=0,"-",SUMIFS('Data - Monthly Metrics'!E:E,'Data - Monthly Metrics'!A:A,$B$4,'Data - Monthly Metrics'!B:B,"Apr",'Data - Monthly Metrics'!C:C,"South King",'Data - Monthly Metrics'!D:D,"Dropped Revenue - Non-Target ($)"))</f>
        <v/>
      </c>
      <c r="K101" s="96">
        <f>IF(COUNTIFS('Data - Monthly Metrics'!A:A,$B$4,'Data - Monthly Metrics'!B:B,"May",'Data - Monthly Metrics'!C:C,"South King",'Data - Monthly Metrics'!D:D,"Dropped Revenue - Non-Target ($)")=0,"-",SUMIFS('Data - Monthly Metrics'!E:E,'Data - Monthly Metrics'!A:A,$B$4,'Data - Monthly Metrics'!B:B,"May",'Data - Monthly Metrics'!C:C,"South King",'Data - Monthly Metrics'!D:D,"Dropped Revenue - Non-Target ($)"))</f>
        <v/>
      </c>
      <c r="L101" s="96">
        <f>IF(COUNTIFS('Data - Monthly Metrics'!A:A,$B$4,'Data - Monthly Metrics'!B:B,"Jun",'Data - Monthly Metrics'!C:C,"South King",'Data - Monthly Metrics'!D:D,"Dropped Revenue - Non-Target ($)")=0,"-",SUMIFS('Data - Monthly Metrics'!E:E,'Data - Monthly Metrics'!A:A,$B$4,'Data - Monthly Metrics'!B:B,"Jun",'Data - Monthly Metrics'!C:C,"South King",'Data - Monthly Metrics'!D:D,"Dropped Revenue - Non-Target ($)"))</f>
        <v/>
      </c>
      <c r="M101" s="101">
        <f>SUM(J101,K101,L101)</f>
        <v/>
      </c>
      <c r="N101" s="96">
        <f>IF(COUNTIFS('Data - Monthly Metrics'!A:A,$B$4,'Data - Monthly Metrics'!B:B,"Jul",'Data - Monthly Metrics'!C:C,"South King",'Data - Monthly Metrics'!D:D,"Dropped Revenue - Non-Target ($)")=0,"-",SUMIFS('Data - Monthly Metrics'!E:E,'Data - Monthly Metrics'!A:A,$B$4,'Data - Monthly Metrics'!B:B,"Jul",'Data - Monthly Metrics'!C:C,"South King",'Data - Monthly Metrics'!D:D,"Dropped Revenue - Non-Target ($)"))</f>
        <v/>
      </c>
      <c r="O101" s="96">
        <f>IF(COUNTIFS('Data - Monthly Metrics'!A:A,$B$4,'Data - Monthly Metrics'!B:B,"Aug",'Data - Monthly Metrics'!C:C,"South King",'Data - Monthly Metrics'!D:D,"Dropped Revenue - Non-Target ($)")=0,"-",SUMIFS('Data - Monthly Metrics'!E:E,'Data - Monthly Metrics'!A:A,$B$4,'Data - Monthly Metrics'!B:B,"Aug",'Data - Monthly Metrics'!C:C,"South King",'Data - Monthly Metrics'!D:D,"Dropped Revenue - Non-Target ($)"))</f>
        <v/>
      </c>
      <c r="P101" s="96">
        <f>IF(COUNTIFS('Data - Monthly Metrics'!A:A,$B$4,'Data - Monthly Metrics'!B:B,"Sep",'Data - Monthly Metrics'!C:C,"South King",'Data - Monthly Metrics'!D:D,"Dropped Revenue - Non-Target ($)")=0,"-",SUMIFS('Data - Monthly Metrics'!E:E,'Data - Monthly Metrics'!A:A,$B$4,'Data - Monthly Metrics'!B:B,"Sep",'Data - Monthly Metrics'!C:C,"South King",'Data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Metrics'!C:C,"South King",'Data - Monthly Metrics'!D:D,"Penetration - Restaurant Non-Target %")=0,"-",SUMIFS('Data - Monthly Metrics'!E:E,'Data - Monthly Metrics'!A:A,$B$4-1,'Data - Monthly Metrics'!B:B,"Oct",'Data - Monthly Metrics'!C:C,"South King",'Data - Monthly Metrics'!D:D,"Penetration - Restaurant Non-Target %"))</f>
        <v/>
      </c>
      <c r="C105" s="115">
        <f>IF(COUNTIFS('Data - Monthly Metrics'!A:A,$B$4-1,'Data - Monthly Metrics'!B:B,"Nov",'Data - Monthly Metrics'!C:C,"South King",'Data - Monthly Metrics'!D:D,"Penetration - Restaurant Non-Target %")=0,"-",SUMIFS('Data - Monthly Metrics'!E:E,'Data - Monthly Metrics'!A:A,$B$4-1,'Data - Monthly Metrics'!B:B,"Nov",'Data - Monthly Metrics'!C:C,"South King",'Data - Monthly Metrics'!D:D,"Penetration - Restaurant Non-Target %"))</f>
        <v/>
      </c>
      <c r="D105" s="115">
        <f>IF(COUNTIFS('Data - Monthly Metrics'!A:A,$B$4-1,'Data - Monthly Metrics'!B:B,"Dec",'Data - Monthly Metrics'!C:C,"South King",'Data - Monthly Metrics'!D:D,"Penetration - Restaurant Non-Target %")=0,"-",SUMIFS('Data - Monthly Metrics'!E:E,'Data - Monthly Metrics'!A:A,$B$4-1,'Data - Monthly Metrics'!B:B,"Dec",'Data - Monthly Metrics'!C:C,"South King",'Data - Monthly Metrics'!D:D,"Penetration - Restaurant Non-Target %"))</f>
        <v/>
      </c>
      <c r="E105" s="116">
        <f>IF(ISNUMBER(D105),D105,IF(ISNUMBER(C105),C105,IF(ISNUMBER(B105),B105,"-")))</f>
        <v/>
      </c>
      <c r="F105" s="115">
        <f>IF(COUNTIFS('Data - Monthly Metrics'!A:A,$B$4,'Data - Monthly Metrics'!B:B,"Jan",'Data - Monthly Metrics'!C:C,"South King",'Data - Monthly Metrics'!D:D,"Penetration - Restaurant Non-Target %")=0,"-",SUMIFS('Data - Monthly Metrics'!E:E,'Data - Monthly Metrics'!A:A,$B$4,'Data - Monthly Metrics'!B:B,"Jan",'Data - Monthly Metrics'!C:C,"South King",'Data - Monthly Metrics'!D:D,"Penetration - Restaurant Non-Target %"))</f>
        <v/>
      </c>
      <c r="G105" s="115">
        <f>IF(COUNTIFS('Data - Monthly Metrics'!A:A,$B$4,'Data - Monthly Metrics'!B:B,"Feb",'Data - Monthly Metrics'!C:C,"South King",'Data - Monthly Metrics'!D:D,"Penetration - Restaurant Non-Target %")=0,"-",SUMIFS('Data - Monthly Metrics'!E:E,'Data - Monthly Metrics'!A:A,$B$4,'Data - Monthly Metrics'!B:B,"Feb",'Data - Monthly Metrics'!C:C,"South King",'Data - Monthly Metrics'!D:D,"Penetration - Restaurant Non-Target %"))</f>
        <v/>
      </c>
      <c r="H105" s="115">
        <f>IF(COUNTIFS('Data - Monthly Metrics'!A:A,$B$4,'Data - Monthly Metrics'!B:B,"Mar",'Data - Monthly Metrics'!C:C,"South King",'Data - Monthly Metrics'!D:D,"Penetration - Restaurant Non-Target %")=0,"-",SUMIFS('Data - Monthly Metrics'!E:E,'Data - Monthly Metrics'!A:A,$B$4,'Data - Monthly Metrics'!B:B,"Mar",'Data - Monthly Metrics'!C:C,"South King",'Data - Monthly Metrics'!D:D,"Penetration - Restaurant Non-Target %"))</f>
        <v/>
      </c>
      <c r="I105" s="116">
        <f>IF(ISNUMBER(H105),H105,IF(ISNUMBER(G105),G105,IF(ISNUMBER(F105),F105,"-")))</f>
        <v/>
      </c>
      <c r="J105" s="115">
        <f>IF(COUNTIFS('Data - Monthly Metrics'!A:A,$B$4,'Data - Monthly Metrics'!B:B,"Apr",'Data - Monthly Metrics'!C:C,"South King",'Data - Monthly Metrics'!D:D,"Penetration - Restaurant Non-Target %")=0,"-",SUMIFS('Data - Monthly Metrics'!E:E,'Data - Monthly Metrics'!A:A,$B$4,'Data - Monthly Metrics'!B:B,"Apr",'Data - Monthly Metrics'!C:C,"South King",'Data - Monthly Metrics'!D:D,"Penetration - Restaurant Non-Target %"))</f>
        <v/>
      </c>
      <c r="K105" s="115">
        <f>IF(COUNTIFS('Data - Monthly Metrics'!A:A,$B$4,'Data - Monthly Metrics'!B:B,"May",'Data - Monthly Metrics'!C:C,"South King",'Data - Monthly Metrics'!D:D,"Penetration - Restaurant Non-Target %")=0,"-",SUMIFS('Data - Monthly Metrics'!E:E,'Data - Monthly Metrics'!A:A,$B$4,'Data - Monthly Metrics'!B:B,"May",'Data - Monthly Metrics'!C:C,"South King",'Data - Monthly Metrics'!D:D,"Penetration - Restaurant Non-Target %"))</f>
        <v/>
      </c>
      <c r="L105" s="115">
        <f>IF(COUNTIFS('Data - Monthly Metrics'!A:A,$B$4,'Data - Monthly Metrics'!B:B,"Jun",'Data - Monthly Metrics'!C:C,"South King",'Data - Monthly Metrics'!D:D,"Penetration - Restaurant Non-Target %")=0,"-",SUMIFS('Data - Monthly Metrics'!E:E,'Data - Monthly Metrics'!A:A,$B$4,'Data - Monthly Metrics'!B:B,"Jun",'Data - Monthly Metrics'!C:C,"South King",'Data - Monthly Metrics'!D:D,"Penetration - Restaurant Non-Target %"))</f>
        <v/>
      </c>
      <c r="M105" s="116">
        <f>IF(ISNUMBER(L105),L105,IF(ISNUMBER(K105),K105,IF(ISNUMBER(J105),J105,"-")))</f>
        <v/>
      </c>
      <c r="N105" s="115">
        <f>IF(COUNTIFS('Data - Monthly Metrics'!A:A,$B$4,'Data - Monthly Metrics'!B:B,"Jul",'Data - Monthly Metrics'!C:C,"South King",'Data - Monthly Metrics'!D:D,"Penetration - Restaurant Non-Target %")=0,"-",SUMIFS('Data - Monthly Metrics'!E:E,'Data - Monthly Metrics'!A:A,$B$4,'Data - Monthly Metrics'!B:B,"Jul",'Data - Monthly Metrics'!C:C,"South King",'Data - Monthly Metrics'!D:D,"Penetration - Restaurant Non-Target %"))</f>
        <v/>
      </c>
      <c r="O105" s="115">
        <f>IF(COUNTIFS('Data - Monthly Metrics'!A:A,$B$4,'Data - Monthly Metrics'!B:B,"Aug",'Data - Monthly Metrics'!C:C,"South King",'Data - Monthly Metrics'!D:D,"Penetration - Restaurant Non-Target %")=0,"-",SUMIFS('Data - Monthly Metrics'!E:E,'Data - Monthly Metrics'!A:A,$B$4,'Data - Monthly Metrics'!B:B,"Aug",'Data - Monthly Metrics'!C:C,"South King",'Data - Monthly Metrics'!D:D,"Penetration - Restaurant Non-Target %"))</f>
        <v/>
      </c>
      <c r="P105" s="115">
        <f>IF(COUNTIFS('Data - Monthly Metrics'!A:A,$B$4,'Data - Monthly Metrics'!B:B,"Sep",'Data - Monthly Metrics'!C:C,"South King",'Data - Monthly Metrics'!D:D,"Penetration - Restaurant Non-Target %")=0,"-",SUMIFS('Data - Monthly Metrics'!E:E,'Data - Monthly Metrics'!A:A,$B$4,'Data - Monthly Metrics'!B:B,"Sep",'Data - Monthly Metrics'!C:C,"South King",'Data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Metrics'!C:C,"South King",'Data - Monthly Metrics'!D:D,"Penetration - Lodging Non-Target %")=0,"-",SUMIFS('Data - Monthly Metrics'!E:E,'Data - Monthly Metrics'!A:A,$B$4-1,'Data - Monthly Metrics'!B:B,"Oct",'Data - Monthly Metrics'!C:C,"South King",'Data - Monthly Metrics'!D:D,"Penetration - Lodging Non-Target %"))</f>
        <v/>
      </c>
      <c r="C106" s="118">
        <f>IF(COUNTIFS('Data - Monthly Metrics'!A:A,$B$4-1,'Data - Monthly Metrics'!B:B,"Nov",'Data - Monthly Metrics'!C:C,"South King",'Data - Monthly Metrics'!D:D,"Penetration - Lodging Non-Target %")=0,"-",SUMIFS('Data - Monthly Metrics'!E:E,'Data - Monthly Metrics'!A:A,$B$4-1,'Data - Monthly Metrics'!B:B,"Nov",'Data - Monthly Metrics'!C:C,"South King",'Data - Monthly Metrics'!D:D,"Penetration - Lodging Non-Target %"))</f>
        <v/>
      </c>
      <c r="D106" s="118">
        <f>IF(COUNTIFS('Data - Monthly Metrics'!A:A,$B$4-1,'Data - Monthly Metrics'!B:B,"Dec",'Data - Monthly Metrics'!C:C,"South King",'Data - Monthly Metrics'!D:D,"Penetration - Lodging Non-Target %")=0,"-",SUMIFS('Data - Monthly Metrics'!E:E,'Data - Monthly Metrics'!A:A,$B$4-1,'Data - Monthly Metrics'!B:B,"Dec",'Data - Monthly Metrics'!C:C,"South King",'Data - Monthly Metrics'!D:D,"Penetration - Lodging Non-Target %"))</f>
        <v/>
      </c>
      <c r="E106" s="116">
        <f>IF(ISNUMBER(D106),D106,IF(ISNUMBER(C106),C106,IF(ISNUMBER(B106),B106,"-")))</f>
        <v/>
      </c>
      <c r="F106" s="118">
        <f>IF(COUNTIFS('Data - Monthly Metrics'!A:A,$B$4,'Data - Monthly Metrics'!B:B,"Jan",'Data - Monthly Metrics'!C:C,"South King",'Data - Monthly Metrics'!D:D,"Penetration - Lodging Non-Target %")=0,"-",SUMIFS('Data - Monthly Metrics'!E:E,'Data - Monthly Metrics'!A:A,$B$4,'Data - Monthly Metrics'!B:B,"Jan",'Data - Monthly Metrics'!C:C,"South King",'Data - Monthly Metrics'!D:D,"Penetration - Lodging Non-Target %"))</f>
        <v/>
      </c>
      <c r="G106" s="118">
        <f>IF(COUNTIFS('Data - Monthly Metrics'!A:A,$B$4,'Data - Monthly Metrics'!B:B,"Feb",'Data - Monthly Metrics'!C:C,"South King",'Data - Monthly Metrics'!D:D,"Penetration - Lodging Non-Target %")=0,"-",SUMIFS('Data - Monthly Metrics'!E:E,'Data - Monthly Metrics'!A:A,$B$4,'Data - Monthly Metrics'!B:B,"Feb",'Data - Monthly Metrics'!C:C,"South King",'Data - Monthly Metrics'!D:D,"Penetration - Lodging Non-Target %"))</f>
        <v/>
      </c>
      <c r="H106" s="118">
        <f>IF(COUNTIFS('Data - Monthly Metrics'!A:A,$B$4,'Data - Monthly Metrics'!B:B,"Mar",'Data - Monthly Metrics'!C:C,"South King",'Data - Monthly Metrics'!D:D,"Penetration - Lodging Non-Target %")=0,"-",SUMIFS('Data - Monthly Metrics'!E:E,'Data - Monthly Metrics'!A:A,$B$4,'Data - Monthly Metrics'!B:B,"Mar",'Data - Monthly Metrics'!C:C,"South King",'Data - Monthly Metrics'!D:D,"Penetration - Lodging Non-Target %"))</f>
        <v/>
      </c>
      <c r="I106" s="116">
        <f>IF(ISNUMBER(H106),H106,IF(ISNUMBER(G106),G106,IF(ISNUMBER(F106),F106,"-")))</f>
        <v/>
      </c>
      <c r="J106" s="118">
        <f>IF(COUNTIFS('Data - Monthly Metrics'!A:A,$B$4,'Data - Monthly Metrics'!B:B,"Apr",'Data - Monthly Metrics'!C:C,"South King",'Data - Monthly Metrics'!D:D,"Penetration - Lodging Non-Target %")=0,"-",SUMIFS('Data - Monthly Metrics'!E:E,'Data - Monthly Metrics'!A:A,$B$4,'Data - Monthly Metrics'!B:B,"Apr",'Data - Monthly Metrics'!C:C,"South King",'Data - Monthly Metrics'!D:D,"Penetration - Lodging Non-Target %"))</f>
        <v/>
      </c>
      <c r="K106" s="118">
        <f>IF(COUNTIFS('Data - Monthly Metrics'!A:A,$B$4,'Data - Monthly Metrics'!B:B,"May",'Data - Monthly Metrics'!C:C,"South King",'Data - Monthly Metrics'!D:D,"Penetration - Lodging Non-Target %")=0,"-",SUMIFS('Data - Monthly Metrics'!E:E,'Data - Monthly Metrics'!A:A,$B$4,'Data - Monthly Metrics'!B:B,"May",'Data - Monthly Metrics'!C:C,"South King",'Data - Monthly Metrics'!D:D,"Penetration - Lodging Non-Target %"))</f>
        <v/>
      </c>
      <c r="L106" s="118">
        <f>IF(COUNTIFS('Data - Monthly Metrics'!A:A,$B$4,'Data - Monthly Metrics'!B:B,"Jun",'Data - Monthly Metrics'!C:C,"South King",'Data - Monthly Metrics'!D:D,"Penetration - Lodging Non-Target %")=0,"-",SUMIFS('Data - Monthly Metrics'!E:E,'Data - Monthly Metrics'!A:A,$B$4,'Data - Monthly Metrics'!B:B,"Jun",'Data - Monthly Metrics'!C:C,"South King",'Data - Monthly Metrics'!D:D,"Penetration - Lodging Non-Target %"))</f>
        <v/>
      </c>
      <c r="M106" s="116">
        <f>IF(ISNUMBER(L106),L106,IF(ISNUMBER(K106),K106,IF(ISNUMBER(J106),J106,"-")))</f>
        <v/>
      </c>
      <c r="N106" s="118">
        <f>IF(COUNTIFS('Data - Monthly Metrics'!A:A,$B$4,'Data - Monthly Metrics'!B:B,"Jul",'Data - Monthly Metrics'!C:C,"South King",'Data - Monthly Metrics'!D:D,"Penetration - Lodging Non-Target %")=0,"-",SUMIFS('Data - Monthly Metrics'!E:E,'Data - Monthly Metrics'!A:A,$B$4,'Data - Monthly Metrics'!B:B,"Jul",'Data - Monthly Metrics'!C:C,"South King",'Data - Monthly Metrics'!D:D,"Penetration - Lodging Non-Target %"))</f>
        <v/>
      </c>
      <c r="O106" s="118">
        <f>IF(COUNTIFS('Data - Monthly Metrics'!A:A,$B$4,'Data - Monthly Metrics'!B:B,"Aug",'Data - Monthly Metrics'!C:C,"South King",'Data - Monthly Metrics'!D:D,"Penetration - Lodging Non-Target %")=0,"-",SUMIFS('Data - Monthly Metrics'!E:E,'Data - Monthly Metrics'!A:A,$B$4,'Data - Monthly Metrics'!B:B,"Aug",'Data - Monthly Metrics'!C:C,"South King",'Data - Monthly Metrics'!D:D,"Penetration - Lodging Non-Target %"))</f>
        <v/>
      </c>
      <c r="P106" s="118">
        <f>IF(COUNTIFS('Data - Monthly Metrics'!A:A,$B$4,'Data - Monthly Metrics'!B:B,"Sep",'Data - Monthly Metrics'!C:C,"South King",'Data - Monthly Metrics'!D:D,"Penetration - Lodging Non-Target %")=0,"-",SUMIFS('Data - Monthly Metrics'!E:E,'Data - Monthly Metrics'!A:A,$B$4,'Data - Monthly Metrics'!B:B,"Sep",'Data - Monthly Metrics'!C:C,"South King",'Data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Metrics'!C:C,"South King",'Data - Monthly Metrics'!D:D,"Penetration - Combined Non-Target %")=0,"-",SUMIFS('Data - Monthly Metrics'!E:E,'Data - Monthly Metrics'!A:A,$B$4-1,'Data - Monthly Metrics'!B:B,"Oct",'Data - Monthly Metrics'!C:C,"South King",'Data - Monthly Metrics'!D:D,"Penetration - Combined Non-Target %"))</f>
        <v/>
      </c>
      <c r="C107" s="115">
        <f>IF(COUNTIFS('Data - Monthly Metrics'!A:A,$B$4-1,'Data - Monthly Metrics'!B:B,"Nov",'Data - Monthly Metrics'!C:C,"South King",'Data - Monthly Metrics'!D:D,"Penetration - Combined Non-Target %")=0,"-",SUMIFS('Data - Monthly Metrics'!E:E,'Data - Monthly Metrics'!A:A,$B$4-1,'Data - Monthly Metrics'!B:B,"Nov",'Data - Monthly Metrics'!C:C,"South King",'Data - Monthly Metrics'!D:D,"Penetration - Combined Non-Target %"))</f>
        <v/>
      </c>
      <c r="D107" s="115">
        <f>IF(COUNTIFS('Data - Monthly Metrics'!A:A,$B$4-1,'Data - Monthly Metrics'!B:B,"Dec",'Data - Monthly Metrics'!C:C,"South King",'Data - Monthly Metrics'!D:D,"Penetration - Combined Non-Target %")=0,"-",SUMIFS('Data - Monthly Metrics'!E:E,'Data - Monthly Metrics'!A:A,$B$4-1,'Data - Monthly Metrics'!B:B,"Dec",'Data - Monthly Metrics'!C:C,"South King",'Data - Monthly Metrics'!D:D,"Penetration - Combined Non-Target %"))</f>
        <v/>
      </c>
      <c r="E107" s="116">
        <f>IF(ISNUMBER(D107),D107,IF(ISNUMBER(C107),C107,IF(ISNUMBER(B107),B107,"-")))</f>
        <v/>
      </c>
      <c r="F107" s="115">
        <f>IF(COUNTIFS('Data - Monthly Metrics'!A:A,$B$4,'Data - Monthly Metrics'!B:B,"Jan",'Data - Monthly Metrics'!C:C,"South King",'Data - Monthly Metrics'!D:D,"Penetration - Combined Non-Target %")=0,"-",SUMIFS('Data - Monthly Metrics'!E:E,'Data - Monthly Metrics'!A:A,$B$4,'Data - Monthly Metrics'!B:B,"Jan",'Data - Monthly Metrics'!C:C,"South King",'Data - Monthly Metrics'!D:D,"Penetration - Combined Non-Target %"))</f>
        <v/>
      </c>
      <c r="G107" s="115">
        <f>IF(COUNTIFS('Data - Monthly Metrics'!A:A,$B$4,'Data - Monthly Metrics'!B:B,"Feb",'Data - Monthly Metrics'!C:C,"South King",'Data - Monthly Metrics'!D:D,"Penetration - Combined Non-Target %")=0,"-",SUMIFS('Data - Monthly Metrics'!E:E,'Data - Monthly Metrics'!A:A,$B$4,'Data - Monthly Metrics'!B:B,"Feb",'Data - Monthly Metrics'!C:C,"South King",'Data - Monthly Metrics'!D:D,"Penetration - Combined Non-Target %"))</f>
        <v/>
      </c>
      <c r="H107" s="115">
        <f>IF(COUNTIFS('Data - Monthly Metrics'!A:A,$B$4,'Data - Monthly Metrics'!B:B,"Mar",'Data - Monthly Metrics'!C:C,"South King",'Data - Monthly Metrics'!D:D,"Penetration - Combined Non-Target %")=0,"-",SUMIFS('Data - Monthly Metrics'!E:E,'Data - Monthly Metrics'!A:A,$B$4,'Data - Monthly Metrics'!B:B,"Mar",'Data - Monthly Metrics'!C:C,"South King",'Data - Monthly Metrics'!D:D,"Penetration - Combined Non-Target %"))</f>
        <v/>
      </c>
      <c r="I107" s="116">
        <f>IF(ISNUMBER(H107),H107,IF(ISNUMBER(G107),G107,IF(ISNUMBER(F107),F107,"-")))</f>
        <v/>
      </c>
      <c r="J107" s="115">
        <f>IF(COUNTIFS('Data - Monthly Metrics'!A:A,$B$4,'Data - Monthly Metrics'!B:B,"Apr",'Data - Monthly Metrics'!C:C,"South King",'Data - Monthly Metrics'!D:D,"Penetration - Combined Non-Target %")=0,"-",SUMIFS('Data - Monthly Metrics'!E:E,'Data - Monthly Metrics'!A:A,$B$4,'Data - Monthly Metrics'!B:B,"Apr",'Data - Monthly Metrics'!C:C,"South King",'Data - Monthly Metrics'!D:D,"Penetration - Combined Non-Target %"))</f>
        <v/>
      </c>
      <c r="K107" s="115">
        <f>IF(COUNTIFS('Data - Monthly Metrics'!A:A,$B$4,'Data - Monthly Metrics'!B:B,"May",'Data - Monthly Metrics'!C:C,"South King",'Data - Monthly Metrics'!D:D,"Penetration - Combined Non-Target %")=0,"-",SUMIFS('Data - Monthly Metrics'!E:E,'Data - Monthly Metrics'!A:A,$B$4,'Data - Monthly Metrics'!B:B,"May",'Data - Monthly Metrics'!C:C,"South King",'Data - Monthly Metrics'!D:D,"Penetration - Combined Non-Target %"))</f>
        <v/>
      </c>
      <c r="L107" s="115">
        <f>IF(COUNTIFS('Data - Monthly Metrics'!A:A,$B$4,'Data - Monthly Metrics'!B:B,"Jun",'Data - Monthly Metrics'!C:C,"South King",'Data - Monthly Metrics'!D:D,"Penetration - Combined Non-Target %")=0,"-",SUMIFS('Data - Monthly Metrics'!E:E,'Data - Monthly Metrics'!A:A,$B$4,'Data - Monthly Metrics'!B:B,"Jun",'Data - Monthly Metrics'!C:C,"South King",'Data - Monthly Metrics'!D:D,"Penetration - Combined Non-Target %"))</f>
        <v/>
      </c>
      <c r="M107" s="116">
        <f>IF(ISNUMBER(L107),L107,IF(ISNUMBER(K107),K107,IF(ISNUMBER(J107),J107,"-")))</f>
        <v/>
      </c>
      <c r="N107" s="115">
        <f>IF(COUNTIFS('Data - Monthly Metrics'!A:A,$B$4,'Data - Monthly Metrics'!B:B,"Jul",'Data - Monthly Metrics'!C:C,"South King",'Data - Monthly Metrics'!D:D,"Penetration - Combined Non-Target %")=0,"-",SUMIFS('Data - Monthly Metrics'!E:E,'Data - Monthly Metrics'!A:A,$B$4,'Data - Monthly Metrics'!B:B,"Jul",'Data - Monthly Metrics'!C:C,"South King",'Data - Monthly Metrics'!D:D,"Penetration - Combined Non-Target %"))</f>
        <v/>
      </c>
      <c r="O107" s="115">
        <f>IF(COUNTIFS('Data - Monthly Metrics'!A:A,$B$4,'Data - Monthly Metrics'!B:B,"Aug",'Data - Monthly Metrics'!C:C,"South King",'Data - Monthly Metrics'!D:D,"Penetration - Combined Non-Target %")=0,"-",SUMIFS('Data - Monthly Metrics'!E:E,'Data - Monthly Metrics'!A:A,$B$4,'Data - Monthly Metrics'!B:B,"Aug",'Data - Monthly Metrics'!C:C,"South King",'Data - Monthly Metrics'!D:D,"Penetration - Combined Non-Target %"))</f>
        <v/>
      </c>
      <c r="P107" s="115">
        <f>IF(COUNTIFS('Data - Monthly Metrics'!A:A,$B$4,'Data - Monthly Metrics'!B:B,"Sep",'Data - Monthly Metrics'!C:C,"South King",'Data - Monthly Metrics'!D:D,"Penetration - Combined Non-Target %")=0,"-",SUMIFS('Data - Monthly Metrics'!E:E,'Data - Monthly Metrics'!A:A,$B$4,'Data - Monthly Metrics'!B:B,"Sep",'Data - Monthly Metrics'!C:C,"South King",'Data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Metrics'!$C:$C,"South King",'Data - Monthly Metrics'!$D:$D,"Goal - Retention %")&gt;0,B53&gt;=SUMIFS('Data - Monthly Metrics'!$E:$E,'Data - Monthly Metrics'!$A:$A,$B$4-1,'Data - Monthly Metrics'!$B:$B,B$8,'Data - Monthly Metrics'!$C:$C,"South King",'Data - Monthly Metrics'!$D:$D,"Goal - Retention %"))</formula>
    </cfRule>
    <cfRule type="expression" rank="0" priority="11" equalAverage="0" aboveAverage="0" dxfId="2" stopIfTrue="1" text="" percent="0" bottom="0">
      <formula>AND(ISNUMBER(B53),COUNTIFS('Data - Monthly Metrics'!$A:$A,$B$4-1,'Data - Monthly Metrics'!$B:$B,B$8,'Data - Monthly Metrics'!$C:$C,"South King",'Data - Monthly Metrics'!$D:$D,"Goal - Retention %")&gt;0,B53&gt;=SUMIFS('Data - Monthly Metrics'!$E:$E,'Data - Monthly Metrics'!$A:$A,$B$4-1,'Data - Monthly Metrics'!$B:$B,B$8,'Data - Monthly Metrics'!$C:$C,"South King",'Data - Monthly Metrics'!$D:$D,"Goal - Retention %")-0.05)</formula>
    </cfRule>
    <cfRule type="expression" rank="0" priority="12" equalAverage="0" aboveAverage="0" dxfId="1" stopIfTrue="1" text="" percent="0" bottom="0">
      <formula>AND(ISNUMBER(B53),COUNTIFS('Data - Monthly Metrics'!$A:$A,$B$4-1,'Data - Monthly Metrics'!$B:$B,B$8,'Data - Monthly Metrics'!$C:$C,"South King",'Data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Metrics'!$C:$C,"South King",'Data - Monthly Metrics'!$D:$D,"Goal - Retention %")&gt;0,C53&gt;=SUMIFS('Data - Monthly Metrics'!$E:$E,'Data - Monthly Metrics'!$A:$A,$B$4-1,'Data - Monthly Metrics'!$B:$B,C$8,'Data - Monthly Metrics'!$C:$C,"South King",'Data - Monthly Metrics'!$D:$D,"Goal - Retention %"))</formula>
    </cfRule>
    <cfRule type="expression" rank="0" priority="14" equalAverage="0" aboveAverage="0" dxfId="2" stopIfTrue="1" text="" percent="0" bottom="0">
      <formula>AND(ISNUMBER(C53),COUNTIFS('Data - Monthly Metrics'!$A:$A,$B$4-1,'Data - Monthly Metrics'!$B:$B,C$8,'Data - Monthly Metrics'!$C:$C,"South King",'Data - Monthly Metrics'!$D:$D,"Goal - Retention %")&gt;0,C53&gt;=SUMIFS('Data - Monthly Metrics'!$E:$E,'Data - Monthly Metrics'!$A:$A,$B$4-1,'Data - Monthly Metrics'!$B:$B,C$8,'Data - Monthly Metrics'!$C:$C,"South King",'Data - Monthly Metrics'!$D:$D,"Goal - Retention %")-0.05)</formula>
    </cfRule>
    <cfRule type="expression" rank="0" priority="15" equalAverage="0" aboveAverage="0" dxfId="1" stopIfTrue="1" text="" percent="0" bottom="0">
      <formula>AND(ISNUMBER(C53),COUNTIFS('Data - Monthly Metrics'!$A:$A,$B$4-1,'Data - Monthly Metrics'!$B:$B,C$8,'Data - Monthly Metrics'!$C:$C,"South King",'Data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Metrics'!$C:$C,"South King",'Data - Monthly Metrics'!$D:$D,"Goal - Retention %")&gt;0,D53&gt;=SUMIFS('Data - Monthly Metrics'!$E:$E,'Data - Monthly Metrics'!$A:$A,$B$4-1,'Data - Monthly Metrics'!$B:$B,D$8,'Data - Monthly Metrics'!$C:$C,"South King",'Data - Monthly Metrics'!$D:$D,"Goal - Retention %"))</formula>
    </cfRule>
    <cfRule type="expression" rank="0" priority="17" equalAverage="0" aboveAverage="0" dxfId="2" stopIfTrue="1" text="" percent="0" bottom="0">
      <formula>AND(ISNUMBER(D53),COUNTIFS('Data - Monthly Metrics'!$A:$A,$B$4-1,'Data - Monthly Metrics'!$B:$B,D$8,'Data - Monthly Metrics'!$C:$C,"South King",'Data - Monthly Metrics'!$D:$D,"Goal - Retention %")&gt;0,D53&gt;=SUMIFS('Data - Monthly Metrics'!$E:$E,'Data - Monthly Metrics'!$A:$A,$B$4-1,'Data - Monthly Metrics'!$B:$B,D$8,'Data - Monthly Metrics'!$C:$C,"South King",'Data - Monthly Metrics'!$D:$D,"Goal - Retention %")-0.05)</formula>
    </cfRule>
    <cfRule type="expression" rank="0" priority="18" equalAverage="0" aboveAverage="0" dxfId="1" stopIfTrue="1" text="" percent="0" bottom="0">
      <formula>AND(ISNUMBER(D53),COUNTIFS('Data - Monthly Metrics'!$A:$A,$B$4-1,'Data - Monthly Metrics'!$B:$B,D$8,'Data - Monthly Metrics'!$C:$C,"South King",'Data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Metrics'!$C:$C,"South King",'Data - Monthly Metrics'!$D:$D,"Goal - Retention %")&gt;0,F53&gt;=SUMIFS('Data - Monthly Metrics'!$E:$E,'Data - Monthly Metrics'!$A:$A,$B$4,'Data - Monthly Metrics'!$B:$B,F$8,'Data - Monthly Metrics'!$C:$C,"South King",'Data - Monthly Metrics'!$D:$D,"Goal - Retention %"))</formula>
    </cfRule>
    <cfRule type="expression" rank="0" priority="20" equalAverage="0" aboveAverage="0" dxfId="2" stopIfTrue="1" text="" percent="0" bottom="0">
      <formula>AND(ISNUMBER(F53),COUNTIFS('Data - Monthly Metrics'!$A:$A,$B$4,'Data - Monthly Metrics'!$B:$B,F$8,'Data - Monthly Metrics'!$C:$C,"South King",'Data - Monthly Metrics'!$D:$D,"Goal - Retention %")&gt;0,F53&gt;=SUMIFS('Data - Monthly Metrics'!$E:$E,'Data - Monthly Metrics'!$A:$A,$B$4,'Data - Monthly Metrics'!$B:$B,F$8,'Data - Monthly Metrics'!$C:$C,"South King",'Data - Monthly Metrics'!$D:$D,"Goal - Retention %")-0.05)</formula>
    </cfRule>
    <cfRule type="expression" rank="0" priority="21" equalAverage="0" aboveAverage="0" dxfId="1" stopIfTrue="1" text="" percent="0" bottom="0">
      <formula>AND(ISNUMBER(F53),COUNTIFS('Data - Monthly Metrics'!$A:$A,$B$4,'Data - Monthly Metrics'!$B:$B,F$8,'Data - Monthly Metrics'!$C:$C,"South King",'Data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Metrics'!$C:$C,"South King",'Data - Monthly Metrics'!$D:$D,"Goal - Retention %")&gt;0,G53&gt;=SUMIFS('Data - Monthly Metrics'!$E:$E,'Data - Monthly Metrics'!$A:$A,$B$4,'Data - Monthly Metrics'!$B:$B,G$8,'Data - Monthly Metrics'!$C:$C,"South King",'Data - Monthly Metrics'!$D:$D,"Goal - Retention %"))</formula>
    </cfRule>
    <cfRule type="expression" rank="0" priority="23" equalAverage="0" aboveAverage="0" dxfId="2" stopIfTrue="1" text="" percent="0" bottom="0">
      <formula>AND(ISNUMBER(G53),COUNTIFS('Data - Monthly Metrics'!$A:$A,$B$4,'Data - Monthly Metrics'!$B:$B,G$8,'Data - Monthly Metrics'!$C:$C,"South King",'Data - Monthly Metrics'!$D:$D,"Goal - Retention %")&gt;0,G53&gt;=SUMIFS('Data - Monthly Metrics'!$E:$E,'Data - Monthly Metrics'!$A:$A,$B$4,'Data - Monthly Metrics'!$B:$B,G$8,'Data - Monthly Metrics'!$C:$C,"South King",'Data - Monthly Metrics'!$D:$D,"Goal - Retention %")-0.05)</formula>
    </cfRule>
    <cfRule type="expression" rank="0" priority="24" equalAverage="0" aboveAverage="0" dxfId="1" stopIfTrue="1" text="" percent="0" bottom="0">
      <formula>AND(ISNUMBER(G53),COUNTIFS('Data - Monthly Metrics'!$A:$A,$B$4,'Data - Monthly Metrics'!$B:$B,G$8,'Data - Monthly Metrics'!$C:$C,"South King",'Data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Metrics'!$C:$C,"South King",'Data - Monthly Metrics'!$D:$D,"Goal - Retention %")&gt;0,H53&gt;=SUMIFS('Data - Monthly Metrics'!$E:$E,'Data - Monthly Metrics'!$A:$A,$B$4,'Data - Monthly Metrics'!$B:$B,H$8,'Data - Monthly Metrics'!$C:$C,"South King",'Data - Monthly Metrics'!$D:$D,"Goal - Retention %"))</formula>
    </cfRule>
    <cfRule type="expression" rank="0" priority="26" equalAverage="0" aboveAverage="0" dxfId="2" stopIfTrue="1" text="" percent="0" bottom="0">
      <formula>AND(ISNUMBER(H53),COUNTIFS('Data - Monthly Metrics'!$A:$A,$B$4,'Data - Monthly Metrics'!$B:$B,H$8,'Data - Monthly Metrics'!$C:$C,"South King",'Data - Monthly Metrics'!$D:$D,"Goal - Retention %")&gt;0,H53&gt;=SUMIFS('Data - Monthly Metrics'!$E:$E,'Data - Monthly Metrics'!$A:$A,$B$4,'Data - Monthly Metrics'!$B:$B,H$8,'Data - Monthly Metrics'!$C:$C,"South King",'Data - Monthly Metrics'!$D:$D,"Goal - Retention %")-0.05)</formula>
    </cfRule>
    <cfRule type="expression" rank="0" priority="27" equalAverage="0" aboveAverage="0" dxfId="1" stopIfTrue="1" text="" percent="0" bottom="0">
      <formula>AND(ISNUMBER(H53),COUNTIFS('Data - Monthly Metrics'!$A:$A,$B$4,'Data - Monthly Metrics'!$B:$B,H$8,'Data - Monthly Metrics'!$C:$C,"South King",'Data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Metrics'!$C:$C,"South King",'Data - Monthly Metrics'!$D:$D,"Goal - Retention %")&gt;0,J53&gt;=SUMIFS('Data - Monthly Metrics'!$E:$E,'Data - Monthly Metrics'!$A:$A,$B$4,'Data - Monthly Metrics'!$B:$B,J$8,'Data - Monthly Metrics'!$C:$C,"South King",'Data - Monthly Metrics'!$D:$D,"Goal - Retention %"))</formula>
    </cfRule>
    <cfRule type="expression" rank="0" priority="29" equalAverage="0" aboveAverage="0" dxfId="2" stopIfTrue="1" text="" percent="0" bottom="0">
      <formula>AND(ISNUMBER(J53),COUNTIFS('Data - Monthly Metrics'!$A:$A,$B$4,'Data - Monthly Metrics'!$B:$B,J$8,'Data - Monthly Metrics'!$C:$C,"South King",'Data - Monthly Metrics'!$D:$D,"Goal - Retention %")&gt;0,J53&gt;=SUMIFS('Data - Monthly Metrics'!$E:$E,'Data - Monthly Metrics'!$A:$A,$B$4,'Data - Monthly Metrics'!$B:$B,J$8,'Data - Monthly Metrics'!$C:$C,"South King",'Data - Monthly Metrics'!$D:$D,"Goal - Retention %")-0.05)</formula>
    </cfRule>
    <cfRule type="expression" rank="0" priority="30" equalAverage="0" aboveAverage="0" dxfId="1" stopIfTrue="1" text="" percent="0" bottom="0">
      <formula>AND(ISNUMBER(J53),COUNTIFS('Data - Monthly Metrics'!$A:$A,$B$4,'Data - Monthly Metrics'!$B:$B,J$8,'Data - Monthly Metrics'!$C:$C,"South King",'Data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Metrics'!$C:$C,"South King",'Data - Monthly Metrics'!$D:$D,"Goal - Retention %")&gt;0,K53&gt;=SUMIFS('Data - Monthly Metrics'!$E:$E,'Data - Monthly Metrics'!$A:$A,$B$4,'Data - Monthly Metrics'!$B:$B,K$8,'Data - Monthly Metrics'!$C:$C,"South King",'Data - Monthly Metrics'!$D:$D,"Goal - Retention %"))</formula>
    </cfRule>
    <cfRule type="expression" rank="0" priority="32" equalAverage="0" aboveAverage="0" dxfId="2" stopIfTrue="1" text="" percent="0" bottom="0">
      <formula>AND(ISNUMBER(K53),COUNTIFS('Data - Monthly Metrics'!$A:$A,$B$4,'Data - Monthly Metrics'!$B:$B,K$8,'Data - Monthly Metrics'!$C:$C,"South King",'Data - Monthly Metrics'!$D:$D,"Goal - Retention %")&gt;0,K53&gt;=SUMIFS('Data - Monthly Metrics'!$E:$E,'Data - Monthly Metrics'!$A:$A,$B$4,'Data - Monthly Metrics'!$B:$B,K$8,'Data - Monthly Metrics'!$C:$C,"South King",'Data - Monthly Metrics'!$D:$D,"Goal - Retention %")-0.05)</formula>
    </cfRule>
    <cfRule type="expression" rank="0" priority="33" equalAverage="0" aboveAverage="0" dxfId="1" stopIfTrue="1" text="" percent="0" bottom="0">
      <formula>AND(ISNUMBER(K53),COUNTIFS('Data - Monthly Metrics'!$A:$A,$B$4,'Data - Monthly Metrics'!$B:$B,K$8,'Data - Monthly Metrics'!$C:$C,"South King",'Data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Metrics'!$C:$C,"South King",'Data - Monthly Metrics'!$D:$D,"Goal - Retention %")&gt;0,L53&gt;=SUMIFS('Data - Monthly Metrics'!$E:$E,'Data - Monthly Metrics'!$A:$A,$B$4,'Data - Monthly Metrics'!$B:$B,L$8,'Data - Monthly Metrics'!$C:$C,"South King",'Data - Monthly Metrics'!$D:$D,"Goal - Retention %"))</formula>
    </cfRule>
    <cfRule type="expression" rank="0" priority="35" equalAverage="0" aboveAverage="0" dxfId="2" stopIfTrue="1" text="" percent="0" bottom="0">
      <formula>AND(ISNUMBER(L53),COUNTIFS('Data - Monthly Metrics'!$A:$A,$B$4,'Data - Monthly Metrics'!$B:$B,L$8,'Data - Monthly Metrics'!$C:$C,"South King",'Data - Monthly Metrics'!$D:$D,"Goal - Retention %")&gt;0,L53&gt;=SUMIFS('Data - Monthly Metrics'!$E:$E,'Data - Monthly Metrics'!$A:$A,$B$4,'Data - Monthly Metrics'!$B:$B,L$8,'Data - Monthly Metrics'!$C:$C,"South King",'Data - Monthly Metrics'!$D:$D,"Goal - Retention %")-0.05)</formula>
    </cfRule>
    <cfRule type="expression" rank="0" priority="36" equalAverage="0" aboveAverage="0" dxfId="1" stopIfTrue="1" text="" percent="0" bottom="0">
      <formula>AND(ISNUMBER(L53),COUNTIFS('Data - Monthly Metrics'!$A:$A,$B$4,'Data - Monthly Metrics'!$B:$B,L$8,'Data - Monthly Metrics'!$C:$C,"South King",'Data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Metrics'!$C:$C,"South King",'Data - Monthly Metrics'!$D:$D,"Goal - Retention %")&gt;0,N53&gt;=SUMIFS('Data - Monthly Metrics'!$E:$E,'Data - Monthly Metrics'!$A:$A,$B$4,'Data - Monthly Metrics'!$B:$B,N$8,'Data - Monthly Metrics'!$C:$C,"South King",'Data - Monthly Metrics'!$D:$D,"Goal - Retention %"))</formula>
    </cfRule>
    <cfRule type="expression" rank="0" priority="38" equalAverage="0" aboveAverage="0" dxfId="2" stopIfTrue="1" text="" percent="0" bottom="0">
      <formula>AND(ISNUMBER(N53),COUNTIFS('Data - Monthly Metrics'!$A:$A,$B$4,'Data - Monthly Metrics'!$B:$B,N$8,'Data - Monthly Metrics'!$C:$C,"South King",'Data - Monthly Metrics'!$D:$D,"Goal - Retention %")&gt;0,N53&gt;=SUMIFS('Data - Monthly Metrics'!$E:$E,'Data - Monthly Metrics'!$A:$A,$B$4,'Data - Monthly Metrics'!$B:$B,N$8,'Data - Monthly Metrics'!$C:$C,"South King",'Data - Monthly Metrics'!$D:$D,"Goal - Retention %")-0.05)</formula>
    </cfRule>
    <cfRule type="expression" rank="0" priority="39" equalAverage="0" aboveAverage="0" dxfId="1" stopIfTrue="1" text="" percent="0" bottom="0">
      <formula>AND(ISNUMBER(N53),COUNTIFS('Data - Monthly Metrics'!$A:$A,$B$4,'Data - Monthly Metrics'!$B:$B,N$8,'Data - Monthly Metrics'!$C:$C,"South King",'Data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Metrics'!$C:$C,"South King",'Data - Monthly Metrics'!$D:$D,"Goal - Retention %")&gt;0,O53&gt;=SUMIFS('Data - Monthly Metrics'!$E:$E,'Data - Monthly Metrics'!$A:$A,$B$4,'Data - Monthly Metrics'!$B:$B,O$8,'Data - Monthly Metrics'!$C:$C,"South King",'Data - Monthly Metrics'!$D:$D,"Goal - Retention %"))</formula>
    </cfRule>
    <cfRule type="expression" rank="0" priority="41" equalAverage="0" aboveAverage="0" dxfId="2" stopIfTrue="1" text="" percent="0" bottom="0">
      <formula>AND(ISNUMBER(O53),COUNTIFS('Data - Monthly Metrics'!$A:$A,$B$4,'Data - Monthly Metrics'!$B:$B,O$8,'Data - Monthly Metrics'!$C:$C,"South King",'Data - Monthly Metrics'!$D:$D,"Goal - Retention %")&gt;0,O53&gt;=SUMIFS('Data - Monthly Metrics'!$E:$E,'Data - Monthly Metrics'!$A:$A,$B$4,'Data - Monthly Metrics'!$B:$B,O$8,'Data - Monthly Metrics'!$C:$C,"South King",'Data - Monthly Metrics'!$D:$D,"Goal - Retention %")-0.05)</formula>
    </cfRule>
    <cfRule type="expression" rank="0" priority="42" equalAverage="0" aboveAverage="0" dxfId="1" stopIfTrue="1" text="" percent="0" bottom="0">
      <formula>AND(ISNUMBER(O53),COUNTIFS('Data - Monthly Metrics'!$A:$A,$B$4,'Data - Monthly Metrics'!$B:$B,O$8,'Data - Monthly Metrics'!$C:$C,"South King",'Data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Metrics'!$C:$C,"South King",'Data - Monthly Metrics'!$D:$D,"Goal - Retention %")&gt;0,P53&gt;=SUMIFS('Data - Monthly Metrics'!$E:$E,'Data - Monthly Metrics'!$A:$A,$B$4,'Data - Monthly Metrics'!$B:$B,P$8,'Data - Monthly Metrics'!$C:$C,"South King",'Data - Monthly Metrics'!$D:$D,"Goal - Retention %"))</formula>
    </cfRule>
    <cfRule type="expression" rank="0" priority="44" equalAverage="0" aboveAverage="0" dxfId="2" stopIfTrue="1" text="" percent="0" bottom="0">
      <formula>AND(ISNUMBER(P53),COUNTIFS('Data - Monthly Metrics'!$A:$A,$B$4,'Data - Monthly Metrics'!$B:$B,P$8,'Data - Monthly Metrics'!$C:$C,"South King",'Data - Monthly Metrics'!$D:$D,"Goal - Retention %")&gt;0,P53&gt;=SUMIFS('Data - Monthly Metrics'!$E:$E,'Data - Monthly Metrics'!$A:$A,$B$4,'Data - Monthly Metrics'!$B:$B,P$8,'Data - Monthly Metrics'!$C:$C,"South King",'Data - Monthly Metrics'!$D:$D,"Goal - Retention %")-0.05)</formula>
    </cfRule>
    <cfRule type="expression" rank="0" priority="45" equalAverage="0" aboveAverage="0" dxfId="1" stopIfTrue="1" text="" percent="0" bottom="0">
      <formula>AND(ISNUMBER(P53),COUNTIFS('Data - Monthly Metrics'!$A:$A,$B$4,'Data - Monthly Metrics'!$B:$B,P$8,'Data - Monthly Metrics'!$C:$C,"South King",'Data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Metrics'!$C:$C,"South King",'Data - Monthly Metrics'!$D:$D,"Goal - Retention %")&gt;0,B93&gt;=SUMIFS('Data - Monthly Metrics'!$E:$E,'Data - Monthly Metrics'!$A:$A,$B$4-1,'Data - Monthly Metrics'!$B:$B,B$8,'Data - Monthly Metrics'!$C:$C,"South King",'Data - Monthly Metrics'!$D:$D,"Goal - Retention %"))</formula>
    </cfRule>
    <cfRule type="expression" rank="0" priority="47" equalAverage="0" aboveAverage="0" dxfId="2" stopIfTrue="1" text="" percent="0" bottom="0">
      <formula>AND(ISNUMBER(B93),COUNTIFS('Data - Monthly Metrics'!$A:$A,$B$4-1,'Data - Monthly Metrics'!$B:$B,B$8,'Data - Monthly Metrics'!$C:$C,"South King",'Data - Monthly Metrics'!$D:$D,"Goal - Retention %")&gt;0,B93&gt;=SUMIFS('Data - Monthly Metrics'!$E:$E,'Data - Monthly Metrics'!$A:$A,$B$4-1,'Data - Monthly Metrics'!$B:$B,B$8,'Data - Monthly Metrics'!$C:$C,"South King",'Data - Monthly Metrics'!$D:$D,"Goal - Retention %")-0.05)</formula>
    </cfRule>
    <cfRule type="expression" rank="0" priority="48" equalAverage="0" aboveAverage="0" dxfId="1" stopIfTrue="1" text="" percent="0" bottom="0">
      <formula>AND(ISNUMBER(B93),COUNTIFS('Data - Monthly Metrics'!$A:$A,$B$4-1,'Data - Monthly Metrics'!$B:$B,B$8,'Data - Monthly Metrics'!$C:$C,"South King",'Data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Metrics'!$C:$C,"South King",'Data - Monthly Metrics'!$D:$D,"Goal - Retention %")&gt;0,C93&gt;=SUMIFS('Data - Monthly Metrics'!$E:$E,'Data - Monthly Metrics'!$A:$A,$B$4-1,'Data - Monthly Metrics'!$B:$B,C$8,'Data - Monthly Metrics'!$C:$C,"South King",'Data - Monthly Metrics'!$D:$D,"Goal - Retention %"))</formula>
    </cfRule>
    <cfRule type="expression" rank="0" priority="50" equalAverage="0" aboveAverage="0" dxfId="2" stopIfTrue="1" text="" percent="0" bottom="0">
      <formula>AND(ISNUMBER(C93),COUNTIFS('Data - Monthly Metrics'!$A:$A,$B$4-1,'Data - Monthly Metrics'!$B:$B,C$8,'Data - Monthly Metrics'!$C:$C,"South King",'Data - Monthly Metrics'!$D:$D,"Goal - Retention %")&gt;0,C93&gt;=SUMIFS('Data - Monthly Metrics'!$E:$E,'Data - Monthly Metrics'!$A:$A,$B$4-1,'Data - Monthly Metrics'!$B:$B,C$8,'Data - Monthly Metrics'!$C:$C,"South King",'Data - Monthly Metrics'!$D:$D,"Goal - Retention %")-0.05)</formula>
    </cfRule>
    <cfRule type="expression" rank="0" priority="51" equalAverage="0" aboveAverage="0" dxfId="1" stopIfTrue="1" text="" percent="0" bottom="0">
      <formula>AND(ISNUMBER(C93),COUNTIFS('Data - Monthly Metrics'!$A:$A,$B$4-1,'Data - Monthly Metrics'!$B:$B,C$8,'Data - Monthly Metrics'!$C:$C,"South King",'Data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Metrics'!$C:$C,"South King",'Data - Monthly Metrics'!$D:$D,"Goal - Retention %")&gt;0,D93&gt;=SUMIFS('Data - Monthly Metrics'!$E:$E,'Data - Monthly Metrics'!$A:$A,$B$4-1,'Data - Monthly Metrics'!$B:$B,D$8,'Data - Monthly Metrics'!$C:$C,"South King",'Data - Monthly Metrics'!$D:$D,"Goal - Retention %"))</formula>
    </cfRule>
    <cfRule type="expression" rank="0" priority="53" equalAverage="0" aboveAverage="0" dxfId="2" stopIfTrue="1" text="" percent="0" bottom="0">
      <formula>AND(ISNUMBER(D93),COUNTIFS('Data - Monthly Metrics'!$A:$A,$B$4-1,'Data - Monthly Metrics'!$B:$B,D$8,'Data - Monthly Metrics'!$C:$C,"South King",'Data - Monthly Metrics'!$D:$D,"Goal - Retention %")&gt;0,D93&gt;=SUMIFS('Data - Monthly Metrics'!$E:$E,'Data - Monthly Metrics'!$A:$A,$B$4-1,'Data - Monthly Metrics'!$B:$B,D$8,'Data - Monthly Metrics'!$C:$C,"South King",'Data - Monthly Metrics'!$D:$D,"Goal - Retention %")-0.05)</formula>
    </cfRule>
    <cfRule type="expression" rank="0" priority="54" equalAverage="0" aboveAverage="0" dxfId="1" stopIfTrue="1" text="" percent="0" bottom="0">
      <formula>AND(ISNUMBER(D93),COUNTIFS('Data - Monthly Metrics'!$A:$A,$B$4-1,'Data - Monthly Metrics'!$B:$B,D$8,'Data - Monthly Metrics'!$C:$C,"South King",'Data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Metrics'!$C:$C,"South King",'Data - Monthly Metrics'!$D:$D,"Goal - Retention %")&gt;0,F93&gt;=SUMIFS('Data - Monthly Metrics'!$E:$E,'Data - Monthly Metrics'!$A:$A,$B$4,'Data - Monthly Metrics'!$B:$B,F$8,'Data - Monthly Metrics'!$C:$C,"South King",'Data - Monthly Metrics'!$D:$D,"Goal - Retention %"))</formula>
    </cfRule>
    <cfRule type="expression" rank="0" priority="56" equalAverage="0" aboveAverage="0" dxfId="2" stopIfTrue="1" text="" percent="0" bottom="0">
      <formula>AND(ISNUMBER(F93),COUNTIFS('Data - Monthly Metrics'!$A:$A,$B$4,'Data - Monthly Metrics'!$B:$B,F$8,'Data - Monthly Metrics'!$C:$C,"South King",'Data - Monthly Metrics'!$D:$D,"Goal - Retention %")&gt;0,F93&gt;=SUMIFS('Data - Monthly Metrics'!$E:$E,'Data - Monthly Metrics'!$A:$A,$B$4,'Data - Monthly Metrics'!$B:$B,F$8,'Data - Monthly Metrics'!$C:$C,"South King",'Data - Monthly Metrics'!$D:$D,"Goal - Retention %")-0.05)</formula>
    </cfRule>
    <cfRule type="expression" rank="0" priority="57" equalAverage="0" aboveAverage="0" dxfId="1" stopIfTrue="1" text="" percent="0" bottom="0">
      <formula>AND(ISNUMBER(F93),COUNTIFS('Data - Monthly Metrics'!$A:$A,$B$4,'Data - Monthly Metrics'!$B:$B,F$8,'Data - Monthly Metrics'!$C:$C,"South King",'Data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Metrics'!$C:$C,"South King",'Data - Monthly Metrics'!$D:$D,"Goal - Retention %")&gt;0,G93&gt;=SUMIFS('Data - Monthly Metrics'!$E:$E,'Data - Monthly Metrics'!$A:$A,$B$4,'Data - Monthly Metrics'!$B:$B,G$8,'Data - Monthly Metrics'!$C:$C,"South King",'Data - Monthly Metrics'!$D:$D,"Goal - Retention %"))</formula>
    </cfRule>
    <cfRule type="expression" rank="0" priority="59" equalAverage="0" aboveAverage="0" dxfId="2" stopIfTrue="1" text="" percent="0" bottom="0">
      <formula>AND(ISNUMBER(G93),COUNTIFS('Data - Monthly Metrics'!$A:$A,$B$4,'Data - Monthly Metrics'!$B:$B,G$8,'Data - Monthly Metrics'!$C:$C,"South King",'Data - Monthly Metrics'!$D:$D,"Goal - Retention %")&gt;0,G93&gt;=SUMIFS('Data - Monthly Metrics'!$E:$E,'Data - Monthly Metrics'!$A:$A,$B$4,'Data - Monthly Metrics'!$B:$B,G$8,'Data - Monthly Metrics'!$C:$C,"South King",'Data - Monthly Metrics'!$D:$D,"Goal - Retention %")-0.05)</formula>
    </cfRule>
    <cfRule type="expression" rank="0" priority="60" equalAverage="0" aboveAverage="0" dxfId="1" stopIfTrue="1" text="" percent="0" bottom="0">
      <formula>AND(ISNUMBER(G93),COUNTIFS('Data - Monthly Metrics'!$A:$A,$B$4,'Data - Monthly Metrics'!$B:$B,G$8,'Data - Monthly Metrics'!$C:$C,"South King",'Data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Metrics'!$C:$C,"South King",'Data - Monthly Metrics'!$D:$D,"Goal - Retention %")&gt;0,H93&gt;=SUMIFS('Data - Monthly Metrics'!$E:$E,'Data - Monthly Metrics'!$A:$A,$B$4,'Data - Monthly Metrics'!$B:$B,H$8,'Data - Monthly Metrics'!$C:$C,"South King",'Data - Monthly Metrics'!$D:$D,"Goal - Retention %"))</formula>
    </cfRule>
    <cfRule type="expression" rank="0" priority="62" equalAverage="0" aboveAverage="0" dxfId="2" stopIfTrue="1" text="" percent="0" bottom="0">
      <formula>AND(ISNUMBER(H93),COUNTIFS('Data - Monthly Metrics'!$A:$A,$B$4,'Data - Monthly Metrics'!$B:$B,H$8,'Data - Monthly Metrics'!$C:$C,"South King",'Data - Monthly Metrics'!$D:$D,"Goal - Retention %")&gt;0,H93&gt;=SUMIFS('Data - Monthly Metrics'!$E:$E,'Data - Monthly Metrics'!$A:$A,$B$4,'Data - Monthly Metrics'!$B:$B,H$8,'Data - Monthly Metrics'!$C:$C,"South King",'Data - Monthly Metrics'!$D:$D,"Goal - Retention %")-0.05)</formula>
    </cfRule>
    <cfRule type="expression" rank="0" priority="63" equalAverage="0" aboveAverage="0" dxfId="1" stopIfTrue="1" text="" percent="0" bottom="0">
      <formula>AND(ISNUMBER(H93),COUNTIFS('Data - Monthly Metrics'!$A:$A,$B$4,'Data - Monthly Metrics'!$B:$B,H$8,'Data - Monthly Metrics'!$C:$C,"South King",'Data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Metrics'!$C:$C,"South King",'Data - Monthly Metrics'!$D:$D,"Goal - Retention %")&gt;0,J93&gt;=SUMIFS('Data - Monthly Metrics'!$E:$E,'Data - Monthly Metrics'!$A:$A,$B$4,'Data - Monthly Metrics'!$B:$B,J$8,'Data - Monthly Metrics'!$C:$C,"South King",'Data - Monthly Metrics'!$D:$D,"Goal - Retention %"))</formula>
    </cfRule>
    <cfRule type="expression" rank="0" priority="65" equalAverage="0" aboveAverage="0" dxfId="2" stopIfTrue="1" text="" percent="0" bottom="0">
      <formula>AND(ISNUMBER(J93),COUNTIFS('Data - Monthly Metrics'!$A:$A,$B$4,'Data - Monthly Metrics'!$B:$B,J$8,'Data - Monthly Metrics'!$C:$C,"South King",'Data - Monthly Metrics'!$D:$D,"Goal - Retention %")&gt;0,J93&gt;=SUMIFS('Data - Monthly Metrics'!$E:$E,'Data - Monthly Metrics'!$A:$A,$B$4,'Data - Monthly Metrics'!$B:$B,J$8,'Data - Monthly Metrics'!$C:$C,"South King",'Data - Monthly Metrics'!$D:$D,"Goal - Retention %")-0.05)</formula>
    </cfRule>
    <cfRule type="expression" rank="0" priority="66" equalAverage="0" aboveAverage="0" dxfId="1" stopIfTrue="1" text="" percent="0" bottom="0">
      <formula>AND(ISNUMBER(J93),COUNTIFS('Data - Monthly Metrics'!$A:$A,$B$4,'Data - Monthly Metrics'!$B:$B,J$8,'Data - Monthly Metrics'!$C:$C,"South King",'Data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Metrics'!$C:$C,"South King",'Data - Monthly Metrics'!$D:$D,"Goal - Retention %")&gt;0,K93&gt;=SUMIFS('Data - Monthly Metrics'!$E:$E,'Data - Monthly Metrics'!$A:$A,$B$4,'Data - Monthly Metrics'!$B:$B,K$8,'Data - Monthly Metrics'!$C:$C,"South King",'Data - Monthly Metrics'!$D:$D,"Goal - Retention %"))</formula>
    </cfRule>
    <cfRule type="expression" rank="0" priority="68" equalAverage="0" aboveAverage="0" dxfId="2" stopIfTrue="1" text="" percent="0" bottom="0">
      <formula>AND(ISNUMBER(K93),COUNTIFS('Data - Monthly Metrics'!$A:$A,$B$4,'Data - Monthly Metrics'!$B:$B,K$8,'Data - Monthly Metrics'!$C:$C,"South King",'Data - Monthly Metrics'!$D:$D,"Goal - Retention %")&gt;0,K93&gt;=SUMIFS('Data - Monthly Metrics'!$E:$E,'Data - Monthly Metrics'!$A:$A,$B$4,'Data - Monthly Metrics'!$B:$B,K$8,'Data - Monthly Metrics'!$C:$C,"South King",'Data - Monthly Metrics'!$D:$D,"Goal - Retention %")-0.05)</formula>
    </cfRule>
    <cfRule type="expression" rank="0" priority="69" equalAverage="0" aboveAverage="0" dxfId="1" stopIfTrue="1" text="" percent="0" bottom="0">
      <formula>AND(ISNUMBER(K93),COUNTIFS('Data - Monthly Metrics'!$A:$A,$B$4,'Data - Monthly Metrics'!$B:$B,K$8,'Data - Monthly Metrics'!$C:$C,"South King",'Data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Metrics'!$C:$C,"South King",'Data - Monthly Metrics'!$D:$D,"Goal - Retention %")&gt;0,L93&gt;=SUMIFS('Data - Monthly Metrics'!$E:$E,'Data - Monthly Metrics'!$A:$A,$B$4,'Data - Monthly Metrics'!$B:$B,L$8,'Data - Monthly Metrics'!$C:$C,"South King",'Data - Monthly Metrics'!$D:$D,"Goal - Retention %"))</formula>
    </cfRule>
    <cfRule type="expression" rank="0" priority="71" equalAverage="0" aboveAverage="0" dxfId="2" stopIfTrue="1" text="" percent="0" bottom="0">
      <formula>AND(ISNUMBER(L93),COUNTIFS('Data - Monthly Metrics'!$A:$A,$B$4,'Data - Monthly Metrics'!$B:$B,L$8,'Data - Monthly Metrics'!$C:$C,"South King",'Data - Monthly Metrics'!$D:$D,"Goal - Retention %")&gt;0,L93&gt;=SUMIFS('Data - Monthly Metrics'!$E:$E,'Data - Monthly Metrics'!$A:$A,$B$4,'Data - Monthly Metrics'!$B:$B,L$8,'Data - Monthly Metrics'!$C:$C,"South King",'Data - Monthly Metrics'!$D:$D,"Goal - Retention %")-0.05)</formula>
    </cfRule>
    <cfRule type="expression" rank="0" priority="72" equalAverage="0" aboveAverage="0" dxfId="1" stopIfTrue="1" text="" percent="0" bottom="0">
      <formula>AND(ISNUMBER(L93),COUNTIFS('Data - Monthly Metrics'!$A:$A,$B$4,'Data - Monthly Metrics'!$B:$B,L$8,'Data - Monthly Metrics'!$C:$C,"South King",'Data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Metrics'!$C:$C,"South King",'Data - Monthly Metrics'!$D:$D,"Goal - Retention %")&gt;0,N93&gt;=SUMIFS('Data - Monthly Metrics'!$E:$E,'Data - Monthly Metrics'!$A:$A,$B$4,'Data - Monthly Metrics'!$B:$B,N$8,'Data - Monthly Metrics'!$C:$C,"South King",'Data - Monthly Metrics'!$D:$D,"Goal - Retention %"))</formula>
    </cfRule>
    <cfRule type="expression" rank="0" priority="74" equalAverage="0" aboveAverage="0" dxfId="2" stopIfTrue="1" text="" percent="0" bottom="0">
      <formula>AND(ISNUMBER(N93),COUNTIFS('Data - Monthly Metrics'!$A:$A,$B$4,'Data - Monthly Metrics'!$B:$B,N$8,'Data - Monthly Metrics'!$C:$C,"South King",'Data - Monthly Metrics'!$D:$D,"Goal - Retention %")&gt;0,N93&gt;=SUMIFS('Data - Monthly Metrics'!$E:$E,'Data - Monthly Metrics'!$A:$A,$B$4,'Data - Monthly Metrics'!$B:$B,N$8,'Data - Monthly Metrics'!$C:$C,"South King",'Data - Monthly Metrics'!$D:$D,"Goal - Retention %")-0.05)</formula>
    </cfRule>
    <cfRule type="expression" rank="0" priority="75" equalAverage="0" aboveAverage="0" dxfId="1" stopIfTrue="1" text="" percent="0" bottom="0">
      <formula>AND(ISNUMBER(N93),COUNTIFS('Data - Monthly Metrics'!$A:$A,$B$4,'Data - Monthly Metrics'!$B:$B,N$8,'Data - Monthly Metrics'!$C:$C,"South King",'Data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Metrics'!$C:$C,"South King",'Data - Monthly Metrics'!$D:$D,"Goal - Retention %")&gt;0,O93&gt;=SUMIFS('Data - Monthly Metrics'!$E:$E,'Data - Monthly Metrics'!$A:$A,$B$4,'Data - Monthly Metrics'!$B:$B,O$8,'Data - Monthly Metrics'!$C:$C,"South King",'Data - Monthly Metrics'!$D:$D,"Goal - Retention %"))</formula>
    </cfRule>
    <cfRule type="expression" rank="0" priority="77" equalAverage="0" aboveAverage="0" dxfId="2" stopIfTrue="1" text="" percent="0" bottom="0">
      <formula>AND(ISNUMBER(O93),COUNTIFS('Data - Monthly Metrics'!$A:$A,$B$4,'Data - Monthly Metrics'!$B:$B,O$8,'Data - Monthly Metrics'!$C:$C,"South King",'Data - Monthly Metrics'!$D:$D,"Goal - Retention %")&gt;0,O93&gt;=SUMIFS('Data - Monthly Metrics'!$E:$E,'Data - Monthly Metrics'!$A:$A,$B$4,'Data - Monthly Metrics'!$B:$B,O$8,'Data - Monthly Metrics'!$C:$C,"South King",'Data - Monthly Metrics'!$D:$D,"Goal - Retention %")-0.05)</formula>
    </cfRule>
    <cfRule type="expression" rank="0" priority="78" equalAverage="0" aboveAverage="0" dxfId="1" stopIfTrue="1" text="" percent="0" bottom="0">
      <formula>AND(ISNUMBER(O93),COUNTIFS('Data - Monthly Metrics'!$A:$A,$B$4,'Data - Monthly Metrics'!$B:$B,O$8,'Data - Monthly Metrics'!$C:$C,"South King",'Data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Metrics'!$C:$C,"South King",'Data - Monthly Metrics'!$D:$D,"Goal - Retention %")&gt;0,P93&gt;=SUMIFS('Data - Monthly Metrics'!$E:$E,'Data - Monthly Metrics'!$A:$A,$B$4,'Data - Monthly Metrics'!$B:$B,P$8,'Data - Monthly Metrics'!$C:$C,"South King",'Data - Monthly Metrics'!$D:$D,"Goal - Retention %"))</formula>
    </cfRule>
    <cfRule type="expression" rank="0" priority="80" equalAverage="0" aboveAverage="0" dxfId="2" stopIfTrue="1" text="" percent="0" bottom="0">
      <formula>AND(ISNUMBER(P93),COUNTIFS('Data - Monthly Metrics'!$A:$A,$B$4,'Data - Monthly Metrics'!$B:$B,P$8,'Data - Monthly Metrics'!$C:$C,"South King",'Data - Monthly Metrics'!$D:$D,"Goal - Retention %")&gt;0,P93&gt;=SUMIFS('Data - Monthly Metrics'!$E:$E,'Data - Monthly Metrics'!$A:$A,$B$4,'Data - Monthly Metrics'!$B:$B,P$8,'Data - Monthly Metrics'!$C:$C,"South King",'Data - Monthly Metrics'!$D:$D,"Goal - Retention %")-0.05)</formula>
    </cfRule>
    <cfRule type="expression" rank="0" priority="81" equalAverage="0" aboveAverage="0" dxfId="1" stopIfTrue="1" text="" percent="0" bottom="0">
      <formula>AND(ISNUMBER(P93),COUNTIFS('Data - Monthly Metrics'!$A:$A,$B$4,'Data - Monthly Metrics'!$B:$B,P$8,'Data - Monthly Metrics'!$C:$C,"South King",'Data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Metrics'!$C:$C,"South King",'Data - Monthly Metrics'!$D:$D,"Goal - Retention %")&gt;0,B59&gt;=SUMIFS('Data - Monthly Metrics'!$E:$E,'Data - Monthly Metrics'!$A:$A,$B$4-1,'Data - Monthly Metrics'!$B:$B,B$8,'Data - Monthly Metrics'!$C:$C,"South King",'Data - Monthly Metrics'!$D:$D,"Goal - Retention %"))</formula>
    </cfRule>
    <cfRule type="expression" rank="0" priority="83" equalAverage="0" aboveAverage="0" dxfId="2" stopIfTrue="1" text="" percent="0" bottom="0">
      <formula>AND(ISNUMBER(B59),COUNTIFS('Data - Monthly Metrics'!$A:$A,$B$4-1,'Data - Monthly Metrics'!$B:$B,B$8,'Data - Monthly Metrics'!$C:$C,"South King",'Data - Monthly Metrics'!$D:$D,"Goal - Retention %")&gt;0,B59&gt;=SUMIFS('Data - Monthly Metrics'!$E:$E,'Data - Monthly Metrics'!$A:$A,$B$4-1,'Data - Monthly Metrics'!$B:$B,B$8,'Data - Monthly Metrics'!$C:$C,"South King",'Data - Monthly Metrics'!$D:$D,"Goal - Retention %")-0.05)</formula>
    </cfRule>
    <cfRule type="expression" rank="0" priority="84" equalAverage="0" aboveAverage="0" dxfId="1" stopIfTrue="1" text="" percent="0" bottom="0">
      <formula>AND(ISNUMBER(B59),COUNTIFS('Data - Monthly Metrics'!$A:$A,$B$4-1,'Data - Monthly Metrics'!$B:$B,B$8,'Data - Monthly Metrics'!$C:$C,"South King",'Data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Metrics'!$C:$C,"South King",'Data - Monthly Metrics'!$D:$D,"Goal - Retention %")&gt;0,C59&gt;=SUMIFS('Data - Monthly Metrics'!$E:$E,'Data - Monthly Metrics'!$A:$A,$B$4-1,'Data - Monthly Metrics'!$B:$B,C$8,'Data - Monthly Metrics'!$C:$C,"South King",'Data - Monthly Metrics'!$D:$D,"Goal - Retention %"))</formula>
    </cfRule>
    <cfRule type="expression" rank="0" priority="86" equalAverage="0" aboveAverage="0" dxfId="2" stopIfTrue="1" text="" percent="0" bottom="0">
      <formula>AND(ISNUMBER(C59),COUNTIFS('Data - Monthly Metrics'!$A:$A,$B$4-1,'Data - Monthly Metrics'!$B:$B,C$8,'Data - Monthly Metrics'!$C:$C,"South King",'Data - Monthly Metrics'!$D:$D,"Goal - Retention %")&gt;0,C59&gt;=SUMIFS('Data - Monthly Metrics'!$E:$E,'Data - Monthly Metrics'!$A:$A,$B$4-1,'Data - Monthly Metrics'!$B:$B,C$8,'Data - Monthly Metrics'!$C:$C,"South King",'Data - Monthly Metrics'!$D:$D,"Goal - Retention %")-0.05)</formula>
    </cfRule>
    <cfRule type="expression" rank="0" priority="87" equalAverage="0" aboveAverage="0" dxfId="1" stopIfTrue="1" text="" percent="0" bottom="0">
      <formula>AND(ISNUMBER(C59),COUNTIFS('Data - Monthly Metrics'!$A:$A,$B$4-1,'Data - Monthly Metrics'!$B:$B,C$8,'Data - Monthly Metrics'!$C:$C,"South King",'Data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Metrics'!$C:$C,"South King",'Data - Monthly Metrics'!$D:$D,"Goal - Retention %")&gt;0,D59&gt;=SUMIFS('Data - Monthly Metrics'!$E:$E,'Data - Monthly Metrics'!$A:$A,$B$4-1,'Data - Monthly Metrics'!$B:$B,D$8,'Data - Monthly Metrics'!$C:$C,"South King",'Data - Monthly Metrics'!$D:$D,"Goal - Retention %"))</formula>
    </cfRule>
    <cfRule type="expression" rank="0" priority="89" equalAverage="0" aboveAverage="0" dxfId="2" stopIfTrue="1" text="" percent="0" bottom="0">
      <formula>AND(ISNUMBER(D59),COUNTIFS('Data - Monthly Metrics'!$A:$A,$B$4-1,'Data - Monthly Metrics'!$B:$B,D$8,'Data - Monthly Metrics'!$C:$C,"South King",'Data - Monthly Metrics'!$D:$D,"Goal - Retention %")&gt;0,D59&gt;=SUMIFS('Data - Monthly Metrics'!$E:$E,'Data - Monthly Metrics'!$A:$A,$B$4-1,'Data - Monthly Metrics'!$B:$B,D$8,'Data - Monthly Metrics'!$C:$C,"South King",'Data - Monthly Metrics'!$D:$D,"Goal - Retention %")-0.05)</formula>
    </cfRule>
    <cfRule type="expression" rank="0" priority="90" equalAverage="0" aboveAverage="0" dxfId="1" stopIfTrue="1" text="" percent="0" bottom="0">
      <formula>AND(ISNUMBER(D59),COUNTIFS('Data - Monthly Metrics'!$A:$A,$B$4-1,'Data - Monthly Metrics'!$B:$B,D$8,'Data - Monthly Metrics'!$C:$C,"South King",'Data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Metrics'!$C:$C,"South King",'Data - Monthly Metrics'!$D:$D,"Goal - Retention %")&gt;0,F59&gt;=SUMIFS('Data - Monthly Metrics'!$E:$E,'Data - Monthly Metrics'!$A:$A,$B$4,'Data - Monthly Metrics'!$B:$B,F$8,'Data - Monthly Metrics'!$C:$C,"South King",'Data - Monthly Metrics'!$D:$D,"Goal - Retention %"))</formula>
    </cfRule>
    <cfRule type="expression" rank="0" priority="92" equalAverage="0" aboveAverage="0" dxfId="2" stopIfTrue="1" text="" percent="0" bottom="0">
      <formula>AND(ISNUMBER(F59),COUNTIFS('Data - Monthly Metrics'!$A:$A,$B$4,'Data - Monthly Metrics'!$B:$B,F$8,'Data - Monthly Metrics'!$C:$C,"South King",'Data - Monthly Metrics'!$D:$D,"Goal - Retention %")&gt;0,F59&gt;=SUMIFS('Data - Monthly Metrics'!$E:$E,'Data - Monthly Metrics'!$A:$A,$B$4,'Data - Monthly Metrics'!$B:$B,F$8,'Data - Monthly Metrics'!$C:$C,"South King",'Data - Monthly Metrics'!$D:$D,"Goal - Retention %")-0.05)</formula>
    </cfRule>
    <cfRule type="expression" rank="0" priority="93" equalAverage="0" aboveAverage="0" dxfId="1" stopIfTrue="1" text="" percent="0" bottom="0">
      <formula>AND(ISNUMBER(F59),COUNTIFS('Data - Monthly Metrics'!$A:$A,$B$4,'Data - Monthly Metrics'!$B:$B,F$8,'Data - Monthly Metrics'!$C:$C,"South King",'Data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Metrics'!$C:$C,"South King",'Data - Monthly Metrics'!$D:$D,"Goal - Retention %")&gt;0,G59&gt;=SUMIFS('Data - Monthly Metrics'!$E:$E,'Data - Monthly Metrics'!$A:$A,$B$4,'Data - Monthly Metrics'!$B:$B,G$8,'Data - Monthly Metrics'!$C:$C,"South King",'Data - Monthly Metrics'!$D:$D,"Goal - Retention %"))</formula>
    </cfRule>
    <cfRule type="expression" rank="0" priority="95" equalAverage="0" aboveAverage="0" dxfId="2" stopIfTrue="1" text="" percent="0" bottom="0">
      <formula>AND(ISNUMBER(G59),COUNTIFS('Data - Monthly Metrics'!$A:$A,$B$4,'Data - Monthly Metrics'!$B:$B,G$8,'Data - Monthly Metrics'!$C:$C,"South King",'Data - Monthly Metrics'!$D:$D,"Goal - Retention %")&gt;0,G59&gt;=SUMIFS('Data - Monthly Metrics'!$E:$E,'Data - Monthly Metrics'!$A:$A,$B$4,'Data - Monthly Metrics'!$B:$B,G$8,'Data - Monthly Metrics'!$C:$C,"South King",'Data - Monthly Metrics'!$D:$D,"Goal - Retention %")-0.05)</formula>
    </cfRule>
    <cfRule type="expression" rank="0" priority="96" equalAverage="0" aboveAverage="0" dxfId="1" stopIfTrue="1" text="" percent="0" bottom="0">
      <formula>AND(ISNUMBER(G59),COUNTIFS('Data - Monthly Metrics'!$A:$A,$B$4,'Data - Monthly Metrics'!$B:$B,G$8,'Data - Monthly Metrics'!$C:$C,"South King",'Data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Metrics'!$C:$C,"South King",'Data - Monthly Metrics'!$D:$D,"Goal - Retention %")&gt;0,H59&gt;=SUMIFS('Data - Monthly Metrics'!$E:$E,'Data - Monthly Metrics'!$A:$A,$B$4,'Data - Monthly Metrics'!$B:$B,H$8,'Data - Monthly Metrics'!$C:$C,"South King",'Data - Monthly Metrics'!$D:$D,"Goal - Retention %"))</formula>
    </cfRule>
    <cfRule type="expression" rank="0" priority="98" equalAverage="0" aboveAverage="0" dxfId="2" stopIfTrue="1" text="" percent="0" bottom="0">
      <formula>AND(ISNUMBER(H59),COUNTIFS('Data - Monthly Metrics'!$A:$A,$B$4,'Data - Monthly Metrics'!$B:$B,H$8,'Data - Monthly Metrics'!$C:$C,"South King",'Data - Monthly Metrics'!$D:$D,"Goal - Retention %")&gt;0,H59&gt;=SUMIFS('Data - Monthly Metrics'!$E:$E,'Data - Monthly Metrics'!$A:$A,$B$4,'Data - Monthly Metrics'!$B:$B,H$8,'Data - Monthly Metrics'!$C:$C,"South King",'Data - Monthly Metrics'!$D:$D,"Goal - Retention %")-0.05)</formula>
    </cfRule>
    <cfRule type="expression" rank="0" priority="99" equalAverage="0" aboveAverage="0" dxfId="1" stopIfTrue="1" text="" percent="0" bottom="0">
      <formula>AND(ISNUMBER(H59),COUNTIFS('Data - Monthly Metrics'!$A:$A,$B$4,'Data - Monthly Metrics'!$B:$B,H$8,'Data - Monthly Metrics'!$C:$C,"South King",'Data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Metrics'!$C:$C,"South King",'Data - Monthly Metrics'!$D:$D,"Goal - Retention %")&gt;0,J59&gt;=SUMIFS('Data - Monthly Metrics'!$E:$E,'Data - Monthly Metrics'!$A:$A,$B$4,'Data - Monthly Metrics'!$B:$B,J$8,'Data - Monthly Metrics'!$C:$C,"South King",'Data - Monthly Metrics'!$D:$D,"Goal - Retention %"))</formula>
    </cfRule>
    <cfRule type="expression" rank="0" priority="101" equalAverage="0" aboveAverage="0" dxfId="2" stopIfTrue="1" text="" percent="0" bottom="0">
      <formula>AND(ISNUMBER(J59),COUNTIFS('Data - Monthly Metrics'!$A:$A,$B$4,'Data - Monthly Metrics'!$B:$B,J$8,'Data - Monthly Metrics'!$C:$C,"South King",'Data - Monthly Metrics'!$D:$D,"Goal - Retention %")&gt;0,J59&gt;=SUMIFS('Data - Monthly Metrics'!$E:$E,'Data - Monthly Metrics'!$A:$A,$B$4,'Data - Monthly Metrics'!$B:$B,J$8,'Data - Monthly Metrics'!$C:$C,"South King",'Data - Monthly Metrics'!$D:$D,"Goal - Retention %")-0.05)</formula>
    </cfRule>
    <cfRule type="expression" rank="0" priority="102" equalAverage="0" aboveAverage="0" dxfId="1" stopIfTrue="1" text="" percent="0" bottom="0">
      <formula>AND(ISNUMBER(J59),COUNTIFS('Data - Monthly Metrics'!$A:$A,$B$4,'Data - Monthly Metrics'!$B:$B,J$8,'Data - Monthly Metrics'!$C:$C,"South King",'Data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Metrics'!$C:$C,"South King",'Data - Monthly Metrics'!$D:$D,"Goal - Retention %")&gt;0,K59&gt;=SUMIFS('Data - Monthly Metrics'!$E:$E,'Data - Monthly Metrics'!$A:$A,$B$4,'Data - Monthly Metrics'!$B:$B,K$8,'Data - Monthly Metrics'!$C:$C,"South King",'Data - Monthly Metrics'!$D:$D,"Goal - Retention %"))</formula>
    </cfRule>
    <cfRule type="expression" rank="0" priority="104" equalAverage="0" aboveAverage="0" dxfId="2" stopIfTrue="1" text="" percent="0" bottom="0">
      <formula>AND(ISNUMBER(K59),COUNTIFS('Data - Monthly Metrics'!$A:$A,$B$4,'Data - Monthly Metrics'!$B:$B,K$8,'Data - Monthly Metrics'!$C:$C,"South King",'Data - Monthly Metrics'!$D:$D,"Goal - Retention %")&gt;0,K59&gt;=SUMIFS('Data - Monthly Metrics'!$E:$E,'Data - Monthly Metrics'!$A:$A,$B$4,'Data - Monthly Metrics'!$B:$B,K$8,'Data - Monthly Metrics'!$C:$C,"South King",'Data - Monthly Metrics'!$D:$D,"Goal - Retention %")-0.05)</formula>
    </cfRule>
    <cfRule type="expression" rank="0" priority="105" equalAverage="0" aboveAverage="0" dxfId="1" stopIfTrue="1" text="" percent="0" bottom="0">
      <formula>AND(ISNUMBER(K59),COUNTIFS('Data - Monthly Metrics'!$A:$A,$B$4,'Data - Monthly Metrics'!$B:$B,K$8,'Data - Monthly Metrics'!$C:$C,"South King",'Data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Metrics'!$C:$C,"South King",'Data - Monthly Metrics'!$D:$D,"Goal - Retention %")&gt;0,L59&gt;=SUMIFS('Data - Monthly Metrics'!$E:$E,'Data - Monthly Metrics'!$A:$A,$B$4,'Data - Monthly Metrics'!$B:$B,L$8,'Data - Monthly Metrics'!$C:$C,"South King",'Data - Monthly Metrics'!$D:$D,"Goal - Retention %"))</formula>
    </cfRule>
    <cfRule type="expression" rank="0" priority="107" equalAverage="0" aboveAverage="0" dxfId="2" stopIfTrue="1" text="" percent="0" bottom="0">
      <formula>AND(ISNUMBER(L59),COUNTIFS('Data - Monthly Metrics'!$A:$A,$B$4,'Data - Monthly Metrics'!$B:$B,L$8,'Data - Monthly Metrics'!$C:$C,"South King",'Data - Monthly Metrics'!$D:$D,"Goal - Retention %")&gt;0,L59&gt;=SUMIFS('Data - Monthly Metrics'!$E:$E,'Data - Monthly Metrics'!$A:$A,$B$4,'Data - Monthly Metrics'!$B:$B,L$8,'Data - Monthly Metrics'!$C:$C,"South King",'Data - Monthly Metrics'!$D:$D,"Goal - Retention %")-0.05)</formula>
    </cfRule>
    <cfRule type="expression" rank="0" priority="108" equalAverage="0" aboveAverage="0" dxfId="1" stopIfTrue="1" text="" percent="0" bottom="0">
      <formula>AND(ISNUMBER(L59),COUNTIFS('Data - Monthly Metrics'!$A:$A,$B$4,'Data - Monthly Metrics'!$B:$B,L$8,'Data - Monthly Metrics'!$C:$C,"South King",'Data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Metrics'!$C:$C,"South King",'Data - Monthly Metrics'!$D:$D,"Goal - Retention %")&gt;0,N59&gt;=SUMIFS('Data - Monthly Metrics'!$E:$E,'Data - Monthly Metrics'!$A:$A,$B$4,'Data - Monthly Metrics'!$B:$B,N$8,'Data - Monthly Metrics'!$C:$C,"South King",'Data - Monthly Metrics'!$D:$D,"Goal - Retention %"))</formula>
    </cfRule>
    <cfRule type="expression" rank="0" priority="110" equalAverage="0" aboveAverage="0" dxfId="2" stopIfTrue="1" text="" percent="0" bottom="0">
      <formula>AND(ISNUMBER(N59),COUNTIFS('Data - Monthly Metrics'!$A:$A,$B$4,'Data - Monthly Metrics'!$B:$B,N$8,'Data - Monthly Metrics'!$C:$C,"South King",'Data - Monthly Metrics'!$D:$D,"Goal - Retention %")&gt;0,N59&gt;=SUMIFS('Data - Monthly Metrics'!$E:$E,'Data - Monthly Metrics'!$A:$A,$B$4,'Data - Monthly Metrics'!$B:$B,N$8,'Data - Monthly Metrics'!$C:$C,"South King",'Data - Monthly Metrics'!$D:$D,"Goal - Retention %")-0.05)</formula>
    </cfRule>
    <cfRule type="expression" rank="0" priority="111" equalAverage="0" aboveAverage="0" dxfId="1" stopIfTrue="1" text="" percent="0" bottom="0">
      <formula>AND(ISNUMBER(N59),COUNTIFS('Data - Monthly Metrics'!$A:$A,$B$4,'Data - Monthly Metrics'!$B:$B,N$8,'Data - Monthly Metrics'!$C:$C,"South King",'Data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Metrics'!$C:$C,"South King",'Data - Monthly Metrics'!$D:$D,"Goal - Retention %")&gt;0,O59&gt;=SUMIFS('Data - Monthly Metrics'!$E:$E,'Data - Monthly Metrics'!$A:$A,$B$4,'Data - Monthly Metrics'!$B:$B,O$8,'Data - Monthly Metrics'!$C:$C,"South King",'Data - Monthly Metrics'!$D:$D,"Goal - Retention %"))</formula>
    </cfRule>
    <cfRule type="expression" rank="0" priority="113" equalAverage="0" aboveAverage="0" dxfId="2" stopIfTrue="1" text="" percent="0" bottom="0">
      <formula>AND(ISNUMBER(O59),COUNTIFS('Data - Monthly Metrics'!$A:$A,$B$4,'Data - Monthly Metrics'!$B:$B,O$8,'Data - Monthly Metrics'!$C:$C,"South King",'Data - Monthly Metrics'!$D:$D,"Goal - Retention %")&gt;0,O59&gt;=SUMIFS('Data - Monthly Metrics'!$E:$E,'Data - Monthly Metrics'!$A:$A,$B$4,'Data - Monthly Metrics'!$B:$B,O$8,'Data - Monthly Metrics'!$C:$C,"South King",'Data - Monthly Metrics'!$D:$D,"Goal - Retention %")-0.05)</formula>
    </cfRule>
    <cfRule type="expression" rank="0" priority="114" equalAverage="0" aboveAverage="0" dxfId="1" stopIfTrue="1" text="" percent="0" bottom="0">
      <formula>AND(ISNUMBER(O59),COUNTIFS('Data - Monthly Metrics'!$A:$A,$B$4,'Data - Monthly Metrics'!$B:$B,O$8,'Data - Monthly Metrics'!$C:$C,"South King",'Data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Metrics'!$C:$C,"South King",'Data - Monthly Metrics'!$D:$D,"Goal - Retention %")&gt;0,P59&gt;=SUMIFS('Data - Monthly Metrics'!$E:$E,'Data - Monthly Metrics'!$A:$A,$B$4,'Data - Monthly Metrics'!$B:$B,P$8,'Data - Monthly Metrics'!$C:$C,"South King",'Data - Monthly Metrics'!$D:$D,"Goal - Retention %"))</formula>
    </cfRule>
    <cfRule type="expression" rank="0" priority="116" equalAverage="0" aboveAverage="0" dxfId="2" stopIfTrue="1" text="" percent="0" bottom="0">
      <formula>AND(ISNUMBER(P59),COUNTIFS('Data - Monthly Metrics'!$A:$A,$B$4,'Data - Monthly Metrics'!$B:$B,P$8,'Data - Monthly Metrics'!$C:$C,"South King",'Data - Monthly Metrics'!$D:$D,"Goal - Retention %")&gt;0,P59&gt;=SUMIFS('Data - Monthly Metrics'!$E:$E,'Data - Monthly Metrics'!$A:$A,$B$4,'Data - Monthly Metrics'!$B:$B,P$8,'Data - Monthly Metrics'!$C:$C,"South King",'Data - Monthly Metrics'!$D:$D,"Goal - Retention %")-0.05)</formula>
    </cfRule>
    <cfRule type="expression" rank="0" priority="117" equalAverage="0" aboveAverage="0" dxfId="1" stopIfTrue="1" text="" percent="0" bottom="0">
      <formula>AND(ISNUMBER(P59),COUNTIFS('Data - Monthly Metrics'!$A:$A,$B$4,'Data - Monthly Metrics'!$B:$B,P$8,'Data - Monthly Metrics'!$C:$C,"South King",'Data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Metrics'!$C:$C,"South King",'Data - Monthly Metrics'!$D:$D,"Goal - Penetration %")&gt;0,B68&gt;=SUMIFS('Data - Monthly Metrics'!$E:$E,'Data - Monthly Metrics'!$A:$A,$B$4-1,'Data - Monthly Metrics'!$B:$B,B$8,'Data - Monthly Metrics'!$C:$C,"South King",'Data - Monthly Metrics'!$D:$D,"Goal - Penetration %"))</formula>
    </cfRule>
    <cfRule type="expression" rank="0" priority="119" equalAverage="0" aboveAverage="0" dxfId="2" stopIfTrue="1" text="" percent="0" bottom="0">
      <formula>AND(ISNUMBER(B68),COUNTIFS('Data - Monthly Metrics'!$A:$A,$B$4-1,'Data - Monthly Metrics'!$B:$B,B$8,'Data - Monthly Metrics'!$C:$C,"South King",'Data - Monthly Metrics'!$D:$D,"Goal - Penetration %")&gt;0,B68&gt;=SUMIFS('Data - Monthly Metrics'!$E:$E,'Data - Monthly Metrics'!$A:$A,$B$4-1,'Data - Monthly Metrics'!$B:$B,B$8,'Data - Monthly Metrics'!$C:$C,"South King",'Data - Monthly Metrics'!$D:$D,"Goal - Penetration %")-0.05)</formula>
    </cfRule>
    <cfRule type="expression" rank="0" priority="120" equalAverage="0" aboveAverage="0" dxfId="1" stopIfTrue="1" text="" percent="0" bottom="0">
      <formula>AND(ISNUMBER(B68),COUNTIFS('Data - Monthly Metrics'!$A:$A,$B$4-1,'Data - Monthly Metrics'!$B:$B,B$8,'Data - Monthly Metrics'!$C:$C,"South King",'Data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Metrics'!$C:$C,"South King",'Data - Monthly Metrics'!$D:$D,"Goal - Penetration %")&gt;0,C68&gt;=SUMIFS('Data - Monthly Metrics'!$E:$E,'Data - Monthly Metrics'!$A:$A,$B$4-1,'Data - Monthly Metrics'!$B:$B,C$8,'Data - Monthly Metrics'!$C:$C,"South King",'Data - Monthly Metrics'!$D:$D,"Goal - Penetration %"))</formula>
    </cfRule>
    <cfRule type="expression" rank="0" priority="122" equalAverage="0" aboveAverage="0" dxfId="2" stopIfTrue="1" text="" percent="0" bottom="0">
      <formula>AND(ISNUMBER(C68),COUNTIFS('Data - Monthly Metrics'!$A:$A,$B$4-1,'Data - Monthly Metrics'!$B:$B,C$8,'Data - Monthly Metrics'!$C:$C,"South King",'Data - Monthly Metrics'!$D:$D,"Goal - Penetration %")&gt;0,C68&gt;=SUMIFS('Data - Monthly Metrics'!$E:$E,'Data - Monthly Metrics'!$A:$A,$B$4-1,'Data - Monthly Metrics'!$B:$B,C$8,'Data - Monthly Metrics'!$C:$C,"South King",'Data - Monthly Metrics'!$D:$D,"Goal - Penetration %")-0.05)</formula>
    </cfRule>
    <cfRule type="expression" rank="0" priority="123" equalAverage="0" aboveAverage="0" dxfId="1" stopIfTrue="1" text="" percent="0" bottom="0">
      <formula>AND(ISNUMBER(C68),COUNTIFS('Data - Monthly Metrics'!$A:$A,$B$4-1,'Data - Monthly Metrics'!$B:$B,C$8,'Data - Monthly Metrics'!$C:$C,"South King",'Data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Metrics'!$C:$C,"South King",'Data - Monthly Metrics'!$D:$D,"Goal - Penetration %")&gt;0,D68&gt;=SUMIFS('Data - Monthly Metrics'!$E:$E,'Data - Monthly Metrics'!$A:$A,$B$4-1,'Data - Monthly Metrics'!$B:$B,D$8,'Data - Monthly Metrics'!$C:$C,"South King",'Data - Monthly Metrics'!$D:$D,"Goal - Penetration %"))</formula>
    </cfRule>
    <cfRule type="expression" rank="0" priority="125" equalAverage="0" aboveAverage="0" dxfId="2" stopIfTrue="1" text="" percent="0" bottom="0">
      <formula>AND(ISNUMBER(D68),COUNTIFS('Data - Monthly Metrics'!$A:$A,$B$4-1,'Data - Monthly Metrics'!$B:$B,D$8,'Data - Monthly Metrics'!$C:$C,"South King",'Data - Monthly Metrics'!$D:$D,"Goal - Penetration %")&gt;0,D68&gt;=SUMIFS('Data - Monthly Metrics'!$E:$E,'Data - Monthly Metrics'!$A:$A,$B$4-1,'Data - Monthly Metrics'!$B:$B,D$8,'Data - Monthly Metrics'!$C:$C,"South King",'Data - Monthly Metrics'!$D:$D,"Goal - Penetration %")-0.05)</formula>
    </cfRule>
    <cfRule type="expression" rank="0" priority="126" equalAverage="0" aboveAverage="0" dxfId="1" stopIfTrue="1" text="" percent="0" bottom="0">
      <formula>AND(ISNUMBER(D68),COUNTIFS('Data - Monthly Metrics'!$A:$A,$B$4-1,'Data - Monthly Metrics'!$B:$B,D$8,'Data - Monthly Metrics'!$C:$C,"South King",'Data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Metrics'!$C:$C,"South King",'Data - Monthly Metrics'!$D:$D,"Goal - Penetration %")&gt;0,F68&gt;=SUMIFS('Data - Monthly Metrics'!$E:$E,'Data - Monthly Metrics'!$A:$A,$B$4,'Data - Monthly Metrics'!$B:$B,F$8,'Data - Monthly Metrics'!$C:$C,"South King",'Data - Monthly Metrics'!$D:$D,"Goal - Penetration %"))</formula>
    </cfRule>
    <cfRule type="expression" rank="0" priority="128" equalAverage="0" aboveAverage="0" dxfId="2" stopIfTrue="1" text="" percent="0" bottom="0">
      <formula>AND(ISNUMBER(F68),COUNTIFS('Data - Monthly Metrics'!$A:$A,$B$4,'Data - Monthly Metrics'!$B:$B,F$8,'Data - Monthly Metrics'!$C:$C,"South King",'Data - Monthly Metrics'!$D:$D,"Goal - Penetration %")&gt;0,F68&gt;=SUMIFS('Data - Monthly Metrics'!$E:$E,'Data - Monthly Metrics'!$A:$A,$B$4,'Data - Monthly Metrics'!$B:$B,F$8,'Data - Monthly Metrics'!$C:$C,"South King",'Data - Monthly Metrics'!$D:$D,"Goal - Penetration %")-0.05)</formula>
    </cfRule>
    <cfRule type="expression" rank="0" priority="129" equalAverage="0" aboveAverage="0" dxfId="1" stopIfTrue="1" text="" percent="0" bottom="0">
      <formula>AND(ISNUMBER(F68),COUNTIFS('Data - Monthly Metrics'!$A:$A,$B$4,'Data - Monthly Metrics'!$B:$B,F$8,'Data - Monthly Metrics'!$C:$C,"South King",'Data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Metrics'!$C:$C,"South King",'Data - Monthly Metrics'!$D:$D,"Goal - Penetration %")&gt;0,G68&gt;=SUMIFS('Data - Monthly Metrics'!$E:$E,'Data - Monthly Metrics'!$A:$A,$B$4,'Data - Monthly Metrics'!$B:$B,G$8,'Data - Monthly Metrics'!$C:$C,"South King",'Data - Monthly Metrics'!$D:$D,"Goal - Penetration %"))</formula>
    </cfRule>
    <cfRule type="expression" rank="0" priority="131" equalAverage="0" aboveAverage="0" dxfId="2" stopIfTrue="1" text="" percent="0" bottom="0">
      <formula>AND(ISNUMBER(G68),COUNTIFS('Data - Monthly Metrics'!$A:$A,$B$4,'Data - Monthly Metrics'!$B:$B,G$8,'Data - Monthly Metrics'!$C:$C,"South King",'Data - Monthly Metrics'!$D:$D,"Goal - Penetration %")&gt;0,G68&gt;=SUMIFS('Data - Monthly Metrics'!$E:$E,'Data - Monthly Metrics'!$A:$A,$B$4,'Data - Monthly Metrics'!$B:$B,G$8,'Data - Monthly Metrics'!$C:$C,"South King",'Data - Monthly Metrics'!$D:$D,"Goal - Penetration %")-0.05)</formula>
    </cfRule>
    <cfRule type="expression" rank="0" priority="132" equalAverage="0" aboveAverage="0" dxfId="1" stopIfTrue="1" text="" percent="0" bottom="0">
      <formula>AND(ISNUMBER(G68),COUNTIFS('Data - Monthly Metrics'!$A:$A,$B$4,'Data - Monthly Metrics'!$B:$B,G$8,'Data - Monthly Metrics'!$C:$C,"South King",'Data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Metrics'!$C:$C,"South King",'Data - Monthly Metrics'!$D:$D,"Goal - Penetration %")&gt;0,H68&gt;=SUMIFS('Data - Monthly Metrics'!$E:$E,'Data - Monthly Metrics'!$A:$A,$B$4,'Data - Monthly Metrics'!$B:$B,H$8,'Data - Monthly Metrics'!$C:$C,"South King",'Data - Monthly Metrics'!$D:$D,"Goal - Penetration %"))</formula>
    </cfRule>
    <cfRule type="expression" rank="0" priority="134" equalAverage="0" aboveAverage="0" dxfId="2" stopIfTrue="1" text="" percent="0" bottom="0">
      <formula>AND(ISNUMBER(H68),COUNTIFS('Data - Monthly Metrics'!$A:$A,$B$4,'Data - Monthly Metrics'!$B:$B,H$8,'Data - Monthly Metrics'!$C:$C,"South King",'Data - Monthly Metrics'!$D:$D,"Goal - Penetration %")&gt;0,H68&gt;=SUMIFS('Data - Monthly Metrics'!$E:$E,'Data - Monthly Metrics'!$A:$A,$B$4,'Data - Monthly Metrics'!$B:$B,H$8,'Data - Monthly Metrics'!$C:$C,"South King",'Data - Monthly Metrics'!$D:$D,"Goal - Penetration %")-0.05)</formula>
    </cfRule>
    <cfRule type="expression" rank="0" priority="135" equalAverage="0" aboveAverage="0" dxfId="1" stopIfTrue="1" text="" percent="0" bottom="0">
      <formula>AND(ISNUMBER(H68),COUNTIFS('Data - Monthly Metrics'!$A:$A,$B$4,'Data - Monthly Metrics'!$B:$B,H$8,'Data - Monthly Metrics'!$C:$C,"South King",'Data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Metrics'!$C:$C,"South King",'Data - Monthly Metrics'!$D:$D,"Goal - Penetration %")&gt;0,J68&gt;=SUMIFS('Data - Monthly Metrics'!$E:$E,'Data - Monthly Metrics'!$A:$A,$B$4,'Data - Monthly Metrics'!$B:$B,J$8,'Data - Monthly Metrics'!$C:$C,"South King",'Data - Monthly Metrics'!$D:$D,"Goal - Penetration %"))</formula>
    </cfRule>
    <cfRule type="expression" rank="0" priority="137" equalAverage="0" aboveAverage="0" dxfId="2" stopIfTrue="1" text="" percent="0" bottom="0">
      <formula>AND(ISNUMBER(J68),COUNTIFS('Data - Monthly Metrics'!$A:$A,$B$4,'Data - Monthly Metrics'!$B:$B,J$8,'Data - Monthly Metrics'!$C:$C,"South King",'Data - Monthly Metrics'!$D:$D,"Goal - Penetration %")&gt;0,J68&gt;=SUMIFS('Data - Monthly Metrics'!$E:$E,'Data - Monthly Metrics'!$A:$A,$B$4,'Data - Monthly Metrics'!$B:$B,J$8,'Data - Monthly Metrics'!$C:$C,"South King",'Data - Monthly Metrics'!$D:$D,"Goal - Penetration %")-0.05)</formula>
    </cfRule>
    <cfRule type="expression" rank="0" priority="138" equalAverage="0" aboveAverage="0" dxfId="1" stopIfTrue="1" text="" percent="0" bottom="0">
      <formula>AND(ISNUMBER(J68),COUNTIFS('Data - Monthly Metrics'!$A:$A,$B$4,'Data - Monthly Metrics'!$B:$B,J$8,'Data - Monthly Metrics'!$C:$C,"South King",'Data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Metrics'!$C:$C,"South King",'Data - Monthly Metrics'!$D:$D,"Goal - Penetration %")&gt;0,K68&gt;=SUMIFS('Data - Monthly Metrics'!$E:$E,'Data - Monthly Metrics'!$A:$A,$B$4,'Data - Monthly Metrics'!$B:$B,K$8,'Data - Monthly Metrics'!$C:$C,"South King",'Data - Monthly Metrics'!$D:$D,"Goal - Penetration %"))</formula>
    </cfRule>
    <cfRule type="expression" rank="0" priority="140" equalAverage="0" aboveAverage="0" dxfId="2" stopIfTrue="1" text="" percent="0" bottom="0">
      <formula>AND(ISNUMBER(K68),COUNTIFS('Data - Monthly Metrics'!$A:$A,$B$4,'Data - Monthly Metrics'!$B:$B,K$8,'Data - Monthly Metrics'!$C:$C,"South King",'Data - Monthly Metrics'!$D:$D,"Goal - Penetration %")&gt;0,K68&gt;=SUMIFS('Data - Monthly Metrics'!$E:$E,'Data - Monthly Metrics'!$A:$A,$B$4,'Data - Monthly Metrics'!$B:$B,K$8,'Data - Monthly Metrics'!$C:$C,"South King",'Data - Monthly Metrics'!$D:$D,"Goal - Penetration %")-0.05)</formula>
    </cfRule>
    <cfRule type="expression" rank="0" priority="141" equalAverage="0" aboveAverage="0" dxfId="1" stopIfTrue="1" text="" percent="0" bottom="0">
      <formula>AND(ISNUMBER(K68),COUNTIFS('Data - Monthly Metrics'!$A:$A,$B$4,'Data - Monthly Metrics'!$B:$B,K$8,'Data - Monthly Metrics'!$C:$C,"South King",'Data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Metrics'!$C:$C,"South King",'Data - Monthly Metrics'!$D:$D,"Goal - Penetration %")&gt;0,L68&gt;=SUMIFS('Data - Monthly Metrics'!$E:$E,'Data - Monthly Metrics'!$A:$A,$B$4,'Data - Monthly Metrics'!$B:$B,L$8,'Data - Monthly Metrics'!$C:$C,"South King",'Data - Monthly Metrics'!$D:$D,"Goal - Penetration %"))</formula>
    </cfRule>
    <cfRule type="expression" rank="0" priority="143" equalAverage="0" aboveAverage="0" dxfId="2" stopIfTrue="1" text="" percent="0" bottom="0">
      <formula>AND(ISNUMBER(L68),COUNTIFS('Data - Monthly Metrics'!$A:$A,$B$4,'Data - Monthly Metrics'!$B:$B,L$8,'Data - Monthly Metrics'!$C:$C,"South King",'Data - Monthly Metrics'!$D:$D,"Goal - Penetration %")&gt;0,L68&gt;=SUMIFS('Data - Monthly Metrics'!$E:$E,'Data - Monthly Metrics'!$A:$A,$B$4,'Data - Monthly Metrics'!$B:$B,L$8,'Data - Monthly Metrics'!$C:$C,"South King",'Data - Monthly Metrics'!$D:$D,"Goal - Penetration %")-0.05)</formula>
    </cfRule>
    <cfRule type="expression" rank="0" priority="144" equalAverage="0" aboveAverage="0" dxfId="1" stopIfTrue="1" text="" percent="0" bottom="0">
      <formula>AND(ISNUMBER(L68),COUNTIFS('Data - Monthly Metrics'!$A:$A,$B$4,'Data - Monthly Metrics'!$B:$B,L$8,'Data - Monthly Metrics'!$C:$C,"South King",'Data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Metrics'!$C:$C,"South King",'Data - Monthly Metrics'!$D:$D,"Goal - Penetration %")&gt;0,N68&gt;=SUMIFS('Data - Monthly Metrics'!$E:$E,'Data - Monthly Metrics'!$A:$A,$B$4,'Data - Monthly Metrics'!$B:$B,N$8,'Data - Monthly Metrics'!$C:$C,"South King",'Data - Monthly Metrics'!$D:$D,"Goal - Penetration %"))</formula>
    </cfRule>
    <cfRule type="expression" rank="0" priority="146" equalAverage="0" aboveAverage="0" dxfId="2" stopIfTrue="1" text="" percent="0" bottom="0">
      <formula>AND(ISNUMBER(N68),COUNTIFS('Data - Monthly Metrics'!$A:$A,$B$4,'Data - Monthly Metrics'!$B:$B,N$8,'Data - Monthly Metrics'!$C:$C,"South King",'Data - Monthly Metrics'!$D:$D,"Goal - Penetration %")&gt;0,N68&gt;=SUMIFS('Data - Monthly Metrics'!$E:$E,'Data - Monthly Metrics'!$A:$A,$B$4,'Data - Monthly Metrics'!$B:$B,N$8,'Data - Monthly Metrics'!$C:$C,"South King",'Data - Monthly Metrics'!$D:$D,"Goal - Penetration %")-0.05)</formula>
    </cfRule>
    <cfRule type="expression" rank="0" priority="147" equalAverage="0" aboveAverage="0" dxfId="1" stopIfTrue="1" text="" percent="0" bottom="0">
      <formula>AND(ISNUMBER(N68),COUNTIFS('Data - Monthly Metrics'!$A:$A,$B$4,'Data - Monthly Metrics'!$B:$B,N$8,'Data - Monthly Metrics'!$C:$C,"South King",'Data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Metrics'!$C:$C,"South King",'Data - Monthly Metrics'!$D:$D,"Goal - Penetration %")&gt;0,O68&gt;=SUMIFS('Data - Monthly Metrics'!$E:$E,'Data - Monthly Metrics'!$A:$A,$B$4,'Data - Monthly Metrics'!$B:$B,O$8,'Data - Monthly Metrics'!$C:$C,"South King",'Data - Monthly Metrics'!$D:$D,"Goal - Penetration %"))</formula>
    </cfRule>
    <cfRule type="expression" rank="0" priority="149" equalAverage="0" aboveAverage="0" dxfId="2" stopIfTrue="1" text="" percent="0" bottom="0">
      <formula>AND(ISNUMBER(O68),COUNTIFS('Data - Monthly Metrics'!$A:$A,$B$4,'Data - Monthly Metrics'!$B:$B,O$8,'Data - Monthly Metrics'!$C:$C,"South King",'Data - Monthly Metrics'!$D:$D,"Goal - Penetration %")&gt;0,O68&gt;=SUMIFS('Data - Monthly Metrics'!$E:$E,'Data - Monthly Metrics'!$A:$A,$B$4,'Data - Monthly Metrics'!$B:$B,O$8,'Data - Monthly Metrics'!$C:$C,"South King",'Data - Monthly Metrics'!$D:$D,"Goal - Penetration %")-0.05)</formula>
    </cfRule>
    <cfRule type="expression" rank="0" priority="150" equalAverage="0" aboveAverage="0" dxfId="1" stopIfTrue="1" text="" percent="0" bottom="0">
      <formula>AND(ISNUMBER(O68),COUNTIFS('Data - Monthly Metrics'!$A:$A,$B$4,'Data - Monthly Metrics'!$B:$B,O$8,'Data - Monthly Metrics'!$C:$C,"South King",'Data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Metrics'!$C:$C,"South King",'Data - Monthly Metrics'!$D:$D,"Goal - Penetration %")&gt;0,P68&gt;=SUMIFS('Data - Monthly Metrics'!$E:$E,'Data - Monthly Metrics'!$A:$A,$B$4,'Data - Monthly Metrics'!$B:$B,P$8,'Data - Monthly Metrics'!$C:$C,"South King",'Data - Monthly Metrics'!$D:$D,"Goal - Penetration %"))</formula>
    </cfRule>
    <cfRule type="expression" rank="0" priority="152" equalAverage="0" aboveAverage="0" dxfId="2" stopIfTrue="1" text="" percent="0" bottom="0">
      <formula>AND(ISNUMBER(P68),COUNTIFS('Data - Monthly Metrics'!$A:$A,$B$4,'Data - Monthly Metrics'!$B:$B,P$8,'Data - Monthly Metrics'!$C:$C,"South King",'Data - Monthly Metrics'!$D:$D,"Goal - Penetration %")&gt;0,P68&gt;=SUMIFS('Data - Monthly Metrics'!$E:$E,'Data - Monthly Metrics'!$A:$A,$B$4,'Data - Monthly Metrics'!$B:$B,P$8,'Data - Monthly Metrics'!$C:$C,"South King",'Data - Monthly Metrics'!$D:$D,"Goal - Penetration %")-0.05)</formula>
    </cfRule>
    <cfRule type="expression" rank="0" priority="153" equalAverage="0" aboveAverage="0" dxfId="1" stopIfTrue="1" text="" percent="0" bottom="0">
      <formula>AND(ISNUMBER(P68),COUNTIFS('Data - Monthly Metrics'!$A:$A,$B$4,'Data - Monthly Metrics'!$B:$B,P$8,'Data - Monthly Metrics'!$C:$C,"South King",'Data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Metrics'!$C:$C,"South King",'Data - Monthly Metrics'!$D:$D,"Goal - Penetration %")&gt;0,B69&gt;=SUMIFS('Data - Monthly Metrics'!$E:$E,'Data - Monthly Metrics'!$A:$A,$B$4-1,'Data - Monthly Metrics'!$B:$B,B$8,'Data - Monthly Metrics'!$C:$C,"South King",'Data - Monthly Metrics'!$D:$D,"Goal - Penetration %"))</formula>
    </cfRule>
    <cfRule type="expression" rank="0" priority="155" equalAverage="0" aboveAverage="0" dxfId="2" stopIfTrue="1" text="" percent="0" bottom="0">
      <formula>AND(ISNUMBER(B69),COUNTIFS('Data - Monthly Metrics'!$A:$A,$B$4-1,'Data - Monthly Metrics'!$B:$B,B$8,'Data - Monthly Metrics'!$C:$C,"South King",'Data - Monthly Metrics'!$D:$D,"Goal - Penetration %")&gt;0,B69&gt;=SUMIFS('Data - Monthly Metrics'!$E:$E,'Data - Monthly Metrics'!$A:$A,$B$4-1,'Data - Monthly Metrics'!$B:$B,B$8,'Data - Monthly Metrics'!$C:$C,"South King",'Data - Monthly Metrics'!$D:$D,"Goal - Penetration %")-0.05)</formula>
    </cfRule>
    <cfRule type="expression" rank="0" priority="156" equalAverage="0" aboveAverage="0" dxfId="1" stopIfTrue="1" text="" percent="0" bottom="0">
      <formula>AND(ISNUMBER(B69),COUNTIFS('Data - Monthly Metrics'!$A:$A,$B$4-1,'Data - Monthly Metrics'!$B:$B,B$8,'Data - Monthly Metrics'!$C:$C,"South King",'Data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Metrics'!$C:$C,"South King",'Data - Monthly Metrics'!$D:$D,"Goal - Penetration %")&gt;0,C69&gt;=SUMIFS('Data - Monthly Metrics'!$E:$E,'Data - Monthly Metrics'!$A:$A,$B$4-1,'Data - Monthly Metrics'!$B:$B,C$8,'Data - Monthly Metrics'!$C:$C,"South King",'Data - Monthly Metrics'!$D:$D,"Goal - Penetration %"))</formula>
    </cfRule>
    <cfRule type="expression" rank="0" priority="158" equalAverage="0" aboveAverage="0" dxfId="2" stopIfTrue="1" text="" percent="0" bottom="0">
      <formula>AND(ISNUMBER(C69),COUNTIFS('Data - Monthly Metrics'!$A:$A,$B$4-1,'Data - Monthly Metrics'!$B:$B,C$8,'Data - Monthly Metrics'!$C:$C,"South King",'Data - Monthly Metrics'!$D:$D,"Goal - Penetration %")&gt;0,C69&gt;=SUMIFS('Data - Monthly Metrics'!$E:$E,'Data - Monthly Metrics'!$A:$A,$B$4-1,'Data - Monthly Metrics'!$B:$B,C$8,'Data - Monthly Metrics'!$C:$C,"South King",'Data - Monthly Metrics'!$D:$D,"Goal - Penetration %")-0.05)</formula>
    </cfRule>
    <cfRule type="expression" rank="0" priority="159" equalAverage="0" aboveAverage="0" dxfId="1" stopIfTrue="1" text="" percent="0" bottom="0">
      <formula>AND(ISNUMBER(C69),COUNTIFS('Data - Monthly Metrics'!$A:$A,$B$4-1,'Data - Monthly Metrics'!$B:$B,C$8,'Data - Monthly Metrics'!$C:$C,"South King",'Data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Metrics'!$C:$C,"South King",'Data - Monthly Metrics'!$D:$D,"Goal - Penetration %")&gt;0,D69&gt;=SUMIFS('Data - Monthly Metrics'!$E:$E,'Data - Monthly Metrics'!$A:$A,$B$4-1,'Data - Monthly Metrics'!$B:$B,D$8,'Data - Monthly Metrics'!$C:$C,"South King",'Data - Monthly Metrics'!$D:$D,"Goal - Penetration %"))</formula>
    </cfRule>
    <cfRule type="expression" rank="0" priority="161" equalAverage="0" aboveAverage="0" dxfId="2" stopIfTrue="1" text="" percent="0" bottom="0">
      <formula>AND(ISNUMBER(D69),COUNTIFS('Data - Monthly Metrics'!$A:$A,$B$4-1,'Data - Monthly Metrics'!$B:$B,D$8,'Data - Monthly Metrics'!$C:$C,"South King",'Data - Monthly Metrics'!$D:$D,"Goal - Penetration %")&gt;0,D69&gt;=SUMIFS('Data - Monthly Metrics'!$E:$E,'Data - Monthly Metrics'!$A:$A,$B$4-1,'Data - Monthly Metrics'!$B:$B,D$8,'Data - Monthly Metrics'!$C:$C,"South King",'Data - Monthly Metrics'!$D:$D,"Goal - Penetration %")-0.05)</formula>
    </cfRule>
    <cfRule type="expression" rank="0" priority="162" equalAverage="0" aboveAverage="0" dxfId="1" stopIfTrue="1" text="" percent="0" bottom="0">
      <formula>AND(ISNUMBER(D69),COUNTIFS('Data - Monthly Metrics'!$A:$A,$B$4-1,'Data - Monthly Metrics'!$B:$B,D$8,'Data - Monthly Metrics'!$C:$C,"South King",'Data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Metrics'!$C:$C,"South King",'Data - Monthly Metrics'!$D:$D,"Goal - Penetration %")&gt;0,F69&gt;=SUMIFS('Data - Monthly Metrics'!$E:$E,'Data - Monthly Metrics'!$A:$A,$B$4,'Data - Monthly Metrics'!$B:$B,F$8,'Data - Monthly Metrics'!$C:$C,"South King",'Data - Monthly Metrics'!$D:$D,"Goal - Penetration %"))</formula>
    </cfRule>
    <cfRule type="expression" rank="0" priority="164" equalAverage="0" aboveAverage="0" dxfId="2" stopIfTrue="1" text="" percent="0" bottom="0">
      <formula>AND(ISNUMBER(F69),COUNTIFS('Data - Monthly Metrics'!$A:$A,$B$4,'Data - Monthly Metrics'!$B:$B,F$8,'Data - Monthly Metrics'!$C:$C,"South King",'Data - Monthly Metrics'!$D:$D,"Goal - Penetration %")&gt;0,F69&gt;=SUMIFS('Data - Monthly Metrics'!$E:$E,'Data - Monthly Metrics'!$A:$A,$B$4,'Data - Monthly Metrics'!$B:$B,F$8,'Data - Monthly Metrics'!$C:$C,"South King",'Data - Monthly Metrics'!$D:$D,"Goal - Penetration %")-0.05)</formula>
    </cfRule>
    <cfRule type="expression" rank="0" priority="165" equalAverage="0" aboveAverage="0" dxfId="1" stopIfTrue="1" text="" percent="0" bottom="0">
      <formula>AND(ISNUMBER(F69),COUNTIFS('Data - Monthly Metrics'!$A:$A,$B$4,'Data - Monthly Metrics'!$B:$B,F$8,'Data - Monthly Metrics'!$C:$C,"South King",'Data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Metrics'!$C:$C,"South King",'Data - Monthly Metrics'!$D:$D,"Goal - Penetration %")&gt;0,G69&gt;=SUMIFS('Data - Monthly Metrics'!$E:$E,'Data - Monthly Metrics'!$A:$A,$B$4,'Data - Monthly Metrics'!$B:$B,G$8,'Data - Monthly Metrics'!$C:$C,"South King",'Data - Monthly Metrics'!$D:$D,"Goal - Penetration %"))</formula>
    </cfRule>
    <cfRule type="expression" rank="0" priority="167" equalAverage="0" aboveAverage="0" dxfId="2" stopIfTrue="1" text="" percent="0" bottom="0">
      <formula>AND(ISNUMBER(G69),COUNTIFS('Data - Monthly Metrics'!$A:$A,$B$4,'Data - Monthly Metrics'!$B:$B,G$8,'Data - Monthly Metrics'!$C:$C,"South King",'Data - Monthly Metrics'!$D:$D,"Goal - Penetration %")&gt;0,G69&gt;=SUMIFS('Data - Monthly Metrics'!$E:$E,'Data - Monthly Metrics'!$A:$A,$B$4,'Data - Monthly Metrics'!$B:$B,G$8,'Data - Monthly Metrics'!$C:$C,"South King",'Data - Monthly Metrics'!$D:$D,"Goal - Penetration %")-0.05)</formula>
    </cfRule>
    <cfRule type="expression" rank="0" priority="168" equalAverage="0" aboveAverage="0" dxfId="1" stopIfTrue="1" text="" percent="0" bottom="0">
      <formula>AND(ISNUMBER(G69),COUNTIFS('Data - Monthly Metrics'!$A:$A,$B$4,'Data - Monthly Metrics'!$B:$B,G$8,'Data - Monthly Metrics'!$C:$C,"South King",'Data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Metrics'!$C:$C,"South King",'Data - Monthly Metrics'!$D:$D,"Goal - Penetration %")&gt;0,H69&gt;=SUMIFS('Data - Monthly Metrics'!$E:$E,'Data - Monthly Metrics'!$A:$A,$B$4,'Data - Monthly Metrics'!$B:$B,H$8,'Data - Monthly Metrics'!$C:$C,"South King",'Data - Monthly Metrics'!$D:$D,"Goal - Penetration %"))</formula>
    </cfRule>
    <cfRule type="expression" rank="0" priority="170" equalAverage="0" aboveAverage="0" dxfId="2" stopIfTrue="1" text="" percent="0" bottom="0">
      <formula>AND(ISNUMBER(H69),COUNTIFS('Data - Monthly Metrics'!$A:$A,$B$4,'Data - Monthly Metrics'!$B:$B,H$8,'Data - Monthly Metrics'!$C:$C,"South King",'Data - Monthly Metrics'!$D:$D,"Goal - Penetration %")&gt;0,H69&gt;=SUMIFS('Data - Monthly Metrics'!$E:$E,'Data - Monthly Metrics'!$A:$A,$B$4,'Data - Monthly Metrics'!$B:$B,H$8,'Data - Monthly Metrics'!$C:$C,"South King",'Data - Monthly Metrics'!$D:$D,"Goal - Penetration %")-0.05)</formula>
    </cfRule>
    <cfRule type="expression" rank="0" priority="171" equalAverage="0" aboveAverage="0" dxfId="1" stopIfTrue="1" text="" percent="0" bottom="0">
      <formula>AND(ISNUMBER(H69),COUNTIFS('Data - Monthly Metrics'!$A:$A,$B$4,'Data - Monthly Metrics'!$B:$B,H$8,'Data - Monthly Metrics'!$C:$C,"South King",'Data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Metrics'!$C:$C,"South King",'Data - Monthly Metrics'!$D:$D,"Goal - Penetration %")&gt;0,J69&gt;=SUMIFS('Data - Monthly Metrics'!$E:$E,'Data - Monthly Metrics'!$A:$A,$B$4,'Data - Monthly Metrics'!$B:$B,J$8,'Data - Monthly Metrics'!$C:$C,"South King",'Data - Monthly Metrics'!$D:$D,"Goal - Penetration %"))</formula>
    </cfRule>
    <cfRule type="expression" rank="0" priority="173" equalAverage="0" aboveAverage="0" dxfId="2" stopIfTrue="1" text="" percent="0" bottom="0">
      <formula>AND(ISNUMBER(J69),COUNTIFS('Data - Monthly Metrics'!$A:$A,$B$4,'Data - Monthly Metrics'!$B:$B,J$8,'Data - Monthly Metrics'!$C:$C,"South King",'Data - Monthly Metrics'!$D:$D,"Goal - Penetration %")&gt;0,J69&gt;=SUMIFS('Data - Monthly Metrics'!$E:$E,'Data - Monthly Metrics'!$A:$A,$B$4,'Data - Monthly Metrics'!$B:$B,J$8,'Data - Monthly Metrics'!$C:$C,"South King",'Data - Monthly Metrics'!$D:$D,"Goal - Penetration %")-0.05)</formula>
    </cfRule>
    <cfRule type="expression" rank="0" priority="174" equalAverage="0" aboveAverage="0" dxfId="1" stopIfTrue="1" text="" percent="0" bottom="0">
      <formula>AND(ISNUMBER(J69),COUNTIFS('Data - Monthly Metrics'!$A:$A,$B$4,'Data - Monthly Metrics'!$B:$B,J$8,'Data - Monthly Metrics'!$C:$C,"South King",'Data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Metrics'!$C:$C,"South King",'Data - Monthly Metrics'!$D:$D,"Goal - Penetration %")&gt;0,K69&gt;=SUMIFS('Data - Monthly Metrics'!$E:$E,'Data - Monthly Metrics'!$A:$A,$B$4,'Data - Monthly Metrics'!$B:$B,K$8,'Data - Monthly Metrics'!$C:$C,"South King",'Data - Monthly Metrics'!$D:$D,"Goal - Penetration %"))</formula>
    </cfRule>
    <cfRule type="expression" rank="0" priority="176" equalAverage="0" aboveAverage="0" dxfId="2" stopIfTrue="1" text="" percent="0" bottom="0">
      <formula>AND(ISNUMBER(K69),COUNTIFS('Data - Monthly Metrics'!$A:$A,$B$4,'Data - Monthly Metrics'!$B:$B,K$8,'Data - Monthly Metrics'!$C:$C,"South King",'Data - Monthly Metrics'!$D:$D,"Goal - Penetration %")&gt;0,K69&gt;=SUMIFS('Data - Monthly Metrics'!$E:$E,'Data - Monthly Metrics'!$A:$A,$B$4,'Data - Monthly Metrics'!$B:$B,K$8,'Data - Monthly Metrics'!$C:$C,"South King",'Data - Monthly Metrics'!$D:$D,"Goal - Penetration %")-0.05)</formula>
    </cfRule>
    <cfRule type="expression" rank="0" priority="177" equalAverage="0" aboveAverage="0" dxfId="1" stopIfTrue="1" text="" percent="0" bottom="0">
      <formula>AND(ISNUMBER(K69),COUNTIFS('Data - Monthly Metrics'!$A:$A,$B$4,'Data - Monthly Metrics'!$B:$B,K$8,'Data - Monthly Metrics'!$C:$C,"South King",'Data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Metrics'!$C:$C,"South King",'Data - Monthly Metrics'!$D:$D,"Goal - Penetration %")&gt;0,L69&gt;=SUMIFS('Data - Monthly Metrics'!$E:$E,'Data - Monthly Metrics'!$A:$A,$B$4,'Data - Monthly Metrics'!$B:$B,L$8,'Data - Monthly Metrics'!$C:$C,"South King",'Data - Monthly Metrics'!$D:$D,"Goal - Penetration %"))</formula>
    </cfRule>
    <cfRule type="expression" rank="0" priority="179" equalAverage="0" aboveAverage="0" dxfId="2" stopIfTrue="1" text="" percent="0" bottom="0">
      <formula>AND(ISNUMBER(L69),COUNTIFS('Data - Monthly Metrics'!$A:$A,$B$4,'Data - Monthly Metrics'!$B:$B,L$8,'Data - Monthly Metrics'!$C:$C,"South King",'Data - Monthly Metrics'!$D:$D,"Goal - Penetration %")&gt;0,L69&gt;=SUMIFS('Data - Monthly Metrics'!$E:$E,'Data - Monthly Metrics'!$A:$A,$B$4,'Data - Monthly Metrics'!$B:$B,L$8,'Data - Monthly Metrics'!$C:$C,"South King",'Data - Monthly Metrics'!$D:$D,"Goal - Penetration %")-0.05)</formula>
    </cfRule>
    <cfRule type="expression" rank="0" priority="180" equalAverage="0" aboveAverage="0" dxfId="1" stopIfTrue="1" text="" percent="0" bottom="0">
      <formula>AND(ISNUMBER(L69),COUNTIFS('Data - Monthly Metrics'!$A:$A,$B$4,'Data - Monthly Metrics'!$B:$B,L$8,'Data - Monthly Metrics'!$C:$C,"South King",'Data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Metrics'!$C:$C,"South King",'Data - Monthly Metrics'!$D:$D,"Goal - Penetration %")&gt;0,N69&gt;=SUMIFS('Data - Monthly Metrics'!$E:$E,'Data - Monthly Metrics'!$A:$A,$B$4,'Data - Monthly Metrics'!$B:$B,N$8,'Data - Monthly Metrics'!$C:$C,"South King",'Data - Monthly Metrics'!$D:$D,"Goal - Penetration %"))</formula>
    </cfRule>
    <cfRule type="expression" rank="0" priority="182" equalAverage="0" aboveAverage="0" dxfId="2" stopIfTrue="1" text="" percent="0" bottom="0">
      <formula>AND(ISNUMBER(N69),COUNTIFS('Data - Monthly Metrics'!$A:$A,$B$4,'Data - Monthly Metrics'!$B:$B,N$8,'Data - Monthly Metrics'!$C:$C,"South King",'Data - Monthly Metrics'!$D:$D,"Goal - Penetration %")&gt;0,N69&gt;=SUMIFS('Data - Monthly Metrics'!$E:$E,'Data - Monthly Metrics'!$A:$A,$B$4,'Data - Monthly Metrics'!$B:$B,N$8,'Data - Monthly Metrics'!$C:$C,"South King",'Data - Monthly Metrics'!$D:$D,"Goal - Penetration %")-0.05)</formula>
    </cfRule>
    <cfRule type="expression" rank="0" priority="183" equalAverage="0" aboveAverage="0" dxfId="1" stopIfTrue="1" text="" percent="0" bottom="0">
      <formula>AND(ISNUMBER(N69),COUNTIFS('Data - Monthly Metrics'!$A:$A,$B$4,'Data - Monthly Metrics'!$B:$B,N$8,'Data - Monthly Metrics'!$C:$C,"South King",'Data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Metrics'!$C:$C,"South King",'Data - Monthly Metrics'!$D:$D,"Goal - Penetration %")&gt;0,O69&gt;=SUMIFS('Data - Monthly Metrics'!$E:$E,'Data - Monthly Metrics'!$A:$A,$B$4,'Data - Monthly Metrics'!$B:$B,O$8,'Data - Monthly Metrics'!$C:$C,"South King",'Data - Monthly Metrics'!$D:$D,"Goal - Penetration %"))</formula>
    </cfRule>
    <cfRule type="expression" rank="0" priority="185" equalAverage="0" aboveAverage="0" dxfId="2" stopIfTrue="1" text="" percent="0" bottom="0">
      <formula>AND(ISNUMBER(O69),COUNTIFS('Data - Monthly Metrics'!$A:$A,$B$4,'Data - Monthly Metrics'!$B:$B,O$8,'Data - Monthly Metrics'!$C:$C,"South King",'Data - Monthly Metrics'!$D:$D,"Goal - Penetration %")&gt;0,O69&gt;=SUMIFS('Data - Monthly Metrics'!$E:$E,'Data - Monthly Metrics'!$A:$A,$B$4,'Data - Monthly Metrics'!$B:$B,O$8,'Data - Monthly Metrics'!$C:$C,"South King",'Data - Monthly Metrics'!$D:$D,"Goal - Penetration %")-0.05)</formula>
    </cfRule>
    <cfRule type="expression" rank="0" priority="186" equalAverage="0" aboveAverage="0" dxfId="1" stopIfTrue="1" text="" percent="0" bottom="0">
      <formula>AND(ISNUMBER(O69),COUNTIFS('Data - Monthly Metrics'!$A:$A,$B$4,'Data - Monthly Metrics'!$B:$B,O$8,'Data - Monthly Metrics'!$C:$C,"South King",'Data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Metrics'!$C:$C,"South King",'Data - Monthly Metrics'!$D:$D,"Goal - Penetration %")&gt;0,P69&gt;=SUMIFS('Data - Monthly Metrics'!$E:$E,'Data - Monthly Metrics'!$A:$A,$B$4,'Data - Monthly Metrics'!$B:$B,P$8,'Data - Monthly Metrics'!$C:$C,"South King",'Data - Monthly Metrics'!$D:$D,"Goal - Penetration %"))</formula>
    </cfRule>
    <cfRule type="expression" rank="0" priority="188" equalAverage="0" aboveAverage="0" dxfId="2" stopIfTrue="1" text="" percent="0" bottom="0">
      <formula>AND(ISNUMBER(P69),COUNTIFS('Data - Monthly Metrics'!$A:$A,$B$4,'Data - Monthly Metrics'!$B:$B,P$8,'Data - Monthly Metrics'!$C:$C,"South King",'Data - Monthly Metrics'!$D:$D,"Goal - Penetration %")&gt;0,P69&gt;=SUMIFS('Data - Monthly Metrics'!$E:$E,'Data - Monthly Metrics'!$A:$A,$B$4,'Data - Monthly Metrics'!$B:$B,P$8,'Data - Monthly Metrics'!$C:$C,"South King",'Data - Monthly Metrics'!$D:$D,"Goal - Penetration %")-0.05)</formula>
    </cfRule>
    <cfRule type="expression" rank="0" priority="189" equalAverage="0" aboveAverage="0" dxfId="1" stopIfTrue="1" text="" percent="0" bottom="0">
      <formula>AND(ISNUMBER(P69),COUNTIFS('Data - Monthly Metrics'!$A:$A,$B$4,'Data - Monthly Metrics'!$B:$B,P$8,'Data - Monthly Metrics'!$C:$C,"South King",'Data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Metrics'!$C:$C,"South King",'Data - Monthly Metrics'!$D:$D,"Goal - Penetration %")&gt;0,B70&gt;=SUMIFS('Data - Monthly Metrics'!$E:$E,'Data - Monthly Metrics'!$A:$A,$B$4-1,'Data - Monthly Metrics'!$B:$B,B$8,'Data - Monthly Metrics'!$C:$C,"South King",'Data - Monthly Metrics'!$D:$D,"Goal - Penetration %"))</formula>
    </cfRule>
    <cfRule type="expression" rank="0" priority="191" equalAverage="0" aboveAverage="0" dxfId="2" stopIfTrue="1" text="" percent="0" bottom="0">
      <formula>AND(ISNUMBER(B70),COUNTIFS('Data - Monthly Metrics'!$A:$A,$B$4-1,'Data - Monthly Metrics'!$B:$B,B$8,'Data - Monthly Metrics'!$C:$C,"South King",'Data - Monthly Metrics'!$D:$D,"Goal - Penetration %")&gt;0,B70&gt;=SUMIFS('Data - Monthly Metrics'!$E:$E,'Data - Monthly Metrics'!$A:$A,$B$4-1,'Data - Monthly Metrics'!$B:$B,B$8,'Data - Monthly Metrics'!$C:$C,"South King",'Data - Monthly Metrics'!$D:$D,"Goal - Penetration %")-0.05)</formula>
    </cfRule>
    <cfRule type="expression" rank="0" priority="192" equalAverage="0" aboveAverage="0" dxfId="1" stopIfTrue="1" text="" percent="0" bottom="0">
      <formula>AND(ISNUMBER(B70),COUNTIFS('Data - Monthly Metrics'!$A:$A,$B$4-1,'Data - Monthly Metrics'!$B:$B,B$8,'Data - Monthly Metrics'!$C:$C,"South King",'Data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Metrics'!$C:$C,"South King",'Data - Monthly Metrics'!$D:$D,"Goal - Penetration %")&gt;0,C70&gt;=SUMIFS('Data - Monthly Metrics'!$E:$E,'Data - Monthly Metrics'!$A:$A,$B$4-1,'Data - Monthly Metrics'!$B:$B,C$8,'Data - Monthly Metrics'!$C:$C,"South King",'Data - Monthly Metrics'!$D:$D,"Goal - Penetration %"))</formula>
    </cfRule>
    <cfRule type="expression" rank="0" priority="194" equalAverage="0" aboveAverage="0" dxfId="2" stopIfTrue="1" text="" percent="0" bottom="0">
      <formula>AND(ISNUMBER(C70),COUNTIFS('Data - Monthly Metrics'!$A:$A,$B$4-1,'Data - Monthly Metrics'!$B:$B,C$8,'Data - Monthly Metrics'!$C:$C,"South King",'Data - Monthly Metrics'!$D:$D,"Goal - Penetration %")&gt;0,C70&gt;=SUMIFS('Data - Monthly Metrics'!$E:$E,'Data - Monthly Metrics'!$A:$A,$B$4-1,'Data - Monthly Metrics'!$B:$B,C$8,'Data - Monthly Metrics'!$C:$C,"South King",'Data - Monthly Metrics'!$D:$D,"Goal - Penetration %")-0.05)</formula>
    </cfRule>
    <cfRule type="expression" rank="0" priority="195" equalAverage="0" aboveAverage="0" dxfId="1" stopIfTrue="1" text="" percent="0" bottom="0">
      <formula>AND(ISNUMBER(C70),COUNTIFS('Data - Monthly Metrics'!$A:$A,$B$4-1,'Data - Monthly Metrics'!$B:$B,C$8,'Data - Monthly Metrics'!$C:$C,"South King",'Data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Metrics'!$C:$C,"South King",'Data - Monthly Metrics'!$D:$D,"Goal - Penetration %")&gt;0,D70&gt;=SUMIFS('Data - Monthly Metrics'!$E:$E,'Data - Monthly Metrics'!$A:$A,$B$4-1,'Data - Monthly Metrics'!$B:$B,D$8,'Data - Monthly Metrics'!$C:$C,"South King",'Data - Monthly Metrics'!$D:$D,"Goal - Penetration %"))</formula>
    </cfRule>
    <cfRule type="expression" rank="0" priority="197" equalAverage="0" aboveAverage="0" dxfId="2" stopIfTrue="1" text="" percent="0" bottom="0">
      <formula>AND(ISNUMBER(D70),COUNTIFS('Data - Monthly Metrics'!$A:$A,$B$4-1,'Data - Monthly Metrics'!$B:$B,D$8,'Data - Monthly Metrics'!$C:$C,"South King",'Data - Monthly Metrics'!$D:$D,"Goal - Penetration %")&gt;0,D70&gt;=SUMIFS('Data - Monthly Metrics'!$E:$E,'Data - Monthly Metrics'!$A:$A,$B$4-1,'Data - Monthly Metrics'!$B:$B,D$8,'Data - Monthly Metrics'!$C:$C,"South King",'Data - Monthly Metrics'!$D:$D,"Goal - Penetration %")-0.05)</formula>
    </cfRule>
    <cfRule type="expression" rank="0" priority="198" equalAverage="0" aboveAverage="0" dxfId="1" stopIfTrue="1" text="" percent="0" bottom="0">
      <formula>AND(ISNUMBER(D70),COUNTIFS('Data - Monthly Metrics'!$A:$A,$B$4-1,'Data - Monthly Metrics'!$B:$B,D$8,'Data - Monthly Metrics'!$C:$C,"South King",'Data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Metrics'!$C:$C,"South King",'Data - Monthly Metrics'!$D:$D,"Goal - Penetration %")&gt;0,F70&gt;=SUMIFS('Data - Monthly Metrics'!$E:$E,'Data - Monthly Metrics'!$A:$A,$B$4,'Data - Monthly Metrics'!$B:$B,F$8,'Data - Monthly Metrics'!$C:$C,"South King",'Data - Monthly Metrics'!$D:$D,"Goal - Penetration %"))</formula>
    </cfRule>
    <cfRule type="expression" rank="0" priority="200" equalAverage="0" aboveAverage="0" dxfId="2" stopIfTrue="1" text="" percent="0" bottom="0">
      <formula>AND(ISNUMBER(F70),COUNTIFS('Data - Monthly Metrics'!$A:$A,$B$4,'Data - Monthly Metrics'!$B:$B,F$8,'Data - Monthly Metrics'!$C:$C,"South King",'Data - Monthly Metrics'!$D:$D,"Goal - Penetration %")&gt;0,F70&gt;=SUMIFS('Data - Monthly Metrics'!$E:$E,'Data - Monthly Metrics'!$A:$A,$B$4,'Data - Monthly Metrics'!$B:$B,F$8,'Data - Monthly Metrics'!$C:$C,"South King",'Data - Monthly Metrics'!$D:$D,"Goal - Penetration %")-0.05)</formula>
    </cfRule>
    <cfRule type="expression" rank="0" priority="201" equalAverage="0" aboveAverage="0" dxfId="1" stopIfTrue="1" text="" percent="0" bottom="0">
      <formula>AND(ISNUMBER(F70),COUNTIFS('Data - Monthly Metrics'!$A:$A,$B$4,'Data - Monthly Metrics'!$B:$B,F$8,'Data - Monthly Metrics'!$C:$C,"South King",'Data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Metrics'!$C:$C,"South King",'Data - Monthly Metrics'!$D:$D,"Goal - Penetration %")&gt;0,G70&gt;=SUMIFS('Data - Monthly Metrics'!$E:$E,'Data - Monthly Metrics'!$A:$A,$B$4,'Data - Monthly Metrics'!$B:$B,G$8,'Data - Monthly Metrics'!$C:$C,"South King",'Data - Monthly Metrics'!$D:$D,"Goal - Penetration %"))</formula>
    </cfRule>
    <cfRule type="expression" rank="0" priority="203" equalAverage="0" aboveAverage="0" dxfId="2" stopIfTrue="1" text="" percent="0" bottom="0">
      <formula>AND(ISNUMBER(G70),COUNTIFS('Data - Monthly Metrics'!$A:$A,$B$4,'Data - Monthly Metrics'!$B:$B,G$8,'Data - Monthly Metrics'!$C:$C,"South King",'Data - Monthly Metrics'!$D:$D,"Goal - Penetration %")&gt;0,G70&gt;=SUMIFS('Data - Monthly Metrics'!$E:$E,'Data - Monthly Metrics'!$A:$A,$B$4,'Data - Monthly Metrics'!$B:$B,G$8,'Data - Monthly Metrics'!$C:$C,"South King",'Data - Monthly Metrics'!$D:$D,"Goal - Penetration %")-0.05)</formula>
    </cfRule>
    <cfRule type="expression" rank="0" priority="204" equalAverage="0" aboveAverage="0" dxfId="1" stopIfTrue="1" text="" percent="0" bottom="0">
      <formula>AND(ISNUMBER(G70),COUNTIFS('Data - Monthly Metrics'!$A:$A,$B$4,'Data - Monthly Metrics'!$B:$B,G$8,'Data - Monthly Metrics'!$C:$C,"South King",'Data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Metrics'!$C:$C,"South King",'Data - Monthly Metrics'!$D:$D,"Goal - Penetration %")&gt;0,H70&gt;=SUMIFS('Data - Monthly Metrics'!$E:$E,'Data - Monthly Metrics'!$A:$A,$B$4,'Data - Monthly Metrics'!$B:$B,H$8,'Data - Monthly Metrics'!$C:$C,"South King",'Data - Monthly Metrics'!$D:$D,"Goal - Penetration %"))</formula>
    </cfRule>
    <cfRule type="expression" rank="0" priority="206" equalAverage="0" aboveAverage="0" dxfId="2" stopIfTrue="1" text="" percent="0" bottom="0">
      <formula>AND(ISNUMBER(H70),COUNTIFS('Data - Monthly Metrics'!$A:$A,$B$4,'Data - Monthly Metrics'!$B:$B,H$8,'Data - Monthly Metrics'!$C:$C,"South King",'Data - Monthly Metrics'!$D:$D,"Goal - Penetration %")&gt;0,H70&gt;=SUMIFS('Data - Monthly Metrics'!$E:$E,'Data - Monthly Metrics'!$A:$A,$B$4,'Data - Monthly Metrics'!$B:$B,H$8,'Data - Monthly Metrics'!$C:$C,"South King",'Data - Monthly Metrics'!$D:$D,"Goal - Penetration %")-0.05)</formula>
    </cfRule>
    <cfRule type="expression" rank="0" priority="207" equalAverage="0" aboveAverage="0" dxfId="1" stopIfTrue="1" text="" percent="0" bottom="0">
      <formula>AND(ISNUMBER(H70),COUNTIFS('Data - Monthly Metrics'!$A:$A,$B$4,'Data - Monthly Metrics'!$B:$B,H$8,'Data - Monthly Metrics'!$C:$C,"South King",'Data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Metrics'!$C:$C,"South King",'Data - Monthly Metrics'!$D:$D,"Goal - Penetration %")&gt;0,J70&gt;=SUMIFS('Data - Monthly Metrics'!$E:$E,'Data - Monthly Metrics'!$A:$A,$B$4,'Data - Monthly Metrics'!$B:$B,J$8,'Data - Monthly Metrics'!$C:$C,"South King",'Data - Monthly Metrics'!$D:$D,"Goal - Penetration %"))</formula>
    </cfRule>
    <cfRule type="expression" rank="0" priority="209" equalAverage="0" aboveAverage="0" dxfId="2" stopIfTrue="1" text="" percent="0" bottom="0">
      <formula>AND(ISNUMBER(J70),COUNTIFS('Data - Monthly Metrics'!$A:$A,$B$4,'Data - Monthly Metrics'!$B:$B,J$8,'Data - Monthly Metrics'!$C:$C,"South King",'Data - Monthly Metrics'!$D:$D,"Goal - Penetration %")&gt;0,J70&gt;=SUMIFS('Data - Monthly Metrics'!$E:$E,'Data - Monthly Metrics'!$A:$A,$B$4,'Data - Monthly Metrics'!$B:$B,J$8,'Data - Monthly Metrics'!$C:$C,"South King",'Data - Monthly Metrics'!$D:$D,"Goal - Penetration %")-0.05)</formula>
    </cfRule>
    <cfRule type="expression" rank="0" priority="210" equalAverage="0" aboveAverage="0" dxfId="1" stopIfTrue="1" text="" percent="0" bottom="0">
      <formula>AND(ISNUMBER(J70),COUNTIFS('Data - Monthly Metrics'!$A:$A,$B$4,'Data - Monthly Metrics'!$B:$B,J$8,'Data - Monthly Metrics'!$C:$C,"South King",'Data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Metrics'!$C:$C,"South King",'Data - Monthly Metrics'!$D:$D,"Goal - Penetration %")&gt;0,K70&gt;=SUMIFS('Data - Monthly Metrics'!$E:$E,'Data - Monthly Metrics'!$A:$A,$B$4,'Data - Monthly Metrics'!$B:$B,K$8,'Data - Monthly Metrics'!$C:$C,"South King",'Data - Monthly Metrics'!$D:$D,"Goal - Penetration %"))</formula>
    </cfRule>
    <cfRule type="expression" rank="0" priority="212" equalAverage="0" aboveAverage="0" dxfId="2" stopIfTrue="1" text="" percent="0" bottom="0">
      <formula>AND(ISNUMBER(K70),COUNTIFS('Data - Monthly Metrics'!$A:$A,$B$4,'Data - Monthly Metrics'!$B:$B,K$8,'Data - Monthly Metrics'!$C:$C,"South King",'Data - Monthly Metrics'!$D:$D,"Goal - Penetration %")&gt;0,K70&gt;=SUMIFS('Data - Monthly Metrics'!$E:$E,'Data - Monthly Metrics'!$A:$A,$B$4,'Data - Monthly Metrics'!$B:$B,K$8,'Data - Monthly Metrics'!$C:$C,"South King",'Data - Monthly Metrics'!$D:$D,"Goal - Penetration %")-0.05)</formula>
    </cfRule>
    <cfRule type="expression" rank="0" priority="213" equalAverage="0" aboveAverage="0" dxfId="1" stopIfTrue="1" text="" percent="0" bottom="0">
      <formula>AND(ISNUMBER(K70),COUNTIFS('Data - Monthly Metrics'!$A:$A,$B$4,'Data - Monthly Metrics'!$B:$B,K$8,'Data - Monthly Metrics'!$C:$C,"South King",'Data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Metrics'!$C:$C,"South King",'Data - Monthly Metrics'!$D:$D,"Goal - Penetration %")&gt;0,L70&gt;=SUMIFS('Data - Monthly Metrics'!$E:$E,'Data - Monthly Metrics'!$A:$A,$B$4,'Data - Monthly Metrics'!$B:$B,L$8,'Data - Monthly Metrics'!$C:$C,"South King",'Data - Monthly Metrics'!$D:$D,"Goal - Penetration %"))</formula>
    </cfRule>
    <cfRule type="expression" rank="0" priority="215" equalAverage="0" aboveAverage="0" dxfId="2" stopIfTrue="1" text="" percent="0" bottom="0">
      <formula>AND(ISNUMBER(L70),COUNTIFS('Data - Monthly Metrics'!$A:$A,$B$4,'Data - Monthly Metrics'!$B:$B,L$8,'Data - Monthly Metrics'!$C:$C,"South King",'Data - Monthly Metrics'!$D:$D,"Goal - Penetration %")&gt;0,L70&gt;=SUMIFS('Data - Monthly Metrics'!$E:$E,'Data - Monthly Metrics'!$A:$A,$B$4,'Data - Monthly Metrics'!$B:$B,L$8,'Data - Monthly Metrics'!$C:$C,"South King",'Data - Monthly Metrics'!$D:$D,"Goal - Penetration %")-0.05)</formula>
    </cfRule>
    <cfRule type="expression" rank="0" priority="216" equalAverage="0" aboveAverage="0" dxfId="1" stopIfTrue="1" text="" percent="0" bottom="0">
      <formula>AND(ISNUMBER(L70),COUNTIFS('Data - Monthly Metrics'!$A:$A,$B$4,'Data - Monthly Metrics'!$B:$B,L$8,'Data - Monthly Metrics'!$C:$C,"South King",'Data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Metrics'!$C:$C,"South King",'Data - Monthly Metrics'!$D:$D,"Goal - Penetration %")&gt;0,N70&gt;=SUMIFS('Data - Monthly Metrics'!$E:$E,'Data - Monthly Metrics'!$A:$A,$B$4,'Data - Monthly Metrics'!$B:$B,N$8,'Data - Monthly Metrics'!$C:$C,"South King",'Data - Monthly Metrics'!$D:$D,"Goal - Penetration %"))</formula>
    </cfRule>
    <cfRule type="expression" rank="0" priority="218" equalAverage="0" aboveAverage="0" dxfId="2" stopIfTrue="1" text="" percent="0" bottom="0">
      <formula>AND(ISNUMBER(N70),COUNTIFS('Data - Monthly Metrics'!$A:$A,$B$4,'Data - Monthly Metrics'!$B:$B,N$8,'Data - Monthly Metrics'!$C:$C,"South King",'Data - Monthly Metrics'!$D:$D,"Goal - Penetration %")&gt;0,N70&gt;=SUMIFS('Data - Monthly Metrics'!$E:$E,'Data - Monthly Metrics'!$A:$A,$B$4,'Data - Monthly Metrics'!$B:$B,N$8,'Data - Monthly Metrics'!$C:$C,"South King",'Data - Monthly Metrics'!$D:$D,"Goal - Penetration %")-0.05)</formula>
    </cfRule>
    <cfRule type="expression" rank="0" priority="219" equalAverage="0" aboveAverage="0" dxfId="1" stopIfTrue="1" text="" percent="0" bottom="0">
      <formula>AND(ISNUMBER(N70),COUNTIFS('Data - Monthly Metrics'!$A:$A,$B$4,'Data - Monthly Metrics'!$B:$B,N$8,'Data - Monthly Metrics'!$C:$C,"South King",'Data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Metrics'!$C:$C,"South King",'Data - Monthly Metrics'!$D:$D,"Goal - Penetration %")&gt;0,O70&gt;=SUMIFS('Data - Monthly Metrics'!$E:$E,'Data - Monthly Metrics'!$A:$A,$B$4,'Data - Monthly Metrics'!$B:$B,O$8,'Data - Monthly Metrics'!$C:$C,"South King",'Data - Monthly Metrics'!$D:$D,"Goal - Penetration %"))</formula>
    </cfRule>
    <cfRule type="expression" rank="0" priority="221" equalAverage="0" aboveAverage="0" dxfId="2" stopIfTrue="1" text="" percent="0" bottom="0">
      <formula>AND(ISNUMBER(O70),COUNTIFS('Data - Monthly Metrics'!$A:$A,$B$4,'Data - Monthly Metrics'!$B:$B,O$8,'Data - Monthly Metrics'!$C:$C,"South King",'Data - Monthly Metrics'!$D:$D,"Goal - Penetration %")&gt;0,O70&gt;=SUMIFS('Data - Monthly Metrics'!$E:$E,'Data - Monthly Metrics'!$A:$A,$B$4,'Data - Monthly Metrics'!$B:$B,O$8,'Data - Monthly Metrics'!$C:$C,"South King",'Data - Monthly Metrics'!$D:$D,"Goal - Penetration %")-0.05)</formula>
    </cfRule>
    <cfRule type="expression" rank="0" priority="222" equalAverage="0" aboveAverage="0" dxfId="1" stopIfTrue="1" text="" percent="0" bottom="0">
      <formula>AND(ISNUMBER(O70),COUNTIFS('Data - Monthly Metrics'!$A:$A,$B$4,'Data - Monthly Metrics'!$B:$B,O$8,'Data - Monthly Metrics'!$C:$C,"South King",'Data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Metrics'!$C:$C,"South King",'Data - Monthly Metrics'!$D:$D,"Goal - Penetration %")&gt;0,P70&gt;=SUMIFS('Data - Monthly Metrics'!$E:$E,'Data - Monthly Metrics'!$A:$A,$B$4,'Data - Monthly Metrics'!$B:$B,P$8,'Data - Monthly Metrics'!$C:$C,"South King",'Data - Monthly Metrics'!$D:$D,"Goal - Penetration %"))</formula>
    </cfRule>
    <cfRule type="expression" rank="0" priority="224" equalAverage="0" aboveAverage="0" dxfId="2" stopIfTrue="1" text="" percent="0" bottom="0">
      <formula>AND(ISNUMBER(P70),COUNTIFS('Data - Monthly Metrics'!$A:$A,$B$4,'Data - Monthly Metrics'!$B:$B,P$8,'Data - Monthly Metrics'!$C:$C,"South King",'Data - Monthly Metrics'!$D:$D,"Goal - Penetration %")&gt;0,P70&gt;=SUMIFS('Data - Monthly Metrics'!$E:$E,'Data - Monthly Metrics'!$A:$A,$B$4,'Data - Monthly Metrics'!$B:$B,P$8,'Data - Monthly Metrics'!$C:$C,"South King",'Data - Monthly Metrics'!$D:$D,"Goal - Penetration %")-0.05)</formula>
    </cfRule>
    <cfRule type="expression" rank="0" priority="225" equalAverage="0" aboveAverage="0" dxfId="1" stopIfTrue="1" text="" percent="0" bottom="0">
      <formula>AND(ISNUMBER(P70),COUNTIFS('Data - Monthly Metrics'!$A:$A,$B$4,'Data - Monthly Metrics'!$B:$B,P$8,'Data - Monthly Metrics'!$C:$C,"South King",'Data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Metrics'!$C:$C,"South King",'Data - Monthly Metrics'!$D:$D,"Goal - Penetration %")&gt;0,B105&gt;=SUMIFS('Data - Monthly Metrics'!$E:$E,'Data - Monthly Metrics'!$A:$A,$B$4-1,'Data - Monthly Metrics'!$B:$B,B$8,'Data - Monthly Metrics'!$C:$C,"South King",'Data - Monthly Metrics'!$D:$D,"Goal - Penetration %"))</formula>
    </cfRule>
    <cfRule type="expression" rank="0" priority="227" equalAverage="0" aboveAverage="0" dxfId="2" stopIfTrue="1" text="" percent="0" bottom="0">
      <formula>AND(ISNUMBER(B105),COUNTIFS('Data - Monthly Metrics'!$A:$A,$B$4-1,'Data - Monthly Metrics'!$B:$B,B$8,'Data - Monthly Metrics'!$C:$C,"South King",'Data - Monthly Metrics'!$D:$D,"Goal - Penetration %")&gt;0,B105&gt;=SUMIFS('Data - Monthly Metrics'!$E:$E,'Data - Monthly Metrics'!$A:$A,$B$4-1,'Data - Monthly Metrics'!$B:$B,B$8,'Data - Monthly Metrics'!$C:$C,"South King",'Data - Monthly Metrics'!$D:$D,"Goal - Penetration %")-0.05)</formula>
    </cfRule>
    <cfRule type="expression" rank="0" priority="228" equalAverage="0" aboveAverage="0" dxfId="1" stopIfTrue="1" text="" percent="0" bottom="0">
      <formula>AND(ISNUMBER(B105),COUNTIFS('Data - Monthly Metrics'!$A:$A,$B$4-1,'Data - Monthly Metrics'!$B:$B,B$8,'Data - Monthly Metrics'!$C:$C,"South King",'Data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Metrics'!$C:$C,"South King",'Data - Monthly Metrics'!$D:$D,"Goal - Penetration %")&gt;0,C105&gt;=SUMIFS('Data - Monthly Metrics'!$E:$E,'Data - Monthly Metrics'!$A:$A,$B$4-1,'Data - Monthly Metrics'!$B:$B,C$8,'Data - Monthly Metrics'!$C:$C,"South King",'Data - Monthly Metrics'!$D:$D,"Goal - Penetration %"))</formula>
    </cfRule>
    <cfRule type="expression" rank="0" priority="230" equalAverage="0" aboveAverage="0" dxfId="2" stopIfTrue="1" text="" percent="0" bottom="0">
      <formula>AND(ISNUMBER(C105),COUNTIFS('Data - Monthly Metrics'!$A:$A,$B$4-1,'Data - Monthly Metrics'!$B:$B,C$8,'Data - Monthly Metrics'!$C:$C,"South King",'Data - Monthly Metrics'!$D:$D,"Goal - Penetration %")&gt;0,C105&gt;=SUMIFS('Data - Monthly Metrics'!$E:$E,'Data - Monthly Metrics'!$A:$A,$B$4-1,'Data - Monthly Metrics'!$B:$B,C$8,'Data - Monthly Metrics'!$C:$C,"South King",'Data - Monthly Metrics'!$D:$D,"Goal - Penetration %")-0.05)</formula>
    </cfRule>
    <cfRule type="expression" rank="0" priority="231" equalAverage="0" aboveAverage="0" dxfId="1" stopIfTrue="1" text="" percent="0" bottom="0">
      <formula>AND(ISNUMBER(C105),COUNTIFS('Data - Monthly Metrics'!$A:$A,$B$4-1,'Data - Monthly Metrics'!$B:$B,C$8,'Data - Monthly Metrics'!$C:$C,"South King",'Data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Metrics'!$C:$C,"South King",'Data - Monthly Metrics'!$D:$D,"Goal - Penetration %")&gt;0,D105&gt;=SUMIFS('Data - Monthly Metrics'!$E:$E,'Data - Monthly Metrics'!$A:$A,$B$4-1,'Data - Monthly Metrics'!$B:$B,D$8,'Data - Monthly Metrics'!$C:$C,"South King",'Data - Monthly Metrics'!$D:$D,"Goal - Penetration %"))</formula>
    </cfRule>
    <cfRule type="expression" rank="0" priority="233" equalAverage="0" aboveAverage="0" dxfId="2" stopIfTrue="1" text="" percent="0" bottom="0">
      <formula>AND(ISNUMBER(D105),COUNTIFS('Data - Monthly Metrics'!$A:$A,$B$4-1,'Data - Monthly Metrics'!$B:$B,D$8,'Data - Monthly Metrics'!$C:$C,"South King",'Data - Monthly Metrics'!$D:$D,"Goal - Penetration %")&gt;0,D105&gt;=SUMIFS('Data - Monthly Metrics'!$E:$E,'Data - Monthly Metrics'!$A:$A,$B$4-1,'Data - Monthly Metrics'!$B:$B,D$8,'Data - Monthly Metrics'!$C:$C,"South King",'Data - Monthly Metrics'!$D:$D,"Goal - Penetration %")-0.05)</formula>
    </cfRule>
    <cfRule type="expression" rank="0" priority="234" equalAverage="0" aboveAverage="0" dxfId="1" stopIfTrue="1" text="" percent="0" bottom="0">
      <formula>AND(ISNUMBER(D105),COUNTIFS('Data - Monthly Metrics'!$A:$A,$B$4-1,'Data - Monthly Metrics'!$B:$B,D$8,'Data - Monthly Metrics'!$C:$C,"South King",'Data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Metrics'!$C:$C,"South King",'Data - Monthly Metrics'!$D:$D,"Goal - Penetration %")&gt;0,F105&gt;=SUMIFS('Data - Monthly Metrics'!$E:$E,'Data - Monthly Metrics'!$A:$A,$B$4,'Data - Monthly Metrics'!$B:$B,F$8,'Data - Monthly Metrics'!$C:$C,"South King",'Data - Monthly Metrics'!$D:$D,"Goal - Penetration %"))</formula>
    </cfRule>
    <cfRule type="expression" rank="0" priority="236" equalAverage="0" aboveAverage="0" dxfId="2" stopIfTrue="1" text="" percent="0" bottom="0">
      <formula>AND(ISNUMBER(F105),COUNTIFS('Data - Monthly Metrics'!$A:$A,$B$4,'Data - Monthly Metrics'!$B:$B,F$8,'Data - Monthly Metrics'!$C:$C,"South King",'Data - Monthly Metrics'!$D:$D,"Goal - Penetration %")&gt;0,F105&gt;=SUMIFS('Data - Monthly Metrics'!$E:$E,'Data - Monthly Metrics'!$A:$A,$B$4,'Data - Monthly Metrics'!$B:$B,F$8,'Data - Monthly Metrics'!$C:$C,"South King",'Data - Monthly Metrics'!$D:$D,"Goal - Penetration %")-0.05)</formula>
    </cfRule>
    <cfRule type="expression" rank="0" priority="237" equalAverage="0" aboveAverage="0" dxfId="1" stopIfTrue="1" text="" percent="0" bottom="0">
      <formula>AND(ISNUMBER(F105),COUNTIFS('Data - Monthly Metrics'!$A:$A,$B$4,'Data - Monthly Metrics'!$B:$B,F$8,'Data - Monthly Metrics'!$C:$C,"South King",'Data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Metrics'!$C:$C,"South King",'Data - Monthly Metrics'!$D:$D,"Goal - Penetration %")&gt;0,G105&gt;=SUMIFS('Data - Monthly Metrics'!$E:$E,'Data - Monthly Metrics'!$A:$A,$B$4,'Data - Monthly Metrics'!$B:$B,G$8,'Data - Monthly Metrics'!$C:$C,"South King",'Data - Monthly Metrics'!$D:$D,"Goal - Penetration %"))</formula>
    </cfRule>
    <cfRule type="expression" rank="0" priority="239" equalAverage="0" aboveAverage="0" dxfId="2" stopIfTrue="1" text="" percent="0" bottom="0">
      <formula>AND(ISNUMBER(G105),COUNTIFS('Data - Monthly Metrics'!$A:$A,$B$4,'Data - Monthly Metrics'!$B:$B,G$8,'Data - Monthly Metrics'!$C:$C,"South King",'Data - Monthly Metrics'!$D:$D,"Goal - Penetration %")&gt;0,G105&gt;=SUMIFS('Data - Monthly Metrics'!$E:$E,'Data - Monthly Metrics'!$A:$A,$B$4,'Data - Monthly Metrics'!$B:$B,G$8,'Data - Monthly Metrics'!$C:$C,"South King",'Data - Monthly Metrics'!$D:$D,"Goal - Penetration %")-0.05)</formula>
    </cfRule>
    <cfRule type="expression" rank="0" priority="240" equalAverage="0" aboveAverage="0" dxfId="1" stopIfTrue="1" text="" percent="0" bottom="0">
      <formula>AND(ISNUMBER(G105),COUNTIFS('Data - Monthly Metrics'!$A:$A,$B$4,'Data - Monthly Metrics'!$B:$B,G$8,'Data - Monthly Metrics'!$C:$C,"South King",'Data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Metrics'!$C:$C,"South King",'Data - Monthly Metrics'!$D:$D,"Goal - Penetration %")&gt;0,H105&gt;=SUMIFS('Data - Monthly Metrics'!$E:$E,'Data - Monthly Metrics'!$A:$A,$B$4,'Data - Monthly Metrics'!$B:$B,H$8,'Data - Monthly Metrics'!$C:$C,"South King",'Data - Monthly Metrics'!$D:$D,"Goal - Penetration %"))</formula>
    </cfRule>
    <cfRule type="expression" rank="0" priority="242" equalAverage="0" aboveAverage="0" dxfId="2" stopIfTrue="1" text="" percent="0" bottom="0">
      <formula>AND(ISNUMBER(H105),COUNTIFS('Data - Monthly Metrics'!$A:$A,$B$4,'Data - Monthly Metrics'!$B:$B,H$8,'Data - Monthly Metrics'!$C:$C,"South King",'Data - Monthly Metrics'!$D:$D,"Goal - Penetration %")&gt;0,H105&gt;=SUMIFS('Data - Monthly Metrics'!$E:$E,'Data - Monthly Metrics'!$A:$A,$B$4,'Data - Monthly Metrics'!$B:$B,H$8,'Data - Monthly Metrics'!$C:$C,"South King",'Data - Monthly Metrics'!$D:$D,"Goal - Penetration %")-0.05)</formula>
    </cfRule>
    <cfRule type="expression" rank="0" priority="243" equalAverage="0" aboveAverage="0" dxfId="1" stopIfTrue="1" text="" percent="0" bottom="0">
      <formula>AND(ISNUMBER(H105),COUNTIFS('Data - Monthly Metrics'!$A:$A,$B$4,'Data - Monthly Metrics'!$B:$B,H$8,'Data - Monthly Metrics'!$C:$C,"South King",'Data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Metrics'!$C:$C,"South King",'Data - Monthly Metrics'!$D:$D,"Goal - Penetration %")&gt;0,J105&gt;=SUMIFS('Data - Monthly Metrics'!$E:$E,'Data - Monthly Metrics'!$A:$A,$B$4,'Data - Monthly Metrics'!$B:$B,J$8,'Data - Monthly Metrics'!$C:$C,"South King",'Data - Monthly Metrics'!$D:$D,"Goal - Penetration %"))</formula>
    </cfRule>
    <cfRule type="expression" rank="0" priority="245" equalAverage="0" aboveAverage="0" dxfId="2" stopIfTrue="1" text="" percent="0" bottom="0">
      <formula>AND(ISNUMBER(J105),COUNTIFS('Data - Monthly Metrics'!$A:$A,$B$4,'Data - Monthly Metrics'!$B:$B,J$8,'Data - Monthly Metrics'!$C:$C,"South King",'Data - Monthly Metrics'!$D:$D,"Goal - Penetration %")&gt;0,J105&gt;=SUMIFS('Data - Monthly Metrics'!$E:$E,'Data - Monthly Metrics'!$A:$A,$B$4,'Data - Monthly Metrics'!$B:$B,J$8,'Data - Monthly Metrics'!$C:$C,"South King",'Data - Monthly Metrics'!$D:$D,"Goal - Penetration %")-0.05)</formula>
    </cfRule>
    <cfRule type="expression" rank="0" priority="246" equalAverage="0" aboveAverage="0" dxfId="1" stopIfTrue="1" text="" percent="0" bottom="0">
      <formula>AND(ISNUMBER(J105),COUNTIFS('Data - Monthly Metrics'!$A:$A,$B$4,'Data - Monthly Metrics'!$B:$B,J$8,'Data - Monthly Metrics'!$C:$C,"South King",'Data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Metrics'!$C:$C,"South King",'Data - Monthly Metrics'!$D:$D,"Goal - Penetration %")&gt;0,K105&gt;=SUMIFS('Data - Monthly Metrics'!$E:$E,'Data - Monthly Metrics'!$A:$A,$B$4,'Data - Monthly Metrics'!$B:$B,K$8,'Data - Monthly Metrics'!$C:$C,"South King",'Data - Monthly Metrics'!$D:$D,"Goal - Penetration %"))</formula>
    </cfRule>
    <cfRule type="expression" rank="0" priority="248" equalAverage="0" aboveAverage="0" dxfId="2" stopIfTrue="1" text="" percent="0" bottom="0">
      <formula>AND(ISNUMBER(K105),COUNTIFS('Data - Monthly Metrics'!$A:$A,$B$4,'Data - Monthly Metrics'!$B:$B,K$8,'Data - Monthly Metrics'!$C:$C,"South King",'Data - Monthly Metrics'!$D:$D,"Goal - Penetration %")&gt;0,K105&gt;=SUMIFS('Data - Monthly Metrics'!$E:$E,'Data - Monthly Metrics'!$A:$A,$B$4,'Data - Monthly Metrics'!$B:$B,K$8,'Data - Monthly Metrics'!$C:$C,"South King",'Data - Monthly Metrics'!$D:$D,"Goal - Penetration %")-0.05)</formula>
    </cfRule>
    <cfRule type="expression" rank="0" priority="249" equalAverage="0" aboveAverage="0" dxfId="1" stopIfTrue="1" text="" percent="0" bottom="0">
      <formula>AND(ISNUMBER(K105),COUNTIFS('Data - Monthly Metrics'!$A:$A,$B$4,'Data - Monthly Metrics'!$B:$B,K$8,'Data - Monthly Metrics'!$C:$C,"South King",'Data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Metrics'!$C:$C,"South King",'Data - Monthly Metrics'!$D:$D,"Goal - Penetration %")&gt;0,L105&gt;=SUMIFS('Data - Monthly Metrics'!$E:$E,'Data - Monthly Metrics'!$A:$A,$B$4,'Data - Monthly Metrics'!$B:$B,L$8,'Data - Monthly Metrics'!$C:$C,"South King",'Data - Monthly Metrics'!$D:$D,"Goal - Penetration %"))</formula>
    </cfRule>
    <cfRule type="expression" rank="0" priority="251" equalAverage="0" aboveAverage="0" dxfId="2" stopIfTrue="1" text="" percent="0" bottom="0">
      <formula>AND(ISNUMBER(L105),COUNTIFS('Data - Monthly Metrics'!$A:$A,$B$4,'Data - Monthly Metrics'!$B:$B,L$8,'Data - Monthly Metrics'!$C:$C,"South King",'Data - Monthly Metrics'!$D:$D,"Goal - Penetration %")&gt;0,L105&gt;=SUMIFS('Data - Monthly Metrics'!$E:$E,'Data - Monthly Metrics'!$A:$A,$B$4,'Data - Monthly Metrics'!$B:$B,L$8,'Data - Monthly Metrics'!$C:$C,"South King",'Data - Monthly Metrics'!$D:$D,"Goal - Penetration %")-0.05)</formula>
    </cfRule>
    <cfRule type="expression" rank="0" priority="252" equalAverage="0" aboveAverage="0" dxfId="1" stopIfTrue="1" text="" percent="0" bottom="0">
      <formula>AND(ISNUMBER(L105),COUNTIFS('Data - Monthly Metrics'!$A:$A,$B$4,'Data - Monthly Metrics'!$B:$B,L$8,'Data - Monthly Metrics'!$C:$C,"South King",'Data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Metrics'!$C:$C,"South King",'Data - Monthly Metrics'!$D:$D,"Goal - Penetration %")&gt;0,N105&gt;=SUMIFS('Data - Monthly Metrics'!$E:$E,'Data - Monthly Metrics'!$A:$A,$B$4,'Data - Monthly Metrics'!$B:$B,N$8,'Data - Monthly Metrics'!$C:$C,"South King",'Data - Monthly Metrics'!$D:$D,"Goal - Penetration %"))</formula>
    </cfRule>
    <cfRule type="expression" rank="0" priority="254" equalAverage="0" aboveAverage="0" dxfId="2" stopIfTrue="1" text="" percent="0" bottom="0">
      <formula>AND(ISNUMBER(N105),COUNTIFS('Data - Monthly Metrics'!$A:$A,$B$4,'Data - Monthly Metrics'!$B:$B,N$8,'Data - Monthly Metrics'!$C:$C,"South King",'Data - Monthly Metrics'!$D:$D,"Goal - Penetration %")&gt;0,N105&gt;=SUMIFS('Data - Monthly Metrics'!$E:$E,'Data - Monthly Metrics'!$A:$A,$B$4,'Data - Monthly Metrics'!$B:$B,N$8,'Data - Monthly Metrics'!$C:$C,"South King",'Data - Monthly Metrics'!$D:$D,"Goal - Penetration %")-0.05)</formula>
    </cfRule>
    <cfRule type="expression" rank="0" priority="255" equalAverage="0" aboveAverage="0" dxfId="1" stopIfTrue="1" text="" percent="0" bottom="0">
      <formula>AND(ISNUMBER(N105),COUNTIFS('Data - Monthly Metrics'!$A:$A,$B$4,'Data - Monthly Metrics'!$B:$B,N$8,'Data - Monthly Metrics'!$C:$C,"South King",'Data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Metrics'!$C:$C,"South King",'Data - Monthly Metrics'!$D:$D,"Goal - Penetration %")&gt;0,O105&gt;=SUMIFS('Data - Monthly Metrics'!$E:$E,'Data - Monthly Metrics'!$A:$A,$B$4,'Data - Monthly Metrics'!$B:$B,O$8,'Data - Monthly Metrics'!$C:$C,"South King",'Data - Monthly Metrics'!$D:$D,"Goal - Penetration %"))</formula>
    </cfRule>
    <cfRule type="expression" rank="0" priority="257" equalAverage="0" aboveAverage="0" dxfId="2" stopIfTrue="1" text="" percent="0" bottom="0">
      <formula>AND(ISNUMBER(O105),COUNTIFS('Data - Monthly Metrics'!$A:$A,$B$4,'Data - Monthly Metrics'!$B:$B,O$8,'Data - Monthly Metrics'!$C:$C,"South King",'Data - Monthly Metrics'!$D:$D,"Goal - Penetration %")&gt;0,O105&gt;=SUMIFS('Data - Monthly Metrics'!$E:$E,'Data - Monthly Metrics'!$A:$A,$B$4,'Data - Monthly Metrics'!$B:$B,O$8,'Data - Monthly Metrics'!$C:$C,"South King",'Data - Monthly Metrics'!$D:$D,"Goal - Penetration %")-0.05)</formula>
    </cfRule>
    <cfRule type="expression" rank="0" priority="258" equalAverage="0" aboveAverage="0" dxfId="1" stopIfTrue="1" text="" percent="0" bottom="0">
      <formula>AND(ISNUMBER(O105),COUNTIFS('Data - Monthly Metrics'!$A:$A,$B$4,'Data - Monthly Metrics'!$B:$B,O$8,'Data - Monthly Metrics'!$C:$C,"South King",'Data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Metrics'!$C:$C,"South King",'Data - Monthly Metrics'!$D:$D,"Goal - Penetration %")&gt;0,P105&gt;=SUMIFS('Data - Monthly Metrics'!$E:$E,'Data - Monthly Metrics'!$A:$A,$B$4,'Data - Monthly Metrics'!$B:$B,P$8,'Data - Monthly Metrics'!$C:$C,"South King",'Data - Monthly Metrics'!$D:$D,"Goal - Penetration %"))</formula>
    </cfRule>
    <cfRule type="expression" rank="0" priority="260" equalAverage="0" aboveAverage="0" dxfId="2" stopIfTrue="1" text="" percent="0" bottom="0">
      <formula>AND(ISNUMBER(P105),COUNTIFS('Data - Monthly Metrics'!$A:$A,$B$4,'Data - Monthly Metrics'!$B:$B,P$8,'Data - Monthly Metrics'!$C:$C,"South King",'Data - Monthly Metrics'!$D:$D,"Goal - Penetration %")&gt;0,P105&gt;=SUMIFS('Data - Monthly Metrics'!$E:$E,'Data - Monthly Metrics'!$A:$A,$B$4,'Data - Monthly Metrics'!$B:$B,P$8,'Data - Monthly Metrics'!$C:$C,"South King",'Data - Monthly Metrics'!$D:$D,"Goal - Penetration %")-0.05)</formula>
    </cfRule>
    <cfRule type="expression" rank="0" priority="261" equalAverage="0" aboveAverage="0" dxfId="1" stopIfTrue="1" text="" percent="0" bottom="0">
      <formula>AND(ISNUMBER(P105),COUNTIFS('Data - Monthly Metrics'!$A:$A,$B$4,'Data - Monthly Metrics'!$B:$B,P$8,'Data - Monthly Metrics'!$C:$C,"South King",'Data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Metrics'!$C:$C,"South King",'Data - Monthly Metrics'!$D:$D,"Goal - Penetration %")&gt;0,B106&gt;=SUMIFS('Data - Monthly Metrics'!$E:$E,'Data - Monthly Metrics'!$A:$A,$B$4-1,'Data - Monthly Metrics'!$B:$B,B$8,'Data - Monthly Metrics'!$C:$C,"South King",'Data - Monthly Metrics'!$D:$D,"Goal - Penetration %"))</formula>
    </cfRule>
    <cfRule type="expression" rank="0" priority="263" equalAverage="0" aboveAverage="0" dxfId="2" stopIfTrue="1" text="" percent="0" bottom="0">
      <formula>AND(ISNUMBER(B106),COUNTIFS('Data - Monthly Metrics'!$A:$A,$B$4-1,'Data - Monthly Metrics'!$B:$B,B$8,'Data - Monthly Metrics'!$C:$C,"South King",'Data - Monthly Metrics'!$D:$D,"Goal - Penetration %")&gt;0,B106&gt;=SUMIFS('Data - Monthly Metrics'!$E:$E,'Data - Monthly Metrics'!$A:$A,$B$4-1,'Data - Monthly Metrics'!$B:$B,B$8,'Data - Monthly Metrics'!$C:$C,"South King",'Data - Monthly Metrics'!$D:$D,"Goal - Penetration %")-0.05)</formula>
    </cfRule>
    <cfRule type="expression" rank="0" priority="264" equalAverage="0" aboveAverage="0" dxfId="1" stopIfTrue="1" text="" percent="0" bottom="0">
      <formula>AND(ISNUMBER(B106),COUNTIFS('Data - Monthly Metrics'!$A:$A,$B$4-1,'Data - Monthly Metrics'!$B:$B,B$8,'Data - Monthly Metrics'!$C:$C,"South King",'Data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Metrics'!$C:$C,"South King",'Data - Monthly Metrics'!$D:$D,"Goal - Penetration %")&gt;0,C106&gt;=SUMIFS('Data - Monthly Metrics'!$E:$E,'Data - Monthly Metrics'!$A:$A,$B$4-1,'Data - Monthly Metrics'!$B:$B,C$8,'Data - Monthly Metrics'!$C:$C,"South King",'Data - Monthly Metrics'!$D:$D,"Goal - Penetration %"))</formula>
    </cfRule>
    <cfRule type="expression" rank="0" priority="266" equalAverage="0" aboveAverage="0" dxfId="2" stopIfTrue="1" text="" percent="0" bottom="0">
      <formula>AND(ISNUMBER(C106),COUNTIFS('Data - Monthly Metrics'!$A:$A,$B$4-1,'Data - Monthly Metrics'!$B:$B,C$8,'Data - Monthly Metrics'!$C:$C,"South King",'Data - Monthly Metrics'!$D:$D,"Goal - Penetration %")&gt;0,C106&gt;=SUMIFS('Data - Monthly Metrics'!$E:$E,'Data - Monthly Metrics'!$A:$A,$B$4-1,'Data - Monthly Metrics'!$B:$B,C$8,'Data - Monthly Metrics'!$C:$C,"South King",'Data - Monthly Metrics'!$D:$D,"Goal - Penetration %")-0.05)</formula>
    </cfRule>
    <cfRule type="expression" rank="0" priority="267" equalAverage="0" aboveAverage="0" dxfId="1" stopIfTrue="1" text="" percent="0" bottom="0">
      <formula>AND(ISNUMBER(C106),COUNTIFS('Data - Monthly Metrics'!$A:$A,$B$4-1,'Data - Monthly Metrics'!$B:$B,C$8,'Data - Monthly Metrics'!$C:$C,"South King",'Data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Metrics'!$C:$C,"South King",'Data - Monthly Metrics'!$D:$D,"Goal - Penetration %")&gt;0,D106&gt;=SUMIFS('Data - Monthly Metrics'!$E:$E,'Data - Monthly Metrics'!$A:$A,$B$4-1,'Data - Monthly Metrics'!$B:$B,D$8,'Data - Monthly Metrics'!$C:$C,"South King",'Data - Monthly Metrics'!$D:$D,"Goal - Penetration %"))</formula>
    </cfRule>
    <cfRule type="expression" rank="0" priority="269" equalAverage="0" aboveAverage="0" dxfId="2" stopIfTrue="1" text="" percent="0" bottom="0">
      <formula>AND(ISNUMBER(D106),COUNTIFS('Data - Monthly Metrics'!$A:$A,$B$4-1,'Data - Monthly Metrics'!$B:$B,D$8,'Data - Monthly Metrics'!$C:$C,"South King",'Data - Monthly Metrics'!$D:$D,"Goal - Penetration %")&gt;0,D106&gt;=SUMIFS('Data - Monthly Metrics'!$E:$E,'Data - Monthly Metrics'!$A:$A,$B$4-1,'Data - Monthly Metrics'!$B:$B,D$8,'Data - Monthly Metrics'!$C:$C,"South King",'Data - Monthly Metrics'!$D:$D,"Goal - Penetration %")-0.05)</formula>
    </cfRule>
    <cfRule type="expression" rank="0" priority="270" equalAverage="0" aboveAverage="0" dxfId="1" stopIfTrue="1" text="" percent="0" bottom="0">
      <formula>AND(ISNUMBER(D106),COUNTIFS('Data - Monthly Metrics'!$A:$A,$B$4-1,'Data - Monthly Metrics'!$B:$B,D$8,'Data - Monthly Metrics'!$C:$C,"South King",'Data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Metrics'!$C:$C,"South King",'Data - Monthly Metrics'!$D:$D,"Goal - Penetration %")&gt;0,F106&gt;=SUMIFS('Data - Monthly Metrics'!$E:$E,'Data - Monthly Metrics'!$A:$A,$B$4,'Data - Monthly Metrics'!$B:$B,F$8,'Data - Monthly Metrics'!$C:$C,"South King",'Data - Monthly Metrics'!$D:$D,"Goal - Penetration %"))</formula>
    </cfRule>
    <cfRule type="expression" rank="0" priority="272" equalAverage="0" aboveAverage="0" dxfId="2" stopIfTrue="1" text="" percent="0" bottom="0">
      <formula>AND(ISNUMBER(F106),COUNTIFS('Data - Monthly Metrics'!$A:$A,$B$4,'Data - Monthly Metrics'!$B:$B,F$8,'Data - Monthly Metrics'!$C:$C,"South King",'Data - Monthly Metrics'!$D:$D,"Goal - Penetration %")&gt;0,F106&gt;=SUMIFS('Data - Monthly Metrics'!$E:$E,'Data - Monthly Metrics'!$A:$A,$B$4,'Data - Monthly Metrics'!$B:$B,F$8,'Data - Monthly Metrics'!$C:$C,"South King",'Data - Monthly Metrics'!$D:$D,"Goal - Penetration %")-0.05)</formula>
    </cfRule>
    <cfRule type="expression" rank="0" priority="273" equalAverage="0" aboveAverage="0" dxfId="1" stopIfTrue="1" text="" percent="0" bottom="0">
      <formula>AND(ISNUMBER(F106),COUNTIFS('Data - Monthly Metrics'!$A:$A,$B$4,'Data - Monthly Metrics'!$B:$B,F$8,'Data - Monthly Metrics'!$C:$C,"South King",'Data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Metrics'!$C:$C,"South King",'Data - Monthly Metrics'!$D:$D,"Goal - Penetration %")&gt;0,G106&gt;=SUMIFS('Data - Monthly Metrics'!$E:$E,'Data - Monthly Metrics'!$A:$A,$B$4,'Data - Monthly Metrics'!$B:$B,G$8,'Data - Monthly Metrics'!$C:$C,"South King",'Data - Monthly Metrics'!$D:$D,"Goal - Penetration %"))</formula>
    </cfRule>
    <cfRule type="expression" rank="0" priority="275" equalAverage="0" aboveAverage="0" dxfId="2" stopIfTrue="1" text="" percent="0" bottom="0">
      <formula>AND(ISNUMBER(G106),COUNTIFS('Data - Monthly Metrics'!$A:$A,$B$4,'Data - Monthly Metrics'!$B:$B,G$8,'Data - Monthly Metrics'!$C:$C,"South King",'Data - Monthly Metrics'!$D:$D,"Goal - Penetration %")&gt;0,G106&gt;=SUMIFS('Data - Monthly Metrics'!$E:$E,'Data - Monthly Metrics'!$A:$A,$B$4,'Data - Monthly Metrics'!$B:$B,G$8,'Data - Monthly Metrics'!$C:$C,"South King",'Data - Monthly Metrics'!$D:$D,"Goal - Penetration %")-0.05)</formula>
    </cfRule>
    <cfRule type="expression" rank="0" priority="276" equalAverage="0" aboveAverage="0" dxfId="1" stopIfTrue="1" text="" percent="0" bottom="0">
      <formula>AND(ISNUMBER(G106),COUNTIFS('Data - Monthly Metrics'!$A:$A,$B$4,'Data - Monthly Metrics'!$B:$B,G$8,'Data - Monthly Metrics'!$C:$C,"South King",'Data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Metrics'!$C:$C,"South King",'Data - Monthly Metrics'!$D:$D,"Goal - Penetration %")&gt;0,H106&gt;=SUMIFS('Data - Monthly Metrics'!$E:$E,'Data - Monthly Metrics'!$A:$A,$B$4,'Data - Monthly Metrics'!$B:$B,H$8,'Data - Monthly Metrics'!$C:$C,"South King",'Data - Monthly Metrics'!$D:$D,"Goal - Penetration %"))</formula>
    </cfRule>
    <cfRule type="expression" rank="0" priority="278" equalAverage="0" aboveAverage="0" dxfId="2" stopIfTrue="1" text="" percent="0" bottom="0">
      <formula>AND(ISNUMBER(H106),COUNTIFS('Data - Monthly Metrics'!$A:$A,$B$4,'Data - Monthly Metrics'!$B:$B,H$8,'Data - Monthly Metrics'!$C:$C,"South King",'Data - Monthly Metrics'!$D:$D,"Goal - Penetration %")&gt;0,H106&gt;=SUMIFS('Data - Monthly Metrics'!$E:$E,'Data - Monthly Metrics'!$A:$A,$B$4,'Data - Monthly Metrics'!$B:$B,H$8,'Data - Monthly Metrics'!$C:$C,"South King",'Data - Monthly Metrics'!$D:$D,"Goal - Penetration %")-0.05)</formula>
    </cfRule>
    <cfRule type="expression" rank="0" priority="279" equalAverage="0" aboveAverage="0" dxfId="1" stopIfTrue="1" text="" percent="0" bottom="0">
      <formula>AND(ISNUMBER(H106),COUNTIFS('Data - Monthly Metrics'!$A:$A,$B$4,'Data - Monthly Metrics'!$B:$B,H$8,'Data - Monthly Metrics'!$C:$C,"South King",'Data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Metrics'!$C:$C,"South King",'Data - Monthly Metrics'!$D:$D,"Goal - Penetration %")&gt;0,J106&gt;=SUMIFS('Data - Monthly Metrics'!$E:$E,'Data - Monthly Metrics'!$A:$A,$B$4,'Data - Monthly Metrics'!$B:$B,J$8,'Data - Monthly Metrics'!$C:$C,"South King",'Data - Monthly Metrics'!$D:$D,"Goal - Penetration %"))</formula>
    </cfRule>
    <cfRule type="expression" rank="0" priority="281" equalAverage="0" aboveAverage="0" dxfId="2" stopIfTrue="1" text="" percent="0" bottom="0">
      <formula>AND(ISNUMBER(J106),COUNTIFS('Data - Monthly Metrics'!$A:$A,$B$4,'Data - Monthly Metrics'!$B:$B,J$8,'Data - Monthly Metrics'!$C:$C,"South King",'Data - Monthly Metrics'!$D:$D,"Goal - Penetration %")&gt;0,J106&gt;=SUMIFS('Data - Monthly Metrics'!$E:$E,'Data - Monthly Metrics'!$A:$A,$B$4,'Data - Monthly Metrics'!$B:$B,J$8,'Data - Monthly Metrics'!$C:$C,"South King",'Data - Monthly Metrics'!$D:$D,"Goal - Penetration %")-0.05)</formula>
    </cfRule>
    <cfRule type="expression" rank="0" priority="282" equalAverage="0" aboveAverage="0" dxfId="1" stopIfTrue="1" text="" percent="0" bottom="0">
      <formula>AND(ISNUMBER(J106),COUNTIFS('Data - Monthly Metrics'!$A:$A,$B$4,'Data - Monthly Metrics'!$B:$B,J$8,'Data - Monthly Metrics'!$C:$C,"South King",'Data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Metrics'!$C:$C,"South King",'Data - Monthly Metrics'!$D:$D,"Goal - Penetration %")&gt;0,K106&gt;=SUMIFS('Data - Monthly Metrics'!$E:$E,'Data - Monthly Metrics'!$A:$A,$B$4,'Data - Monthly Metrics'!$B:$B,K$8,'Data - Monthly Metrics'!$C:$C,"South King",'Data - Monthly Metrics'!$D:$D,"Goal - Penetration %"))</formula>
    </cfRule>
    <cfRule type="expression" rank="0" priority="284" equalAverage="0" aboveAverage="0" dxfId="2" stopIfTrue="1" text="" percent="0" bottom="0">
      <formula>AND(ISNUMBER(K106),COUNTIFS('Data - Monthly Metrics'!$A:$A,$B$4,'Data - Monthly Metrics'!$B:$B,K$8,'Data - Monthly Metrics'!$C:$C,"South King",'Data - Monthly Metrics'!$D:$D,"Goal - Penetration %")&gt;0,K106&gt;=SUMIFS('Data - Monthly Metrics'!$E:$E,'Data - Monthly Metrics'!$A:$A,$B$4,'Data - Monthly Metrics'!$B:$B,K$8,'Data - Monthly Metrics'!$C:$C,"South King",'Data - Monthly Metrics'!$D:$D,"Goal - Penetration %")-0.05)</formula>
    </cfRule>
    <cfRule type="expression" rank="0" priority="285" equalAverage="0" aboveAverage="0" dxfId="1" stopIfTrue="1" text="" percent="0" bottom="0">
      <formula>AND(ISNUMBER(K106),COUNTIFS('Data - Monthly Metrics'!$A:$A,$B$4,'Data - Monthly Metrics'!$B:$B,K$8,'Data - Monthly Metrics'!$C:$C,"South King",'Data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Metrics'!$C:$C,"South King",'Data - Monthly Metrics'!$D:$D,"Goal - Penetration %")&gt;0,L106&gt;=SUMIFS('Data - Monthly Metrics'!$E:$E,'Data - Monthly Metrics'!$A:$A,$B$4,'Data - Monthly Metrics'!$B:$B,L$8,'Data - Monthly Metrics'!$C:$C,"South King",'Data - Monthly Metrics'!$D:$D,"Goal - Penetration %"))</formula>
    </cfRule>
    <cfRule type="expression" rank="0" priority="287" equalAverage="0" aboveAverage="0" dxfId="2" stopIfTrue="1" text="" percent="0" bottom="0">
      <formula>AND(ISNUMBER(L106),COUNTIFS('Data - Monthly Metrics'!$A:$A,$B$4,'Data - Monthly Metrics'!$B:$B,L$8,'Data - Monthly Metrics'!$C:$C,"South King",'Data - Monthly Metrics'!$D:$D,"Goal - Penetration %")&gt;0,L106&gt;=SUMIFS('Data - Monthly Metrics'!$E:$E,'Data - Monthly Metrics'!$A:$A,$B$4,'Data - Monthly Metrics'!$B:$B,L$8,'Data - Monthly Metrics'!$C:$C,"South King",'Data - Monthly Metrics'!$D:$D,"Goal - Penetration %")-0.05)</formula>
    </cfRule>
    <cfRule type="expression" rank="0" priority="288" equalAverage="0" aboveAverage="0" dxfId="1" stopIfTrue="1" text="" percent="0" bottom="0">
      <formula>AND(ISNUMBER(L106),COUNTIFS('Data - Monthly Metrics'!$A:$A,$B$4,'Data - Monthly Metrics'!$B:$B,L$8,'Data - Monthly Metrics'!$C:$C,"South King",'Data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Metrics'!$C:$C,"South King",'Data - Monthly Metrics'!$D:$D,"Goal - Penetration %")&gt;0,N106&gt;=SUMIFS('Data - Monthly Metrics'!$E:$E,'Data - Monthly Metrics'!$A:$A,$B$4,'Data - Monthly Metrics'!$B:$B,N$8,'Data - Monthly Metrics'!$C:$C,"South King",'Data - Monthly Metrics'!$D:$D,"Goal - Penetration %"))</formula>
    </cfRule>
    <cfRule type="expression" rank="0" priority="290" equalAverage="0" aboveAverage="0" dxfId="2" stopIfTrue="1" text="" percent="0" bottom="0">
      <formula>AND(ISNUMBER(N106),COUNTIFS('Data - Monthly Metrics'!$A:$A,$B$4,'Data - Monthly Metrics'!$B:$B,N$8,'Data - Monthly Metrics'!$C:$C,"South King",'Data - Monthly Metrics'!$D:$D,"Goal - Penetration %")&gt;0,N106&gt;=SUMIFS('Data - Monthly Metrics'!$E:$E,'Data - Monthly Metrics'!$A:$A,$B$4,'Data - Monthly Metrics'!$B:$B,N$8,'Data - Monthly Metrics'!$C:$C,"South King",'Data - Monthly Metrics'!$D:$D,"Goal - Penetration %")-0.05)</formula>
    </cfRule>
    <cfRule type="expression" rank="0" priority="291" equalAverage="0" aboveAverage="0" dxfId="1" stopIfTrue="1" text="" percent="0" bottom="0">
      <formula>AND(ISNUMBER(N106),COUNTIFS('Data - Monthly Metrics'!$A:$A,$B$4,'Data - Monthly Metrics'!$B:$B,N$8,'Data - Monthly Metrics'!$C:$C,"South King",'Data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Metrics'!$C:$C,"South King",'Data - Monthly Metrics'!$D:$D,"Goal - Penetration %")&gt;0,O106&gt;=SUMIFS('Data - Monthly Metrics'!$E:$E,'Data - Monthly Metrics'!$A:$A,$B$4,'Data - Monthly Metrics'!$B:$B,O$8,'Data - Monthly Metrics'!$C:$C,"South King",'Data - Monthly Metrics'!$D:$D,"Goal - Penetration %"))</formula>
    </cfRule>
    <cfRule type="expression" rank="0" priority="293" equalAverage="0" aboveAverage="0" dxfId="2" stopIfTrue="1" text="" percent="0" bottom="0">
      <formula>AND(ISNUMBER(O106),COUNTIFS('Data - Monthly Metrics'!$A:$A,$B$4,'Data - Monthly Metrics'!$B:$B,O$8,'Data - Monthly Metrics'!$C:$C,"South King",'Data - Monthly Metrics'!$D:$D,"Goal - Penetration %")&gt;0,O106&gt;=SUMIFS('Data - Monthly Metrics'!$E:$E,'Data - Monthly Metrics'!$A:$A,$B$4,'Data - Monthly Metrics'!$B:$B,O$8,'Data - Monthly Metrics'!$C:$C,"South King",'Data - Monthly Metrics'!$D:$D,"Goal - Penetration %")-0.05)</formula>
    </cfRule>
    <cfRule type="expression" rank="0" priority="294" equalAverage="0" aboveAverage="0" dxfId="1" stopIfTrue="1" text="" percent="0" bottom="0">
      <formula>AND(ISNUMBER(O106),COUNTIFS('Data - Monthly Metrics'!$A:$A,$B$4,'Data - Monthly Metrics'!$B:$B,O$8,'Data - Monthly Metrics'!$C:$C,"South King",'Data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Metrics'!$C:$C,"South King",'Data - Monthly Metrics'!$D:$D,"Goal - Penetration %")&gt;0,P106&gt;=SUMIFS('Data - Monthly Metrics'!$E:$E,'Data - Monthly Metrics'!$A:$A,$B$4,'Data - Monthly Metrics'!$B:$B,P$8,'Data - Monthly Metrics'!$C:$C,"South King",'Data - Monthly Metrics'!$D:$D,"Goal - Penetration %"))</formula>
    </cfRule>
    <cfRule type="expression" rank="0" priority="296" equalAverage="0" aboveAverage="0" dxfId="2" stopIfTrue="1" text="" percent="0" bottom="0">
      <formula>AND(ISNUMBER(P106),COUNTIFS('Data - Monthly Metrics'!$A:$A,$B$4,'Data - Monthly Metrics'!$B:$B,P$8,'Data - Monthly Metrics'!$C:$C,"South King",'Data - Monthly Metrics'!$D:$D,"Goal - Penetration %")&gt;0,P106&gt;=SUMIFS('Data - Monthly Metrics'!$E:$E,'Data - Monthly Metrics'!$A:$A,$B$4,'Data - Monthly Metrics'!$B:$B,P$8,'Data - Monthly Metrics'!$C:$C,"South King",'Data - Monthly Metrics'!$D:$D,"Goal - Penetration %")-0.05)</formula>
    </cfRule>
    <cfRule type="expression" rank="0" priority="297" equalAverage="0" aboveAverage="0" dxfId="1" stopIfTrue="1" text="" percent="0" bottom="0">
      <formula>AND(ISNUMBER(P106),COUNTIFS('Data - Monthly Metrics'!$A:$A,$B$4,'Data - Monthly Metrics'!$B:$B,P$8,'Data - Monthly Metrics'!$C:$C,"South King",'Data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Metrics'!$C:$C,"South King",'Data - Monthly Metrics'!$D:$D,"Goal - Penetration %")&gt;0,B107&gt;=SUMIFS('Data - Monthly Metrics'!$E:$E,'Data - Monthly Metrics'!$A:$A,$B$4-1,'Data - Monthly Metrics'!$B:$B,B$8,'Data - Monthly Metrics'!$C:$C,"South King",'Data - Monthly Metrics'!$D:$D,"Goal - Penetration %"))</formula>
    </cfRule>
    <cfRule type="expression" rank="0" priority="299" equalAverage="0" aboveAverage="0" dxfId="2" stopIfTrue="1" text="" percent="0" bottom="0">
      <formula>AND(ISNUMBER(B107),COUNTIFS('Data - Monthly Metrics'!$A:$A,$B$4-1,'Data - Monthly Metrics'!$B:$B,B$8,'Data - Monthly Metrics'!$C:$C,"South King",'Data - Monthly Metrics'!$D:$D,"Goal - Penetration %")&gt;0,B107&gt;=SUMIFS('Data - Monthly Metrics'!$E:$E,'Data - Monthly Metrics'!$A:$A,$B$4-1,'Data - Monthly Metrics'!$B:$B,B$8,'Data - Monthly Metrics'!$C:$C,"South King",'Data - Monthly Metrics'!$D:$D,"Goal - Penetration %")-0.05)</formula>
    </cfRule>
    <cfRule type="expression" rank="0" priority="300" equalAverage="0" aboveAverage="0" dxfId="1" stopIfTrue="1" text="" percent="0" bottom="0">
      <formula>AND(ISNUMBER(B107),COUNTIFS('Data - Monthly Metrics'!$A:$A,$B$4-1,'Data - Monthly Metrics'!$B:$B,B$8,'Data - Monthly Metrics'!$C:$C,"South King",'Data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Metrics'!$C:$C,"South King",'Data - Monthly Metrics'!$D:$D,"Goal - Penetration %")&gt;0,C107&gt;=SUMIFS('Data - Monthly Metrics'!$E:$E,'Data - Monthly Metrics'!$A:$A,$B$4-1,'Data - Monthly Metrics'!$B:$B,C$8,'Data - Monthly Metrics'!$C:$C,"South King",'Data - Monthly Metrics'!$D:$D,"Goal - Penetration %"))</formula>
    </cfRule>
    <cfRule type="expression" rank="0" priority="302" equalAverage="0" aboveAverage="0" dxfId="2" stopIfTrue="1" text="" percent="0" bottom="0">
      <formula>AND(ISNUMBER(C107),COUNTIFS('Data - Monthly Metrics'!$A:$A,$B$4-1,'Data - Monthly Metrics'!$B:$B,C$8,'Data - Monthly Metrics'!$C:$C,"South King",'Data - Monthly Metrics'!$D:$D,"Goal - Penetration %")&gt;0,C107&gt;=SUMIFS('Data - Monthly Metrics'!$E:$E,'Data - Monthly Metrics'!$A:$A,$B$4-1,'Data - Monthly Metrics'!$B:$B,C$8,'Data - Monthly Metrics'!$C:$C,"South King",'Data - Monthly Metrics'!$D:$D,"Goal - Penetration %")-0.05)</formula>
    </cfRule>
    <cfRule type="expression" rank="0" priority="303" equalAverage="0" aboveAverage="0" dxfId="1" stopIfTrue="1" text="" percent="0" bottom="0">
      <formula>AND(ISNUMBER(C107),COUNTIFS('Data - Monthly Metrics'!$A:$A,$B$4-1,'Data - Monthly Metrics'!$B:$B,C$8,'Data - Monthly Metrics'!$C:$C,"South King",'Data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Metrics'!$C:$C,"South King",'Data - Monthly Metrics'!$D:$D,"Goal - Penetration %")&gt;0,D107&gt;=SUMIFS('Data - Monthly Metrics'!$E:$E,'Data - Monthly Metrics'!$A:$A,$B$4-1,'Data - Monthly Metrics'!$B:$B,D$8,'Data - Monthly Metrics'!$C:$C,"South King",'Data - Monthly Metrics'!$D:$D,"Goal - Penetration %"))</formula>
    </cfRule>
    <cfRule type="expression" rank="0" priority="305" equalAverage="0" aboveAverage="0" dxfId="2" stopIfTrue="1" text="" percent="0" bottom="0">
      <formula>AND(ISNUMBER(D107),COUNTIFS('Data - Monthly Metrics'!$A:$A,$B$4-1,'Data - Monthly Metrics'!$B:$B,D$8,'Data - Monthly Metrics'!$C:$C,"South King",'Data - Monthly Metrics'!$D:$D,"Goal - Penetration %")&gt;0,D107&gt;=SUMIFS('Data - Monthly Metrics'!$E:$E,'Data - Monthly Metrics'!$A:$A,$B$4-1,'Data - Monthly Metrics'!$B:$B,D$8,'Data - Monthly Metrics'!$C:$C,"South King",'Data - Monthly Metrics'!$D:$D,"Goal - Penetration %")-0.05)</formula>
    </cfRule>
    <cfRule type="expression" rank="0" priority="306" equalAverage="0" aboveAverage="0" dxfId="1" stopIfTrue="1" text="" percent="0" bottom="0">
      <formula>AND(ISNUMBER(D107),COUNTIFS('Data - Monthly Metrics'!$A:$A,$B$4-1,'Data - Monthly Metrics'!$B:$B,D$8,'Data - Monthly Metrics'!$C:$C,"South King",'Data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Metrics'!$C:$C,"South King",'Data - Monthly Metrics'!$D:$D,"Goal - Penetration %")&gt;0,F107&gt;=SUMIFS('Data - Monthly Metrics'!$E:$E,'Data - Monthly Metrics'!$A:$A,$B$4,'Data - Monthly Metrics'!$B:$B,F$8,'Data - Monthly Metrics'!$C:$C,"South King",'Data - Monthly Metrics'!$D:$D,"Goal - Penetration %"))</formula>
    </cfRule>
    <cfRule type="expression" rank="0" priority="308" equalAverage="0" aboveAverage="0" dxfId="2" stopIfTrue="1" text="" percent="0" bottom="0">
      <formula>AND(ISNUMBER(F107),COUNTIFS('Data - Monthly Metrics'!$A:$A,$B$4,'Data - Monthly Metrics'!$B:$B,F$8,'Data - Monthly Metrics'!$C:$C,"South King",'Data - Monthly Metrics'!$D:$D,"Goal - Penetration %")&gt;0,F107&gt;=SUMIFS('Data - Monthly Metrics'!$E:$E,'Data - Monthly Metrics'!$A:$A,$B$4,'Data - Monthly Metrics'!$B:$B,F$8,'Data - Monthly Metrics'!$C:$C,"South King",'Data - Monthly Metrics'!$D:$D,"Goal - Penetration %")-0.05)</formula>
    </cfRule>
    <cfRule type="expression" rank="0" priority="309" equalAverage="0" aboveAverage="0" dxfId="1" stopIfTrue="1" text="" percent="0" bottom="0">
      <formula>AND(ISNUMBER(F107),COUNTIFS('Data - Monthly Metrics'!$A:$A,$B$4,'Data - Monthly Metrics'!$B:$B,F$8,'Data - Monthly Metrics'!$C:$C,"South King",'Data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Metrics'!$C:$C,"South King",'Data - Monthly Metrics'!$D:$D,"Goal - Penetration %")&gt;0,G107&gt;=SUMIFS('Data - Monthly Metrics'!$E:$E,'Data - Monthly Metrics'!$A:$A,$B$4,'Data - Monthly Metrics'!$B:$B,G$8,'Data - Monthly Metrics'!$C:$C,"South King",'Data - Monthly Metrics'!$D:$D,"Goal - Penetration %"))</formula>
    </cfRule>
    <cfRule type="expression" rank="0" priority="311" equalAverage="0" aboveAverage="0" dxfId="2" stopIfTrue="1" text="" percent="0" bottom="0">
      <formula>AND(ISNUMBER(G107),COUNTIFS('Data - Monthly Metrics'!$A:$A,$B$4,'Data - Monthly Metrics'!$B:$B,G$8,'Data - Monthly Metrics'!$C:$C,"South King",'Data - Monthly Metrics'!$D:$D,"Goal - Penetration %")&gt;0,G107&gt;=SUMIFS('Data - Monthly Metrics'!$E:$E,'Data - Monthly Metrics'!$A:$A,$B$4,'Data - Monthly Metrics'!$B:$B,G$8,'Data - Monthly Metrics'!$C:$C,"South King",'Data - Monthly Metrics'!$D:$D,"Goal - Penetration %")-0.05)</formula>
    </cfRule>
    <cfRule type="expression" rank="0" priority="312" equalAverage="0" aboveAverage="0" dxfId="1" stopIfTrue="1" text="" percent="0" bottom="0">
      <formula>AND(ISNUMBER(G107),COUNTIFS('Data - Monthly Metrics'!$A:$A,$B$4,'Data - Monthly Metrics'!$B:$B,G$8,'Data - Monthly Metrics'!$C:$C,"South King",'Data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Metrics'!$C:$C,"South King",'Data - Monthly Metrics'!$D:$D,"Goal - Penetration %")&gt;0,H107&gt;=SUMIFS('Data - Monthly Metrics'!$E:$E,'Data - Monthly Metrics'!$A:$A,$B$4,'Data - Monthly Metrics'!$B:$B,H$8,'Data - Monthly Metrics'!$C:$C,"South King",'Data - Monthly Metrics'!$D:$D,"Goal - Penetration %"))</formula>
    </cfRule>
    <cfRule type="expression" rank="0" priority="314" equalAverage="0" aboveAverage="0" dxfId="2" stopIfTrue="1" text="" percent="0" bottom="0">
      <formula>AND(ISNUMBER(H107),COUNTIFS('Data - Monthly Metrics'!$A:$A,$B$4,'Data - Monthly Metrics'!$B:$B,H$8,'Data - Monthly Metrics'!$C:$C,"South King",'Data - Monthly Metrics'!$D:$D,"Goal - Penetration %")&gt;0,H107&gt;=SUMIFS('Data - Monthly Metrics'!$E:$E,'Data - Monthly Metrics'!$A:$A,$B$4,'Data - Monthly Metrics'!$B:$B,H$8,'Data - Monthly Metrics'!$C:$C,"South King",'Data - Monthly Metrics'!$D:$D,"Goal - Penetration %")-0.05)</formula>
    </cfRule>
    <cfRule type="expression" rank="0" priority="315" equalAverage="0" aboveAverage="0" dxfId="1" stopIfTrue="1" text="" percent="0" bottom="0">
      <formula>AND(ISNUMBER(H107),COUNTIFS('Data - Monthly Metrics'!$A:$A,$B$4,'Data - Monthly Metrics'!$B:$B,H$8,'Data - Monthly Metrics'!$C:$C,"South King",'Data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Metrics'!$C:$C,"South King",'Data - Monthly Metrics'!$D:$D,"Goal - Penetration %")&gt;0,J107&gt;=SUMIFS('Data - Monthly Metrics'!$E:$E,'Data - Monthly Metrics'!$A:$A,$B$4,'Data - Monthly Metrics'!$B:$B,J$8,'Data - Monthly Metrics'!$C:$C,"South King",'Data - Monthly Metrics'!$D:$D,"Goal - Penetration %"))</formula>
    </cfRule>
    <cfRule type="expression" rank="0" priority="317" equalAverage="0" aboveAverage="0" dxfId="2" stopIfTrue="1" text="" percent="0" bottom="0">
      <formula>AND(ISNUMBER(J107),COUNTIFS('Data - Monthly Metrics'!$A:$A,$B$4,'Data - Monthly Metrics'!$B:$B,J$8,'Data - Monthly Metrics'!$C:$C,"South King",'Data - Monthly Metrics'!$D:$D,"Goal - Penetration %")&gt;0,J107&gt;=SUMIFS('Data - Monthly Metrics'!$E:$E,'Data - Monthly Metrics'!$A:$A,$B$4,'Data - Monthly Metrics'!$B:$B,J$8,'Data - Monthly Metrics'!$C:$C,"South King",'Data - Monthly Metrics'!$D:$D,"Goal - Penetration %")-0.05)</formula>
    </cfRule>
    <cfRule type="expression" rank="0" priority="318" equalAverage="0" aboveAverage="0" dxfId="1" stopIfTrue="1" text="" percent="0" bottom="0">
      <formula>AND(ISNUMBER(J107),COUNTIFS('Data - Monthly Metrics'!$A:$A,$B$4,'Data - Monthly Metrics'!$B:$B,J$8,'Data - Monthly Metrics'!$C:$C,"South King",'Data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Metrics'!$C:$C,"South King",'Data - Monthly Metrics'!$D:$D,"Goal - Penetration %")&gt;0,K107&gt;=SUMIFS('Data - Monthly Metrics'!$E:$E,'Data - Monthly Metrics'!$A:$A,$B$4,'Data - Monthly Metrics'!$B:$B,K$8,'Data - Monthly Metrics'!$C:$C,"South King",'Data - Monthly Metrics'!$D:$D,"Goal - Penetration %"))</formula>
    </cfRule>
    <cfRule type="expression" rank="0" priority="320" equalAverage="0" aboveAverage="0" dxfId="2" stopIfTrue="1" text="" percent="0" bottom="0">
      <formula>AND(ISNUMBER(K107),COUNTIFS('Data - Monthly Metrics'!$A:$A,$B$4,'Data - Monthly Metrics'!$B:$B,K$8,'Data - Monthly Metrics'!$C:$C,"South King",'Data - Monthly Metrics'!$D:$D,"Goal - Penetration %")&gt;0,K107&gt;=SUMIFS('Data - Monthly Metrics'!$E:$E,'Data - Monthly Metrics'!$A:$A,$B$4,'Data - Monthly Metrics'!$B:$B,K$8,'Data - Monthly Metrics'!$C:$C,"South King",'Data - Monthly Metrics'!$D:$D,"Goal - Penetration %")-0.05)</formula>
    </cfRule>
    <cfRule type="expression" rank="0" priority="321" equalAverage="0" aboveAverage="0" dxfId="1" stopIfTrue="1" text="" percent="0" bottom="0">
      <formula>AND(ISNUMBER(K107),COUNTIFS('Data - Monthly Metrics'!$A:$A,$B$4,'Data - Monthly Metrics'!$B:$B,K$8,'Data - Monthly Metrics'!$C:$C,"South King",'Data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Metrics'!$C:$C,"South King",'Data - Monthly Metrics'!$D:$D,"Goal - Penetration %")&gt;0,L107&gt;=SUMIFS('Data - Monthly Metrics'!$E:$E,'Data - Monthly Metrics'!$A:$A,$B$4,'Data - Monthly Metrics'!$B:$B,L$8,'Data - Monthly Metrics'!$C:$C,"South King",'Data - Monthly Metrics'!$D:$D,"Goal - Penetration %"))</formula>
    </cfRule>
    <cfRule type="expression" rank="0" priority="323" equalAverage="0" aboveAverage="0" dxfId="2" stopIfTrue="1" text="" percent="0" bottom="0">
      <formula>AND(ISNUMBER(L107),COUNTIFS('Data - Monthly Metrics'!$A:$A,$B$4,'Data - Monthly Metrics'!$B:$B,L$8,'Data - Monthly Metrics'!$C:$C,"South King",'Data - Monthly Metrics'!$D:$D,"Goal - Penetration %")&gt;0,L107&gt;=SUMIFS('Data - Monthly Metrics'!$E:$E,'Data - Monthly Metrics'!$A:$A,$B$4,'Data - Monthly Metrics'!$B:$B,L$8,'Data - Monthly Metrics'!$C:$C,"South King",'Data - Monthly Metrics'!$D:$D,"Goal - Penetration %")-0.05)</formula>
    </cfRule>
    <cfRule type="expression" rank="0" priority="324" equalAverage="0" aboveAverage="0" dxfId="1" stopIfTrue="1" text="" percent="0" bottom="0">
      <formula>AND(ISNUMBER(L107),COUNTIFS('Data - Monthly Metrics'!$A:$A,$B$4,'Data - Monthly Metrics'!$B:$B,L$8,'Data - Monthly Metrics'!$C:$C,"South King",'Data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Metrics'!$C:$C,"South King",'Data - Monthly Metrics'!$D:$D,"Goal - Penetration %")&gt;0,N107&gt;=SUMIFS('Data - Monthly Metrics'!$E:$E,'Data - Monthly Metrics'!$A:$A,$B$4,'Data - Monthly Metrics'!$B:$B,N$8,'Data - Monthly Metrics'!$C:$C,"South King",'Data - Monthly Metrics'!$D:$D,"Goal - Penetration %"))</formula>
    </cfRule>
    <cfRule type="expression" rank="0" priority="326" equalAverage="0" aboveAverage="0" dxfId="2" stopIfTrue="1" text="" percent="0" bottom="0">
      <formula>AND(ISNUMBER(N107),COUNTIFS('Data - Monthly Metrics'!$A:$A,$B$4,'Data - Monthly Metrics'!$B:$B,N$8,'Data - Monthly Metrics'!$C:$C,"South King",'Data - Monthly Metrics'!$D:$D,"Goal - Penetration %")&gt;0,N107&gt;=SUMIFS('Data - Monthly Metrics'!$E:$E,'Data - Monthly Metrics'!$A:$A,$B$4,'Data - Monthly Metrics'!$B:$B,N$8,'Data - Monthly Metrics'!$C:$C,"South King",'Data - Monthly Metrics'!$D:$D,"Goal - Penetration %")-0.05)</formula>
    </cfRule>
    <cfRule type="expression" rank="0" priority="327" equalAverage="0" aboveAverage="0" dxfId="1" stopIfTrue="1" text="" percent="0" bottom="0">
      <formula>AND(ISNUMBER(N107),COUNTIFS('Data - Monthly Metrics'!$A:$A,$B$4,'Data - Monthly Metrics'!$B:$B,N$8,'Data - Monthly Metrics'!$C:$C,"South King",'Data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Metrics'!$C:$C,"South King",'Data - Monthly Metrics'!$D:$D,"Goal - Penetration %")&gt;0,O107&gt;=SUMIFS('Data - Monthly Metrics'!$E:$E,'Data - Monthly Metrics'!$A:$A,$B$4,'Data - Monthly Metrics'!$B:$B,O$8,'Data - Monthly Metrics'!$C:$C,"South King",'Data - Monthly Metrics'!$D:$D,"Goal - Penetration %"))</formula>
    </cfRule>
    <cfRule type="expression" rank="0" priority="329" equalAverage="0" aboveAverage="0" dxfId="2" stopIfTrue="1" text="" percent="0" bottom="0">
      <formula>AND(ISNUMBER(O107),COUNTIFS('Data - Monthly Metrics'!$A:$A,$B$4,'Data - Monthly Metrics'!$B:$B,O$8,'Data - Monthly Metrics'!$C:$C,"South King",'Data - Monthly Metrics'!$D:$D,"Goal - Penetration %")&gt;0,O107&gt;=SUMIFS('Data - Monthly Metrics'!$E:$E,'Data - Monthly Metrics'!$A:$A,$B$4,'Data - Monthly Metrics'!$B:$B,O$8,'Data - Monthly Metrics'!$C:$C,"South King",'Data - Monthly Metrics'!$D:$D,"Goal - Penetration %")-0.05)</formula>
    </cfRule>
    <cfRule type="expression" rank="0" priority="330" equalAverage="0" aboveAverage="0" dxfId="1" stopIfTrue="1" text="" percent="0" bottom="0">
      <formula>AND(ISNUMBER(O107),COUNTIFS('Data - Monthly Metrics'!$A:$A,$B$4,'Data - Monthly Metrics'!$B:$B,O$8,'Data - Monthly Metrics'!$C:$C,"South King",'Data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Metrics'!$C:$C,"South King",'Data - Monthly Metrics'!$D:$D,"Goal - Penetration %")&gt;0,P107&gt;=SUMIFS('Data - Monthly Metrics'!$E:$E,'Data - Monthly Metrics'!$A:$A,$B$4,'Data - Monthly Metrics'!$B:$B,P$8,'Data - Monthly Metrics'!$C:$C,"South King",'Data - Monthly Metrics'!$D:$D,"Goal - Penetration %"))</formula>
    </cfRule>
    <cfRule type="expression" rank="0" priority="332" equalAverage="0" aboveAverage="0" dxfId="2" stopIfTrue="1" text="" percent="0" bottom="0">
      <formula>AND(ISNUMBER(P107),COUNTIFS('Data - Monthly Metrics'!$A:$A,$B$4,'Data - Monthly Metrics'!$B:$B,P$8,'Data - Monthly Metrics'!$C:$C,"South King",'Data - Monthly Metrics'!$D:$D,"Goal - Penetration %")&gt;0,P107&gt;=SUMIFS('Data - Monthly Metrics'!$E:$E,'Data - Monthly Metrics'!$A:$A,$B$4,'Data - Monthly Metrics'!$B:$B,P$8,'Data - Monthly Metrics'!$C:$C,"South King",'Data - Monthly Metrics'!$D:$D,"Goal - Penetration %")-0.05)</formula>
    </cfRule>
    <cfRule type="expression" rank="0" priority="333" equalAverage="0" aboveAverage="0" dxfId="1" stopIfTrue="1" text="" percent="0" bottom="0">
      <formula>AND(ISNUMBER(P107),COUNTIFS('Data - Monthly Metrics'!$A:$A,$B$4,'Data - Monthly Metrics'!$B:$B,P$8,'Data - Monthly Metrics'!$C:$C,"South King",'Data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Metrics'!$C:$C,"South King",'Data - Monthly Metrics'!$D:$D,"Goal - Retention %")&gt;0,B19&gt;=SUMIFS('Data - Monthly Metrics'!$E:$E,'Data - Monthly Metrics'!$A:$A,$B$4-1,'Data - Monthly Metrics'!$B:$B,B$8,'Data - Monthly Metrics'!$C:$C,"South King",'Data - Monthly Metrics'!$D:$D,"Goal - Retention %"))</formula>
    </cfRule>
    <cfRule type="expression" rank="0" priority="335" equalAverage="0" aboveAverage="0" dxfId="2" stopIfTrue="1" text="" percent="0" bottom="0">
      <formula>AND(ISNUMBER(B19),COUNTIFS('Data - Monthly Metrics'!$A:$A,$B$4-1,'Data - Monthly Metrics'!$B:$B,B$8,'Data - Monthly Metrics'!$C:$C,"South King",'Data - Monthly Metrics'!$D:$D,"Goal - Retention %")&gt;0,B19&gt;=SUMIFS('Data - Monthly Metrics'!$E:$E,'Data - Monthly Metrics'!$A:$A,$B$4-1,'Data - Monthly Metrics'!$B:$B,B$8,'Data - Monthly Metrics'!$C:$C,"South King",'Data - Monthly Metrics'!$D:$D,"Goal - Retention %")-0.05)</formula>
    </cfRule>
    <cfRule type="expression" rank="0" priority="336" equalAverage="0" aboveAverage="0" dxfId="1" stopIfTrue="1" text="" percent="0" bottom="0">
      <formula>AND(ISNUMBER(B19),COUNTIFS('Data - Monthly Metrics'!$A:$A,$B$4-1,'Data - Monthly Metrics'!$B:$B,B$8,'Data - Monthly Metrics'!$C:$C,"South King",'Data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Metrics'!$C:$C,"South King",'Data - Monthly Metrics'!$D:$D,"Goal - Retention %")&gt;0,C19&gt;=SUMIFS('Data - Monthly Metrics'!$E:$E,'Data - Monthly Metrics'!$A:$A,$B$4-1,'Data - Monthly Metrics'!$B:$B,C$8,'Data - Monthly Metrics'!$C:$C,"South King",'Data - Monthly Metrics'!$D:$D,"Goal - Retention %"))</formula>
    </cfRule>
    <cfRule type="expression" rank="0" priority="338" equalAverage="0" aboveAverage="0" dxfId="2" stopIfTrue="1" text="" percent="0" bottom="0">
      <formula>AND(ISNUMBER(C19),COUNTIFS('Data - Monthly Metrics'!$A:$A,$B$4-1,'Data - Monthly Metrics'!$B:$B,C$8,'Data - Monthly Metrics'!$C:$C,"South King",'Data - Monthly Metrics'!$D:$D,"Goal - Retention %")&gt;0,C19&gt;=SUMIFS('Data - Monthly Metrics'!$E:$E,'Data - Monthly Metrics'!$A:$A,$B$4-1,'Data - Monthly Metrics'!$B:$B,C$8,'Data - Monthly Metrics'!$C:$C,"South King",'Data - Monthly Metrics'!$D:$D,"Goal - Retention %")-0.05)</formula>
    </cfRule>
    <cfRule type="expression" rank="0" priority="339" equalAverage="0" aboveAverage="0" dxfId="1" stopIfTrue="1" text="" percent="0" bottom="0">
      <formula>AND(ISNUMBER(C19),COUNTIFS('Data - Monthly Metrics'!$A:$A,$B$4-1,'Data - Monthly Metrics'!$B:$B,C$8,'Data - Monthly Metrics'!$C:$C,"South King",'Data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Metrics'!$C:$C,"South King",'Data - Monthly Metrics'!$D:$D,"Goal - Retention %")&gt;0,D19&gt;=SUMIFS('Data - Monthly Metrics'!$E:$E,'Data - Monthly Metrics'!$A:$A,$B$4-1,'Data - Monthly Metrics'!$B:$B,D$8,'Data - Monthly Metrics'!$C:$C,"South King",'Data - Monthly Metrics'!$D:$D,"Goal - Retention %"))</formula>
    </cfRule>
    <cfRule type="expression" rank="0" priority="341" equalAverage="0" aboveAverage="0" dxfId="2" stopIfTrue="1" text="" percent="0" bottom="0">
      <formula>AND(ISNUMBER(D19),COUNTIFS('Data - Monthly Metrics'!$A:$A,$B$4-1,'Data - Monthly Metrics'!$B:$B,D$8,'Data - Monthly Metrics'!$C:$C,"South King",'Data - Monthly Metrics'!$D:$D,"Goal - Retention %")&gt;0,D19&gt;=SUMIFS('Data - Monthly Metrics'!$E:$E,'Data - Monthly Metrics'!$A:$A,$B$4-1,'Data - Monthly Metrics'!$B:$B,D$8,'Data - Monthly Metrics'!$C:$C,"South King",'Data - Monthly Metrics'!$D:$D,"Goal - Retention %")-0.05)</formula>
    </cfRule>
    <cfRule type="expression" rank="0" priority="342" equalAverage="0" aboveAverage="0" dxfId="1" stopIfTrue="1" text="" percent="0" bottom="0">
      <formula>AND(ISNUMBER(D19),COUNTIFS('Data - Monthly Metrics'!$A:$A,$B$4-1,'Data - Monthly Metrics'!$B:$B,D$8,'Data - Monthly Metrics'!$C:$C,"South King",'Data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Metrics'!$C:$C,"South King",'Data - Monthly Metrics'!$D:$D,"Goal - Retention %")&gt;0,F19&gt;=SUMIFS('Data - Monthly Metrics'!$E:$E,'Data - Monthly Metrics'!$A:$A,$B$4,'Data - Monthly Metrics'!$B:$B,F$8,'Data - Monthly Metrics'!$C:$C,"South King",'Data - Monthly Metrics'!$D:$D,"Goal - Retention %"))</formula>
    </cfRule>
    <cfRule type="expression" rank="0" priority="344" equalAverage="0" aboveAverage="0" dxfId="2" stopIfTrue="1" text="" percent="0" bottom="0">
      <formula>AND(ISNUMBER(F19),COUNTIFS('Data - Monthly Metrics'!$A:$A,$B$4,'Data - Monthly Metrics'!$B:$B,F$8,'Data - Monthly Metrics'!$C:$C,"South King",'Data - Monthly Metrics'!$D:$D,"Goal - Retention %")&gt;0,F19&gt;=SUMIFS('Data - Monthly Metrics'!$E:$E,'Data - Monthly Metrics'!$A:$A,$B$4,'Data - Monthly Metrics'!$B:$B,F$8,'Data - Monthly Metrics'!$C:$C,"South King",'Data - Monthly Metrics'!$D:$D,"Goal - Retention %")-0.05)</formula>
    </cfRule>
    <cfRule type="expression" rank="0" priority="345" equalAverage="0" aboveAverage="0" dxfId="1" stopIfTrue="1" text="" percent="0" bottom="0">
      <formula>AND(ISNUMBER(F19),COUNTIFS('Data - Monthly Metrics'!$A:$A,$B$4,'Data - Monthly Metrics'!$B:$B,F$8,'Data - Monthly Metrics'!$C:$C,"South King",'Data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Metrics'!$C:$C,"South King",'Data - Monthly Metrics'!$D:$D,"Goal - Retention %")&gt;0,G19&gt;=SUMIFS('Data - Monthly Metrics'!$E:$E,'Data - Monthly Metrics'!$A:$A,$B$4,'Data - Monthly Metrics'!$B:$B,G$8,'Data - Monthly Metrics'!$C:$C,"South King",'Data - Monthly Metrics'!$D:$D,"Goal - Retention %"))</formula>
    </cfRule>
    <cfRule type="expression" rank="0" priority="347" equalAverage="0" aboveAverage="0" dxfId="2" stopIfTrue="1" text="" percent="0" bottom="0">
      <formula>AND(ISNUMBER(G19),COUNTIFS('Data - Monthly Metrics'!$A:$A,$B$4,'Data - Monthly Metrics'!$B:$B,G$8,'Data - Monthly Metrics'!$C:$C,"South King",'Data - Monthly Metrics'!$D:$D,"Goal - Retention %")&gt;0,G19&gt;=SUMIFS('Data - Monthly Metrics'!$E:$E,'Data - Monthly Metrics'!$A:$A,$B$4,'Data - Monthly Metrics'!$B:$B,G$8,'Data - Monthly Metrics'!$C:$C,"South King",'Data - Monthly Metrics'!$D:$D,"Goal - Retention %")-0.05)</formula>
    </cfRule>
    <cfRule type="expression" rank="0" priority="348" equalAverage="0" aboveAverage="0" dxfId="1" stopIfTrue="1" text="" percent="0" bottom="0">
      <formula>AND(ISNUMBER(G19),COUNTIFS('Data - Monthly Metrics'!$A:$A,$B$4,'Data - Monthly Metrics'!$B:$B,G$8,'Data - Monthly Metrics'!$C:$C,"South King",'Data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Metrics'!$C:$C,"South King",'Data - Monthly Metrics'!$D:$D,"Goal - Retention %")&gt;0,H19&gt;=SUMIFS('Data - Monthly Metrics'!$E:$E,'Data - Monthly Metrics'!$A:$A,$B$4,'Data - Monthly Metrics'!$B:$B,H$8,'Data - Monthly Metrics'!$C:$C,"South King",'Data - Monthly Metrics'!$D:$D,"Goal - Retention %"))</formula>
    </cfRule>
    <cfRule type="expression" rank="0" priority="350" equalAverage="0" aboveAverage="0" dxfId="2" stopIfTrue="1" text="" percent="0" bottom="0">
      <formula>AND(ISNUMBER(H19),COUNTIFS('Data - Monthly Metrics'!$A:$A,$B$4,'Data - Monthly Metrics'!$B:$B,H$8,'Data - Monthly Metrics'!$C:$C,"South King",'Data - Monthly Metrics'!$D:$D,"Goal - Retention %")&gt;0,H19&gt;=SUMIFS('Data - Monthly Metrics'!$E:$E,'Data - Monthly Metrics'!$A:$A,$B$4,'Data - Monthly Metrics'!$B:$B,H$8,'Data - Monthly Metrics'!$C:$C,"South King",'Data - Monthly Metrics'!$D:$D,"Goal - Retention %")-0.05)</formula>
    </cfRule>
    <cfRule type="expression" rank="0" priority="351" equalAverage="0" aboveAverage="0" dxfId="1" stopIfTrue="1" text="" percent="0" bottom="0">
      <formula>AND(ISNUMBER(H19),COUNTIFS('Data - Monthly Metrics'!$A:$A,$B$4,'Data - Monthly Metrics'!$B:$B,H$8,'Data - Monthly Metrics'!$C:$C,"South King",'Data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Metrics'!$C:$C,"South King",'Data - Monthly Metrics'!$D:$D,"Goal - Retention %")&gt;0,J19&gt;=SUMIFS('Data - Monthly Metrics'!$E:$E,'Data - Monthly Metrics'!$A:$A,$B$4,'Data - Monthly Metrics'!$B:$B,J$8,'Data - Monthly Metrics'!$C:$C,"South King",'Data - Monthly Metrics'!$D:$D,"Goal - Retention %"))</formula>
    </cfRule>
    <cfRule type="expression" rank="0" priority="353" equalAverage="0" aboveAverage="0" dxfId="2" stopIfTrue="1" text="" percent="0" bottom="0">
      <formula>AND(ISNUMBER(J19),COUNTIFS('Data - Monthly Metrics'!$A:$A,$B$4,'Data - Monthly Metrics'!$B:$B,J$8,'Data - Monthly Metrics'!$C:$C,"South King",'Data - Monthly Metrics'!$D:$D,"Goal - Retention %")&gt;0,J19&gt;=SUMIFS('Data - Monthly Metrics'!$E:$E,'Data - Monthly Metrics'!$A:$A,$B$4,'Data - Monthly Metrics'!$B:$B,J$8,'Data - Monthly Metrics'!$C:$C,"South King",'Data - Monthly Metrics'!$D:$D,"Goal - Retention %")-0.05)</formula>
    </cfRule>
    <cfRule type="expression" rank="0" priority="354" equalAverage="0" aboveAverage="0" dxfId="1" stopIfTrue="1" text="" percent="0" bottom="0">
      <formula>AND(ISNUMBER(J19),COUNTIFS('Data - Monthly Metrics'!$A:$A,$B$4,'Data - Monthly Metrics'!$B:$B,J$8,'Data - Monthly Metrics'!$C:$C,"South King",'Data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Metrics'!$C:$C,"South King",'Data - Monthly Metrics'!$D:$D,"Goal - Retention %")&gt;0,K19&gt;=SUMIFS('Data - Monthly Metrics'!$E:$E,'Data - Monthly Metrics'!$A:$A,$B$4,'Data - Monthly Metrics'!$B:$B,K$8,'Data - Monthly Metrics'!$C:$C,"South King",'Data - Monthly Metrics'!$D:$D,"Goal - Retention %"))</formula>
    </cfRule>
    <cfRule type="expression" rank="0" priority="356" equalAverage="0" aboveAverage="0" dxfId="2" stopIfTrue="1" text="" percent="0" bottom="0">
      <formula>AND(ISNUMBER(K19),COUNTIFS('Data - Monthly Metrics'!$A:$A,$B$4,'Data - Monthly Metrics'!$B:$B,K$8,'Data - Monthly Metrics'!$C:$C,"South King",'Data - Monthly Metrics'!$D:$D,"Goal - Retention %")&gt;0,K19&gt;=SUMIFS('Data - Monthly Metrics'!$E:$E,'Data - Monthly Metrics'!$A:$A,$B$4,'Data - Monthly Metrics'!$B:$B,K$8,'Data - Monthly Metrics'!$C:$C,"South King",'Data - Monthly Metrics'!$D:$D,"Goal - Retention %")-0.05)</formula>
    </cfRule>
    <cfRule type="expression" rank="0" priority="357" equalAverage="0" aboveAverage="0" dxfId="1" stopIfTrue="1" text="" percent="0" bottom="0">
      <formula>AND(ISNUMBER(K19),COUNTIFS('Data - Monthly Metrics'!$A:$A,$B$4,'Data - Monthly Metrics'!$B:$B,K$8,'Data - Monthly Metrics'!$C:$C,"South King",'Data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Metrics'!$C:$C,"South King",'Data - Monthly Metrics'!$D:$D,"Goal - Retention %")&gt;0,L19&gt;=SUMIFS('Data - Monthly Metrics'!$E:$E,'Data - Monthly Metrics'!$A:$A,$B$4,'Data - Monthly Metrics'!$B:$B,L$8,'Data - Monthly Metrics'!$C:$C,"South King",'Data - Monthly Metrics'!$D:$D,"Goal - Retention %"))</formula>
    </cfRule>
    <cfRule type="expression" rank="0" priority="359" equalAverage="0" aboveAverage="0" dxfId="2" stopIfTrue="1" text="" percent="0" bottom="0">
      <formula>AND(ISNUMBER(L19),COUNTIFS('Data - Monthly Metrics'!$A:$A,$B$4,'Data - Monthly Metrics'!$B:$B,L$8,'Data - Monthly Metrics'!$C:$C,"South King",'Data - Monthly Metrics'!$D:$D,"Goal - Retention %")&gt;0,L19&gt;=SUMIFS('Data - Monthly Metrics'!$E:$E,'Data - Monthly Metrics'!$A:$A,$B$4,'Data - Monthly Metrics'!$B:$B,L$8,'Data - Monthly Metrics'!$C:$C,"South King",'Data - Monthly Metrics'!$D:$D,"Goal - Retention %")-0.05)</formula>
    </cfRule>
    <cfRule type="expression" rank="0" priority="360" equalAverage="0" aboveAverage="0" dxfId="1" stopIfTrue="1" text="" percent="0" bottom="0">
      <formula>AND(ISNUMBER(L19),COUNTIFS('Data - Monthly Metrics'!$A:$A,$B$4,'Data - Monthly Metrics'!$B:$B,L$8,'Data - Monthly Metrics'!$C:$C,"South King",'Data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Metrics'!$C:$C,"South King",'Data - Monthly Metrics'!$D:$D,"Goal - Retention %")&gt;0,N19&gt;=SUMIFS('Data - Monthly Metrics'!$E:$E,'Data - Monthly Metrics'!$A:$A,$B$4,'Data - Monthly Metrics'!$B:$B,N$8,'Data - Monthly Metrics'!$C:$C,"South King",'Data - Monthly Metrics'!$D:$D,"Goal - Retention %"))</formula>
    </cfRule>
    <cfRule type="expression" rank="0" priority="362" equalAverage="0" aboveAverage="0" dxfId="2" stopIfTrue="1" text="" percent="0" bottom="0">
      <formula>AND(ISNUMBER(N19),COUNTIFS('Data - Monthly Metrics'!$A:$A,$B$4,'Data - Monthly Metrics'!$B:$B,N$8,'Data - Monthly Metrics'!$C:$C,"South King",'Data - Monthly Metrics'!$D:$D,"Goal - Retention %")&gt;0,N19&gt;=SUMIFS('Data - Monthly Metrics'!$E:$E,'Data - Monthly Metrics'!$A:$A,$B$4,'Data - Monthly Metrics'!$B:$B,N$8,'Data - Monthly Metrics'!$C:$C,"South King",'Data - Monthly Metrics'!$D:$D,"Goal - Retention %")-0.05)</formula>
    </cfRule>
    <cfRule type="expression" rank="0" priority="363" equalAverage="0" aboveAverage="0" dxfId="1" stopIfTrue="1" text="" percent="0" bottom="0">
      <formula>AND(ISNUMBER(N19),COUNTIFS('Data - Monthly Metrics'!$A:$A,$B$4,'Data - Monthly Metrics'!$B:$B,N$8,'Data - Monthly Metrics'!$C:$C,"South King",'Data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Metrics'!$C:$C,"South King",'Data - Monthly Metrics'!$D:$D,"Goal - Retention %")&gt;0,O19&gt;=SUMIFS('Data - Monthly Metrics'!$E:$E,'Data - Monthly Metrics'!$A:$A,$B$4,'Data - Monthly Metrics'!$B:$B,O$8,'Data - Monthly Metrics'!$C:$C,"South King",'Data - Monthly Metrics'!$D:$D,"Goal - Retention %"))</formula>
    </cfRule>
    <cfRule type="expression" rank="0" priority="365" equalAverage="0" aboveAverage="0" dxfId="2" stopIfTrue="1" text="" percent="0" bottom="0">
      <formula>AND(ISNUMBER(O19),COUNTIFS('Data - Monthly Metrics'!$A:$A,$B$4,'Data - Monthly Metrics'!$B:$B,O$8,'Data - Monthly Metrics'!$C:$C,"South King",'Data - Monthly Metrics'!$D:$D,"Goal - Retention %")&gt;0,O19&gt;=SUMIFS('Data - Monthly Metrics'!$E:$E,'Data - Monthly Metrics'!$A:$A,$B$4,'Data - Monthly Metrics'!$B:$B,O$8,'Data - Monthly Metrics'!$C:$C,"South King",'Data - Monthly Metrics'!$D:$D,"Goal - Retention %")-0.05)</formula>
    </cfRule>
    <cfRule type="expression" rank="0" priority="366" equalAverage="0" aboveAverage="0" dxfId="1" stopIfTrue="1" text="" percent="0" bottom="0">
      <formula>AND(ISNUMBER(O19),COUNTIFS('Data - Monthly Metrics'!$A:$A,$B$4,'Data - Monthly Metrics'!$B:$B,O$8,'Data - Monthly Metrics'!$C:$C,"South King",'Data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Metrics'!$C:$C,"South King",'Data - Monthly Metrics'!$D:$D,"Goal - Retention %")&gt;0,P19&gt;=SUMIFS('Data - Monthly Metrics'!$E:$E,'Data - Monthly Metrics'!$A:$A,$B$4,'Data - Monthly Metrics'!$B:$B,P$8,'Data - Monthly Metrics'!$C:$C,"South King",'Data - Monthly Metrics'!$D:$D,"Goal - Retention %"))</formula>
    </cfRule>
    <cfRule type="expression" rank="0" priority="368" equalAverage="0" aboveAverage="0" dxfId="2" stopIfTrue="1" text="" percent="0" bottom="0">
      <formula>AND(ISNUMBER(P19),COUNTIFS('Data - Monthly Metrics'!$A:$A,$B$4,'Data - Monthly Metrics'!$B:$B,P$8,'Data - Monthly Metrics'!$C:$C,"South King",'Data - Monthly Metrics'!$D:$D,"Goal - Retention %")&gt;0,P19&gt;=SUMIFS('Data - Monthly Metrics'!$E:$E,'Data - Monthly Metrics'!$A:$A,$B$4,'Data - Monthly Metrics'!$B:$B,P$8,'Data - Monthly Metrics'!$C:$C,"South King",'Data - Monthly Metrics'!$D:$D,"Goal - Retention %")-0.05)</formula>
    </cfRule>
    <cfRule type="expression" rank="0" priority="369" equalAverage="0" aboveAverage="0" dxfId="1" stopIfTrue="1" text="" percent="0" bottom="0">
      <formula>AND(ISNUMBER(P19),COUNTIFS('Data - Monthly Metrics'!$A:$A,$B$4,'Data - Monthly Metrics'!$B:$B,P$8,'Data - Monthly Metrics'!$C:$C,"South King",'Data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Metrics'!$C:$C,"South King",'Data - Monthly Metrics'!$D:$D,"Goal - Retention %")&gt;0,B28&gt;=SUMIFS('Data - Monthly Metrics'!$E:$E,'Data - Monthly Metrics'!$A:$A,$B$4-1,'Data - Monthly Metrics'!$B:$B,B$8,'Data - Monthly Metrics'!$C:$C,"South King",'Data - Monthly Metrics'!$D:$D,"Goal - Retention %"))</formula>
    </cfRule>
    <cfRule type="expression" rank="0" priority="371" equalAverage="0" aboveAverage="0" dxfId="2" stopIfTrue="1" text="" percent="0" bottom="0">
      <formula>AND(ISNUMBER(B28),COUNTIFS('Data - Monthly Metrics'!$A:$A,$B$4-1,'Data - Monthly Metrics'!$B:$B,B$8,'Data - Monthly Metrics'!$C:$C,"South King",'Data - Monthly Metrics'!$D:$D,"Goal - Retention %")&gt;0,B28&gt;=SUMIFS('Data - Monthly Metrics'!$E:$E,'Data - Monthly Metrics'!$A:$A,$B$4-1,'Data - Monthly Metrics'!$B:$B,B$8,'Data - Monthly Metrics'!$C:$C,"South King",'Data - Monthly Metrics'!$D:$D,"Goal - Retention %")-0.05)</formula>
    </cfRule>
    <cfRule type="expression" rank="0" priority="372" equalAverage="0" aboveAverage="0" dxfId="1" stopIfTrue="1" text="" percent="0" bottom="0">
      <formula>AND(ISNUMBER(B28),COUNTIFS('Data - Monthly Metrics'!$A:$A,$B$4-1,'Data - Monthly Metrics'!$B:$B,B$8,'Data - Monthly Metrics'!$C:$C,"South King",'Data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Metrics'!$C:$C,"South King",'Data - Monthly Metrics'!$D:$D,"Goal - Retention %")&gt;0,C28&gt;=SUMIFS('Data - Monthly Metrics'!$E:$E,'Data - Monthly Metrics'!$A:$A,$B$4-1,'Data - Monthly Metrics'!$B:$B,C$8,'Data - Monthly Metrics'!$C:$C,"South King",'Data - Monthly Metrics'!$D:$D,"Goal - Retention %"))</formula>
    </cfRule>
    <cfRule type="expression" rank="0" priority="374" equalAverage="0" aboveAverage="0" dxfId="2" stopIfTrue="1" text="" percent="0" bottom="0">
      <formula>AND(ISNUMBER(C28),COUNTIFS('Data - Monthly Metrics'!$A:$A,$B$4-1,'Data - Monthly Metrics'!$B:$B,C$8,'Data - Monthly Metrics'!$C:$C,"South King",'Data - Monthly Metrics'!$D:$D,"Goal - Retention %")&gt;0,C28&gt;=SUMIFS('Data - Monthly Metrics'!$E:$E,'Data - Monthly Metrics'!$A:$A,$B$4-1,'Data - Monthly Metrics'!$B:$B,C$8,'Data - Monthly Metrics'!$C:$C,"South King",'Data - Monthly Metrics'!$D:$D,"Goal - Retention %")-0.05)</formula>
    </cfRule>
    <cfRule type="expression" rank="0" priority="375" equalAverage="0" aboveAverage="0" dxfId="1" stopIfTrue="1" text="" percent="0" bottom="0">
      <formula>AND(ISNUMBER(C28),COUNTIFS('Data - Monthly Metrics'!$A:$A,$B$4-1,'Data - Monthly Metrics'!$B:$B,C$8,'Data - Monthly Metrics'!$C:$C,"South King",'Data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Metrics'!$C:$C,"South King",'Data - Monthly Metrics'!$D:$D,"Goal - Retention %")&gt;0,D28&gt;=SUMIFS('Data - Monthly Metrics'!$E:$E,'Data - Monthly Metrics'!$A:$A,$B$4-1,'Data - Monthly Metrics'!$B:$B,D$8,'Data - Monthly Metrics'!$C:$C,"South King",'Data - Monthly Metrics'!$D:$D,"Goal - Retention %"))</formula>
    </cfRule>
    <cfRule type="expression" rank="0" priority="377" equalAverage="0" aboveAverage="0" dxfId="2" stopIfTrue="1" text="" percent="0" bottom="0">
      <formula>AND(ISNUMBER(D28),COUNTIFS('Data - Monthly Metrics'!$A:$A,$B$4-1,'Data - Monthly Metrics'!$B:$B,D$8,'Data - Monthly Metrics'!$C:$C,"South King",'Data - Monthly Metrics'!$D:$D,"Goal - Retention %")&gt;0,D28&gt;=SUMIFS('Data - Monthly Metrics'!$E:$E,'Data - Monthly Metrics'!$A:$A,$B$4-1,'Data - Monthly Metrics'!$B:$B,D$8,'Data - Monthly Metrics'!$C:$C,"South King",'Data - Monthly Metrics'!$D:$D,"Goal - Retention %")-0.05)</formula>
    </cfRule>
    <cfRule type="expression" rank="0" priority="378" equalAverage="0" aboveAverage="0" dxfId="1" stopIfTrue="1" text="" percent="0" bottom="0">
      <formula>AND(ISNUMBER(D28),COUNTIFS('Data - Monthly Metrics'!$A:$A,$B$4-1,'Data - Monthly Metrics'!$B:$B,D$8,'Data - Monthly Metrics'!$C:$C,"South King",'Data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Metrics'!$C:$C,"South King",'Data - Monthly Metrics'!$D:$D,"Goal - Retention %")&gt;0,F28&gt;=SUMIFS('Data - Monthly Metrics'!$E:$E,'Data - Monthly Metrics'!$A:$A,$B$4,'Data - Monthly Metrics'!$B:$B,F$8,'Data - Monthly Metrics'!$C:$C,"South King",'Data - Monthly Metrics'!$D:$D,"Goal - Retention %"))</formula>
    </cfRule>
    <cfRule type="expression" rank="0" priority="380" equalAverage="0" aboveAverage="0" dxfId="2" stopIfTrue="1" text="" percent="0" bottom="0">
      <formula>AND(ISNUMBER(F28),COUNTIFS('Data - Monthly Metrics'!$A:$A,$B$4,'Data - Monthly Metrics'!$B:$B,F$8,'Data - Monthly Metrics'!$C:$C,"South King",'Data - Monthly Metrics'!$D:$D,"Goal - Retention %")&gt;0,F28&gt;=SUMIFS('Data - Monthly Metrics'!$E:$E,'Data - Monthly Metrics'!$A:$A,$B$4,'Data - Monthly Metrics'!$B:$B,F$8,'Data - Monthly Metrics'!$C:$C,"South King",'Data - Monthly Metrics'!$D:$D,"Goal - Retention %")-0.05)</formula>
    </cfRule>
    <cfRule type="expression" rank="0" priority="381" equalAverage="0" aboveAverage="0" dxfId="1" stopIfTrue="1" text="" percent="0" bottom="0">
      <formula>AND(ISNUMBER(F28),COUNTIFS('Data - Monthly Metrics'!$A:$A,$B$4,'Data - Monthly Metrics'!$B:$B,F$8,'Data - Monthly Metrics'!$C:$C,"South King",'Data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Metrics'!$C:$C,"South King",'Data - Monthly Metrics'!$D:$D,"Goal - Retention %")&gt;0,G28&gt;=SUMIFS('Data - Monthly Metrics'!$E:$E,'Data - Monthly Metrics'!$A:$A,$B$4,'Data - Monthly Metrics'!$B:$B,G$8,'Data - Monthly Metrics'!$C:$C,"South King",'Data - Monthly Metrics'!$D:$D,"Goal - Retention %"))</formula>
    </cfRule>
    <cfRule type="expression" rank="0" priority="383" equalAverage="0" aboveAverage="0" dxfId="2" stopIfTrue="1" text="" percent="0" bottom="0">
      <formula>AND(ISNUMBER(G28),COUNTIFS('Data - Monthly Metrics'!$A:$A,$B$4,'Data - Monthly Metrics'!$B:$B,G$8,'Data - Monthly Metrics'!$C:$C,"South King",'Data - Monthly Metrics'!$D:$D,"Goal - Retention %")&gt;0,G28&gt;=SUMIFS('Data - Monthly Metrics'!$E:$E,'Data - Monthly Metrics'!$A:$A,$B$4,'Data - Monthly Metrics'!$B:$B,G$8,'Data - Monthly Metrics'!$C:$C,"South King",'Data - Monthly Metrics'!$D:$D,"Goal - Retention %")-0.05)</formula>
    </cfRule>
    <cfRule type="expression" rank="0" priority="384" equalAverage="0" aboveAverage="0" dxfId="1" stopIfTrue="1" text="" percent="0" bottom="0">
      <formula>AND(ISNUMBER(G28),COUNTIFS('Data - Monthly Metrics'!$A:$A,$B$4,'Data - Monthly Metrics'!$B:$B,G$8,'Data - Monthly Metrics'!$C:$C,"South King",'Data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Metrics'!$C:$C,"South King",'Data - Monthly Metrics'!$D:$D,"Goal - Retention %")&gt;0,H28&gt;=SUMIFS('Data - Monthly Metrics'!$E:$E,'Data - Monthly Metrics'!$A:$A,$B$4,'Data - Monthly Metrics'!$B:$B,H$8,'Data - Monthly Metrics'!$C:$C,"South King",'Data - Monthly Metrics'!$D:$D,"Goal - Retention %"))</formula>
    </cfRule>
    <cfRule type="expression" rank="0" priority="386" equalAverage="0" aboveAverage="0" dxfId="2" stopIfTrue="1" text="" percent="0" bottom="0">
      <formula>AND(ISNUMBER(H28),COUNTIFS('Data - Monthly Metrics'!$A:$A,$B$4,'Data - Monthly Metrics'!$B:$B,H$8,'Data - Monthly Metrics'!$C:$C,"South King",'Data - Monthly Metrics'!$D:$D,"Goal - Retention %")&gt;0,H28&gt;=SUMIFS('Data - Monthly Metrics'!$E:$E,'Data - Monthly Metrics'!$A:$A,$B$4,'Data - Monthly Metrics'!$B:$B,H$8,'Data - Monthly Metrics'!$C:$C,"South King",'Data - Monthly Metrics'!$D:$D,"Goal - Retention %")-0.05)</formula>
    </cfRule>
    <cfRule type="expression" rank="0" priority="387" equalAverage="0" aboveAverage="0" dxfId="1" stopIfTrue="1" text="" percent="0" bottom="0">
      <formula>AND(ISNUMBER(H28),COUNTIFS('Data - Monthly Metrics'!$A:$A,$B$4,'Data - Monthly Metrics'!$B:$B,H$8,'Data - Monthly Metrics'!$C:$C,"South King",'Data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Metrics'!$C:$C,"South King",'Data - Monthly Metrics'!$D:$D,"Goal - Retention %")&gt;0,J28&gt;=SUMIFS('Data - Monthly Metrics'!$E:$E,'Data - Monthly Metrics'!$A:$A,$B$4,'Data - Monthly Metrics'!$B:$B,J$8,'Data - Monthly Metrics'!$C:$C,"South King",'Data - Monthly Metrics'!$D:$D,"Goal - Retention %"))</formula>
    </cfRule>
    <cfRule type="expression" rank="0" priority="389" equalAverage="0" aboveAverage="0" dxfId="2" stopIfTrue="1" text="" percent="0" bottom="0">
      <formula>AND(ISNUMBER(J28),COUNTIFS('Data - Monthly Metrics'!$A:$A,$B$4,'Data - Monthly Metrics'!$B:$B,J$8,'Data - Monthly Metrics'!$C:$C,"South King",'Data - Monthly Metrics'!$D:$D,"Goal - Retention %")&gt;0,J28&gt;=SUMIFS('Data - Monthly Metrics'!$E:$E,'Data - Monthly Metrics'!$A:$A,$B$4,'Data - Monthly Metrics'!$B:$B,J$8,'Data - Monthly Metrics'!$C:$C,"South King",'Data - Monthly Metrics'!$D:$D,"Goal - Retention %")-0.05)</formula>
    </cfRule>
    <cfRule type="expression" rank="0" priority="390" equalAverage="0" aboveAverage="0" dxfId="1" stopIfTrue="1" text="" percent="0" bottom="0">
      <formula>AND(ISNUMBER(J28),COUNTIFS('Data - Monthly Metrics'!$A:$A,$B$4,'Data - Monthly Metrics'!$B:$B,J$8,'Data - Monthly Metrics'!$C:$C,"South King",'Data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Metrics'!$C:$C,"South King",'Data - Monthly Metrics'!$D:$D,"Goal - Retention %")&gt;0,K28&gt;=SUMIFS('Data - Monthly Metrics'!$E:$E,'Data - Monthly Metrics'!$A:$A,$B$4,'Data - Monthly Metrics'!$B:$B,K$8,'Data - Monthly Metrics'!$C:$C,"South King",'Data - Monthly Metrics'!$D:$D,"Goal - Retention %"))</formula>
    </cfRule>
    <cfRule type="expression" rank="0" priority="392" equalAverage="0" aboveAverage="0" dxfId="2" stopIfTrue="1" text="" percent="0" bottom="0">
      <formula>AND(ISNUMBER(K28),COUNTIFS('Data - Monthly Metrics'!$A:$A,$B$4,'Data - Monthly Metrics'!$B:$B,K$8,'Data - Monthly Metrics'!$C:$C,"South King",'Data - Monthly Metrics'!$D:$D,"Goal - Retention %")&gt;0,K28&gt;=SUMIFS('Data - Monthly Metrics'!$E:$E,'Data - Monthly Metrics'!$A:$A,$B$4,'Data - Monthly Metrics'!$B:$B,K$8,'Data - Monthly Metrics'!$C:$C,"South King",'Data - Monthly Metrics'!$D:$D,"Goal - Retention %")-0.05)</formula>
    </cfRule>
    <cfRule type="expression" rank="0" priority="393" equalAverage="0" aboveAverage="0" dxfId="1" stopIfTrue="1" text="" percent="0" bottom="0">
      <formula>AND(ISNUMBER(K28),COUNTIFS('Data - Monthly Metrics'!$A:$A,$B$4,'Data - Monthly Metrics'!$B:$B,K$8,'Data - Monthly Metrics'!$C:$C,"South King",'Data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Metrics'!$C:$C,"South King",'Data - Monthly Metrics'!$D:$D,"Goal - Retention %")&gt;0,L28&gt;=SUMIFS('Data - Monthly Metrics'!$E:$E,'Data - Monthly Metrics'!$A:$A,$B$4,'Data - Monthly Metrics'!$B:$B,L$8,'Data - Monthly Metrics'!$C:$C,"South King",'Data - Monthly Metrics'!$D:$D,"Goal - Retention %"))</formula>
    </cfRule>
    <cfRule type="expression" rank="0" priority="395" equalAverage="0" aboveAverage="0" dxfId="2" stopIfTrue="1" text="" percent="0" bottom="0">
      <formula>AND(ISNUMBER(L28),COUNTIFS('Data - Monthly Metrics'!$A:$A,$B$4,'Data - Monthly Metrics'!$B:$B,L$8,'Data - Monthly Metrics'!$C:$C,"South King",'Data - Monthly Metrics'!$D:$D,"Goal - Retention %")&gt;0,L28&gt;=SUMIFS('Data - Monthly Metrics'!$E:$E,'Data - Monthly Metrics'!$A:$A,$B$4,'Data - Monthly Metrics'!$B:$B,L$8,'Data - Monthly Metrics'!$C:$C,"South King",'Data - Monthly Metrics'!$D:$D,"Goal - Retention %")-0.05)</formula>
    </cfRule>
    <cfRule type="expression" rank="0" priority="396" equalAverage="0" aboveAverage="0" dxfId="1" stopIfTrue="1" text="" percent="0" bottom="0">
      <formula>AND(ISNUMBER(L28),COUNTIFS('Data - Monthly Metrics'!$A:$A,$B$4,'Data - Monthly Metrics'!$B:$B,L$8,'Data - Monthly Metrics'!$C:$C,"South King",'Data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Metrics'!$C:$C,"South King",'Data - Monthly Metrics'!$D:$D,"Goal - Retention %")&gt;0,N28&gt;=SUMIFS('Data - Monthly Metrics'!$E:$E,'Data - Monthly Metrics'!$A:$A,$B$4,'Data - Monthly Metrics'!$B:$B,N$8,'Data - Monthly Metrics'!$C:$C,"South King",'Data - Monthly Metrics'!$D:$D,"Goal - Retention %"))</formula>
    </cfRule>
    <cfRule type="expression" rank="0" priority="398" equalAverage="0" aboveAverage="0" dxfId="2" stopIfTrue="1" text="" percent="0" bottom="0">
      <formula>AND(ISNUMBER(N28),COUNTIFS('Data - Monthly Metrics'!$A:$A,$B$4,'Data - Monthly Metrics'!$B:$B,N$8,'Data - Monthly Metrics'!$C:$C,"South King",'Data - Monthly Metrics'!$D:$D,"Goal - Retention %")&gt;0,N28&gt;=SUMIFS('Data - Monthly Metrics'!$E:$E,'Data - Monthly Metrics'!$A:$A,$B$4,'Data - Monthly Metrics'!$B:$B,N$8,'Data - Monthly Metrics'!$C:$C,"South King",'Data - Monthly Metrics'!$D:$D,"Goal - Retention %")-0.05)</formula>
    </cfRule>
    <cfRule type="expression" rank="0" priority="399" equalAverage="0" aboveAverage="0" dxfId="1" stopIfTrue="1" text="" percent="0" bottom="0">
      <formula>AND(ISNUMBER(N28),COUNTIFS('Data - Monthly Metrics'!$A:$A,$B$4,'Data - Monthly Metrics'!$B:$B,N$8,'Data - Monthly Metrics'!$C:$C,"South King",'Data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Metrics'!$C:$C,"South King",'Data - Monthly Metrics'!$D:$D,"Goal - Retention %")&gt;0,O28&gt;=SUMIFS('Data - Monthly Metrics'!$E:$E,'Data - Monthly Metrics'!$A:$A,$B$4,'Data - Monthly Metrics'!$B:$B,O$8,'Data - Monthly Metrics'!$C:$C,"South King",'Data - Monthly Metrics'!$D:$D,"Goal - Retention %"))</formula>
    </cfRule>
    <cfRule type="expression" rank="0" priority="401" equalAverage="0" aboveAverage="0" dxfId="2" stopIfTrue="1" text="" percent="0" bottom="0">
      <formula>AND(ISNUMBER(O28),COUNTIFS('Data - Monthly Metrics'!$A:$A,$B$4,'Data - Monthly Metrics'!$B:$B,O$8,'Data - Monthly Metrics'!$C:$C,"South King",'Data - Monthly Metrics'!$D:$D,"Goal - Retention %")&gt;0,O28&gt;=SUMIFS('Data - Monthly Metrics'!$E:$E,'Data - Monthly Metrics'!$A:$A,$B$4,'Data - Monthly Metrics'!$B:$B,O$8,'Data - Monthly Metrics'!$C:$C,"South King",'Data - Monthly Metrics'!$D:$D,"Goal - Retention %")-0.05)</formula>
    </cfRule>
    <cfRule type="expression" rank="0" priority="402" equalAverage="0" aboveAverage="0" dxfId="1" stopIfTrue="1" text="" percent="0" bottom="0">
      <formula>AND(ISNUMBER(O28),COUNTIFS('Data - Monthly Metrics'!$A:$A,$B$4,'Data - Monthly Metrics'!$B:$B,O$8,'Data - Monthly Metrics'!$C:$C,"South King",'Data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Metrics'!$C:$C,"South King",'Data - Monthly Metrics'!$D:$D,"Goal - Retention %")&gt;0,P28&gt;=SUMIFS('Data - Monthly Metrics'!$E:$E,'Data - Monthly Metrics'!$A:$A,$B$4,'Data - Monthly Metrics'!$B:$B,P$8,'Data - Monthly Metrics'!$C:$C,"South King",'Data - Monthly Metrics'!$D:$D,"Goal - Retention %"))</formula>
    </cfRule>
    <cfRule type="expression" rank="0" priority="404" equalAverage="0" aboveAverage="0" dxfId="2" stopIfTrue="1" text="" percent="0" bottom="0">
      <formula>AND(ISNUMBER(P28),COUNTIFS('Data - Monthly Metrics'!$A:$A,$B$4,'Data - Monthly Metrics'!$B:$B,P$8,'Data - Monthly Metrics'!$C:$C,"South King",'Data - Monthly Metrics'!$D:$D,"Goal - Retention %")&gt;0,P28&gt;=SUMIFS('Data - Monthly Metrics'!$E:$E,'Data - Monthly Metrics'!$A:$A,$B$4,'Data - Monthly Metrics'!$B:$B,P$8,'Data - Monthly Metrics'!$C:$C,"South King",'Data - Monthly Metrics'!$D:$D,"Goal - Retention %")-0.05)</formula>
    </cfRule>
    <cfRule type="expression" rank="0" priority="405" equalAverage="0" aboveAverage="0" dxfId="1" stopIfTrue="1" text="" percent="0" bottom="0">
      <formula>AND(ISNUMBER(P28),COUNTIFS('Data - Monthly Metrics'!$A:$A,$B$4,'Data - Monthly Metrics'!$B:$B,P$8,'Data - Monthly Metrics'!$C:$C,"South King",'Data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Metrics'!$C:$C,"South King",'Data - Monthly Metrics'!$D:$D,"Goal - Penetration %")&gt;0,B29&gt;=SUMIFS('Data - Monthly Metrics'!$E:$E,'Data - Monthly Metrics'!$A:$A,$B$4-1,'Data - Monthly Metrics'!$B:$B,B$8,'Data - Monthly Metrics'!$C:$C,"South King",'Data - Monthly Metrics'!$D:$D,"Goal - Penetration %"))</formula>
    </cfRule>
    <cfRule type="expression" rank="0" priority="407" equalAverage="0" aboveAverage="0" dxfId="2" stopIfTrue="1" text="" percent="0" bottom="0">
      <formula>AND(ISNUMBER(B29),COUNTIFS('Data - Monthly Metrics'!$A:$A,$B$4-1,'Data - Monthly Metrics'!$B:$B,B$8,'Data - Monthly Metrics'!$C:$C,"South King",'Data - Monthly Metrics'!$D:$D,"Goal - Penetration %")&gt;0,B29&gt;=SUMIFS('Data - Monthly Metrics'!$E:$E,'Data - Monthly Metrics'!$A:$A,$B$4-1,'Data - Monthly Metrics'!$B:$B,B$8,'Data - Monthly Metrics'!$C:$C,"South King",'Data - Monthly Metrics'!$D:$D,"Goal - Penetration %")-0.05)</formula>
    </cfRule>
    <cfRule type="expression" rank="0" priority="408" equalAverage="0" aboveAverage="0" dxfId="1" stopIfTrue="1" text="" percent="0" bottom="0">
      <formula>AND(ISNUMBER(B29),COUNTIFS('Data - Monthly Metrics'!$A:$A,$B$4-1,'Data - Monthly Metrics'!$B:$B,B$8,'Data - Monthly Metrics'!$C:$C,"South King",'Data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Metrics'!$C:$C,"South King",'Data - Monthly Metrics'!$D:$D,"Goal - Penetration %")&gt;0,C29&gt;=SUMIFS('Data - Monthly Metrics'!$E:$E,'Data - Monthly Metrics'!$A:$A,$B$4-1,'Data - Monthly Metrics'!$B:$B,C$8,'Data - Monthly Metrics'!$C:$C,"South King",'Data - Monthly Metrics'!$D:$D,"Goal - Penetration %"))</formula>
    </cfRule>
    <cfRule type="expression" rank="0" priority="410" equalAverage="0" aboveAverage="0" dxfId="2" stopIfTrue="1" text="" percent="0" bottom="0">
      <formula>AND(ISNUMBER(C29),COUNTIFS('Data - Monthly Metrics'!$A:$A,$B$4-1,'Data - Monthly Metrics'!$B:$B,C$8,'Data - Monthly Metrics'!$C:$C,"South King",'Data - Monthly Metrics'!$D:$D,"Goal - Penetration %")&gt;0,C29&gt;=SUMIFS('Data - Monthly Metrics'!$E:$E,'Data - Monthly Metrics'!$A:$A,$B$4-1,'Data - Monthly Metrics'!$B:$B,C$8,'Data - Monthly Metrics'!$C:$C,"South King",'Data - Monthly Metrics'!$D:$D,"Goal - Penetration %")-0.05)</formula>
    </cfRule>
    <cfRule type="expression" rank="0" priority="411" equalAverage="0" aboveAverage="0" dxfId="1" stopIfTrue="1" text="" percent="0" bottom="0">
      <formula>AND(ISNUMBER(C29),COUNTIFS('Data - Monthly Metrics'!$A:$A,$B$4-1,'Data - Monthly Metrics'!$B:$B,C$8,'Data - Monthly Metrics'!$C:$C,"South King",'Data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Metrics'!$C:$C,"South King",'Data - Monthly Metrics'!$D:$D,"Goal - Penetration %")&gt;0,D29&gt;=SUMIFS('Data - Monthly Metrics'!$E:$E,'Data - Monthly Metrics'!$A:$A,$B$4-1,'Data - Monthly Metrics'!$B:$B,D$8,'Data - Monthly Metrics'!$C:$C,"South King",'Data - Monthly Metrics'!$D:$D,"Goal - Penetration %"))</formula>
    </cfRule>
    <cfRule type="expression" rank="0" priority="413" equalAverage="0" aboveAverage="0" dxfId="2" stopIfTrue="1" text="" percent="0" bottom="0">
      <formula>AND(ISNUMBER(D29),COUNTIFS('Data - Monthly Metrics'!$A:$A,$B$4-1,'Data - Monthly Metrics'!$B:$B,D$8,'Data - Monthly Metrics'!$C:$C,"South King",'Data - Monthly Metrics'!$D:$D,"Goal - Penetration %")&gt;0,D29&gt;=SUMIFS('Data - Monthly Metrics'!$E:$E,'Data - Monthly Metrics'!$A:$A,$B$4-1,'Data - Monthly Metrics'!$B:$B,D$8,'Data - Monthly Metrics'!$C:$C,"South King",'Data - Monthly Metrics'!$D:$D,"Goal - Penetration %")-0.05)</formula>
    </cfRule>
    <cfRule type="expression" rank="0" priority="414" equalAverage="0" aboveAverage="0" dxfId="1" stopIfTrue="1" text="" percent="0" bottom="0">
      <formula>AND(ISNUMBER(D29),COUNTIFS('Data - Monthly Metrics'!$A:$A,$B$4-1,'Data - Monthly Metrics'!$B:$B,D$8,'Data - Monthly Metrics'!$C:$C,"South King",'Data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Metrics'!$C:$C,"South King",'Data - Monthly Metrics'!$D:$D,"Goal - Penetration %")&gt;0,F29&gt;=SUMIFS('Data - Monthly Metrics'!$E:$E,'Data - Monthly Metrics'!$A:$A,$B$4,'Data - Monthly Metrics'!$B:$B,F$8,'Data - Monthly Metrics'!$C:$C,"South King",'Data - Monthly Metrics'!$D:$D,"Goal - Penetration %"))</formula>
    </cfRule>
    <cfRule type="expression" rank="0" priority="416" equalAverage="0" aboveAverage="0" dxfId="2" stopIfTrue="1" text="" percent="0" bottom="0">
      <formula>AND(ISNUMBER(F29),COUNTIFS('Data - Monthly Metrics'!$A:$A,$B$4,'Data - Monthly Metrics'!$B:$B,F$8,'Data - Monthly Metrics'!$C:$C,"South King",'Data - Monthly Metrics'!$D:$D,"Goal - Penetration %")&gt;0,F29&gt;=SUMIFS('Data - Monthly Metrics'!$E:$E,'Data - Monthly Metrics'!$A:$A,$B$4,'Data - Monthly Metrics'!$B:$B,F$8,'Data - Monthly Metrics'!$C:$C,"South King",'Data - Monthly Metrics'!$D:$D,"Goal - Penetration %")-0.05)</formula>
    </cfRule>
    <cfRule type="expression" rank="0" priority="417" equalAverage="0" aboveAverage="0" dxfId="1" stopIfTrue="1" text="" percent="0" bottom="0">
      <formula>AND(ISNUMBER(F29),COUNTIFS('Data - Monthly Metrics'!$A:$A,$B$4,'Data - Monthly Metrics'!$B:$B,F$8,'Data - Monthly Metrics'!$C:$C,"South King",'Data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Metrics'!$C:$C,"South King",'Data - Monthly Metrics'!$D:$D,"Goal - Penetration %")&gt;0,G29&gt;=SUMIFS('Data - Monthly Metrics'!$E:$E,'Data - Monthly Metrics'!$A:$A,$B$4,'Data - Monthly Metrics'!$B:$B,G$8,'Data - Monthly Metrics'!$C:$C,"South King",'Data - Monthly Metrics'!$D:$D,"Goal - Penetration %"))</formula>
    </cfRule>
    <cfRule type="expression" rank="0" priority="419" equalAverage="0" aboveAverage="0" dxfId="2" stopIfTrue="1" text="" percent="0" bottom="0">
      <formula>AND(ISNUMBER(G29),COUNTIFS('Data - Monthly Metrics'!$A:$A,$B$4,'Data - Monthly Metrics'!$B:$B,G$8,'Data - Monthly Metrics'!$C:$C,"South King",'Data - Monthly Metrics'!$D:$D,"Goal - Penetration %")&gt;0,G29&gt;=SUMIFS('Data - Monthly Metrics'!$E:$E,'Data - Monthly Metrics'!$A:$A,$B$4,'Data - Monthly Metrics'!$B:$B,G$8,'Data - Monthly Metrics'!$C:$C,"South King",'Data - Monthly Metrics'!$D:$D,"Goal - Penetration %")-0.05)</formula>
    </cfRule>
    <cfRule type="expression" rank="0" priority="420" equalAverage="0" aboveAverage="0" dxfId="1" stopIfTrue="1" text="" percent="0" bottom="0">
      <formula>AND(ISNUMBER(G29),COUNTIFS('Data - Monthly Metrics'!$A:$A,$B$4,'Data - Monthly Metrics'!$B:$B,G$8,'Data - Monthly Metrics'!$C:$C,"South King",'Data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Metrics'!$C:$C,"South King",'Data - Monthly Metrics'!$D:$D,"Goal - Penetration %")&gt;0,H29&gt;=SUMIFS('Data - Monthly Metrics'!$E:$E,'Data - Monthly Metrics'!$A:$A,$B$4,'Data - Monthly Metrics'!$B:$B,H$8,'Data - Monthly Metrics'!$C:$C,"South King",'Data - Monthly Metrics'!$D:$D,"Goal - Penetration %"))</formula>
    </cfRule>
    <cfRule type="expression" rank="0" priority="422" equalAverage="0" aboveAverage="0" dxfId="2" stopIfTrue="1" text="" percent="0" bottom="0">
      <formula>AND(ISNUMBER(H29),COUNTIFS('Data - Monthly Metrics'!$A:$A,$B$4,'Data - Monthly Metrics'!$B:$B,H$8,'Data - Monthly Metrics'!$C:$C,"South King",'Data - Monthly Metrics'!$D:$D,"Goal - Penetration %")&gt;0,H29&gt;=SUMIFS('Data - Monthly Metrics'!$E:$E,'Data - Monthly Metrics'!$A:$A,$B$4,'Data - Monthly Metrics'!$B:$B,H$8,'Data - Monthly Metrics'!$C:$C,"South King",'Data - Monthly Metrics'!$D:$D,"Goal - Penetration %")-0.05)</formula>
    </cfRule>
    <cfRule type="expression" rank="0" priority="423" equalAverage="0" aboveAverage="0" dxfId="1" stopIfTrue="1" text="" percent="0" bottom="0">
      <formula>AND(ISNUMBER(H29),COUNTIFS('Data - Monthly Metrics'!$A:$A,$B$4,'Data - Monthly Metrics'!$B:$B,H$8,'Data - Monthly Metrics'!$C:$C,"South King",'Data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Metrics'!$C:$C,"South King",'Data - Monthly Metrics'!$D:$D,"Goal - Penetration %")&gt;0,J29&gt;=SUMIFS('Data - Monthly Metrics'!$E:$E,'Data - Monthly Metrics'!$A:$A,$B$4,'Data - Monthly Metrics'!$B:$B,J$8,'Data - Monthly Metrics'!$C:$C,"South King",'Data - Monthly Metrics'!$D:$D,"Goal - Penetration %"))</formula>
    </cfRule>
    <cfRule type="expression" rank="0" priority="425" equalAverage="0" aboveAverage="0" dxfId="2" stopIfTrue="1" text="" percent="0" bottom="0">
      <formula>AND(ISNUMBER(J29),COUNTIFS('Data - Monthly Metrics'!$A:$A,$B$4,'Data - Monthly Metrics'!$B:$B,J$8,'Data - Monthly Metrics'!$C:$C,"South King",'Data - Monthly Metrics'!$D:$D,"Goal - Penetration %")&gt;0,J29&gt;=SUMIFS('Data - Monthly Metrics'!$E:$E,'Data - Monthly Metrics'!$A:$A,$B$4,'Data - Monthly Metrics'!$B:$B,J$8,'Data - Monthly Metrics'!$C:$C,"South King",'Data - Monthly Metrics'!$D:$D,"Goal - Penetration %")-0.05)</formula>
    </cfRule>
    <cfRule type="expression" rank="0" priority="426" equalAverage="0" aboveAverage="0" dxfId="1" stopIfTrue="1" text="" percent="0" bottom="0">
      <formula>AND(ISNUMBER(J29),COUNTIFS('Data - Monthly Metrics'!$A:$A,$B$4,'Data - Monthly Metrics'!$B:$B,J$8,'Data - Monthly Metrics'!$C:$C,"South King",'Data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Metrics'!$C:$C,"South King",'Data - Monthly Metrics'!$D:$D,"Goal - Penetration %")&gt;0,K29&gt;=SUMIFS('Data - Monthly Metrics'!$E:$E,'Data - Monthly Metrics'!$A:$A,$B$4,'Data - Monthly Metrics'!$B:$B,K$8,'Data - Monthly Metrics'!$C:$C,"South King",'Data - Monthly Metrics'!$D:$D,"Goal - Penetration %"))</formula>
    </cfRule>
    <cfRule type="expression" rank="0" priority="428" equalAverage="0" aboveAverage="0" dxfId="2" stopIfTrue="1" text="" percent="0" bottom="0">
      <formula>AND(ISNUMBER(K29),COUNTIFS('Data - Monthly Metrics'!$A:$A,$B$4,'Data - Monthly Metrics'!$B:$B,K$8,'Data - Monthly Metrics'!$C:$C,"South King",'Data - Monthly Metrics'!$D:$D,"Goal - Penetration %")&gt;0,K29&gt;=SUMIFS('Data - Monthly Metrics'!$E:$E,'Data - Monthly Metrics'!$A:$A,$B$4,'Data - Monthly Metrics'!$B:$B,K$8,'Data - Monthly Metrics'!$C:$C,"South King",'Data - Monthly Metrics'!$D:$D,"Goal - Penetration %")-0.05)</formula>
    </cfRule>
    <cfRule type="expression" rank="0" priority="429" equalAverage="0" aboveAverage="0" dxfId="1" stopIfTrue="1" text="" percent="0" bottom="0">
      <formula>AND(ISNUMBER(K29),COUNTIFS('Data - Monthly Metrics'!$A:$A,$B$4,'Data - Monthly Metrics'!$B:$B,K$8,'Data - Monthly Metrics'!$C:$C,"South King",'Data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Metrics'!$C:$C,"South King",'Data - Monthly Metrics'!$D:$D,"Goal - Penetration %")&gt;0,L29&gt;=SUMIFS('Data - Monthly Metrics'!$E:$E,'Data - Monthly Metrics'!$A:$A,$B$4,'Data - Monthly Metrics'!$B:$B,L$8,'Data - Monthly Metrics'!$C:$C,"South King",'Data - Monthly Metrics'!$D:$D,"Goal - Penetration %"))</formula>
    </cfRule>
    <cfRule type="expression" rank="0" priority="431" equalAverage="0" aboveAverage="0" dxfId="2" stopIfTrue="1" text="" percent="0" bottom="0">
      <formula>AND(ISNUMBER(L29),COUNTIFS('Data - Monthly Metrics'!$A:$A,$B$4,'Data - Monthly Metrics'!$B:$B,L$8,'Data - Monthly Metrics'!$C:$C,"South King",'Data - Monthly Metrics'!$D:$D,"Goal - Penetration %")&gt;0,L29&gt;=SUMIFS('Data - Monthly Metrics'!$E:$E,'Data - Monthly Metrics'!$A:$A,$B$4,'Data - Monthly Metrics'!$B:$B,L$8,'Data - Monthly Metrics'!$C:$C,"South King",'Data - Monthly Metrics'!$D:$D,"Goal - Penetration %")-0.05)</formula>
    </cfRule>
    <cfRule type="expression" rank="0" priority="432" equalAverage="0" aboveAverage="0" dxfId="1" stopIfTrue="1" text="" percent="0" bottom="0">
      <formula>AND(ISNUMBER(L29),COUNTIFS('Data - Monthly Metrics'!$A:$A,$B$4,'Data - Monthly Metrics'!$B:$B,L$8,'Data - Monthly Metrics'!$C:$C,"South King",'Data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Metrics'!$C:$C,"South King",'Data - Monthly Metrics'!$D:$D,"Goal - Penetration %")&gt;0,N29&gt;=SUMIFS('Data - Monthly Metrics'!$E:$E,'Data - Monthly Metrics'!$A:$A,$B$4,'Data - Monthly Metrics'!$B:$B,N$8,'Data - Monthly Metrics'!$C:$C,"South King",'Data - Monthly Metrics'!$D:$D,"Goal - Penetration %"))</formula>
    </cfRule>
    <cfRule type="expression" rank="0" priority="434" equalAverage="0" aboveAverage="0" dxfId="2" stopIfTrue="1" text="" percent="0" bottom="0">
      <formula>AND(ISNUMBER(N29),COUNTIFS('Data - Monthly Metrics'!$A:$A,$B$4,'Data - Monthly Metrics'!$B:$B,N$8,'Data - Monthly Metrics'!$C:$C,"South King",'Data - Monthly Metrics'!$D:$D,"Goal - Penetration %")&gt;0,N29&gt;=SUMIFS('Data - Monthly Metrics'!$E:$E,'Data - Monthly Metrics'!$A:$A,$B$4,'Data - Monthly Metrics'!$B:$B,N$8,'Data - Monthly Metrics'!$C:$C,"South King",'Data - Monthly Metrics'!$D:$D,"Goal - Penetration %")-0.05)</formula>
    </cfRule>
    <cfRule type="expression" rank="0" priority="435" equalAverage="0" aboveAverage="0" dxfId="1" stopIfTrue="1" text="" percent="0" bottom="0">
      <formula>AND(ISNUMBER(N29),COUNTIFS('Data - Monthly Metrics'!$A:$A,$B$4,'Data - Monthly Metrics'!$B:$B,N$8,'Data - Monthly Metrics'!$C:$C,"South King",'Data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Metrics'!$C:$C,"South King",'Data - Monthly Metrics'!$D:$D,"Goal - Penetration %")&gt;0,O29&gt;=SUMIFS('Data - Monthly Metrics'!$E:$E,'Data - Monthly Metrics'!$A:$A,$B$4,'Data - Monthly Metrics'!$B:$B,O$8,'Data - Monthly Metrics'!$C:$C,"South King",'Data - Monthly Metrics'!$D:$D,"Goal - Penetration %"))</formula>
    </cfRule>
    <cfRule type="expression" rank="0" priority="437" equalAverage="0" aboveAverage="0" dxfId="2" stopIfTrue="1" text="" percent="0" bottom="0">
      <formula>AND(ISNUMBER(O29),COUNTIFS('Data - Monthly Metrics'!$A:$A,$B$4,'Data - Monthly Metrics'!$B:$B,O$8,'Data - Monthly Metrics'!$C:$C,"South King",'Data - Monthly Metrics'!$D:$D,"Goal - Penetration %")&gt;0,O29&gt;=SUMIFS('Data - Monthly Metrics'!$E:$E,'Data - Monthly Metrics'!$A:$A,$B$4,'Data - Monthly Metrics'!$B:$B,O$8,'Data - Monthly Metrics'!$C:$C,"South King",'Data - Monthly Metrics'!$D:$D,"Goal - Penetration %")-0.05)</formula>
    </cfRule>
    <cfRule type="expression" rank="0" priority="438" equalAverage="0" aboveAverage="0" dxfId="1" stopIfTrue="1" text="" percent="0" bottom="0">
      <formula>AND(ISNUMBER(O29),COUNTIFS('Data - Monthly Metrics'!$A:$A,$B$4,'Data - Monthly Metrics'!$B:$B,O$8,'Data - Monthly Metrics'!$C:$C,"South King",'Data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Metrics'!$C:$C,"South King",'Data - Monthly Metrics'!$D:$D,"Goal - Penetration %")&gt;0,P29&gt;=SUMIFS('Data - Monthly Metrics'!$E:$E,'Data - Monthly Metrics'!$A:$A,$B$4,'Data - Monthly Metrics'!$B:$B,P$8,'Data - Monthly Metrics'!$C:$C,"South King",'Data - Monthly Metrics'!$D:$D,"Goal - Penetration %"))</formula>
    </cfRule>
    <cfRule type="expression" rank="0" priority="440" equalAverage="0" aboveAverage="0" dxfId="2" stopIfTrue="1" text="" percent="0" bottom="0">
      <formula>AND(ISNUMBER(P29),COUNTIFS('Data - Monthly Metrics'!$A:$A,$B$4,'Data - Monthly Metrics'!$B:$B,P$8,'Data - Monthly Metrics'!$C:$C,"South King",'Data - Monthly Metrics'!$D:$D,"Goal - Penetration %")&gt;0,P29&gt;=SUMIFS('Data - Monthly Metrics'!$E:$E,'Data - Monthly Metrics'!$A:$A,$B$4,'Data - Monthly Metrics'!$B:$B,P$8,'Data - Monthly Metrics'!$C:$C,"South King",'Data - Monthly Metrics'!$D:$D,"Goal - Penetration %")-0.05)</formula>
    </cfRule>
    <cfRule type="expression" rank="0" priority="441" equalAverage="0" aboveAverage="0" dxfId="1" stopIfTrue="1" text="" percent="0" bottom="0">
      <formula>AND(ISNUMBER(P29),COUNTIFS('Data - Monthly Metrics'!$A:$A,$B$4,'Data - Monthly Metrics'!$B:$B,P$8,'Data - Monthly Metrics'!$C:$C,"South King",'Data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Metrics'!$C:$C,"South King",'Data - Monthly Metrics'!$D:$D,"Goal - Penetration %")&gt;0,B30&gt;=SUMIFS('Data - Monthly Metrics'!$E:$E,'Data - Monthly Metrics'!$A:$A,$B$4-1,'Data - Monthly Metrics'!$B:$B,B$8,'Data - Monthly Metrics'!$C:$C,"South King",'Data - Monthly Metrics'!$D:$D,"Goal - Penetration %"))</formula>
    </cfRule>
    <cfRule type="expression" rank="0" priority="443" equalAverage="0" aboveAverage="0" dxfId="2" stopIfTrue="1" text="" percent="0" bottom="0">
      <formula>AND(ISNUMBER(B30),COUNTIFS('Data - Monthly Metrics'!$A:$A,$B$4-1,'Data - Monthly Metrics'!$B:$B,B$8,'Data - Monthly Metrics'!$C:$C,"South King",'Data - Monthly Metrics'!$D:$D,"Goal - Penetration %")&gt;0,B30&gt;=SUMIFS('Data - Monthly Metrics'!$E:$E,'Data - Monthly Metrics'!$A:$A,$B$4-1,'Data - Monthly Metrics'!$B:$B,B$8,'Data - Monthly Metrics'!$C:$C,"South King",'Data - Monthly Metrics'!$D:$D,"Goal - Penetration %")-0.05)</formula>
    </cfRule>
    <cfRule type="expression" rank="0" priority="444" equalAverage="0" aboveAverage="0" dxfId="1" stopIfTrue="1" text="" percent="0" bottom="0">
      <formula>AND(ISNUMBER(B30),COUNTIFS('Data - Monthly Metrics'!$A:$A,$B$4-1,'Data - Monthly Metrics'!$B:$B,B$8,'Data - Monthly Metrics'!$C:$C,"South King",'Data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Metrics'!$C:$C,"South King",'Data - Monthly Metrics'!$D:$D,"Goal - Penetration %")&gt;0,C30&gt;=SUMIFS('Data - Monthly Metrics'!$E:$E,'Data - Monthly Metrics'!$A:$A,$B$4-1,'Data - Monthly Metrics'!$B:$B,C$8,'Data - Monthly Metrics'!$C:$C,"South King",'Data - Monthly Metrics'!$D:$D,"Goal - Penetration %"))</formula>
    </cfRule>
    <cfRule type="expression" rank="0" priority="446" equalAverage="0" aboveAverage="0" dxfId="2" stopIfTrue="1" text="" percent="0" bottom="0">
      <formula>AND(ISNUMBER(C30),COUNTIFS('Data - Monthly Metrics'!$A:$A,$B$4-1,'Data - Monthly Metrics'!$B:$B,C$8,'Data - Monthly Metrics'!$C:$C,"South King",'Data - Monthly Metrics'!$D:$D,"Goal - Penetration %")&gt;0,C30&gt;=SUMIFS('Data - Monthly Metrics'!$E:$E,'Data - Monthly Metrics'!$A:$A,$B$4-1,'Data - Monthly Metrics'!$B:$B,C$8,'Data - Monthly Metrics'!$C:$C,"South King",'Data - Monthly Metrics'!$D:$D,"Goal - Penetration %")-0.05)</formula>
    </cfRule>
    <cfRule type="expression" rank="0" priority="447" equalAverage="0" aboveAverage="0" dxfId="1" stopIfTrue="1" text="" percent="0" bottom="0">
      <formula>AND(ISNUMBER(C30),COUNTIFS('Data - Monthly Metrics'!$A:$A,$B$4-1,'Data - Monthly Metrics'!$B:$B,C$8,'Data - Monthly Metrics'!$C:$C,"South King",'Data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Metrics'!$C:$C,"South King",'Data - Monthly Metrics'!$D:$D,"Goal - Penetration %")&gt;0,D30&gt;=SUMIFS('Data - Monthly Metrics'!$E:$E,'Data - Monthly Metrics'!$A:$A,$B$4-1,'Data - Monthly Metrics'!$B:$B,D$8,'Data - Monthly Metrics'!$C:$C,"South King",'Data - Monthly Metrics'!$D:$D,"Goal - Penetration %"))</formula>
    </cfRule>
    <cfRule type="expression" rank="0" priority="449" equalAverage="0" aboveAverage="0" dxfId="2" stopIfTrue="1" text="" percent="0" bottom="0">
      <formula>AND(ISNUMBER(D30),COUNTIFS('Data - Monthly Metrics'!$A:$A,$B$4-1,'Data - Monthly Metrics'!$B:$B,D$8,'Data - Monthly Metrics'!$C:$C,"South King",'Data - Monthly Metrics'!$D:$D,"Goal - Penetration %")&gt;0,D30&gt;=SUMIFS('Data - Monthly Metrics'!$E:$E,'Data - Monthly Metrics'!$A:$A,$B$4-1,'Data - Monthly Metrics'!$B:$B,D$8,'Data - Monthly Metrics'!$C:$C,"South King",'Data - Monthly Metrics'!$D:$D,"Goal - Penetration %")-0.05)</formula>
    </cfRule>
    <cfRule type="expression" rank="0" priority="450" equalAverage="0" aboveAverage="0" dxfId="1" stopIfTrue="1" text="" percent="0" bottom="0">
      <formula>AND(ISNUMBER(D30),COUNTIFS('Data - Monthly Metrics'!$A:$A,$B$4-1,'Data - Monthly Metrics'!$B:$B,D$8,'Data - Monthly Metrics'!$C:$C,"South King",'Data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Metrics'!$C:$C,"South King",'Data - Monthly Metrics'!$D:$D,"Goal - Penetration %")&gt;0,F30&gt;=SUMIFS('Data - Monthly Metrics'!$E:$E,'Data - Monthly Metrics'!$A:$A,$B$4,'Data - Monthly Metrics'!$B:$B,F$8,'Data - Monthly Metrics'!$C:$C,"South King",'Data - Monthly Metrics'!$D:$D,"Goal - Penetration %"))</formula>
    </cfRule>
    <cfRule type="expression" rank="0" priority="452" equalAverage="0" aboveAverage="0" dxfId="2" stopIfTrue="1" text="" percent="0" bottom="0">
      <formula>AND(ISNUMBER(F30),COUNTIFS('Data - Monthly Metrics'!$A:$A,$B$4,'Data - Monthly Metrics'!$B:$B,F$8,'Data - Monthly Metrics'!$C:$C,"South King",'Data - Monthly Metrics'!$D:$D,"Goal - Penetration %")&gt;0,F30&gt;=SUMIFS('Data - Monthly Metrics'!$E:$E,'Data - Monthly Metrics'!$A:$A,$B$4,'Data - Monthly Metrics'!$B:$B,F$8,'Data - Monthly Metrics'!$C:$C,"South King",'Data - Monthly Metrics'!$D:$D,"Goal - Penetration %")-0.05)</formula>
    </cfRule>
    <cfRule type="expression" rank="0" priority="453" equalAverage="0" aboveAverage="0" dxfId="1" stopIfTrue="1" text="" percent="0" bottom="0">
      <formula>AND(ISNUMBER(F30),COUNTIFS('Data - Monthly Metrics'!$A:$A,$B$4,'Data - Monthly Metrics'!$B:$B,F$8,'Data - Monthly Metrics'!$C:$C,"South King",'Data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Metrics'!$C:$C,"South King",'Data - Monthly Metrics'!$D:$D,"Goal - Penetration %")&gt;0,G30&gt;=SUMIFS('Data - Monthly Metrics'!$E:$E,'Data - Monthly Metrics'!$A:$A,$B$4,'Data - Monthly Metrics'!$B:$B,G$8,'Data - Monthly Metrics'!$C:$C,"South King",'Data - Monthly Metrics'!$D:$D,"Goal - Penetration %"))</formula>
    </cfRule>
    <cfRule type="expression" rank="0" priority="455" equalAverage="0" aboveAverage="0" dxfId="2" stopIfTrue="1" text="" percent="0" bottom="0">
      <formula>AND(ISNUMBER(G30),COUNTIFS('Data - Monthly Metrics'!$A:$A,$B$4,'Data - Monthly Metrics'!$B:$B,G$8,'Data - Monthly Metrics'!$C:$C,"South King",'Data - Monthly Metrics'!$D:$D,"Goal - Penetration %")&gt;0,G30&gt;=SUMIFS('Data - Monthly Metrics'!$E:$E,'Data - Monthly Metrics'!$A:$A,$B$4,'Data - Monthly Metrics'!$B:$B,G$8,'Data - Monthly Metrics'!$C:$C,"South King",'Data - Monthly Metrics'!$D:$D,"Goal - Penetration %")-0.05)</formula>
    </cfRule>
    <cfRule type="expression" rank="0" priority="456" equalAverage="0" aboveAverage="0" dxfId="1" stopIfTrue="1" text="" percent="0" bottom="0">
      <formula>AND(ISNUMBER(G30),COUNTIFS('Data - Monthly Metrics'!$A:$A,$B$4,'Data - Monthly Metrics'!$B:$B,G$8,'Data - Monthly Metrics'!$C:$C,"South King",'Data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Metrics'!$C:$C,"South King",'Data - Monthly Metrics'!$D:$D,"Goal - Penetration %")&gt;0,H30&gt;=SUMIFS('Data - Monthly Metrics'!$E:$E,'Data - Monthly Metrics'!$A:$A,$B$4,'Data - Monthly Metrics'!$B:$B,H$8,'Data - Monthly Metrics'!$C:$C,"South King",'Data - Monthly Metrics'!$D:$D,"Goal - Penetration %"))</formula>
    </cfRule>
    <cfRule type="expression" rank="0" priority="458" equalAverage="0" aboveAverage="0" dxfId="2" stopIfTrue="1" text="" percent="0" bottom="0">
      <formula>AND(ISNUMBER(H30),COUNTIFS('Data - Monthly Metrics'!$A:$A,$B$4,'Data - Monthly Metrics'!$B:$B,H$8,'Data - Monthly Metrics'!$C:$C,"South King",'Data - Monthly Metrics'!$D:$D,"Goal - Penetration %")&gt;0,H30&gt;=SUMIFS('Data - Monthly Metrics'!$E:$E,'Data - Monthly Metrics'!$A:$A,$B$4,'Data - Monthly Metrics'!$B:$B,H$8,'Data - Monthly Metrics'!$C:$C,"South King",'Data - Monthly Metrics'!$D:$D,"Goal - Penetration %")-0.05)</formula>
    </cfRule>
    <cfRule type="expression" rank="0" priority="459" equalAverage="0" aboveAverage="0" dxfId="1" stopIfTrue="1" text="" percent="0" bottom="0">
      <formula>AND(ISNUMBER(H30),COUNTIFS('Data - Monthly Metrics'!$A:$A,$B$4,'Data - Monthly Metrics'!$B:$B,H$8,'Data - Monthly Metrics'!$C:$C,"South King",'Data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Metrics'!$C:$C,"South King",'Data - Monthly Metrics'!$D:$D,"Goal - Penetration %")&gt;0,J30&gt;=SUMIFS('Data - Monthly Metrics'!$E:$E,'Data - Monthly Metrics'!$A:$A,$B$4,'Data - Monthly Metrics'!$B:$B,J$8,'Data - Monthly Metrics'!$C:$C,"South King",'Data - Monthly Metrics'!$D:$D,"Goal - Penetration %"))</formula>
    </cfRule>
    <cfRule type="expression" rank="0" priority="461" equalAverage="0" aboveAverage="0" dxfId="2" stopIfTrue="1" text="" percent="0" bottom="0">
      <formula>AND(ISNUMBER(J30),COUNTIFS('Data - Monthly Metrics'!$A:$A,$B$4,'Data - Monthly Metrics'!$B:$B,J$8,'Data - Monthly Metrics'!$C:$C,"South King",'Data - Monthly Metrics'!$D:$D,"Goal - Penetration %")&gt;0,J30&gt;=SUMIFS('Data - Monthly Metrics'!$E:$E,'Data - Monthly Metrics'!$A:$A,$B$4,'Data - Monthly Metrics'!$B:$B,J$8,'Data - Monthly Metrics'!$C:$C,"South King",'Data - Monthly Metrics'!$D:$D,"Goal - Penetration %")-0.05)</formula>
    </cfRule>
    <cfRule type="expression" rank="0" priority="462" equalAverage="0" aboveAverage="0" dxfId="1" stopIfTrue="1" text="" percent="0" bottom="0">
      <formula>AND(ISNUMBER(J30),COUNTIFS('Data - Monthly Metrics'!$A:$A,$B$4,'Data - Monthly Metrics'!$B:$B,J$8,'Data - Monthly Metrics'!$C:$C,"South King",'Data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Metrics'!$C:$C,"South King",'Data - Monthly Metrics'!$D:$D,"Goal - Penetration %")&gt;0,K30&gt;=SUMIFS('Data - Monthly Metrics'!$E:$E,'Data - Monthly Metrics'!$A:$A,$B$4,'Data - Monthly Metrics'!$B:$B,K$8,'Data - Monthly Metrics'!$C:$C,"South King",'Data - Monthly Metrics'!$D:$D,"Goal - Penetration %"))</formula>
    </cfRule>
    <cfRule type="expression" rank="0" priority="464" equalAverage="0" aboveAverage="0" dxfId="2" stopIfTrue="1" text="" percent="0" bottom="0">
      <formula>AND(ISNUMBER(K30),COUNTIFS('Data - Monthly Metrics'!$A:$A,$B$4,'Data - Monthly Metrics'!$B:$B,K$8,'Data - Monthly Metrics'!$C:$C,"South King",'Data - Monthly Metrics'!$D:$D,"Goal - Penetration %")&gt;0,K30&gt;=SUMIFS('Data - Monthly Metrics'!$E:$E,'Data - Monthly Metrics'!$A:$A,$B$4,'Data - Monthly Metrics'!$B:$B,K$8,'Data - Monthly Metrics'!$C:$C,"South King",'Data - Monthly Metrics'!$D:$D,"Goal - Penetration %")-0.05)</formula>
    </cfRule>
    <cfRule type="expression" rank="0" priority="465" equalAverage="0" aboveAverage="0" dxfId="1" stopIfTrue="1" text="" percent="0" bottom="0">
      <formula>AND(ISNUMBER(K30),COUNTIFS('Data - Monthly Metrics'!$A:$A,$B$4,'Data - Monthly Metrics'!$B:$B,K$8,'Data - Monthly Metrics'!$C:$C,"South King",'Data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Metrics'!$C:$C,"South King",'Data - Monthly Metrics'!$D:$D,"Goal - Penetration %")&gt;0,L30&gt;=SUMIFS('Data - Monthly Metrics'!$E:$E,'Data - Monthly Metrics'!$A:$A,$B$4,'Data - Monthly Metrics'!$B:$B,L$8,'Data - Monthly Metrics'!$C:$C,"South King",'Data - Monthly Metrics'!$D:$D,"Goal - Penetration %"))</formula>
    </cfRule>
    <cfRule type="expression" rank="0" priority="467" equalAverage="0" aboveAverage="0" dxfId="2" stopIfTrue="1" text="" percent="0" bottom="0">
      <formula>AND(ISNUMBER(L30),COUNTIFS('Data - Monthly Metrics'!$A:$A,$B$4,'Data - Monthly Metrics'!$B:$B,L$8,'Data - Monthly Metrics'!$C:$C,"South King",'Data - Monthly Metrics'!$D:$D,"Goal - Penetration %")&gt;0,L30&gt;=SUMIFS('Data - Monthly Metrics'!$E:$E,'Data - Monthly Metrics'!$A:$A,$B$4,'Data - Monthly Metrics'!$B:$B,L$8,'Data - Monthly Metrics'!$C:$C,"South King",'Data - Monthly Metrics'!$D:$D,"Goal - Penetration %")-0.05)</formula>
    </cfRule>
    <cfRule type="expression" rank="0" priority="468" equalAverage="0" aboveAverage="0" dxfId="1" stopIfTrue="1" text="" percent="0" bottom="0">
      <formula>AND(ISNUMBER(L30),COUNTIFS('Data - Monthly Metrics'!$A:$A,$B$4,'Data - Monthly Metrics'!$B:$B,L$8,'Data - Monthly Metrics'!$C:$C,"South King",'Data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Metrics'!$C:$C,"South King",'Data - Monthly Metrics'!$D:$D,"Goal - Penetration %")&gt;0,N30&gt;=SUMIFS('Data - Monthly Metrics'!$E:$E,'Data - Monthly Metrics'!$A:$A,$B$4,'Data - Monthly Metrics'!$B:$B,N$8,'Data - Monthly Metrics'!$C:$C,"South King",'Data - Monthly Metrics'!$D:$D,"Goal - Penetration %"))</formula>
    </cfRule>
    <cfRule type="expression" rank="0" priority="470" equalAverage="0" aboveAverage="0" dxfId="2" stopIfTrue="1" text="" percent="0" bottom="0">
      <formula>AND(ISNUMBER(N30),COUNTIFS('Data - Monthly Metrics'!$A:$A,$B$4,'Data - Monthly Metrics'!$B:$B,N$8,'Data - Monthly Metrics'!$C:$C,"South King",'Data - Monthly Metrics'!$D:$D,"Goal - Penetration %")&gt;0,N30&gt;=SUMIFS('Data - Monthly Metrics'!$E:$E,'Data - Monthly Metrics'!$A:$A,$B$4,'Data - Monthly Metrics'!$B:$B,N$8,'Data - Monthly Metrics'!$C:$C,"South King",'Data - Monthly Metrics'!$D:$D,"Goal - Penetration %")-0.05)</formula>
    </cfRule>
    <cfRule type="expression" rank="0" priority="471" equalAverage="0" aboveAverage="0" dxfId="1" stopIfTrue="1" text="" percent="0" bottom="0">
      <formula>AND(ISNUMBER(N30),COUNTIFS('Data - Monthly Metrics'!$A:$A,$B$4,'Data - Monthly Metrics'!$B:$B,N$8,'Data - Monthly Metrics'!$C:$C,"South King",'Data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Metrics'!$C:$C,"South King",'Data - Monthly Metrics'!$D:$D,"Goal - Penetration %")&gt;0,O30&gt;=SUMIFS('Data - Monthly Metrics'!$E:$E,'Data - Monthly Metrics'!$A:$A,$B$4,'Data - Monthly Metrics'!$B:$B,O$8,'Data - Monthly Metrics'!$C:$C,"South King",'Data - Monthly Metrics'!$D:$D,"Goal - Penetration %"))</formula>
    </cfRule>
    <cfRule type="expression" rank="0" priority="473" equalAverage="0" aboveAverage="0" dxfId="2" stopIfTrue="1" text="" percent="0" bottom="0">
      <formula>AND(ISNUMBER(O30),COUNTIFS('Data - Monthly Metrics'!$A:$A,$B$4,'Data - Monthly Metrics'!$B:$B,O$8,'Data - Monthly Metrics'!$C:$C,"South King",'Data - Monthly Metrics'!$D:$D,"Goal - Penetration %")&gt;0,O30&gt;=SUMIFS('Data - Monthly Metrics'!$E:$E,'Data - Monthly Metrics'!$A:$A,$B$4,'Data - Monthly Metrics'!$B:$B,O$8,'Data - Monthly Metrics'!$C:$C,"South King",'Data - Monthly Metrics'!$D:$D,"Goal - Penetration %")-0.05)</formula>
    </cfRule>
    <cfRule type="expression" rank="0" priority="474" equalAverage="0" aboveAverage="0" dxfId="1" stopIfTrue="1" text="" percent="0" bottom="0">
      <formula>AND(ISNUMBER(O30),COUNTIFS('Data - Monthly Metrics'!$A:$A,$B$4,'Data - Monthly Metrics'!$B:$B,O$8,'Data - Monthly Metrics'!$C:$C,"South King",'Data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Metrics'!$C:$C,"South King",'Data - Monthly Metrics'!$D:$D,"Goal - Penetration %")&gt;0,P30&gt;=SUMIFS('Data - Monthly Metrics'!$E:$E,'Data - Monthly Metrics'!$A:$A,$B$4,'Data - Monthly Metrics'!$B:$B,P$8,'Data - Monthly Metrics'!$C:$C,"South King",'Data - Monthly Metrics'!$D:$D,"Goal - Penetration %"))</formula>
    </cfRule>
    <cfRule type="expression" rank="0" priority="476" equalAverage="0" aboveAverage="0" dxfId="2" stopIfTrue="1" text="" percent="0" bottom="0">
      <formula>AND(ISNUMBER(P30),COUNTIFS('Data - Monthly Metrics'!$A:$A,$B$4,'Data - Monthly Metrics'!$B:$B,P$8,'Data - Monthly Metrics'!$C:$C,"South King",'Data - Monthly Metrics'!$D:$D,"Goal - Penetration %")&gt;0,P30&gt;=SUMIFS('Data - Monthly Metrics'!$E:$E,'Data - Monthly Metrics'!$A:$A,$B$4,'Data - Monthly Metrics'!$B:$B,P$8,'Data - Monthly Metrics'!$C:$C,"South King",'Data - Monthly Metrics'!$D:$D,"Goal - Penetration %")-0.05)</formula>
    </cfRule>
    <cfRule type="expression" rank="0" priority="477" equalAverage="0" aboveAverage="0" dxfId="1" stopIfTrue="1" text="" percent="0" bottom="0">
      <formula>AND(ISNUMBER(P30),COUNTIFS('Data - Monthly Metrics'!$A:$A,$B$4,'Data - Monthly Metrics'!$B:$B,P$8,'Data - Monthly Metrics'!$C:$C,"South King",'Data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Metrics'!$C:$C,"South King",'Data - Monthly Metrics'!$D:$D,"Goal - Penetration %")&gt;0,B31&gt;=SUMIFS('Data - Monthly Metrics'!$E:$E,'Data - Monthly Metrics'!$A:$A,$B$4-1,'Data - Monthly Metrics'!$B:$B,B$8,'Data - Monthly Metrics'!$C:$C,"South King",'Data - Monthly Metrics'!$D:$D,"Goal - Penetration %"))</formula>
    </cfRule>
    <cfRule type="expression" rank="0" priority="479" equalAverage="0" aboveAverage="0" dxfId="2" stopIfTrue="1" text="" percent="0" bottom="0">
      <formula>AND(ISNUMBER(B31),COUNTIFS('Data - Monthly Metrics'!$A:$A,$B$4-1,'Data - Monthly Metrics'!$B:$B,B$8,'Data - Monthly Metrics'!$C:$C,"South King",'Data - Monthly Metrics'!$D:$D,"Goal - Penetration %")&gt;0,B31&gt;=SUMIFS('Data - Monthly Metrics'!$E:$E,'Data - Monthly Metrics'!$A:$A,$B$4-1,'Data - Monthly Metrics'!$B:$B,B$8,'Data - Monthly Metrics'!$C:$C,"South King",'Data - Monthly Metrics'!$D:$D,"Goal - Penetration %")-0.05)</formula>
    </cfRule>
    <cfRule type="expression" rank="0" priority="480" equalAverage="0" aboveAverage="0" dxfId="1" stopIfTrue="1" text="" percent="0" bottom="0">
      <formula>AND(ISNUMBER(B31),COUNTIFS('Data - Monthly Metrics'!$A:$A,$B$4-1,'Data - Monthly Metrics'!$B:$B,B$8,'Data - Monthly Metrics'!$C:$C,"South King",'Data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Metrics'!$C:$C,"South King",'Data - Monthly Metrics'!$D:$D,"Goal - Penetration %")&gt;0,C31&gt;=SUMIFS('Data - Monthly Metrics'!$E:$E,'Data - Monthly Metrics'!$A:$A,$B$4-1,'Data - Monthly Metrics'!$B:$B,C$8,'Data - Monthly Metrics'!$C:$C,"South King",'Data - Monthly Metrics'!$D:$D,"Goal - Penetration %"))</formula>
    </cfRule>
    <cfRule type="expression" rank="0" priority="482" equalAverage="0" aboveAverage="0" dxfId="2" stopIfTrue="1" text="" percent="0" bottom="0">
      <formula>AND(ISNUMBER(C31),COUNTIFS('Data - Monthly Metrics'!$A:$A,$B$4-1,'Data - Monthly Metrics'!$B:$B,C$8,'Data - Monthly Metrics'!$C:$C,"South King",'Data - Monthly Metrics'!$D:$D,"Goal - Penetration %")&gt;0,C31&gt;=SUMIFS('Data - Monthly Metrics'!$E:$E,'Data - Monthly Metrics'!$A:$A,$B$4-1,'Data - Monthly Metrics'!$B:$B,C$8,'Data - Monthly Metrics'!$C:$C,"South King",'Data - Monthly Metrics'!$D:$D,"Goal - Penetration %")-0.05)</formula>
    </cfRule>
    <cfRule type="expression" rank="0" priority="483" equalAverage="0" aboveAverage="0" dxfId="1" stopIfTrue="1" text="" percent="0" bottom="0">
      <formula>AND(ISNUMBER(C31),COUNTIFS('Data - Monthly Metrics'!$A:$A,$B$4-1,'Data - Monthly Metrics'!$B:$B,C$8,'Data - Monthly Metrics'!$C:$C,"South King",'Data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Metrics'!$C:$C,"South King",'Data - Monthly Metrics'!$D:$D,"Goal - Penetration %")&gt;0,D31&gt;=SUMIFS('Data - Monthly Metrics'!$E:$E,'Data - Monthly Metrics'!$A:$A,$B$4-1,'Data - Monthly Metrics'!$B:$B,D$8,'Data - Monthly Metrics'!$C:$C,"South King",'Data - Monthly Metrics'!$D:$D,"Goal - Penetration %"))</formula>
    </cfRule>
    <cfRule type="expression" rank="0" priority="485" equalAverage="0" aboveAverage="0" dxfId="2" stopIfTrue="1" text="" percent="0" bottom="0">
      <formula>AND(ISNUMBER(D31),COUNTIFS('Data - Monthly Metrics'!$A:$A,$B$4-1,'Data - Monthly Metrics'!$B:$B,D$8,'Data - Monthly Metrics'!$C:$C,"South King",'Data - Monthly Metrics'!$D:$D,"Goal - Penetration %")&gt;0,D31&gt;=SUMIFS('Data - Monthly Metrics'!$E:$E,'Data - Monthly Metrics'!$A:$A,$B$4-1,'Data - Monthly Metrics'!$B:$B,D$8,'Data - Monthly Metrics'!$C:$C,"South King",'Data - Monthly Metrics'!$D:$D,"Goal - Penetration %")-0.05)</formula>
    </cfRule>
    <cfRule type="expression" rank="0" priority="486" equalAverage="0" aboveAverage="0" dxfId="1" stopIfTrue="1" text="" percent="0" bottom="0">
      <formula>AND(ISNUMBER(D31),COUNTIFS('Data - Monthly Metrics'!$A:$A,$B$4-1,'Data - Monthly Metrics'!$B:$B,D$8,'Data - Monthly Metrics'!$C:$C,"South King",'Data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Metrics'!$C:$C,"South King",'Data - Monthly Metrics'!$D:$D,"Goal - Penetration %")&gt;0,F31&gt;=SUMIFS('Data - Monthly Metrics'!$E:$E,'Data - Monthly Metrics'!$A:$A,$B$4,'Data - Monthly Metrics'!$B:$B,F$8,'Data - Monthly Metrics'!$C:$C,"South King",'Data - Monthly Metrics'!$D:$D,"Goal - Penetration %"))</formula>
    </cfRule>
    <cfRule type="expression" rank="0" priority="488" equalAverage="0" aboveAverage="0" dxfId="2" stopIfTrue="1" text="" percent="0" bottom="0">
      <formula>AND(ISNUMBER(F31),COUNTIFS('Data - Monthly Metrics'!$A:$A,$B$4,'Data - Monthly Metrics'!$B:$B,F$8,'Data - Monthly Metrics'!$C:$C,"South King",'Data - Monthly Metrics'!$D:$D,"Goal - Penetration %")&gt;0,F31&gt;=SUMIFS('Data - Monthly Metrics'!$E:$E,'Data - Monthly Metrics'!$A:$A,$B$4,'Data - Monthly Metrics'!$B:$B,F$8,'Data - Monthly Metrics'!$C:$C,"South King",'Data - Monthly Metrics'!$D:$D,"Goal - Penetration %")-0.05)</formula>
    </cfRule>
    <cfRule type="expression" rank="0" priority="489" equalAverage="0" aboveAverage="0" dxfId="1" stopIfTrue="1" text="" percent="0" bottom="0">
      <formula>AND(ISNUMBER(F31),COUNTIFS('Data - Monthly Metrics'!$A:$A,$B$4,'Data - Monthly Metrics'!$B:$B,F$8,'Data - Monthly Metrics'!$C:$C,"South King",'Data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Metrics'!$C:$C,"South King",'Data - Monthly Metrics'!$D:$D,"Goal - Penetration %")&gt;0,G31&gt;=SUMIFS('Data - Monthly Metrics'!$E:$E,'Data - Monthly Metrics'!$A:$A,$B$4,'Data - Monthly Metrics'!$B:$B,G$8,'Data - Monthly Metrics'!$C:$C,"South King",'Data - Monthly Metrics'!$D:$D,"Goal - Penetration %"))</formula>
    </cfRule>
    <cfRule type="expression" rank="0" priority="491" equalAverage="0" aboveAverage="0" dxfId="2" stopIfTrue="1" text="" percent="0" bottom="0">
      <formula>AND(ISNUMBER(G31),COUNTIFS('Data - Monthly Metrics'!$A:$A,$B$4,'Data - Monthly Metrics'!$B:$B,G$8,'Data - Monthly Metrics'!$C:$C,"South King",'Data - Monthly Metrics'!$D:$D,"Goal - Penetration %")&gt;0,G31&gt;=SUMIFS('Data - Monthly Metrics'!$E:$E,'Data - Monthly Metrics'!$A:$A,$B$4,'Data - Monthly Metrics'!$B:$B,G$8,'Data - Monthly Metrics'!$C:$C,"South King",'Data - Monthly Metrics'!$D:$D,"Goal - Penetration %")-0.05)</formula>
    </cfRule>
    <cfRule type="expression" rank="0" priority="492" equalAverage="0" aboveAverage="0" dxfId="1" stopIfTrue="1" text="" percent="0" bottom="0">
      <formula>AND(ISNUMBER(G31),COUNTIFS('Data - Monthly Metrics'!$A:$A,$B$4,'Data - Monthly Metrics'!$B:$B,G$8,'Data - Monthly Metrics'!$C:$C,"South King",'Data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Metrics'!$C:$C,"South King",'Data - Monthly Metrics'!$D:$D,"Goal - Penetration %")&gt;0,H31&gt;=SUMIFS('Data - Monthly Metrics'!$E:$E,'Data - Monthly Metrics'!$A:$A,$B$4,'Data - Monthly Metrics'!$B:$B,H$8,'Data - Monthly Metrics'!$C:$C,"South King",'Data - Monthly Metrics'!$D:$D,"Goal - Penetration %"))</formula>
    </cfRule>
    <cfRule type="expression" rank="0" priority="494" equalAverage="0" aboveAverage="0" dxfId="2" stopIfTrue="1" text="" percent="0" bottom="0">
      <formula>AND(ISNUMBER(H31),COUNTIFS('Data - Monthly Metrics'!$A:$A,$B$4,'Data - Monthly Metrics'!$B:$B,H$8,'Data - Monthly Metrics'!$C:$C,"South King",'Data - Monthly Metrics'!$D:$D,"Goal - Penetration %")&gt;0,H31&gt;=SUMIFS('Data - Monthly Metrics'!$E:$E,'Data - Monthly Metrics'!$A:$A,$B$4,'Data - Monthly Metrics'!$B:$B,H$8,'Data - Monthly Metrics'!$C:$C,"South King",'Data - Monthly Metrics'!$D:$D,"Goal - Penetration %")-0.05)</formula>
    </cfRule>
    <cfRule type="expression" rank="0" priority="495" equalAverage="0" aboveAverage="0" dxfId="1" stopIfTrue="1" text="" percent="0" bottom="0">
      <formula>AND(ISNUMBER(H31),COUNTIFS('Data - Monthly Metrics'!$A:$A,$B$4,'Data - Monthly Metrics'!$B:$B,H$8,'Data - Monthly Metrics'!$C:$C,"South King",'Data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Metrics'!$C:$C,"South King",'Data - Monthly Metrics'!$D:$D,"Goal - Penetration %")&gt;0,J31&gt;=SUMIFS('Data - Monthly Metrics'!$E:$E,'Data - Monthly Metrics'!$A:$A,$B$4,'Data - Monthly Metrics'!$B:$B,J$8,'Data - Monthly Metrics'!$C:$C,"South King",'Data - Monthly Metrics'!$D:$D,"Goal - Penetration %"))</formula>
    </cfRule>
    <cfRule type="expression" rank="0" priority="497" equalAverage="0" aboveAverage="0" dxfId="2" stopIfTrue="1" text="" percent="0" bottom="0">
      <formula>AND(ISNUMBER(J31),COUNTIFS('Data - Monthly Metrics'!$A:$A,$B$4,'Data - Monthly Metrics'!$B:$B,J$8,'Data - Monthly Metrics'!$C:$C,"South King",'Data - Monthly Metrics'!$D:$D,"Goal - Penetration %")&gt;0,J31&gt;=SUMIFS('Data - Monthly Metrics'!$E:$E,'Data - Monthly Metrics'!$A:$A,$B$4,'Data - Monthly Metrics'!$B:$B,J$8,'Data - Monthly Metrics'!$C:$C,"South King",'Data - Monthly Metrics'!$D:$D,"Goal - Penetration %")-0.05)</formula>
    </cfRule>
    <cfRule type="expression" rank="0" priority="498" equalAverage="0" aboveAverage="0" dxfId="1" stopIfTrue="1" text="" percent="0" bottom="0">
      <formula>AND(ISNUMBER(J31),COUNTIFS('Data - Monthly Metrics'!$A:$A,$B$4,'Data - Monthly Metrics'!$B:$B,J$8,'Data - Monthly Metrics'!$C:$C,"South King",'Data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Metrics'!$C:$C,"South King",'Data - Monthly Metrics'!$D:$D,"Goal - Penetration %")&gt;0,K31&gt;=SUMIFS('Data - Monthly Metrics'!$E:$E,'Data - Monthly Metrics'!$A:$A,$B$4,'Data - Monthly Metrics'!$B:$B,K$8,'Data - Monthly Metrics'!$C:$C,"South King",'Data - Monthly Metrics'!$D:$D,"Goal - Penetration %"))</formula>
    </cfRule>
    <cfRule type="expression" rank="0" priority="500" equalAverage="0" aboveAverage="0" dxfId="2" stopIfTrue="1" text="" percent="0" bottom="0">
      <formula>AND(ISNUMBER(K31),COUNTIFS('Data - Monthly Metrics'!$A:$A,$B$4,'Data - Monthly Metrics'!$B:$B,K$8,'Data - Monthly Metrics'!$C:$C,"South King",'Data - Monthly Metrics'!$D:$D,"Goal - Penetration %")&gt;0,K31&gt;=SUMIFS('Data - Monthly Metrics'!$E:$E,'Data - Monthly Metrics'!$A:$A,$B$4,'Data - Monthly Metrics'!$B:$B,K$8,'Data - Monthly Metrics'!$C:$C,"South King",'Data - Monthly Metrics'!$D:$D,"Goal - Penetration %")-0.05)</formula>
    </cfRule>
    <cfRule type="expression" rank="0" priority="501" equalAverage="0" aboveAverage="0" dxfId="1" stopIfTrue="1" text="" percent="0" bottom="0">
      <formula>AND(ISNUMBER(K31),COUNTIFS('Data - Monthly Metrics'!$A:$A,$B$4,'Data - Monthly Metrics'!$B:$B,K$8,'Data - Monthly Metrics'!$C:$C,"South King",'Data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Metrics'!$C:$C,"South King",'Data - Monthly Metrics'!$D:$D,"Goal - Penetration %")&gt;0,L31&gt;=SUMIFS('Data - Monthly Metrics'!$E:$E,'Data - Monthly Metrics'!$A:$A,$B$4,'Data - Monthly Metrics'!$B:$B,L$8,'Data - Monthly Metrics'!$C:$C,"South King",'Data - Monthly Metrics'!$D:$D,"Goal - Penetration %"))</formula>
    </cfRule>
    <cfRule type="expression" rank="0" priority="503" equalAverage="0" aboveAverage="0" dxfId="2" stopIfTrue="1" text="" percent="0" bottom="0">
      <formula>AND(ISNUMBER(L31),COUNTIFS('Data - Monthly Metrics'!$A:$A,$B$4,'Data - Monthly Metrics'!$B:$B,L$8,'Data - Monthly Metrics'!$C:$C,"South King",'Data - Monthly Metrics'!$D:$D,"Goal - Penetration %")&gt;0,L31&gt;=SUMIFS('Data - Monthly Metrics'!$E:$E,'Data - Monthly Metrics'!$A:$A,$B$4,'Data - Monthly Metrics'!$B:$B,L$8,'Data - Monthly Metrics'!$C:$C,"South King",'Data - Monthly Metrics'!$D:$D,"Goal - Penetration %")-0.05)</formula>
    </cfRule>
    <cfRule type="expression" rank="0" priority="504" equalAverage="0" aboveAverage="0" dxfId="1" stopIfTrue="1" text="" percent="0" bottom="0">
      <formula>AND(ISNUMBER(L31),COUNTIFS('Data - Monthly Metrics'!$A:$A,$B$4,'Data - Monthly Metrics'!$B:$B,L$8,'Data - Monthly Metrics'!$C:$C,"South King",'Data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Metrics'!$C:$C,"South King",'Data - Monthly Metrics'!$D:$D,"Goal - Penetration %")&gt;0,N31&gt;=SUMIFS('Data - Monthly Metrics'!$E:$E,'Data - Monthly Metrics'!$A:$A,$B$4,'Data - Monthly Metrics'!$B:$B,N$8,'Data - Monthly Metrics'!$C:$C,"South King",'Data - Monthly Metrics'!$D:$D,"Goal - Penetration %"))</formula>
    </cfRule>
    <cfRule type="expression" rank="0" priority="506" equalAverage="0" aboveAverage="0" dxfId="2" stopIfTrue="1" text="" percent="0" bottom="0">
      <formula>AND(ISNUMBER(N31),COUNTIFS('Data - Monthly Metrics'!$A:$A,$B$4,'Data - Monthly Metrics'!$B:$B,N$8,'Data - Monthly Metrics'!$C:$C,"South King",'Data - Monthly Metrics'!$D:$D,"Goal - Penetration %")&gt;0,N31&gt;=SUMIFS('Data - Monthly Metrics'!$E:$E,'Data - Monthly Metrics'!$A:$A,$B$4,'Data - Monthly Metrics'!$B:$B,N$8,'Data - Monthly Metrics'!$C:$C,"South King",'Data - Monthly Metrics'!$D:$D,"Goal - Penetration %")-0.05)</formula>
    </cfRule>
    <cfRule type="expression" rank="0" priority="507" equalAverage="0" aboveAverage="0" dxfId="1" stopIfTrue="1" text="" percent="0" bottom="0">
      <formula>AND(ISNUMBER(N31),COUNTIFS('Data - Monthly Metrics'!$A:$A,$B$4,'Data - Monthly Metrics'!$B:$B,N$8,'Data - Monthly Metrics'!$C:$C,"South King",'Data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Metrics'!$C:$C,"South King",'Data - Monthly Metrics'!$D:$D,"Goal - Penetration %")&gt;0,O31&gt;=SUMIFS('Data - Monthly Metrics'!$E:$E,'Data - Monthly Metrics'!$A:$A,$B$4,'Data - Monthly Metrics'!$B:$B,O$8,'Data - Monthly Metrics'!$C:$C,"South King",'Data - Monthly Metrics'!$D:$D,"Goal - Penetration %"))</formula>
    </cfRule>
    <cfRule type="expression" rank="0" priority="509" equalAverage="0" aboveAverage="0" dxfId="2" stopIfTrue="1" text="" percent="0" bottom="0">
      <formula>AND(ISNUMBER(O31),COUNTIFS('Data - Monthly Metrics'!$A:$A,$B$4,'Data - Monthly Metrics'!$B:$B,O$8,'Data - Monthly Metrics'!$C:$C,"South King",'Data - Monthly Metrics'!$D:$D,"Goal - Penetration %")&gt;0,O31&gt;=SUMIFS('Data - Monthly Metrics'!$E:$E,'Data - Monthly Metrics'!$A:$A,$B$4,'Data - Monthly Metrics'!$B:$B,O$8,'Data - Monthly Metrics'!$C:$C,"South King",'Data - Monthly Metrics'!$D:$D,"Goal - Penetration %")-0.05)</formula>
    </cfRule>
    <cfRule type="expression" rank="0" priority="510" equalAverage="0" aboveAverage="0" dxfId="1" stopIfTrue="1" text="" percent="0" bottom="0">
      <formula>AND(ISNUMBER(O31),COUNTIFS('Data - Monthly Metrics'!$A:$A,$B$4,'Data - Monthly Metrics'!$B:$B,O$8,'Data - Monthly Metrics'!$C:$C,"South King",'Data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Metrics'!$C:$C,"South King",'Data - Monthly Metrics'!$D:$D,"Goal - Penetration %")&gt;0,P31&gt;=SUMIFS('Data - Monthly Metrics'!$E:$E,'Data - Monthly Metrics'!$A:$A,$B$4,'Data - Monthly Metrics'!$B:$B,P$8,'Data - Monthly Metrics'!$C:$C,"South King",'Data - Monthly Metrics'!$D:$D,"Goal - Penetration %"))</formula>
    </cfRule>
    <cfRule type="expression" rank="0" priority="512" equalAverage="0" aboveAverage="0" dxfId="2" stopIfTrue="1" text="" percent="0" bottom="0">
      <formula>AND(ISNUMBER(P31),COUNTIFS('Data - Monthly Metrics'!$A:$A,$B$4,'Data - Monthly Metrics'!$B:$B,P$8,'Data - Monthly Metrics'!$C:$C,"South King",'Data - Monthly Metrics'!$D:$D,"Goal - Penetration %")&gt;0,P31&gt;=SUMIFS('Data - Monthly Metrics'!$E:$E,'Data - Monthly Metrics'!$A:$A,$B$4,'Data - Monthly Metrics'!$B:$B,P$8,'Data - Monthly Metrics'!$C:$C,"South King",'Data - Monthly Metrics'!$D:$D,"Goal - Penetration %")-0.05)</formula>
    </cfRule>
    <cfRule type="expression" rank="0" priority="513" equalAverage="0" aboveAverage="0" dxfId="1" stopIfTrue="1" text="" percent="0" bottom="0">
      <formula>AND(ISNUMBER(P31),COUNTIFS('Data - Monthly Metrics'!$A:$A,$B$4,'Data - Monthly Metrics'!$B:$B,P$8,'Data - Monthly Metrics'!$C:$C,"South King",'Data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North King</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Metrics'!C:C,"North King",'Data - Monthly Metrics'!D:D,"New Sales Revenue - BOB/Promo ($)")=0,"-",SUMIFS('Data - Monthly Metrics'!E:E,'Data - Monthly Metrics'!A:A,$B$4-1,'Data - Monthly Metrics'!B:B,"Oct",'Data - Monthly Metrics'!C:C,"North King",'Data - Monthly Metrics'!D:D,"New Sales Revenue - BOB/Promo ($)"))</f>
        <v/>
      </c>
      <c r="C10" s="91">
        <f>IF(COUNTIFS('Data - Monthly Metrics'!A:A,$B$4-1,'Data - Monthly Metrics'!B:B,"Nov",'Data - Monthly Metrics'!C:C,"North King",'Data - Monthly Metrics'!D:D,"New Sales Revenue - BOB/Promo ($)")=0,"-",SUMIFS('Data - Monthly Metrics'!E:E,'Data - Monthly Metrics'!A:A,$B$4-1,'Data - Monthly Metrics'!B:B,"Nov",'Data - Monthly Metrics'!C:C,"North King",'Data - Monthly Metrics'!D:D,"New Sales Revenue - BOB/Promo ($)"))</f>
        <v/>
      </c>
      <c r="D10" s="91">
        <f>IF(COUNTIFS('Data - Monthly Metrics'!A:A,$B$4-1,'Data - Monthly Metrics'!B:B,"Dec",'Data - Monthly Metrics'!C:C,"North King",'Data - Monthly Metrics'!D:D,"New Sales Revenue - BOB/Promo ($)")=0,"-",SUMIFS('Data - Monthly Metrics'!E:E,'Data - Monthly Metrics'!A:A,$B$4-1,'Data - Monthly Metrics'!B:B,"Dec",'Data - Monthly Metrics'!C:C,"North King",'Data - Monthly Metrics'!D:D,"New Sales Revenue - BOB/Promo ($)"))</f>
        <v/>
      </c>
      <c r="E10" s="101">
        <f>SUM(B10,C10,D10)</f>
        <v/>
      </c>
      <c r="F10" s="91">
        <f>IF(COUNTIFS('Data - Monthly Metrics'!A:A,$B$4,'Data - Monthly Metrics'!B:B,"Jan",'Data - Monthly Metrics'!C:C,"North King",'Data - Monthly Metrics'!D:D,"New Sales Revenue - BOB/Promo ($)")=0,"-",SUMIFS('Data - Monthly Metrics'!E:E,'Data - Monthly Metrics'!A:A,$B$4,'Data - Monthly Metrics'!B:B,"Jan",'Data - Monthly Metrics'!C:C,"North King",'Data - Monthly Metrics'!D:D,"New Sales Revenue - BOB/Promo ($)"))</f>
        <v/>
      </c>
      <c r="G10" s="91">
        <f>IF(COUNTIFS('Data - Monthly Metrics'!A:A,$B$4,'Data - Monthly Metrics'!B:B,"Feb",'Data - Monthly Metrics'!C:C,"North King",'Data - Monthly Metrics'!D:D,"New Sales Revenue - BOB/Promo ($)")=0,"-",SUMIFS('Data - Monthly Metrics'!E:E,'Data - Monthly Metrics'!A:A,$B$4,'Data - Monthly Metrics'!B:B,"Feb",'Data - Monthly Metrics'!C:C,"North King",'Data - Monthly Metrics'!D:D,"New Sales Revenue - BOB/Promo ($)"))</f>
        <v/>
      </c>
      <c r="H10" s="91">
        <f>IF(COUNTIFS('Data - Monthly Metrics'!A:A,$B$4,'Data - Monthly Metrics'!B:B,"Mar",'Data - Monthly Metrics'!C:C,"North King",'Data - Monthly Metrics'!D:D,"New Sales Revenue - BOB/Promo ($)")=0,"-",SUMIFS('Data - Monthly Metrics'!E:E,'Data - Monthly Metrics'!A:A,$B$4,'Data - Monthly Metrics'!B:B,"Mar",'Data - Monthly Metrics'!C:C,"North King",'Data - Monthly Metrics'!D:D,"New Sales Revenue - BOB/Promo ($)"))</f>
        <v/>
      </c>
      <c r="I10" s="101">
        <f>SUM(F10,G10,H10)</f>
        <v/>
      </c>
      <c r="J10" s="91">
        <f>IF(COUNTIFS('Data - Monthly Metrics'!A:A,$B$4,'Data - Monthly Metrics'!B:B,"Apr",'Data - Monthly Metrics'!C:C,"North King",'Data - Monthly Metrics'!D:D,"New Sales Revenue - BOB/Promo ($)")=0,"-",SUMIFS('Data - Monthly Metrics'!E:E,'Data - Monthly Metrics'!A:A,$B$4,'Data - Monthly Metrics'!B:B,"Apr",'Data - Monthly Metrics'!C:C,"North King",'Data - Monthly Metrics'!D:D,"New Sales Revenue - BOB/Promo ($)"))</f>
        <v/>
      </c>
      <c r="K10" s="91">
        <f>IF(COUNTIFS('Data - Monthly Metrics'!A:A,$B$4,'Data - Monthly Metrics'!B:B,"May",'Data - Monthly Metrics'!C:C,"North King",'Data - Monthly Metrics'!D:D,"New Sales Revenue - BOB/Promo ($)")=0,"-",SUMIFS('Data - Monthly Metrics'!E:E,'Data - Monthly Metrics'!A:A,$B$4,'Data - Monthly Metrics'!B:B,"May",'Data - Monthly Metrics'!C:C,"North King",'Data - Monthly Metrics'!D:D,"New Sales Revenue - BOB/Promo ($)"))</f>
        <v/>
      </c>
      <c r="L10" s="91">
        <f>IF(COUNTIFS('Data - Monthly Metrics'!A:A,$B$4,'Data - Monthly Metrics'!B:B,"Jun",'Data - Monthly Metrics'!C:C,"North King",'Data - Monthly Metrics'!D:D,"New Sales Revenue - BOB/Promo ($)")=0,"-",SUMIFS('Data - Monthly Metrics'!E:E,'Data - Monthly Metrics'!A:A,$B$4,'Data - Monthly Metrics'!B:B,"Jun",'Data - Monthly Metrics'!C:C,"North King",'Data - Monthly Metrics'!D:D,"New Sales Revenue - BOB/Promo ($)"))</f>
        <v/>
      </c>
      <c r="M10" s="101">
        <f>SUM(J10,K10,L10)</f>
        <v/>
      </c>
      <c r="N10" s="91">
        <f>IF(COUNTIFS('Data - Monthly Metrics'!A:A,$B$4,'Data - Monthly Metrics'!B:B,"Jul",'Data - Monthly Metrics'!C:C,"North King",'Data - Monthly Metrics'!D:D,"New Sales Revenue - BOB/Promo ($)")=0,"-",SUMIFS('Data - Monthly Metrics'!E:E,'Data - Monthly Metrics'!A:A,$B$4,'Data - Monthly Metrics'!B:B,"Jul",'Data - Monthly Metrics'!C:C,"North King",'Data - Monthly Metrics'!D:D,"New Sales Revenue - BOB/Promo ($)"))</f>
        <v/>
      </c>
      <c r="O10" s="91">
        <f>IF(COUNTIFS('Data - Monthly Metrics'!A:A,$B$4,'Data - Monthly Metrics'!B:B,"Aug",'Data - Monthly Metrics'!C:C,"North King",'Data - Monthly Metrics'!D:D,"New Sales Revenue - BOB/Promo ($)")=0,"-",SUMIFS('Data - Monthly Metrics'!E:E,'Data - Monthly Metrics'!A:A,$B$4,'Data - Monthly Metrics'!B:B,"Aug",'Data - Monthly Metrics'!C:C,"North King",'Data - Monthly Metrics'!D:D,"New Sales Revenue - BOB/Promo ($)"))</f>
        <v/>
      </c>
      <c r="P10" s="91">
        <f>IF(COUNTIFS('Data - Monthly Metrics'!A:A,$B$4,'Data - Monthly Metrics'!B:B,"Sep",'Data - Monthly Metrics'!C:C,"North King",'Data - Monthly Metrics'!D:D,"New Sales Revenue - BOB/Promo ($)")=0,"-",SUMIFS('Data - Monthly Metrics'!E:E,'Data - Monthly Metrics'!A:A,$B$4,'Data - Monthly Metrics'!B:B,"Sep",'Data - Monthly Metrics'!C:C,"North King",'Data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Metrics'!C:C,"North King",'Data - Monthly Metrics'!D:D,"New Members - BOB (#)")=0,"-",SUMIFS('Data - Monthly Metrics'!E:E,'Data - Monthly Metrics'!A:A,$B$4-1,'Data - Monthly Metrics'!B:B,"Oct",'Data - Monthly Metrics'!C:C,"North King",'Data - Monthly Metrics'!D:D,"New Members - BOB (#)"))</f>
        <v/>
      </c>
      <c r="C11" s="93">
        <f>IF(COUNTIFS('Data - Monthly Metrics'!A:A,$B$4-1,'Data - Monthly Metrics'!B:B,"Nov",'Data - Monthly Metrics'!C:C,"North King",'Data - Monthly Metrics'!D:D,"New Members - BOB (#)")=0,"-",SUMIFS('Data - Monthly Metrics'!E:E,'Data - Monthly Metrics'!A:A,$B$4-1,'Data - Monthly Metrics'!B:B,"Nov",'Data - Monthly Metrics'!C:C,"North King",'Data - Monthly Metrics'!D:D,"New Members - BOB (#)"))</f>
        <v/>
      </c>
      <c r="D11" s="93">
        <f>IF(COUNTIFS('Data - Monthly Metrics'!A:A,$B$4-1,'Data - Monthly Metrics'!B:B,"Dec",'Data - Monthly Metrics'!C:C,"North King",'Data - Monthly Metrics'!D:D,"New Members - BOB (#)")=0,"-",SUMIFS('Data - Monthly Metrics'!E:E,'Data - Monthly Metrics'!A:A,$B$4-1,'Data - Monthly Metrics'!B:B,"Dec",'Data - Monthly Metrics'!C:C,"North King",'Data - Monthly Metrics'!D:D,"New Members - BOB (#)"))</f>
        <v/>
      </c>
      <c r="E11" s="103">
        <f>SUM(B11,C11,D11)</f>
        <v/>
      </c>
      <c r="F11" s="93">
        <f>IF(COUNTIFS('Data - Monthly Metrics'!A:A,$B$4,'Data - Monthly Metrics'!B:B,"Jan",'Data - Monthly Metrics'!C:C,"North King",'Data - Monthly Metrics'!D:D,"New Members - BOB (#)")=0,"-",SUMIFS('Data - Monthly Metrics'!E:E,'Data - Monthly Metrics'!A:A,$B$4,'Data - Monthly Metrics'!B:B,"Jan",'Data - Monthly Metrics'!C:C,"North King",'Data - Monthly Metrics'!D:D,"New Members - BOB (#)"))</f>
        <v/>
      </c>
      <c r="G11" s="93">
        <f>IF(COUNTIFS('Data - Monthly Metrics'!A:A,$B$4,'Data - Monthly Metrics'!B:B,"Feb",'Data - Monthly Metrics'!C:C,"North King",'Data - Monthly Metrics'!D:D,"New Members - BOB (#)")=0,"-",SUMIFS('Data - Monthly Metrics'!E:E,'Data - Monthly Metrics'!A:A,$B$4,'Data - Monthly Metrics'!B:B,"Feb",'Data - Monthly Metrics'!C:C,"North King",'Data - Monthly Metrics'!D:D,"New Members - BOB (#)"))</f>
        <v/>
      </c>
      <c r="H11" s="93">
        <f>IF(COUNTIFS('Data - Monthly Metrics'!A:A,$B$4,'Data - Monthly Metrics'!B:B,"Mar",'Data - Monthly Metrics'!C:C,"North King",'Data - Monthly Metrics'!D:D,"New Members - BOB (#)")=0,"-",SUMIFS('Data - Monthly Metrics'!E:E,'Data - Monthly Metrics'!A:A,$B$4,'Data - Monthly Metrics'!B:B,"Mar",'Data - Monthly Metrics'!C:C,"North King",'Data - Monthly Metrics'!D:D,"New Members - BOB (#)"))</f>
        <v/>
      </c>
      <c r="I11" s="103">
        <f>SUM(F11,G11,H11)</f>
        <v/>
      </c>
      <c r="J11" s="93">
        <f>IF(COUNTIFS('Data - Monthly Metrics'!A:A,$B$4,'Data - Monthly Metrics'!B:B,"Apr",'Data - Monthly Metrics'!C:C,"North King",'Data - Monthly Metrics'!D:D,"New Members - BOB (#)")=0,"-",SUMIFS('Data - Monthly Metrics'!E:E,'Data - Monthly Metrics'!A:A,$B$4,'Data - Monthly Metrics'!B:B,"Apr",'Data - Monthly Metrics'!C:C,"North King",'Data - Monthly Metrics'!D:D,"New Members - BOB (#)"))</f>
        <v/>
      </c>
      <c r="K11" s="93">
        <f>IF(COUNTIFS('Data - Monthly Metrics'!A:A,$B$4,'Data - Monthly Metrics'!B:B,"May",'Data - Monthly Metrics'!C:C,"North King",'Data - Monthly Metrics'!D:D,"New Members - BOB (#)")=0,"-",SUMIFS('Data - Monthly Metrics'!E:E,'Data - Monthly Metrics'!A:A,$B$4,'Data - Monthly Metrics'!B:B,"May",'Data - Monthly Metrics'!C:C,"North King",'Data - Monthly Metrics'!D:D,"New Members - BOB (#)"))</f>
        <v/>
      </c>
      <c r="L11" s="93">
        <f>IF(COUNTIFS('Data - Monthly Metrics'!A:A,$B$4,'Data - Monthly Metrics'!B:B,"Jun",'Data - Monthly Metrics'!C:C,"North King",'Data - Monthly Metrics'!D:D,"New Members - BOB (#)")=0,"-",SUMIFS('Data - Monthly Metrics'!E:E,'Data - Monthly Metrics'!A:A,$B$4,'Data - Monthly Metrics'!B:B,"Jun",'Data - Monthly Metrics'!C:C,"North King",'Data - Monthly Metrics'!D:D,"New Members - BOB (#)"))</f>
        <v/>
      </c>
      <c r="M11" s="103">
        <f>SUM(J11,K11,L11)</f>
        <v/>
      </c>
      <c r="N11" s="93">
        <f>IF(COUNTIFS('Data - Monthly Metrics'!A:A,$B$4,'Data - Monthly Metrics'!B:B,"Jul",'Data - Monthly Metrics'!C:C,"North King",'Data - Monthly Metrics'!D:D,"New Members - BOB (#)")=0,"-",SUMIFS('Data - Monthly Metrics'!E:E,'Data - Monthly Metrics'!A:A,$B$4,'Data - Monthly Metrics'!B:B,"Jul",'Data - Monthly Metrics'!C:C,"North King",'Data - Monthly Metrics'!D:D,"New Members - BOB (#)"))</f>
        <v/>
      </c>
      <c r="O11" s="93">
        <f>IF(COUNTIFS('Data - Monthly Metrics'!A:A,$B$4,'Data - Monthly Metrics'!B:B,"Aug",'Data - Monthly Metrics'!C:C,"North King",'Data - Monthly Metrics'!D:D,"New Members - BOB (#)")=0,"-",SUMIFS('Data - Monthly Metrics'!E:E,'Data - Monthly Metrics'!A:A,$B$4,'Data - Monthly Metrics'!B:B,"Aug",'Data - Monthly Metrics'!C:C,"North King",'Data - Monthly Metrics'!D:D,"New Members - BOB (#)"))</f>
        <v/>
      </c>
      <c r="P11" s="93">
        <f>IF(COUNTIFS('Data - Monthly Metrics'!A:A,$B$4,'Data - Monthly Metrics'!B:B,"Sep",'Data - Monthly Metrics'!C:C,"North King",'Data - Monthly Metrics'!D:D,"New Members - BOB (#)")=0,"-",SUMIFS('Data - Monthly Metrics'!E:E,'Data - Monthly Metrics'!A:A,$B$4,'Data - Monthly Metrics'!B:B,"Sep",'Data - Monthly Metrics'!C:C,"North King",'Data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Metrics'!C:C,"North King",'Data - Monthly Metrics'!D:D,"New Sales - Comped ($)")=0,"-",SUMIFS('Data - Monthly Metrics'!E:E,'Data - Monthly Metrics'!A:A,$B$4-1,'Data - Monthly Metrics'!B:B,"Oct",'Data - Monthly Metrics'!C:C,"North King",'Data - Monthly Metrics'!D:D,"New Sales - Comped ($)"))</f>
        <v/>
      </c>
      <c r="C12" s="91">
        <f>IF(COUNTIFS('Data - Monthly Metrics'!A:A,$B$4-1,'Data - Monthly Metrics'!B:B,"Nov",'Data - Monthly Metrics'!C:C,"North King",'Data - Monthly Metrics'!D:D,"New Sales - Comped ($)")=0,"-",SUMIFS('Data - Monthly Metrics'!E:E,'Data - Monthly Metrics'!A:A,$B$4-1,'Data - Monthly Metrics'!B:B,"Nov",'Data - Monthly Metrics'!C:C,"North King",'Data - Monthly Metrics'!D:D,"New Sales - Comped ($)"))</f>
        <v/>
      </c>
      <c r="D12" s="91">
        <f>IF(COUNTIFS('Data - Monthly Metrics'!A:A,$B$4-1,'Data - Monthly Metrics'!B:B,"Dec",'Data - Monthly Metrics'!C:C,"North King",'Data - Monthly Metrics'!D:D,"New Sales - Comped ($)")=0,"-",SUMIFS('Data - Monthly Metrics'!E:E,'Data - Monthly Metrics'!A:A,$B$4-1,'Data - Monthly Metrics'!B:B,"Dec",'Data - Monthly Metrics'!C:C,"North King",'Data - Monthly Metrics'!D:D,"New Sales - Comped ($)"))</f>
        <v/>
      </c>
      <c r="E12" s="101">
        <f>SUM(B12,C12,D12)</f>
        <v/>
      </c>
      <c r="F12" s="91">
        <f>IF(COUNTIFS('Data - Monthly Metrics'!A:A,$B$4,'Data - Monthly Metrics'!B:B,"Jan",'Data - Monthly Metrics'!C:C,"North King",'Data - Monthly Metrics'!D:D,"New Sales - Comped ($)")=0,"-",SUMIFS('Data - Monthly Metrics'!E:E,'Data - Monthly Metrics'!A:A,$B$4,'Data - Monthly Metrics'!B:B,"Jan",'Data - Monthly Metrics'!C:C,"North King",'Data - Monthly Metrics'!D:D,"New Sales - Comped ($)"))</f>
        <v/>
      </c>
      <c r="G12" s="91">
        <f>IF(COUNTIFS('Data - Monthly Metrics'!A:A,$B$4,'Data - Monthly Metrics'!B:B,"Feb",'Data - Monthly Metrics'!C:C,"North King",'Data - Monthly Metrics'!D:D,"New Sales - Comped ($)")=0,"-",SUMIFS('Data - Monthly Metrics'!E:E,'Data - Monthly Metrics'!A:A,$B$4,'Data - Monthly Metrics'!B:B,"Feb",'Data - Monthly Metrics'!C:C,"North King",'Data - Monthly Metrics'!D:D,"New Sales - Comped ($)"))</f>
        <v/>
      </c>
      <c r="H12" s="91">
        <f>IF(COUNTIFS('Data - Monthly Metrics'!A:A,$B$4,'Data - Monthly Metrics'!B:B,"Mar",'Data - Monthly Metrics'!C:C,"North King",'Data - Monthly Metrics'!D:D,"New Sales - Comped ($)")=0,"-",SUMIFS('Data - Monthly Metrics'!E:E,'Data - Monthly Metrics'!A:A,$B$4,'Data - Monthly Metrics'!B:B,"Mar",'Data - Monthly Metrics'!C:C,"North King",'Data - Monthly Metrics'!D:D,"New Sales - Comped ($)"))</f>
        <v/>
      </c>
      <c r="I12" s="101">
        <f>SUM(F12,G12,H12)</f>
        <v/>
      </c>
      <c r="J12" s="91">
        <f>IF(COUNTIFS('Data - Monthly Metrics'!A:A,$B$4,'Data - Monthly Metrics'!B:B,"Apr",'Data - Monthly Metrics'!C:C,"North King",'Data - Monthly Metrics'!D:D,"New Sales - Comped ($)")=0,"-",SUMIFS('Data - Monthly Metrics'!E:E,'Data - Monthly Metrics'!A:A,$B$4,'Data - Monthly Metrics'!B:B,"Apr",'Data - Monthly Metrics'!C:C,"North King",'Data - Monthly Metrics'!D:D,"New Sales - Comped ($)"))</f>
        <v/>
      </c>
      <c r="K12" s="91">
        <f>IF(COUNTIFS('Data - Monthly Metrics'!A:A,$B$4,'Data - Monthly Metrics'!B:B,"May",'Data - Monthly Metrics'!C:C,"North King",'Data - Monthly Metrics'!D:D,"New Sales - Comped ($)")=0,"-",SUMIFS('Data - Monthly Metrics'!E:E,'Data - Monthly Metrics'!A:A,$B$4,'Data - Monthly Metrics'!B:B,"May",'Data - Monthly Metrics'!C:C,"North King",'Data - Monthly Metrics'!D:D,"New Sales - Comped ($)"))</f>
        <v/>
      </c>
      <c r="L12" s="91">
        <f>IF(COUNTIFS('Data - Monthly Metrics'!A:A,$B$4,'Data - Monthly Metrics'!B:B,"Jun",'Data - Monthly Metrics'!C:C,"North King",'Data - Monthly Metrics'!D:D,"New Sales - Comped ($)")=0,"-",SUMIFS('Data - Monthly Metrics'!E:E,'Data - Monthly Metrics'!A:A,$B$4,'Data - Monthly Metrics'!B:B,"Jun",'Data - Monthly Metrics'!C:C,"North King",'Data - Monthly Metrics'!D:D,"New Sales - Comped ($)"))</f>
        <v/>
      </c>
      <c r="M12" s="101">
        <f>SUM(J12,K12,L12)</f>
        <v/>
      </c>
      <c r="N12" s="91">
        <f>IF(COUNTIFS('Data - Monthly Metrics'!A:A,$B$4,'Data - Monthly Metrics'!B:B,"Jul",'Data - Monthly Metrics'!C:C,"North King",'Data - Monthly Metrics'!D:D,"New Sales - Comped ($)")=0,"-",SUMIFS('Data - Monthly Metrics'!E:E,'Data - Monthly Metrics'!A:A,$B$4,'Data - Monthly Metrics'!B:B,"Jul",'Data - Monthly Metrics'!C:C,"North King",'Data - Monthly Metrics'!D:D,"New Sales - Comped ($)"))</f>
        <v/>
      </c>
      <c r="O12" s="91">
        <f>IF(COUNTIFS('Data - Monthly Metrics'!A:A,$B$4,'Data - Monthly Metrics'!B:B,"Aug",'Data - Monthly Metrics'!C:C,"North King",'Data - Monthly Metrics'!D:D,"New Sales - Comped ($)")=0,"-",SUMIFS('Data - Monthly Metrics'!E:E,'Data - Monthly Metrics'!A:A,$B$4,'Data - Monthly Metrics'!B:B,"Aug",'Data - Monthly Metrics'!C:C,"North King",'Data - Monthly Metrics'!D:D,"New Sales - Comped ($)"))</f>
        <v/>
      </c>
      <c r="P12" s="91">
        <f>IF(COUNTIFS('Data - Monthly Metrics'!A:A,$B$4,'Data - Monthly Metrics'!B:B,"Sep",'Data - Monthly Metrics'!C:C,"North King",'Data - Monthly Metrics'!D:D,"New Sales - Comped ($)")=0,"-",SUMIFS('Data - Monthly Metrics'!E:E,'Data - Monthly Metrics'!A:A,$B$4,'Data - Monthly Metrics'!B:B,"Sep",'Data - Monthly Metrics'!C:C,"North King",'Data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Metrics'!C:C,"North King",'Data - Monthly Metrics'!D:D,"Revenue Up for Renewal - Target ($)")+SUMIFS('Data - Monthly Metrics'!E:E,'Data - Monthly Metrics'!A:A,$B$4-1,'Data - Monthly Metrics'!B:B,"Oct",'Data - Monthly Metrics'!C:C,"North King",'Data - Monthly Metrics'!D:D,"Revenue Up for Renewal - Non-Target ($)")</f>
        <v/>
      </c>
      <c r="C22" s="110">
        <f>SUMIFS('Data - Monthly Metrics'!E:E,'Data - Monthly Metrics'!A:A,$B$4-1,'Data - Monthly Metrics'!B:B,"Nov",'Data - Monthly Metrics'!C:C,"North King",'Data - Monthly Metrics'!D:D,"Revenue Up for Renewal - Target ($)")+SUMIFS('Data - Monthly Metrics'!E:E,'Data - Monthly Metrics'!A:A,$B$4-1,'Data - Monthly Metrics'!B:B,"Nov",'Data - Monthly Metrics'!C:C,"North King",'Data - Monthly Metrics'!D:D,"Revenue Up for Renewal - Non-Target ($)")</f>
        <v/>
      </c>
      <c r="D22" s="110">
        <f>SUMIFS('Data - Monthly Metrics'!E:E,'Data - Monthly Metrics'!A:A,$B$4-1,'Data - Monthly Metrics'!B:B,"Dec",'Data - Monthly Metrics'!C:C,"North King",'Data - Monthly Metrics'!D:D,"Revenue Up for Renewal - Target ($)")+SUMIFS('Data - Monthly Metrics'!E:E,'Data - Monthly Metrics'!A:A,$B$4-1,'Data - Monthly Metrics'!B:B,"Dec",'Data - Monthly Metrics'!C:C,"North King",'Data - Monthly Metrics'!D:D,"Revenue Up for Renewal - Non-Target ($)")</f>
        <v/>
      </c>
      <c r="E22" s="111">
        <f>SUM(B22,C22,D22)</f>
        <v/>
      </c>
      <c r="F22" s="110">
        <f>SUMIFS('Data - Monthly Metrics'!E:E,'Data - Monthly Metrics'!A:A,$B$4,'Data - Monthly Metrics'!B:B,"Jan",'Data - Monthly Metrics'!C:C,"North King",'Data - Monthly Metrics'!D:D,"Revenue Up for Renewal - Target ($)")+SUMIFS('Data - Monthly Metrics'!E:E,'Data - Monthly Metrics'!A:A,$B$4,'Data - Monthly Metrics'!B:B,"Jan",'Data - Monthly Metrics'!C:C,"North King",'Data - Monthly Metrics'!D:D,"Revenue Up for Renewal - Non-Target ($)")</f>
        <v/>
      </c>
      <c r="G22" s="110">
        <f>SUMIFS('Data - Monthly Metrics'!E:E,'Data - Monthly Metrics'!A:A,$B$4,'Data - Monthly Metrics'!B:B,"Feb",'Data - Monthly Metrics'!C:C,"North King",'Data - Monthly Metrics'!D:D,"Revenue Up for Renewal - Target ($)")+SUMIFS('Data - Monthly Metrics'!E:E,'Data - Monthly Metrics'!A:A,$B$4,'Data - Monthly Metrics'!B:B,"Feb",'Data - Monthly Metrics'!C:C,"North King",'Data - Monthly Metrics'!D:D,"Revenue Up for Renewal - Non-Target ($)")</f>
        <v/>
      </c>
      <c r="H22" s="110">
        <f>SUMIFS('Data - Monthly Metrics'!E:E,'Data - Monthly Metrics'!A:A,$B$4,'Data - Monthly Metrics'!B:B,"Mar",'Data - Monthly Metrics'!C:C,"North King",'Data - Monthly Metrics'!D:D,"Revenue Up for Renewal - Target ($)")+SUMIFS('Data - Monthly Metrics'!E:E,'Data - Monthly Metrics'!A:A,$B$4,'Data - Monthly Metrics'!B:B,"Mar",'Data - Monthly Metrics'!C:C,"North King",'Data - Monthly Metrics'!D:D,"Revenue Up for Renewal - Non-Target ($)")</f>
        <v/>
      </c>
      <c r="I22" s="111">
        <f>SUM(F22,G22,H22)</f>
        <v/>
      </c>
      <c r="J22" s="110">
        <f>SUMIFS('Data - Monthly Metrics'!E:E,'Data - Monthly Metrics'!A:A,$B$4,'Data - Monthly Metrics'!B:B,"Apr",'Data - Monthly Metrics'!C:C,"North King",'Data - Monthly Metrics'!D:D,"Revenue Up for Renewal - Target ($)")+SUMIFS('Data - Monthly Metrics'!E:E,'Data - Monthly Metrics'!A:A,$B$4,'Data - Monthly Metrics'!B:B,"Apr",'Data - Monthly Metrics'!C:C,"North King",'Data - Monthly Metrics'!D:D,"Revenue Up for Renewal - Non-Target ($)")</f>
        <v/>
      </c>
      <c r="K22" s="110">
        <f>SUMIFS('Data - Monthly Metrics'!E:E,'Data - Monthly Metrics'!A:A,$B$4,'Data - Monthly Metrics'!B:B,"May",'Data - Monthly Metrics'!C:C,"North King",'Data - Monthly Metrics'!D:D,"Revenue Up for Renewal - Target ($)")+SUMIFS('Data - Monthly Metrics'!E:E,'Data - Monthly Metrics'!A:A,$B$4,'Data - Monthly Metrics'!B:B,"May",'Data - Monthly Metrics'!C:C,"North King",'Data - Monthly Metrics'!D:D,"Revenue Up for Renewal - Non-Target ($)")</f>
        <v/>
      </c>
      <c r="L22" s="110">
        <f>SUMIFS('Data - Monthly Metrics'!E:E,'Data - Monthly Metrics'!A:A,$B$4,'Data - Monthly Metrics'!B:B,"Jun",'Data - Monthly Metrics'!C:C,"North King",'Data - Monthly Metrics'!D:D,"Revenue Up for Renewal - Target ($)")+SUMIFS('Data - Monthly Metrics'!E:E,'Data - Monthly Metrics'!A:A,$B$4,'Data - Monthly Metrics'!B:B,"Jun",'Data - Monthly Metrics'!C:C,"North King",'Data - Monthly Metrics'!D:D,"Revenue Up for Renewal - Non-Target ($)")</f>
        <v/>
      </c>
      <c r="M22" s="111">
        <f>SUM(J22,K22,L22)</f>
        <v/>
      </c>
      <c r="N22" s="110">
        <f>SUMIFS('Data - Monthly Metrics'!E:E,'Data - Monthly Metrics'!A:A,$B$4,'Data - Monthly Metrics'!B:B,"Jul",'Data - Monthly Metrics'!C:C,"North King",'Data - Monthly Metrics'!D:D,"Revenue Up for Renewal - Target ($)")+SUMIFS('Data - Monthly Metrics'!E:E,'Data - Monthly Metrics'!A:A,$B$4,'Data - Monthly Metrics'!B:B,"Jul",'Data - Monthly Metrics'!C:C,"North King",'Data - Monthly Metrics'!D:D,"Revenue Up for Renewal - Non-Target ($)")</f>
        <v/>
      </c>
      <c r="O22" s="110">
        <f>SUMIFS('Data - Monthly Metrics'!E:E,'Data - Monthly Metrics'!A:A,$B$4,'Data - Monthly Metrics'!B:B,"Aug",'Data - Monthly Metrics'!C:C,"North King",'Data - Monthly Metrics'!D:D,"Revenue Up for Renewal - Target ($)")+SUMIFS('Data - Monthly Metrics'!E:E,'Data - Monthly Metrics'!A:A,$B$4,'Data - Monthly Metrics'!B:B,"Aug",'Data - Monthly Metrics'!C:C,"North King",'Data - Monthly Metrics'!D:D,"Revenue Up for Renewal - Non-Target ($)")</f>
        <v/>
      </c>
      <c r="P22" s="110">
        <f>SUMIFS('Data - Monthly Metrics'!E:E,'Data - Monthly Metrics'!A:A,$B$4,'Data - Monthly Metrics'!B:B,"Sep",'Data - Monthly Metrics'!C:C,"North King",'Data - Monthly Metrics'!D:D,"Revenue Up for Renewal - Target ($)")+SUMIFS('Data - Monthly Metrics'!E:E,'Data - Monthly Metrics'!A:A,$B$4,'Data - Monthly Metrics'!B:B,"Sep",'Data - Monthly Metrics'!C:C,"North King",'Data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Metrics'!C:C,"North King",'Data - Monthly Metrics'!D:D,"Revenue Retained - Target ($)")+SUMIFS('Data - Monthly Metrics'!E:E,'Data - Monthly Metrics'!A:A,$B$4-1,'Data - Monthly Metrics'!B:B,"Oct",'Data - Monthly Metrics'!C:C,"North King",'Data - Monthly Metrics'!D:D,"Revenue Retained - Non-Target ($)")</f>
        <v/>
      </c>
      <c r="C23" s="112">
        <f>SUMIFS('Data - Monthly Metrics'!E:E,'Data - Monthly Metrics'!A:A,$B$4-1,'Data - Monthly Metrics'!B:B,"Nov",'Data - Monthly Metrics'!C:C,"North King",'Data - Monthly Metrics'!D:D,"Revenue Retained - Target ($)")+SUMIFS('Data - Monthly Metrics'!E:E,'Data - Monthly Metrics'!A:A,$B$4-1,'Data - Monthly Metrics'!B:B,"Nov",'Data - Monthly Metrics'!C:C,"North King",'Data - Monthly Metrics'!D:D,"Revenue Retained - Non-Target ($)")</f>
        <v/>
      </c>
      <c r="D23" s="112">
        <f>SUMIFS('Data - Monthly Metrics'!E:E,'Data - Monthly Metrics'!A:A,$B$4-1,'Data - Monthly Metrics'!B:B,"Dec",'Data - Monthly Metrics'!C:C,"North King",'Data - Monthly Metrics'!D:D,"Revenue Retained - Target ($)")+SUMIFS('Data - Monthly Metrics'!E:E,'Data - Monthly Metrics'!A:A,$B$4-1,'Data - Monthly Metrics'!B:B,"Dec",'Data - Monthly Metrics'!C:C,"North King",'Data - Monthly Metrics'!D:D,"Revenue Retained - Non-Target ($)")</f>
        <v/>
      </c>
      <c r="E23" s="111">
        <f>SUM(B23,C23,D23)</f>
        <v/>
      </c>
      <c r="F23" s="112">
        <f>SUMIFS('Data - Monthly Metrics'!E:E,'Data - Monthly Metrics'!A:A,$B$4,'Data - Monthly Metrics'!B:B,"Jan",'Data - Monthly Metrics'!C:C,"North King",'Data - Monthly Metrics'!D:D,"Revenue Retained - Target ($)")+SUMIFS('Data - Monthly Metrics'!E:E,'Data - Monthly Metrics'!A:A,$B$4,'Data - Monthly Metrics'!B:B,"Jan",'Data - Monthly Metrics'!C:C,"North King",'Data - Monthly Metrics'!D:D,"Revenue Retained - Non-Target ($)")</f>
        <v/>
      </c>
      <c r="G23" s="112">
        <f>SUMIFS('Data - Monthly Metrics'!E:E,'Data - Monthly Metrics'!A:A,$B$4,'Data - Monthly Metrics'!B:B,"Feb",'Data - Monthly Metrics'!C:C,"North King",'Data - Monthly Metrics'!D:D,"Revenue Retained - Target ($)")+SUMIFS('Data - Monthly Metrics'!E:E,'Data - Monthly Metrics'!A:A,$B$4,'Data - Monthly Metrics'!B:B,"Feb",'Data - Monthly Metrics'!C:C,"North King",'Data - Monthly Metrics'!D:D,"Revenue Retained - Non-Target ($)")</f>
        <v/>
      </c>
      <c r="H23" s="112">
        <f>SUMIFS('Data - Monthly Metrics'!E:E,'Data - Monthly Metrics'!A:A,$B$4,'Data - Monthly Metrics'!B:B,"Mar",'Data - Monthly Metrics'!C:C,"North King",'Data - Monthly Metrics'!D:D,"Revenue Retained - Target ($)")+SUMIFS('Data - Monthly Metrics'!E:E,'Data - Monthly Metrics'!A:A,$B$4,'Data - Monthly Metrics'!B:B,"Mar",'Data - Monthly Metrics'!C:C,"North King",'Data - Monthly Metrics'!D:D,"Revenue Retained - Non-Target ($)")</f>
        <v/>
      </c>
      <c r="I23" s="111">
        <f>SUM(F23,G23,H23)</f>
        <v/>
      </c>
      <c r="J23" s="112">
        <f>SUMIFS('Data - Monthly Metrics'!E:E,'Data - Monthly Metrics'!A:A,$B$4,'Data - Monthly Metrics'!B:B,"Apr",'Data - Monthly Metrics'!C:C,"North King",'Data - Monthly Metrics'!D:D,"Revenue Retained - Target ($)")+SUMIFS('Data - Monthly Metrics'!E:E,'Data - Monthly Metrics'!A:A,$B$4,'Data - Monthly Metrics'!B:B,"Apr",'Data - Monthly Metrics'!C:C,"North King",'Data - Monthly Metrics'!D:D,"Revenue Retained - Non-Target ($)")</f>
        <v/>
      </c>
      <c r="K23" s="112">
        <f>SUMIFS('Data - Monthly Metrics'!E:E,'Data - Monthly Metrics'!A:A,$B$4,'Data - Monthly Metrics'!B:B,"May",'Data - Monthly Metrics'!C:C,"North King",'Data - Monthly Metrics'!D:D,"Revenue Retained - Target ($)")+SUMIFS('Data - Monthly Metrics'!E:E,'Data - Monthly Metrics'!A:A,$B$4,'Data - Monthly Metrics'!B:B,"May",'Data - Monthly Metrics'!C:C,"North King",'Data - Monthly Metrics'!D:D,"Revenue Retained - Non-Target ($)")</f>
        <v/>
      </c>
      <c r="L23" s="112">
        <f>SUMIFS('Data - Monthly Metrics'!E:E,'Data - Monthly Metrics'!A:A,$B$4,'Data - Monthly Metrics'!B:B,"Jun",'Data - Monthly Metrics'!C:C,"North King",'Data - Monthly Metrics'!D:D,"Revenue Retained - Target ($)")+SUMIFS('Data - Monthly Metrics'!E:E,'Data - Monthly Metrics'!A:A,$B$4,'Data - Monthly Metrics'!B:B,"Jun",'Data - Monthly Metrics'!C:C,"North King",'Data - Monthly Metrics'!D:D,"Revenue Retained - Non-Target ($)")</f>
        <v/>
      </c>
      <c r="M23" s="111">
        <f>SUM(J23,K23,L23)</f>
        <v/>
      </c>
      <c r="N23" s="112">
        <f>SUMIFS('Data - Monthly Metrics'!E:E,'Data - Monthly Metrics'!A:A,$B$4,'Data - Monthly Metrics'!B:B,"Jul",'Data - Monthly Metrics'!C:C,"North King",'Data - Monthly Metrics'!D:D,"Revenue Retained - Target ($)")+SUMIFS('Data - Monthly Metrics'!E:E,'Data - Monthly Metrics'!A:A,$B$4,'Data - Monthly Metrics'!B:B,"Jul",'Data - Monthly Metrics'!C:C,"North King",'Data - Monthly Metrics'!D:D,"Revenue Retained - Non-Target ($)")</f>
        <v/>
      </c>
      <c r="O23" s="112">
        <f>SUMIFS('Data - Monthly Metrics'!E:E,'Data - Monthly Metrics'!A:A,$B$4,'Data - Monthly Metrics'!B:B,"Aug",'Data - Monthly Metrics'!C:C,"North King",'Data - Monthly Metrics'!D:D,"Revenue Retained - Target ($)")+SUMIFS('Data - Monthly Metrics'!E:E,'Data - Monthly Metrics'!A:A,$B$4,'Data - Monthly Metrics'!B:B,"Aug",'Data - Monthly Metrics'!C:C,"North King",'Data - Monthly Metrics'!D:D,"Revenue Retained - Non-Target ($)")</f>
        <v/>
      </c>
      <c r="P23" s="112">
        <f>SUMIFS('Data - Monthly Metrics'!E:E,'Data - Monthly Metrics'!A:A,$B$4,'Data - Monthly Metrics'!B:B,"Sep",'Data - Monthly Metrics'!C:C,"North King",'Data - Monthly Metrics'!D:D,"Revenue Retained - Target ($)")+SUMIFS('Data - Monthly Metrics'!E:E,'Data - Monthly Metrics'!A:A,$B$4,'Data - Monthly Metrics'!B:B,"Sep",'Data - Monthly Metrics'!C:C,"North King",'Data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Metrics'!C:C,"North King",'Data - Monthly Metrics'!D:D,"Retention - Comped ($)")</f>
        <v/>
      </c>
      <c r="C24" s="112">
        <f>SUMIFS('Data - Monthly Metrics'!E:E,'Data - Monthly Metrics'!A:A,$B$4-1,'Data - Monthly Metrics'!B:B,"Nov",'Data - Monthly Metrics'!C:C,"North King",'Data - Monthly Metrics'!D:D,"Retention - Comped ($)")</f>
        <v/>
      </c>
      <c r="D24" s="112">
        <f>SUMIFS('Data - Monthly Metrics'!E:E,'Data - Monthly Metrics'!A:A,$B$4-1,'Data - Monthly Metrics'!B:B,"Dec",'Data - Monthly Metrics'!C:C,"North King",'Data - Monthly Metrics'!D:D,"Retention - Comped ($)")</f>
        <v/>
      </c>
      <c r="E24" s="111">
        <f>SUM(B24,C24,D24)</f>
        <v/>
      </c>
      <c r="F24" s="112">
        <f>SUMIFS('Data - Monthly Metrics'!E:E,'Data - Monthly Metrics'!A:A,$B$4,'Data - Monthly Metrics'!B:B,"Jan",'Data - Monthly Metrics'!C:C,"North King",'Data - Monthly Metrics'!D:D,"Retention - Comped ($)")</f>
        <v/>
      </c>
      <c r="G24" s="112">
        <f>SUMIFS('Data - Monthly Metrics'!E:E,'Data - Monthly Metrics'!A:A,$B$4,'Data - Monthly Metrics'!B:B,"Feb",'Data - Monthly Metrics'!C:C,"North King",'Data - Monthly Metrics'!D:D,"Retention - Comped ($)")</f>
        <v/>
      </c>
      <c r="H24" s="112">
        <f>SUMIFS('Data - Monthly Metrics'!E:E,'Data - Monthly Metrics'!A:A,$B$4,'Data - Monthly Metrics'!B:B,"Mar",'Data - Monthly Metrics'!C:C,"North King",'Data - Monthly Metrics'!D:D,"Retention - Comped ($)")</f>
        <v/>
      </c>
      <c r="I24" s="111">
        <f>SUM(F24,G24,H24)</f>
        <v/>
      </c>
      <c r="J24" s="112">
        <f>SUMIFS('Data - Monthly Metrics'!E:E,'Data - Monthly Metrics'!A:A,$B$4,'Data - Monthly Metrics'!B:B,"Apr",'Data - Monthly Metrics'!C:C,"North King",'Data - Monthly Metrics'!D:D,"Retention - Comped ($)")</f>
        <v/>
      </c>
      <c r="K24" s="112">
        <f>SUMIFS('Data - Monthly Metrics'!E:E,'Data - Monthly Metrics'!A:A,$B$4,'Data - Monthly Metrics'!B:B,"May",'Data - Monthly Metrics'!C:C,"North King",'Data - Monthly Metrics'!D:D,"Retention - Comped ($)")</f>
        <v/>
      </c>
      <c r="L24" s="112">
        <f>SUMIFS('Data - Monthly Metrics'!E:E,'Data - Monthly Metrics'!A:A,$B$4,'Data - Monthly Metrics'!B:B,"Jun",'Data - Monthly Metrics'!C:C,"North King",'Data - Monthly Metrics'!D:D,"Retention - Comped ($)")</f>
        <v/>
      </c>
      <c r="M24" s="111">
        <f>SUM(J24,K24,L24)</f>
        <v/>
      </c>
      <c r="N24" s="112">
        <f>SUMIFS('Data - Monthly Metrics'!E:E,'Data - Monthly Metrics'!A:A,$B$4,'Data - Monthly Metrics'!B:B,"Jul",'Data - Monthly Metrics'!C:C,"North King",'Data - Monthly Metrics'!D:D,"Retention - Comped ($)")</f>
        <v/>
      </c>
      <c r="O24" s="112">
        <f>SUMIFS('Data - Monthly Metrics'!E:E,'Data - Monthly Metrics'!A:A,$B$4,'Data - Monthly Metrics'!B:B,"Aug",'Data - Monthly Metrics'!C:C,"North King",'Data - Monthly Metrics'!D:D,"Retention - Comped ($)")</f>
        <v/>
      </c>
      <c r="P24" s="112">
        <f>SUMIFS('Data - Monthly Metrics'!E:E,'Data - Monthly Metrics'!A:A,$B$4,'Data - Monthly Metrics'!B:B,"Sep",'Data - Monthly Metrics'!C:C,"North King",'Data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Metrics'!C:C,"North King",'Data - Monthly Metrics'!D:D,"Retention - Comped (#)")</f>
        <v/>
      </c>
      <c r="C25" s="113">
        <f>SUMIFS('Data - Monthly Metrics'!E:E,'Data - Monthly Metrics'!A:A,$B$4-1,'Data - Monthly Metrics'!B:B,"Nov",'Data - Monthly Metrics'!C:C,"North King",'Data - Monthly Metrics'!D:D,"Retention - Comped (#)")</f>
        <v/>
      </c>
      <c r="D25" s="113">
        <f>SUMIFS('Data - Monthly Metrics'!E:E,'Data - Monthly Metrics'!A:A,$B$4-1,'Data - Monthly Metrics'!B:B,"Dec",'Data - Monthly Metrics'!C:C,"North King",'Data - Monthly Metrics'!D:D,"Retention - Comped (#)")</f>
        <v/>
      </c>
      <c r="E25" s="114">
        <f>SUM(B25,C25,D25)</f>
        <v/>
      </c>
      <c r="F25" s="113">
        <f>SUMIFS('Data - Monthly Metrics'!E:E,'Data - Monthly Metrics'!A:A,$B$4,'Data - Monthly Metrics'!B:B,"Jan",'Data - Monthly Metrics'!C:C,"North King",'Data - Monthly Metrics'!D:D,"Retention - Comped (#)")</f>
        <v/>
      </c>
      <c r="G25" s="113">
        <f>SUMIFS('Data - Monthly Metrics'!E:E,'Data - Monthly Metrics'!A:A,$B$4,'Data - Monthly Metrics'!B:B,"Feb",'Data - Monthly Metrics'!C:C,"North King",'Data - Monthly Metrics'!D:D,"Retention - Comped (#)")</f>
        <v/>
      </c>
      <c r="H25" s="113">
        <f>SUMIFS('Data - Monthly Metrics'!E:E,'Data - Monthly Metrics'!A:A,$B$4,'Data - Monthly Metrics'!B:B,"Mar",'Data - Monthly Metrics'!C:C,"North King",'Data - Monthly Metrics'!D:D,"Retention - Comped (#)")</f>
        <v/>
      </c>
      <c r="I25" s="114">
        <f>SUM(F25,G25,H25)</f>
        <v/>
      </c>
      <c r="J25" s="113">
        <f>SUMIFS('Data - Monthly Metrics'!E:E,'Data - Monthly Metrics'!A:A,$B$4,'Data - Monthly Metrics'!B:B,"Apr",'Data - Monthly Metrics'!C:C,"North King",'Data - Monthly Metrics'!D:D,"Retention - Comped (#)")</f>
        <v/>
      </c>
      <c r="K25" s="113">
        <f>SUMIFS('Data - Monthly Metrics'!E:E,'Data - Monthly Metrics'!A:A,$B$4,'Data - Monthly Metrics'!B:B,"May",'Data - Monthly Metrics'!C:C,"North King",'Data - Monthly Metrics'!D:D,"Retention - Comped (#)")</f>
        <v/>
      </c>
      <c r="L25" s="113">
        <f>SUMIFS('Data - Monthly Metrics'!E:E,'Data - Monthly Metrics'!A:A,$B$4,'Data - Monthly Metrics'!B:B,"Jun",'Data - Monthly Metrics'!C:C,"North King",'Data - Monthly Metrics'!D:D,"Retention - Comped (#)")</f>
        <v/>
      </c>
      <c r="M25" s="114">
        <f>SUM(J25,K25,L25)</f>
        <v/>
      </c>
      <c r="N25" s="113">
        <f>SUMIFS('Data - Monthly Metrics'!E:E,'Data - Monthly Metrics'!A:A,$B$4,'Data - Monthly Metrics'!B:B,"Jul",'Data - Monthly Metrics'!C:C,"North King",'Data - Monthly Metrics'!D:D,"Retention - Comped (#)")</f>
        <v/>
      </c>
      <c r="O25" s="113">
        <f>SUMIFS('Data - Monthly Metrics'!E:E,'Data - Monthly Metrics'!A:A,$B$4,'Data - Monthly Metrics'!B:B,"Aug",'Data - Monthly Metrics'!C:C,"North King",'Data - Monthly Metrics'!D:D,"Retention - Comped (#)")</f>
        <v/>
      </c>
      <c r="P25" s="113">
        <f>SUMIFS('Data - Monthly Metrics'!E:E,'Data - Monthly Metrics'!A:A,$B$4,'Data - Monthly Metrics'!B:B,"Sep",'Data - Monthly Metrics'!C:C,"North King",'Data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Metrics'!C:C,"North King",'Data - Monthly Metrics'!D:D,"Retention - BOB ($)")</f>
        <v/>
      </c>
      <c r="C26" s="112">
        <f>SUMIFS('Data - Monthly Metrics'!E:E,'Data - Monthly Metrics'!A:A,$B$4-1,'Data - Monthly Metrics'!B:B,"Nov",'Data - Monthly Metrics'!C:C,"North King",'Data - Monthly Metrics'!D:D,"Retention - BOB ($)")</f>
        <v/>
      </c>
      <c r="D26" s="112">
        <f>SUMIFS('Data - Monthly Metrics'!E:E,'Data - Monthly Metrics'!A:A,$B$4-1,'Data - Monthly Metrics'!B:B,"Dec",'Data - Monthly Metrics'!C:C,"North King",'Data - Monthly Metrics'!D:D,"Retention - BOB ($)")</f>
        <v/>
      </c>
      <c r="E26" s="111">
        <f>SUM(B26,C26,D26)</f>
        <v/>
      </c>
      <c r="F26" s="112">
        <f>SUMIFS('Data - Monthly Metrics'!E:E,'Data - Monthly Metrics'!A:A,$B$4,'Data - Monthly Metrics'!B:B,"Jan",'Data - Monthly Metrics'!C:C,"North King",'Data - Monthly Metrics'!D:D,"Retention - BOB ($)")</f>
        <v/>
      </c>
      <c r="G26" s="112">
        <f>SUMIFS('Data - Monthly Metrics'!E:E,'Data - Monthly Metrics'!A:A,$B$4,'Data - Monthly Metrics'!B:B,"Feb",'Data - Monthly Metrics'!C:C,"North King",'Data - Monthly Metrics'!D:D,"Retention - BOB ($)")</f>
        <v/>
      </c>
      <c r="H26" s="112">
        <f>SUMIFS('Data - Monthly Metrics'!E:E,'Data - Monthly Metrics'!A:A,$B$4,'Data - Monthly Metrics'!B:B,"Mar",'Data - Monthly Metrics'!C:C,"North King",'Data - Monthly Metrics'!D:D,"Retention - BOB ($)")</f>
        <v/>
      </c>
      <c r="I26" s="111">
        <f>SUM(F26,G26,H26)</f>
        <v/>
      </c>
      <c r="J26" s="112">
        <f>SUMIFS('Data - Monthly Metrics'!E:E,'Data - Monthly Metrics'!A:A,$B$4,'Data - Monthly Metrics'!B:B,"Apr",'Data - Monthly Metrics'!C:C,"North King",'Data - Monthly Metrics'!D:D,"Retention - BOB ($)")</f>
        <v/>
      </c>
      <c r="K26" s="112">
        <f>SUMIFS('Data - Monthly Metrics'!E:E,'Data - Monthly Metrics'!A:A,$B$4,'Data - Monthly Metrics'!B:B,"May",'Data - Monthly Metrics'!C:C,"North King",'Data - Monthly Metrics'!D:D,"Retention - BOB ($)")</f>
        <v/>
      </c>
      <c r="L26" s="112">
        <f>SUMIFS('Data - Monthly Metrics'!E:E,'Data - Monthly Metrics'!A:A,$B$4,'Data - Monthly Metrics'!B:B,"Jun",'Data - Monthly Metrics'!C:C,"North King",'Data - Monthly Metrics'!D:D,"Retention - BOB ($)")</f>
        <v/>
      </c>
      <c r="M26" s="111">
        <f>SUM(J26,K26,L26)</f>
        <v/>
      </c>
      <c r="N26" s="112">
        <f>SUMIFS('Data - Monthly Metrics'!E:E,'Data - Monthly Metrics'!A:A,$B$4,'Data - Monthly Metrics'!B:B,"Jul",'Data - Monthly Metrics'!C:C,"North King",'Data - Monthly Metrics'!D:D,"Retention - BOB ($)")</f>
        <v/>
      </c>
      <c r="O26" s="112">
        <f>SUMIFS('Data - Monthly Metrics'!E:E,'Data - Monthly Metrics'!A:A,$B$4,'Data - Monthly Metrics'!B:B,"Aug",'Data - Monthly Metrics'!C:C,"North King",'Data - Monthly Metrics'!D:D,"Retention - BOB ($)")</f>
        <v/>
      </c>
      <c r="P26" s="112">
        <f>SUMIFS('Data - Monthly Metrics'!E:E,'Data - Monthly Metrics'!A:A,$B$4,'Data - Monthly Metrics'!B:B,"Sep",'Data - Monthly Metrics'!C:C,"North King",'Data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Metrics'!C:C,"North King",'Data - Monthly Metrics'!D:D,"Retention - BOB (#)")</f>
        <v/>
      </c>
      <c r="C27" s="113">
        <f>SUMIFS('Data - Monthly Metrics'!E:E,'Data - Monthly Metrics'!A:A,$B$4-1,'Data - Monthly Metrics'!B:B,"Nov",'Data - Monthly Metrics'!C:C,"North King",'Data - Monthly Metrics'!D:D,"Retention - BOB (#)")</f>
        <v/>
      </c>
      <c r="D27" s="113">
        <f>SUMIFS('Data - Monthly Metrics'!E:E,'Data - Monthly Metrics'!A:A,$B$4-1,'Data - Monthly Metrics'!B:B,"Dec",'Data - Monthly Metrics'!C:C,"North King",'Data - Monthly Metrics'!D:D,"Retention - BOB (#)")</f>
        <v/>
      </c>
      <c r="E27" s="114">
        <f>SUM(B27,C27,D27)</f>
        <v/>
      </c>
      <c r="F27" s="113">
        <f>SUMIFS('Data - Monthly Metrics'!E:E,'Data - Monthly Metrics'!A:A,$B$4,'Data - Monthly Metrics'!B:B,"Jan",'Data - Monthly Metrics'!C:C,"North King",'Data - Monthly Metrics'!D:D,"Retention - BOB (#)")</f>
        <v/>
      </c>
      <c r="G27" s="113">
        <f>SUMIFS('Data - Monthly Metrics'!E:E,'Data - Monthly Metrics'!A:A,$B$4,'Data - Monthly Metrics'!B:B,"Feb",'Data - Monthly Metrics'!C:C,"North King",'Data - Monthly Metrics'!D:D,"Retention - BOB (#)")</f>
        <v/>
      </c>
      <c r="H27" s="113">
        <f>SUMIFS('Data - Monthly Metrics'!E:E,'Data - Monthly Metrics'!A:A,$B$4,'Data - Monthly Metrics'!B:B,"Mar",'Data - Monthly Metrics'!C:C,"North King",'Data - Monthly Metrics'!D:D,"Retention - BOB (#)")</f>
        <v/>
      </c>
      <c r="I27" s="114">
        <f>SUM(F27,G27,H27)</f>
        <v/>
      </c>
      <c r="J27" s="113">
        <f>SUMIFS('Data - Monthly Metrics'!E:E,'Data - Monthly Metrics'!A:A,$B$4,'Data - Monthly Metrics'!B:B,"Apr",'Data - Monthly Metrics'!C:C,"North King",'Data - Monthly Metrics'!D:D,"Retention - BOB (#)")</f>
        <v/>
      </c>
      <c r="K27" s="113">
        <f>SUMIFS('Data - Monthly Metrics'!E:E,'Data - Monthly Metrics'!A:A,$B$4,'Data - Monthly Metrics'!B:B,"May",'Data - Monthly Metrics'!C:C,"North King",'Data - Monthly Metrics'!D:D,"Retention - BOB (#)")</f>
        <v/>
      </c>
      <c r="L27" s="113">
        <f>SUMIFS('Data - Monthly Metrics'!E:E,'Data - Monthly Metrics'!A:A,$B$4,'Data - Monthly Metrics'!B:B,"Jun",'Data - Monthly Metrics'!C:C,"North King",'Data - Monthly Metrics'!D:D,"Retention - BOB (#)")</f>
        <v/>
      </c>
      <c r="M27" s="114">
        <f>SUM(J27,K27,L27)</f>
        <v/>
      </c>
      <c r="N27" s="113">
        <f>SUMIFS('Data - Monthly Metrics'!E:E,'Data - Monthly Metrics'!A:A,$B$4,'Data - Monthly Metrics'!B:B,"Jul",'Data - Monthly Metrics'!C:C,"North King",'Data - Monthly Metrics'!D:D,"Retention - BOB (#)")</f>
        <v/>
      </c>
      <c r="O27" s="113">
        <f>SUMIFS('Data - Monthly Metrics'!E:E,'Data - Monthly Metrics'!A:A,$B$4,'Data - Monthly Metrics'!B:B,"Aug",'Data - Monthly Metrics'!C:C,"North King",'Data - Monthly Metrics'!D:D,"Retention - BOB (#)")</f>
        <v/>
      </c>
      <c r="P27" s="113">
        <f>SUMIFS('Data - Monthly Metrics'!E:E,'Data - Monthly Metrics'!A:A,$B$4,'Data - Monthly Metrics'!B:B,"Sep",'Data - Monthly Metrics'!C:C,"North King",'Data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Metrics'!C:C,"North King",'Data - Monthly Metrics'!D:D,"Revenue Up for Renewal - Target ($)")+SUMIFS('Data - Monthly Metrics'!E:E,'Data - Monthly Metrics'!A:A,$B$4-1,'Data - Monthly Metrics'!B:B,"Oct",'Data - Monthly Metrics'!C:C,"North King",'Data - Monthly Metrics'!D:D,"Revenue Up for Renewal - Non-Target ($)"))=0,"-",(SUMIFS('Data - Monthly Metrics'!E:E,'Data - Monthly Metrics'!A:A,$B$4-1,'Data - Monthly Metrics'!B:B,"Oct",'Data - Monthly Metrics'!C:C,"North King",'Data - Monthly Metrics'!D:D,"Revenue Retained - Target ($)")+SUMIFS('Data - Monthly Metrics'!E:E,'Data - Monthly Metrics'!A:A,$B$4-1,'Data - Monthly Metrics'!B:B,"Oct",'Data - Monthly Metrics'!C:C,"North King",'Data - Monthly Metrics'!D:D,"Revenue Retained - Non-Target ($)"))/(SUMIFS('Data - Monthly Metrics'!E:E,'Data - Monthly Metrics'!A:A,$B$4-1,'Data - Monthly Metrics'!B:B,"Oct",'Data - Monthly Metrics'!C:C,"North King",'Data - Monthly Metrics'!D:D,"Revenue Up for Renewal - Target ($)")+SUMIFS('Data - Monthly Metrics'!E:E,'Data - Monthly Metrics'!A:A,$B$4-1,'Data - Monthly Metrics'!B:B,"Oct",'Data - Monthly Metrics'!C:C,"North King",'Data - Monthly Metrics'!D:D,"Revenue Up for Renewal - Non-Target ($)")))</f>
        <v/>
      </c>
      <c r="C28" s="115">
        <f>IF((SUMIFS('Data - Monthly Metrics'!E:E,'Data - Monthly Metrics'!A:A,$B$4-1,'Data - Monthly Metrics'!B:B,"Nov",'Data - Monthly Metrics'!C:C,"North King",'Data - Monthly Metrics'!D:D,"Revenue Up for Renewal - Target ($)")+SUMIFS('Data - Monthly Metrics'!E:E,'Data - Monthly Metrics'!A:A,$B$4-1,'Data - Monthly Metrics'!B:B,"Nov",'Data - Monthly Metrics'!C:C,"North King",'Data - Monthly Metrics'!D:D,"Revenue Up for Renewal - Non-Target ($)"))=0,"-",(SUMIFS('Data - Monthly Metrics'!E:E,'Data - Monthly Metrics'!A:A,$B$4-1,'Data - Monthly Metrics'!B:B,"Nov",'Data - Monthly Metrics'!C:C,"North King",'Data - Monthly Metrics'!D:D,"Revenue Retained - Target ($)")+SUMIFS('Data - Monthly Metrics'!E:E,'Data - Monthly Metrics'!A:A,$B$4-1,'Data - Monthly Metrics'!B:B,"Nov",'Data - Monthly Metrics'!C:C,"North King",'Data - Monthly Metrics'!D:D,"Revenue Retained - Non-Target ($)"))/(SUMIFS('Data - Monthly Metrics'!E:E,'Data - Monthly Metrics'!A:A,$B$4-1,'Data - Monthly Metrics'!B:B,"Nov",'Data - Monthly Metrics'!C:C,"North King",'Data - Monthly Metrics'!D:D,"Revenue Up for Renewal - Target ($)")+SUMIFS('Data - Monthly Metrics'!E:E,'Data - Monthly Metrics'!A:A,$B$4-1,'Data - Monthly Metrics'!B:B,"Nov",'Data - Monthly Metrics'!C:C,"North King",'Data - Monthly Metrics'!D:D,"Revenue Up for Renewal - Non-Target ($)")))</f>
        <v/>
      </c>
      <c r="D28" s="115">
        <f>IF((SUMIFS('Data - Monthly Metrics'!E:E,'Data - Monthly Metrics'!A:A,$B$4-1,'Data - Monthly Metrics'!B:B,"Dec",'Data - Monthly Metrics'!C:C,"North King",'Data - Monthly Metrics'!D:D,"Revenue Up for Renewal - Target ($)")+SUMIFS('Data - Monthly Metrics'!E:E,'Data - Monthly Metrics'!A:A,$B$4-1,'Data - Monthly Metrics'!B:B,"Dec",'Data - Monthly Metrics'!C:C,"North King",'Data - Monthly Metrics'!D:D,"Revenue Up for Renewal - Non-Target ($)"))=0,"-",(SUMIFS('Data - Monthly Metrics'!E:E,'Data - Monthly Metrics'!A:A,$B$4-1,'Data - Monthly Metrics'!B:B,"Dec",'Data - Monthly Metrics'!C:C,"North King",'Data - Monthly Metrics'!D:D,"Revenue Retained - Target ($)")+SUMIFS('Data - Monthly Metrics'!E:E,'Data - Monthly Metrics'!A:A,$B$4-1,'Data - Monthly Metrics'!B:B,"Dec",'Data - Monthly Metrics'!C:C,"North King",'Data - Monthly Metrics'!D:D,"Revenue Retained - Non-Target ($)"))/(SUMIFS('Data - Monthly Metrics'!E:E,'Data - Monthly Metrics'!A:A,$B$4-1,'Data - Monthly Metrics'!B:B,"Dec",'Data - Monthly Metrics'!C:C,"North King",'Data - Monthly Metrics'!D:D,"Revenue Up for Renewal - Target ($)")+SUMIFS('Data - Monthly Metrics'!E:E,'Data - Monthly Metrics'!A:A,$B$4-1,'Data - Monthly Metrics'!B:B,"Dec",'Data - Monthly Metrics'!C:C,"North King",'Data - Monthly Metrics'!D:D,"Revenue Up for Renewal - Non-Target ($)")))</f>
        <v/>
      </c>
      <c r="E28" s="116">
        <f>IF(E22=0,0,E23/E22)</f>
        <v/>
      </c>
      <c r="F28" s="115">
        <f>IF((SUMIFS('Data - Monthly Metrics'!E:E,'Data - Monthly Metrics'!A:A,$B$4,'Data - Monthly Metrics'!B:B,"Jan",'Data - Monthly Metrics'!C:C,"North King",'Data - Monthly Metrics'!D:D,"Revenue Up for Renewal - Target ($)")+SUMIFS('Data - Monthly Metrics'!E:E,'Data - Monthly Metrics'!A:A,$B$4,'Data - Monthly Metrics'!B:B,"Jan",'Data - Monthly Metrics'!C:C,"North King",'Data - Monthly Metrics'!D:D,"Revenue Up for Renewal - Non-Target ($)"))=0,"-",(SUMIFS('Data - Monthly Metrics'!E:E,'Data - Monthly Metrics'!A:A,$B$4,'Data - Monthly Metrics'!B:B,"Jan",'Data - Monthly Metrics'!C:C,"North King",'Data - Monthly Metrics'!D:D,"Revenue Retained - Target ($)")+SUMIFS('Data - Monthly Metrics'!E:E,'Data - Monthly Metrics'!A:A,$B$4,'Data - Monthly Metrics'!B:B,"Jan",'Data - Monthly Metrics'!C:C,"North King",'Data - Monthly Metrics'!D:D,"Revenue Retained - Non-Target ($)"))/(SUMIFS('Data - Monthly Metrics'!E:E,'Data - Monthly Metrics'!A:A,$B$4,'Data - Monthly Metrics'!B:B,"Jan",'Data - Monthly Metrics'!C:C,"North King",'Data - Monthly Metrics'!D:D,"Revenue Up for Renewal - Target ($)")+SUMIFS('Data - Monthly Metrics'!E:E,'Data - Monthly Metrics'!A:A,$B$4,'Data - Monthly Metrics'!B:B,"Jan",'Data - Monthly Metrics'!C:C,"North King",'Data - Monthly Metrics'!D:D,"Revenue Up for Renewal - Non-Target ($)")))</f>
        <v/>
      </c>
      <c r="G28" s="115">
        <f>IF((SUMIFS('Data - Monthly Metrics'!E:E,'Data - Monthly Metrics'!A:A,$B$4,'Data - Monthly Metrics'!B:B,"Feb",'Data - Monthly Metrics'!C:C,"North King",'Data - Monthly Metrics'!D:D,"Revenue Up for Renewal - Target ($)")+SUMIFS('Data - Monthly Metrics'!E:E,'Data - Monthly Metrics'!A:A,$B$4,'Data - Monthly Metrics'!B:B,"Feb",'Data - Monthly Metrics'!C:C,"North King",'Data - Monthly Metrics'!D:D,"Revenue Up for Renewal - Non-Target ($)"))=0,"-",(SUMIFS('Data - Monthly Metrics'!E:E,'Data - Monthly Metrics'!A:A,$B$4,'Data - Monthly Metrics'!B:B,"Feb",'Data - Monthly Metrics'!C:C,"North King",'Data - Monthly Metrics'!D:D,"Revenue Retained - Target ($)")+SUMIFS('Data - Monthly Metrics'!E:E,'Data - Monthly Metrics'!A:A,$B$4,'Data - Monthly Metrics'!B:B,"Feb",'Data - Monthly Metrics'!C:C,"North King",'Data - Monthly Metrics'!D:D,"Revenue Retained - Non-Target ($)"))/(SUMIFS('Data - Monthly Metrics'!E:E,'Data - Monthly Metrics'!A:A,$B$4,'Data - Monthly Metrics'!B:B,"Feb",'Data - Monthly Metrics'!C:C,"North King",'Data - Monthly Metrics'!D:D,"Revenue Up for Renewal - Target ($)")+SUMIFS('Data - Monthly Metrics'!E:E,'Data - Monthly Metrics'!A:A,$B$4,'Data - Monthly Metrics'!B:B,"Feb",'Data - Monthly Metrics'!C:C,"North King",'Data - Monthly Metrics'!D:D,"Revenue Up for Renewal - Non-Target ($)")))</f>
        <v/>
      </c>
      <c r="H28" s="115">
        <f>IF((SUMIFS('Data - Monthly Metrics'!E:E,'Data - Monthly Metrics'!A:A,$B$4,'Data - Monthly Metrics'!B:B,"Mar",'Data - Monthly Metrics'!C:C,"North King",'Data - Monthly Metrics'!D:D,"Revenue Up for Renewal - Target ($)")+SUMIFS('Data - Monthly Metrics'!E:E,'Data - Monthly Metrics'!A:A,$B$4,'Data - Monthly Metrics'!B:B,"Mar",'Data - Monthly Metrics'!C:C,"North King",'Data - Monthly Metrics'!D:D,"Revenue Up for Renewal - Non-Target ($)"))=0,"-",(SUMIFS('Data - Monthly Metrics'!E:E,'Data - Monthly Metrics'!A:A,$B$4,'Data - Monthly Metrics'!B:B,"Mar",'Data - Monthly Metrics'!C:C,"North King",'Data - Monthly Metrics'!D:D,"Revenue Retained - Target ($)")+SUMIFS('Data - Monthly Metrics'!E:E,'Data - Monthly Metrics'!A:A,$B$4,'Data - Monthly Metrics'!B:B,"Mar",'Data - Monthly Metrics'!C:C,"North King",'Data - Monthly Metrics'!D:D,"Revenue Retained - Non-Target ($)"))/(SUMIFS('Data - Monthly Metrics'!E:E,'Data - Monthly Metrics'!A:A,$B$4,'Data - Monthly Metrics'!B:B,"Mar",'Data - Monthly Metrics'!C:C,"North King",'Data - Monthly Metrics'!D:D,"Revenue Up for Renewal - Target ($)")+SUMIFS('Data - Monthly Metrics'!E:E,'Data - Monthly Metrics'!A:A,$B$4,'Data - Monthly Metrics'!B:B,"Mar",'Data - Monthly Metrics'!C:C,"North King",'Data - Monthly Metrics'!D:D,"Revenue Up for Renewal - Non-Target ($)")))</f>
        <v/>
      </c>
      <c r="I28" s="116">
        <f>IF(I22=0,0,I23/I22)</f>
        <v/>
      </c>
      <c r="J28" s="115">
        <f>IF((SUMIFS('Data - Monthly Metrics'!E:E,'Data - Monthly Metrics'!A:A,$B$4,'Data - Monthly Metrics'!B:B,"Apr",'Data - Monthly Metrics'!C:C,"North King",'Data - Monthly Metrics'!D:D,"Revenue Up for Renewal - Target ($)")+SUMIFS('Data - Monthly Metrics'!E:E,'Data - Monthly Metrics'!A:A,$B$4,'Data - Monthly Metrics'!B:B,"Apr",'Data - Monthly Metrics'!C:C,"North King",'Data - Monthly Metrics'!D:D,"Revenue Up for Renewal - Non-Target ($)"))=0,"-",(SUMIFS('Data - Monthly Metrics'!E:E,'Data - Monthly Metrics'!A:A,$B$4,'Data - Monthly Metrics'!B:B,"Apr",'Data - Monthly Metrics'!C:C,"North King",'Data - Monthly Metrics'!D:D,"Revenue Retained - Target ($)")+SUMIFS('Data - Monthly Metrics'!E:E,'Data - Monthly Metrics'!A:A,$B$4,'Data - Monthly Metrics'!B:B,"Apr",'Data - Monthly Metrics'!C:C,"North King",'Data - Monthly Metrics'!D:D,"Revenue Retained - Non-Target ($)"))/(SUMIFS('Data - Monthly Metrics'!E:E,'Data - Monthly Metrics'!A:A,$B$4,'Data - Monthly Metrics'!B:B,"Apr",'Data - Monthly Metrics'!C:C,"North King",'Data - Monthly Metrics'!D:D,"Revenue Up for Renewal - Target ($)")+SUMIFS('Data - Monthly Metrics'!E:E,'Data - Monthly Metrics'!A:A,$B$4,'Data - Monthly Metrics'!B:B,"Apr",'Data - Monthly Metrics'!C:C,"North King",'Data - Monthly Metrics'!D:D,"Revenue Up for Renewal - Non-Target ($)")))</f>
        <v/>
      </c>
      <c r="K28" s="115">
        <f>IF((SUMIFS('Data - Monthly Metrics'!E:E,'Data - Monthly Metrics'!A:A,$B$4,'Data - Monthly Metrics'!B:B,"May",'Data - Monthly Metrics'!C:C,"North King",'Data - Monthly Metrics'!D:D,"Revenue Up for Renewal - Target ($)")+SUMIFS('Data - Monthly Metrics'!E:E,'Data - Monthly Metrics'!A:A,$B$4,'Data - Monthly Metrics'!B:B,"May",'Data - Monthly Metrics'!C:C,"North King",'Data - Monthly Metrics'!D:D,"Revenue Up for Renewal - Non-Target ($)"))=0,"-",(SUMIFS('Data - Monthly Metrics'!E:E,'Data - Monthly Metrics'!A:A,$B$4,'Data - Monthly Metrics'!B:B,"May",'Data - Monthly Metrics'!C:C,"North King",'Data - Monthly Metrics'!D:D,"Revenue Retained - Target ($)")+SUMIFS('Data - Monthly Metrics'!E:E,'Data - Monthly Metrics'!A:A,$B$4,'Data - Monthly Metrics'!B:B,"May",'Data - Monthly Metrics'!C:C,"North King",'Data - Monthly Metrics'!D:D,"Revenue Retained - Non-Target ($)"))/(SUMIFS('Data - Monthly Metrics'!E:E,'Data - Monthly Metrics'!A:A,$B$4,'Data - Monthly Metrics'!B:B,"May",'Data - Monthly Metrics'!C:C,"North King",'Data - Monthly Metrics'!D:D,"Revenue Up for Renewal - Target ($)")+SUMIFS('Data - Monthly Metrics'!E:E,'Data - Monthly Metrics'!A:A,$B$4,'Data - Monthly Metrics'!B:B,"May",'Data - Monthly Metrics'!C:C,"North King",'Data - Monthly Metrics'!D:D,"Revenue Up for Renewal - Non-Target ($)")))</f>
        <v/>
      </c>
      <c r="L28" s="115">
        <f>IF((SUMIFS('Data - Monthly Metrics'!E:E,'Data - Monthly Metrics'!A:A,$B$4,'Data - Monthly Metrics'!B:B,"Jun",'Data - Monthly Metrics'!C:C,"North King",'Data - Monthly Metrics'!D:D,"Revenue Up for Renewal - Target ($)")+SUMIFS('Data - Monthly Metrics'!E:E,'Data - Monthly Metrics'!A:A,$B$4,'Data - Monthly Metrics'!B:B,"Jun",'Data - Monthly Metrics'!C:C,"North King",'Data - Monthly Metrics'!D:D,"Revenue Up for Renewal - Non-Target ($)"))=0,"-",(SUMIFS('Data - Monthly Metrics'!E:E,'Data - Monthly Metrics'!A:A,$B$4,'Data - Monthly Metrics'!B:B,"Jun",'Data - Monthly Metrics'!C:C,"North King",'Data - Monthly Metrics'!D:D,"Revenue Retained - Target ($)")+SUMIFS('Data - Monthly Metrics'!E:E,'Data - Monthly Metrics'!A:A,$B$4,'Data - Monthly Metrics'!B:B,"Jun",'Data - Monthly Metrics'!C:C,"North King",'Data - Monthly Metrics'!D:D,"Revenue Retained - Non-Target ($)"))/(SUMIFS('Data - Monthly Metrics'!E:E,'Data - Monthly Metrics'!A:A,$B$4,'Data - Monthly Metrics'!B:B,"Jun",'Data - Monthly Metrics'!C:C,"North King",'Data - Monthly Metrics'!D:D,"Revenue Up for Renewal - Target ($)")+SUMIFS('Data - Monthly Metrics'!E:E,'Data - Monthly Metrics'!A:A,$B$4,'Data - Monthly Metrics'!B:B,"Jun",'Data - Monthly Metrics'!C:C,"North King",'Data - Monthly Metrics'!D:D,"Revenue Up for Renewal - Non-Target ($)")))</f>
        <v/>
      </c>
      <c r="M28" s="116">
        <f>IF(M22=0,0,M23/M22)</f>
        <v/>
      </c>
      <c r="N28" s="115">
        <f>IF((SUMIFS('Data - Monthly Metrics'!E:E,'Data - Monthly Metrics'!A:A,$B$4,'Data - Monthly Metrics'!B:B,"Jul",'Data - Monthly Metrics'!C:C,"North King",'Data - Monthly Metrics'!D:D,"Revenue Up for Renewal - Target ($)")+SUMIFS('Data - Monthly Metrics'!E:E,'Data - Monthly Metrics'!A:A,$B$4,'Data - Monthly Metrics'!B:B,"Jul",'Data - Monthly Metrics'!C:C,"North King",'Data - Monthly Metrics'!D:D,"Revenue Up for Renewal - Non-Target ($)"))=0,"-",(SUMIFS('Data - Monthly Metrics'!E:E,'Data - Monthly Metrics'!A:A,$B$4,'Data - Monthly Metrics'!B:B,"Jul",'Data - Monthly Metrics'!C:C,"North King",'Data - Monthly Metrics'!D:D,"Revenue Retained - Target ($)")+SUMIFS('Data - Monthly Metrics'!E:E,'Data - Monthly Metrics'!A:A,$B$4,'Data - Monthly Metrics'!B:B,"Jul",'Data - Monthly Metrics'!C:C,"North King",'Data - Monthly Metrics'!D:D,"Revenue Retained - Non-Target ($)"))/(SUMIFS('Data - Monthly Metrics'!E:E,'Data - Monthly Metrics'!A:A,$B$4,'Data - Monthly Metrics'!B:B,"Jul",'Data - Monthly Metrics'!C:C,"North King",'Data - Monthly Metrics'!D:D,"Revenue Up for Renewal - Target ($)")+SUMIFS('Data - Monthly Metrics'!E:E,'Data - Monthly Metrics'!A:A,$B$4,'Data - Monthly Metrics'!B:B,"Jul",'Data - Monthly Metrics'!C:C,"North King",'Data - Monthly Metrics'!D:D,"Revenue Up for Renewal - Non-Target ($)")))</f>
        <v/>
      </c>
      <c r="O28" s="115">
        <f>IF((SUMIFS('Data - Monthly Metrics'!E:E,'Data - Monthly Metrics'!A:A,$B$4,'Data - Monthly Metrics'!B:B,"Aug",'Data - Monthly Metrics'!C:C,"North King",'Data - Monthly Metrics'!D:D,"Revenue Up for Renewal - Target ($)")+SUMIFS('Data - Monthly Metrics'!E:E,'Data - Monthly Metrics'!A:A,$B$4,'Data - Monthly Metrics'!B:B,"Aug",'Data - Monthly Metrics'!C:C,"North King",'Data - Monthly Metrics'!D:D,"Revenue Up for Renewal - Non-Target ($)"))=0,"-",(SUMIFS('Data - Monthly Metrics'!E:E,'Data - Monthly Metrics'!A:A,$B$4,'Data - Monthly Metrics'!B:B,"Aug",'Data - Monthly Metrics'!C:C,"North King",'Data - Monthly Metrics'!D:D,"Revenue Retained - Target ($)")+SUMIFS('Data - Monthly Metrics'!E:E,'Data - Monthly Metrics'!A:A,$B$4,'Data - Monthly Metrics'!B:B,"Aug",'Data - Monthly Metrics'!C:C,"North King",'Data - Monthly Metrics'!D:D,"Revenue Retained - Non-Target ($)"))/(SUMIFS('Data - Monthly Metrics'!E:E,'Data - Monthly Metrics'!A:A,$B$4,'Data - Monthly Metrics'!B:B,"Aug",'Data - Monthly Metrics'!C:C,"North King",'Data - Monthly Metrics'!D:D,"Revenue Up for Renewal - Target ($)")+SUMIFS('Data - Monthly Metrics'!E:E,'Data - Monthly Metrics'!A:A,$B$4,'Data - Monthly Metrics'!B:B,"Aug",'Data - Monthly Metrics'!C:C,"North King",'Data - Monthly Metrics'!D:D,"Revenue Up for Renewal - Non-Target ($)")))</f>
        <v/>
      </c>
      <c r="P28" s="115">
        <f>IF((SUMIFS('Data - Monthly Metrics'!E:E,'Data - Monthly Metrics'!A:A,$B$4,'Data - Monthly Metrics'!B:B,"Sep",'Data - Monthly Metrics'!C:C,"North King",'Data - Monthly Metrics'!D:D,"Revenue Up for Renewal - Target ($)")+SUMIFS('Data - Monthly Metrics'!E:E,'Data - Monthly Metrics'!A:A,$B$4,'Data - Monthly Metrics'!B:B,"Sep",'Data - Monthly Metrics'!C:C,"North King",'Data - Monthly Metrics'!D:D,"Revenue Up for Renewal - Non-Target ($)"))=0,"-",(SUMIFS('Data - Monthly Metrics'!E:E,'Data - Monthly Metrics'!A:A,$B$4,'Data - Monthly Metrics'!B:B,"Sep",'Data - Monthly Metrics'!C:C,"North King",'Data - Monthly Metrics'!D:D,"Revenue Retained - Target ($)")+SUMIFS('Data - Monthly Metrics'!E:E,'Data - Monthly Metrics'!A:A,$B$4,'Data - Monthly Metrics'!B:B,"Sep",'Data - Monthly Metrics'!C:C,"North King",'Data - Monthly Metrics'!D:D,"Revenue Retained - Non-Target ($)"))/(SUMIFS('Data - Monthly Metrics'!E:E,'Data - Monthly Metrics'!A:A,$B$4,'Data - Monthly Metrics'!B:B,"Sep",'Data - Monthly Metrics'!C:C,"North King",'Data - Monthly Metrics'!D:D,"Revenue Up for Renewal - Target ($)")+SUMIFS('Data - Monthly Metrics'!E:E,'Data - Monthly Metrics'!A:A,$B$4,'Data - Monthly Metrics'!B:B,"Sep",'Data - Monthly Metrics'!C:C,"North King",'Data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Metrics'!C:C,"North King",'Data - Monthly Metrics'!D:D,"Total Target Locations - Restaurant (#)")+SUMIFS('Data - Monthly Metrics'!E:E,'Data - Monthly Metrics'!A:A,$B$4-1,'Data - Monthly Metrics'!B:B,"Oct",'Data - Monthly Metrics'!C:C,"North King",'Data - Monthly Metrics'!D:D,"Non-Target Locations - Restaurant (#)"))=0,"-",(SUMIFS('Data - Monthly Metrics'!E:E,'Data - Monthly Metrics'!A:A,$B$4-1,'Data - Monthly Metrics'!B:B,"Oct",'Data - Monthly Metrics'!C:C,"North King",'Data - Monthly Metrics'!D:D,"Target Members - Restaurant (#)")+SUMIFS('Data - Monthly Metrics'!E:E,'Data - Monthly Metrics'!A:A,$B$4-1,'Data - Monthly Metrics'!B:B,"Oct",'Data - Monthly Metrics'!C:C,"North King",'Data - Monthly Metrics'!D:D,"Non-Target Members - Restaurant (#)"))/(SUMIFS('Data - Monthly Metrics'!E:E,'Data - Monthly Metrics'!A:A,$B$4-1,'Data - Monthly Metrics'!B:B,"Oct",'Data - Monthly Metrics'!C:C,"North King",'Data - Monthly Metrics'!D:D,"Total Target Locations - Restaurant (#)")+SUMIFS('Data - Monthly Metrics'!E:E,'Data - Monthly Metrics'!A:A,$B$4-1,'Data - Monthly Metrics'!B:B,"Oct",'Data - Monthly Metrics'!C:C,"North King",'Data - Monthly Metrics'!D:D,"Non-Target Locations - Restaurant (#)")))</f>
        <v/>
      </c>
      <c r="C29" s="115">
        <f>IF((SUMIFS('Data - Monthly Metrics'!E:E,'Data - Monthly Metrics'!A:A,$B$4-1,'Data - Monthly Metrics'!B:B,"Nov",'Data - Monthly Metrics'!C:C,"North King",'Data - Monthly Metrics'!D:D,"Total Target Locations - Restaurant (#)")+SUMIFS('Data - Monthly Metrics'!E:E,'Data - Monthly Metrics'!A:A,$B$4-1,'Data - Monthly Metrics'!B:B,"Nov",'Data - Monthly Metrics'!C:C,"North King",'Data - Monthly Metrics'!D:D,"Non-Target Locations - Restaurant (#)"))=0,"-",(SUMIFS('Data - Monthly Metrics'!E:E,'Data - Monthly Metrics'!A:A,$B$4-1,'Data - Monthly Metrics'!B:B,"Nov",'Data - Monthly Metrics'!C:C,"North King",'Data - Monthly Metrics'!D:D,"Target Members - Restaurant (#)")+SUMIFS('Data - Monthly Metrics'!E:E,'Data - Monthly Metrics'!A:A,$B$4-1,'Data - Monthly Metrics'!B:B,"Nov",'Data - Monthly Metrics'!C:C,"North King",'Data - Monthly Metrics'!D:D,"Non-Target Members - Restaurant (#)"))/(SUMIFS('Data - Monthly Metrics'!E:E,'Data - Monthly Metrics'!A:A,$B$4-1,'Data - Monthly Metrics'!B:B,"Nov",'Data - Monthly Metrics'!C:C,"North King",'Data - Monthly Metrics'!D:D,"Total Target Locations - Restaurant (#)")+SUMIFS('Data - Monthly Metrics'!E:E,'Data - Monthly Metrics'!A:A,$B$4-1,'Data - Monthly Metrics'!B:B,"Nov",'Data - Monthly Metrics'!C:C,"North King",'Data - Monthly Metrics'!D:D,"Non-Target Locations - Restaurant (#)")))</f>
        <v/>
      </c>
      <c r="D29" s="115">
        <f>IF((SUMIFS('Data - Monthly Metrics'!E:E,'Data - Monthly Metrics'!A:A,$B$4-1,'Data - Monthly Metrics'!B:B,"Dec",'Data - Monthly Metrics'!C:C,"North King",'Data - Monthly Metrics'!D:D,"Total Target Locations - Restaurant (#)")+SUMIFS('Data - Monthly Metrics'!E:E,'Data - Monthly Metrics'!A:A,$B$4-1,'Data - Monthly Metrics'!B:B,"Dec",'Data - Monthly Metrics'!C:C,"North King",'Data - Monthly Metrics'!D:D,"Non-Target Locations - Restaurant (#)"))=0,"-",(SUMIFS('Data - Monthly Metrics'!E:E,'Data - Monthly Metrics'!A:A,$B$4-1,'Data - Monthly Metrics'!B:B,"Dec",'Data - Monthly Metrics'!C:C,"North King",'Data - Monthly Metrics'!D:D,"Target Members - Restaurant (#)")+SUMIFS('Data - Monthly Metrics'!E:E,'Data - Monthly Metrics'!A:A,$B$4-1,'Data - Monthly Metrics'!B:B,"Dec",'Data - Monthly Metrics'!C:C,"North King",'Data - Monthly Metrics'!D:D,"Non-Target Members - Restaurant (#)"))/(SUMIFS('Data - Monthly Metrics'!E:E,'Data - Monthly Metrics'!A:A,$B$4-1,'Data - Monthly Metrics'!B:B,"Dec",'Data - Monthly Metrics'!C:C,"North King",'Data - Monthly Metrics'!D:D,"Total Target Locations - Restaurant (#)")+SUMIFS('Data - Monthly Metrics'!E:E,'Data - Monthly Metrics'!A:A,$B$4-1,'Data - Monthly Metrics'!B:B,"Dec",'Data - Monthly Metrics'!C:C,"North King",'Data - Monthly Metrics'!D:D,"Non-Target Locations - Restaurant (#)")))</f>
        <v/>
      </c>
      <c r="E29" s="116">
        <f>IF(ISNUMBER(D29),D29,IF(ISNUMBER(C29),C29,IF(ISNUMBER(B29),B29,"-")))</f>
        <v/>
      </c>
      <c r="F29" s="115">
        <f>IF((SUMIFS('Data - Monthly Metrics'!E:E,'Data - Monthly Metrics'!A:A,$B$4,'Data - Monthly Metrics'!B:B,"Jan",'Data - Monthly Metrics'!C:C,"North King",'Data - Monthly Metrics'!D:D,"Total Target Locations - Restaurant (#)")+SUMIFS('Data - Monthly Metrics'!E:E,'Data - Monthly Metrics'!A:A,$B$4,'Data - Monthly Metrics'!B:B,"Jan",'Data - Monthly Metrics'!C:C,"North King",'Data - Monthly Metrics'!D:D,"Non-Target Locations - Restaurant (#)"))=0,"-",(SUMIFS('Data - Monthly Metrics'!E:E,'Data - Monthly Metrics'!A:A,$B$4,'Data - Monthly Metrics'!B:B,"Jan",'Data - Monthly Metrics'!C:C,"North King",'Data - Monthly Metrics'!D:D,"Target Members - Restaurant (#)")+SUMIFS('Data - Monthly Metrics'!E:E,'Data - Monthly Metrics'!A:A,$B$4,'Data - Monthly Metrics'!B:B,"Jan",'Data - Monthly Metrics'!C:C,"North King",'Data - Monthly Metrics'!D:D,"Non-Target Members - Restaurant (#)"))/(SUMIFS('Data - Monthly Metrics'!E:E,'Data - Monthly Metrics'!A:A,$B$4,'Data - Monthly Metrics'!B:B,"Jan",'Data - Monthly Metrics'!C:C,"North King",'Data - Monthly Metrics'!D:D,"Total Target Locations - Restaurant (#)")+SUMIFS('Data - Monthly Metrics'!E:E,'Data - Monthly Metrics'!A:A,$B$4,'Data - Monthly Metrics'!B:B,"Jan",'Data - Monthly Metrics'!C:C,"North King",'Data - Monthly Metrics'!D:D,"Non-Target Locations - Restaurant (#)")))</f>
        <v/>
      </c>
      <c r="G29" s="115">
        <f>IF((SUMIFS('Data - Monthly Metrics'!E:E,'Data - Monthly Metrics'!A:A,$B$4,'Data - Monthly Metrics'!B:B,"Feb",'Data - Monthly Metrics'!C:C,"North King",'Data - Monthly Metrics'!D:D,"Total Target Locations - Restaurant (#)")+SUMIFS('Data - Monthly Metrics'!E:E,'Data - Monthly Metrics'!A:A,$B$4,'Data - Monthly Metrics'!B:B,"Feb",'Data - Monthly Metrics'!C:C,"North King",'Data - Monthly Metrics'!D:D,"Non-Target Locations - Restaurant (#)"))=0,"-",(SUMIFS('Data - Monthly Metrics'!E:E,'Data - Monthly Metrics'!A:A,$B$4,'Data - Monthly Metrics'!B:B,"Feb",'Data - Monthly Metrics'!C:C,"North King",'Data - Monthly Metrics'!D:D,"Target Members - Restaurant (#)")+SUMIFS('Data - Monthly Metrics'!E:E,'Data - Monthly Metrics'!A:A,$B$4,'Data - Monthly Metrics'!B:B,"Feb",'Data - Monthly Metrics'!C:C,"North King",'Data - Monthly Metrics'!D:D,"Non-Target Members - Restaurant (#)"))/(SUMIFS('Data - Monthly Metrics'!E:E,'Data - Monthly Metrics'!A:A,$B$4,'Data - Monthly Metrics'!B:B,"Feb",'Data - Monthly Metrics'!C:C,"North King",'Data - Monthly Metrics'!D:D,"Total Target Locations - Restaurant (#)")+SUMIFS('Data - Monthly Metrics'!E:E,'Data - Monthly Metrics'!A:A,$B$4,'Data - Monthly Metrics'!B:B,"Feb",'Data - Monthly Metrics'!C:C,"North King",'Data - Monthly Metrics'!D:D,"Non-Target Locations - Restaurant (#)")))</f>
        <v/>
      </c>
      <c r="H29" s="115">
        <f>IF((SUMIFS('Data - Monthly Metrics'!E:E,'Data - Monthly Metrics'!A:A,$B$4,'Data - Monthly Metrics'!B:B,"Mar",'Data - Monthly Metrics'!C:C,"North King",'Data - Monthly Metrics'!D:D,"Total Target Locations - Restaurant (#)")+SUMIFS('Data - Monthly Metrics'!E:E,'Data - Monthly Metrics'!A:A,$B$4,'Data - Monthly Metrics'!B:B,"Mar",'Data - Monthly Metrics'!C:C,"North King",'Data - Monthly Metrics'!D:D,"Non-Target Locations - Restaurant (#)"))=0,"-",(SUMIFS('Data - Monthly Metrics'!E:E,'Data - Monthly Metrics'!A:A,$B$4,'Data - Monthly Metrics'!B:B,"Mar",'Data - Monthly Metrics'!C:C,"North King",'Data - Monthly Metrics'!D:D,"Target Members - Restaurant (#)")+SUMIFS('Data - Monthly Metrics'!E:E,'Data - Monthly Metrics'!A:A,$B$4,'Data - Monthly Metrics'!B:B,"Mar",'Data - Monthly Metrics'!C:C,"North King",'Data - Monthly Metrics'!D:D,"Non-Target Members - Restaurant (#)"))/(SUMIFS('Data - Monthly Metrics'!E:E,'Data - Monthly Metrics'!A:A,$B$4,'Data - Monthly Metrics'!B:B,"Mar",'Data - Monthly Metrics'!C:C,"North King",'Data - Monthly Metrics'!D:D,"Total Target Locations - Restaurant (#)")+SUMIFS('Data - Monthly Metrics'!E:E,'Data - Monthly Metrics'!A:A,$B$4,'Data - Monthly Metrics'!B:B,"Mar",'Data - Monthly Metrics'!C:C,"North King",'Data - Monthly Metrics'!D:D,"Non-Target Locations - Restaurant (#)")))</f>
        <v/>
      </c>
      <c r="I29" s="116">
        <f>IF(ISNUMBER(H29),H29,IF(ISNUMBER(G29),G29,IF(ISNUMBER(F29),F29,"-")))</f>
        <v/>
      </c>
      <c r="J29" s="115">
        <f>IF((SUMIFS('Data - Monthly Metrics'!E:E,'Data - Monthly Metrics'!A:A,$B$4,'Data - Monthly Metrics'!B:B,"Apr",'Data - Monthly Metrics'!C:C,"North King",'Data - Monthly Metrics'!D:D,"Total Target Locations - Restaurant (#)")+SUMIFS('Data - Monthly Metrics'!E:E,'Data - Monthly Metrics'!A:A,$B$4,'Data - Monthly Metrics'!B:B,"Apr",'Data - Monthly Metrics'!C:C,"North King",'Data - Monthly Metrics'!D:D,"Non-Target Locations - Restaurant (#)"))=0,"-",(SUMIFS('Data - Monthly Metrics'!E:E,'Data - Monthly Metrics'!A:A,$B$4,'Data - Monthly Metrics'!B:B,"Apr",'Data - Monthly Metrics'!C:C,"North King",'Data - Monthly Metrics'!D:D,"Target Members - Restaurant (#)")+SUMIFS('Data - Monthly Metrics'!E:E,'Data - Monthly Metrics'!A:A,$B$4,'Data - Monthly Metrics'!B:B,"Apr",'Data - Monthly Metrics'!C:C,"North King",'Data - Monthly Metrics'!D:D,"Non-Target Members - Restaurant (#)"))/(SUMIFS('Data - Monthly Metrics'!E:E,'Data - Monthly Metrics'!A:A,$B$4,'Data - Monthly Metrics'!B:B,"Apr",'Data - Monthly Metrics'!C:C,"North King",'Data - Monthly Metrics'!D:D,"Total Target Locations - Restaurant (#)")+SUMIFS('Data - Monthly Metrics'!E:E,'Data - Monthly Metrics'!A:A,$B$4,'Data - Monthly Metrics'!B:B,"Apr",'Data - Monthly Metrics'!C:C,"North King",'Data - Monthly Metrics'!D:D,"Non-Target Locations - Restaurant (#)")))</f>
        <v/>
      </c>
      <c r="K29" s="115">
        <f>IF((SUMIFS('Data - Monthly Metrics'!E:E,'Data - Monthly Metrics'!A:A,$B$4,'Data - Monthly Metrics'!B:B,"May",'Data - Monthly Metrics'!C:C,"North King",'Data - Monthly Metrics'!D:D,"Total Target Locations - Restaurant (#)")+SUMIFS('Data - Monthly Metrics'!E:E,'Data - Monthly Metrics'!A:A,$B$4,'Data - Monthly Metrics'!B:B,"May",'Data - Monthly Metrics'!C:C,"North King",'Data - Monthly Metrics'!D:D,"Non-Target Locations - Restaurant (#)"))=0,"-",(SUMIFS('Data - Monthly Metrics'!E:E,'Data - Monthly Metrics'!A:A,$B$4,'Data - Monthly Metrics'!B:B,"May",'Data - Monthly Metrics'!C:C,"North King",'Data - Monthly Metrics'!D:D,"Target Members - Restaurant (#)")+SUMIFS('Data - Monthly Metrics'!E:E,'Data - Monthly Metrics'!A:A,$B$4,'Data - Monthly Metrics'!B:B,"May",'Data - Monthly Metrics'!C:C,"North King",'Data - Monthly Metrics'!D:D,"Non-Target Members - Restaurant (#)"))/(SUMIFS('Data - Monthly Metrics'!E:E,'Data - Monthly Metrics'!A:A,$B$4,'Data - Monthly Metrics'!B:B,"May",'Data - Monthly Metrics'!C:C,"North King",'Data - Monthly Metrics'!D:D,"Total Target Locations - Restaurant (#)")+SUMIFS('Data - Monthly Metrics'!E:E,'Data - Monthly Metrics'!A:A,$B$4,'Data - Monthly Metrics'!B:B,"May",'Data - Monthly Metrics'!C:C,"North King",'Data - Monthly Metrics'!D:D,"Non-Target Locations - Restaurant (#)")))</f>
        <v/>
      </c>
      <c r="L29" s="115">
        <f>IF((SUMIFS('Data - Monthly Metrics'!E:E,'Data - Monthly Metrics'!A:A,$B$4,'Data - Monthly Metrics'!B:B,"Jun",'Data - Monthly Metrics'!C:C,"North King",'Data - Monthly Metrics'!D:D,"Total Target Locations - Restaurant (#)")+SUMIFS('Data - Monthly Metrics'!E:E,'Data - Monthly Metrics'!A:A,$B$4,'Data - Monthly Metrics'!B:B,"Jun",'Data - Monthly Metrics'!C:C,"North King",'Data - Monthly Metrics'!D:D,"Non-Target Locations - Restaurant (#)"))=0,"-",(SUMIFS('Data - Monthly Metrics'!E:E,'Data - Monthly Metrics'!A:A,$B$4,'Data - Monthly Metrics'!B:B,"Jun",'Data - Monthly Metrics'!C:C,"North King",'Data - Monthly Metrics'!D:D,"Target Members - Restaurant (#)")+SUMIFS('Data - Monthly Metrics'!E:E,'Data - Monthly Metrics'!A:A,$B$4,'Data - Monthly Metrics'!B:B,"Jun",'Data - Monthly Metrics'!C:C,"North King",'Data - Monthly Metrics'!D:D,"Non-Target Members - Restaurant (#)"))/(SUMIFS('Data - Monthly Metrics'!E:E,'Data - Monthly Metrics'!A:A,$B$4,'Data - Monthly Metrics'!B:B,"Jun",'Data - Monthly Metrics'!C:C,"North King",'Data - Monthly Metrics'!D:D,"Total Target Locations - Restaurant (#)")+SUMIFS('Data - Monthly Metrics'!E:E,'Data - Monthly Metrics'!A:A,$B$4,'Data - Monthly Metrics'!B:B,"Jun",'Data - Monthly Metrics'!C:C,"North King",'Data - Monthly Metrics'!D:D,"Non-Target Locations - Restaurant (#)")))</f>
        <v/>
      </c>
      <c r="M29" s="116">
        <f>IF(ISNUMBER(L29),L29,IF(ISNUMBER(K29),K29,IF(ISNUMBER(J29),J29,"-")))</f>
        <v/>
      </c>
      <c r="N29" s="115">
        <f>IF((SUMIFS('Data - Monthly Metrics'!E:E,'Data - Monthly Metrics'!A:A,$B$4,'Data - Monthly Metrics'!B:B,"Jul",'Data - Monthly Metrics'!C:C,"North King",'Data - Monthly Metrics'!D:D,"Total Target Locations - Restaurant (#)")+SUMIFS('Data - Monthly Metrics'!E:E,'Data - Monthly Metrics'!A:A,$B$4,'Data - Monthly Metrics'!B:B,"Jul",'Data - Monthly Metrics'!C:C,"North King",'Data - Monthly Metrics'!D:D,"Non-Target Locations - Restaurant (#)"))=0,"-",(SUMIFS('Data - Monthly Metrics'!E:E,'Data - Monthly Metrics'!A:A,$B$4,'Data - Monthly Metrics'!B:B,"Jul",'Data - Monthly Metrics'!C:C,"North King",'Data - Monthly Metrics'!D:D,"Target Members - Restaurant (#)")+SUMIFS('Data - Monthly Metrics'!E:E,'Data - Monthly Metrics'!A:A,$B$4,'Data - Monthly Metrics'!B:B,"Jul",'Data - Monthly Metrics'!C:C,"North King",'Data - Monthly Metrics'!D:D,"Non-Target Members - Restaurant (#)"))/(SUMIFS('Data - Monthly Metrics'!E:E,'Data - Monthly Metrics'!A:A,$B$4,'Data - Monthly Metrics'!B:B,"Jul",'Data - Monthly Metrics'!C:C,"North King",'Data - Monthly Metrics'!D:D,"Total Target Locations - Restaurant (#)")+SUMIFS('Data - Monthly Metrics'!E:E,'Data - Monthly Metrics'!A:A,$B$4,'Data - Monthly Metrics'!B:B,"Jul",'Data - Monthly Metrics'!C:C,"North King",'Data - Monthly Metrics'!D:D,"Non-Target Locations - Restaurant (#)")))</f>
        <v/>
      </c>
      <c r="O29" s="115">
        <f>IF((SUMIFS('Data - Monthly Metrics'!E:E,'Data - Monthly Metrics'!A:A,$B$4,'Data - Monthly Metrics'!B:B,"Aug",'Data - Monthly Metrics'!C:C,"North King",'Data - Monthly Metrics'!D:D,"Total Target Locations - Restaurant (#)")+SUMIFS('Data - Monthly Metrics'!E:E,'Data - Monthly Metrics'!A:A,$B$4,'Data - Monthly Metrics'!B:B,"Aug",'Data - Monthly Metrics'!C:C,"North King",'Data - Monthly Metrics'!D:D,"Non-Target Locations - Restaurant (#)"))=0,"-",(SUMIFS('Data - Monthly Metrics'!E:E,'Data - Monthly Metrics'!A:A,$B$4,'Data - Monthly Metrics'!B:B,"Aug",'Data - Monthly Metrics'!C:C,"North King",'Data - Monthly Metrics'!D:D,"Target Members - Restaurant (#)")+SUMIFS('Data - Monthly Metrics'!E:E,'Data - Monthly Metrics'!A:A,$B$4,'Data - Monthly Metrics'!B:B,"Aug",'Data - Monthly Metrics'!C:C,"North King",'Data - Monthly Metrics'!D:D,"Non-Target Members - Restaurant (#)"))/(SUMIFS('Data - Monthly Metrics'!E:E,'Data - Monthly Metrics'!A:A,$B$4,'Data - Monthly Metrics'!B:B,"Aug",'Data - Monthly Metrics'!C:C,"North King",'Data - Monthly Metrics'!D:D,"Total Target Locations - Restaurant (#)")+SUMIFS('Data - Monthly Metrics'!E:E,'Data - Monthly Metrics'!A:A,$B$4,'Data - Monthly Metrics'!B:B,"Aug",'Data - Monthly Metrics'!C:C,"North King",'Data - Monthly Metrics'!D:D,"Non-Target Locations - Restaurant (#)")))</f>
        <v/>
      </c>
      <c r="P29" s="115">
        <f>IF((SUMIFS('Data - Monthly Metrics'!E:E,'Data - Monthly Metrics'!A:A,$B$4,'Data - Monthly Metrics'!B:B,"Sep",'Data - Monthly Metrics'!C:C,"North King",'Data - Monthly Metrics'!D:D,"Total Target Locations - Restaurant (#)")+SUMIFS('Data - Monthly Metrics'!E:E,'Data - Monthly Metrics'!A:A,$B$4,'Data - Monthly Metrics'!B:B,"Sep",'Data - Monthly Metrics'!C:C,"North King",'Data - Monthly Metrics'!D:D,"Non-Target Locations - Restaurant (#)"))=0,"-",(SUMIFS('Data - Monthly Metrics'!E:E,'Data - Monthly Metrics'!A:A,$B$4,'Data - Monthly Metrics'!B:B,"Sep",'Data - Monthly Metrics'!C:C,"North King",'Data - Monthly Metrics'!D:D,"Target Members - Restaurant (#)")+SUMIFS('Data - Monthly Metrics'!E:E,'Data - Monthly Metrics'!A:A,$B$4,'Data - Monthly Metrics'!B:B,"Sep",'Data - Monthly Metrics'!C:C,"North King",'Data - Monthly Metrics'!D:D,"Non-Target Members - Restaurant (#)"))/(SUMIFS('Data - Monthly Metrics'!E:E,'Data - Monthly Metrics'!A:A,$B$4,'Data - Monthly Metrics'!B:B,"Sep",'Data - Monthly Metrics'!C:C,"North King",'Data - Monthly Metrics'!D:D,"Total Target Locations - Restaurant (#)")+SUMIFS('Data - Monthly Metrics'!E:E,'Data - Monthly Metrics'!A:A,$B$4,'Data - Monthly Metrics'!B:B,"Sep",'Data - Monthly Metrics'!C:C,"North King",'Data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Metrics'!C:C,"North King",'Data - Monthly Metrics'!D:D,"Total Target Locations - Lodging (#)")+SUMIFS('Data - Monthly Metrics'!E:E,'Data - Monthly Metrics'!A:A,$B$4-1,'Data - Monthly Metrics'!B:B,"Oct",'Data - Monthly Metrics'!C:C,"North King",'Data - Monthly Metrics'!D:D,"Non-Target Locations - Lodging (#)"))=0,"-",(SUMIFS('Data - Monthly Metrics'!E:E,'Data - Monthly Metrics'!A:A,$B$4-1,'Data - Monthly Metrics'!B:B,"Oct",'Data - Monthly Metrics'!C:C,"North King",'Data - Monthly Metrics'!D:D,"Target Members - Lodging (#)")+SUMIFS('Data - Monthly Metrics'!E:E,'Data - Monthly Metrics'!A:A,$B$4-1,'Data - Monthly Metrics'!B:B,"Oct",'Data - Monthly Metrics'!C:C,"North King",'Data - Monthly Metrics'!D:D,"Non-Target Members - Lodging (#)"))/(SUMIFS('Data - Monthly Metrics'!E:E,'Data - Monthly Metrics'!A:A,$B$4-1,'Data - Monthly Metrics'!B:B,"Oct",'Data - Monthly Metrics'!C:C,"North King",'Data - Monthly Metrics'!D:D,"Total Target Locations - Lodging (#)")+SUMIFS('Data - Monthly Metrics'!E:E,'Data - Monthly Metrics'!A:A,$B$4-1,'Data - Monthly Metrics'!B:B,"Oct",'Data - Monthly Metrics'!C:C,"North King",'Data - Monthly Metrics'!D:D,"Non-Target Locations - Lodging (#)")))</f>
        <v/>
      </c>
      <c r="C30" s="118">
        <f>IF((SUMIFS('Data - Monthly Metrics'!E:E,'Data - Monthly Metrics'!A:A,$B$4-1,'Data - Monthly Metrics'!B:B,"Nov",'Data - Monthly Metrics'!C:C,"North King",'Data - Monthly Metrics'!D:D,"Total Target Locations - Lodging (#)")+SUMIFS('Data - Monthly Metrics'!E:E,'Data - Monthly Metrics'!A:A,$B$4-1,'Data - Monthly Metrics'!B:B,"Nov",'Data - Monthly Metrics'!C:C,"North King",'Data - Monthly Metrics'!D:D,"Non-Target Locations - Lodging (#)"))=0,"-",(SUMIFS('Data - Monthly Metrics'!E:E,'Data - Monthly Metrics'!A:A,$B$4-1,'Data - Monthly Metrics'!B:B,"Nov",'Data - Monthly Metrics'!C:C,"North King",'Data - Monthly Metrics'!D:D,"Target Members - Lodging (#)")+SUMIFS('Data - Monthly Metrics'!E:E,'Data - Monthly Metrics'!A:A,$B$4-1,'Data - Monthly Metrics'!B:B,"Nov",'Data - Monthly Metrics'!C:C,"North King",'Data - Monthly Metrics'!D:D,"Non-Target Members - Lodging (#)"))/(SUMIFS('Data - Monthly Metrics'!E:E,'Data - Monthly Metrics'!A:A,$B$4-1,'Data - Monthly Metrics'!B:B,"Nov",'Data - Monthly Metrics'!C:C,"North King",'Data - Monthly Metrics'!D:D,"Total Target Locations - Lodging (#)")+SUMIFS('Data - Monthly Metrics'!E:E,'Data - Monthly Metrics'!A:A,$B$4-1,'Data - Monthly Metrics'!B:B,"Nov",'Data - Monthly Metrics'!C:C,"North King",'Data - Monthly Metrics'!D:D,"Non-Target Locations - Lodging (#)")))</f>
        <v/>
      </c>
      <c r="D30" s="118">
        <f>IF((SUMIFS('Data - Monthly Metrics'!E:E,'Data - Monthly Metrics'!A:A,$B$4-1,'Data - Monthly Metrics'!B:B,"Dec",'Data - Monthly Metrics'!C:C,"North King",'Data - Monthly Metrics'!D:D,"Total Target Locations - Lodging (#)")+SUMIFS('Data - Monthly Metrics'!E:E,'Data - Monthly Metrics'!A:A,$B$4-1,'Data - Monthly Metrics'!B:B,"Dec",'Data - Monthly Metrics'!C:C,"North King",'Data - Monthly Metrics'!D:D,"Non-Target Locations - Lodging (#)"))=0,"-",(SUMIFS('Data - Monthly Metrics'!E:E,'Data - Monthly Metrics'!A:A,$B$4-1,'Data - Monthly Metrics'!B:B,"Dec",'Data - Monthly Metrics'!C:C,"North King",'Data - Monthly Metrics'!D:D,"Target Members - Lodging (#)")+SUMIFS('Data - Monthly Metrics'!E:E,'Data - Monthly Metrics'!A:A,$B$4-1,'Data - Monthly Metrics'!B:B,"Dec",'Data - Monthly Metrics'!C:C,"North King",'Data - Monthly Metrics'!D:D,"Non-Target Members - Lodging (#)"))/(SUMIFS('Data - Monthly Metrics'!E:E,'Data - Monthly Metrics'!A:A,$B$4-1,'Data - Monthly Metrics'!B:B,"Dec",'Data - Monthly Metrics'!C:C,"North King",'Data - Monthly Metrics'!D:D,"Total Target Locations - Lodging (#)")+SUMIFS('Data - Monthly Metrics'!E:E,'Data - Monthly Metrics'!A:A,$B$4-1,'Data - Monthly Metrics'!B:B,"Dec",'Data - Monthly Metrics'!C:C,"North King",'Data - Monthly Metrics'!D:D,"Non-Target Locations - Lodging (#)")))</f>
        <v/>
      </c>
      <c r="E30" s="116">
        <f>IF(ISNUMBER(D30),D30,IF(ISNUMBER(C30),C30,IF(ISNUMBER(B30),B30,"-")))</f>
        <v/>
      </c>
      <c r="F30" s="118">
        <f>IF((SUMIFS('Data - Monthly Metrics'!E:E,'Data - Monthly Metrics'!A:A,$B$4,'Data - Monthly Metrics'!B:B,"Jan",'Data - Monthly Metrics'!C:C,"North King",'Data - Monthly Metrics'!D:D,"Total Target Locations - Lodging (#)")+SUMIFS('Data - Monthly Metrics'!E:E,'Data - Monthly Metrics'!A:A,$B$4,'Data - Monthly Metrics'!B:B,"Jan",'Data - Monthly Metrics'!C:C,"North King",'Data - Monthly Metrics'!D:D,"Non-Target Locations - Lodging (#)"))=0,"-",(SUMIFS('Data - Monthly Metrics'!E:E,'Data - Monthly Metrics'!A:A,$B$4,'Data - Monthly Metrics'!B:B,"Jan",'Data - Monthly Metrics'!C:C,"North King",'Data - Monthly Metrics'!D:D,"Target Members - Lodging (#)")+SUMIFS('Data - Monthly Metrics'!E:E,'Data - Monthly Metrics'!A:A,$B$4,'Data - Monthly Metrics'!B:B,"Jan",'Data - Monthly Metrics'!C:C,"North King",'Data - Monthly Metrics'!D:D,"Non-Target Members - Lodging (#)"))/(SUMIFS('Data - Monthly Metrics'!E:E,'Data - Monthly Metrics'!A:A,$B$4,'Data - Monthly Metrics'!B:B,"Jan",'Data - Monthly Metrics'!C:C,"North King",'Data - Monthly Metrics'!D:D,"Total Target Locations - Lodging (#)")+SUMIFS('Data - Monthly Metrics'!E:E,'Data - Monthly Metrics'!A:A,$B$4,'Data - Monthly Metrics'!B:B,"Jan",'Data - Monthly Metrics'!C:C,"North King",'Data - Monthly Metrics'!D:D,"Non-Target Locations - Lodging (#)")))</f>
        <v/>
      </c>
      <c r="G30" s="118">
        <f>IF((SUMIFS('Data - Monthly Metrics'!E:E,'Data - Monthly Metrics'!A:A,$B$4,'Data - Monthly Metrics'!B:B,"Feb",'Data - Monthly Metrics'!C:C,"North King",'Data - Monthly Metrics'!D:D,"Total Target Locations - Lodging (#)")+SUMIFS('Data - Monthly Metrics'!E:E,'Data - Monthly Metrics'!A:A,$B$4,'Data - Monthly Metrics'!B:B,"Feb",'Data - Monthly Metrics'!C:C,"North King",'Data - Monthly Metrics'!D:D,"Non-Target Locations - Lodging (#)"))=0,"-",(SUMIFS('Data - Monthly Metrics'!E:E,'Data - Monthly Metrics'!A:A,$B$4,'Data - Monthly Metrics'!B:B,"Feb",'Data - Monthly Metrics'!C:C,"North King",'Data - Monthly Metrics'!D:D,"Target Members - Lodging (#)")+SUMIFS('Data - Monthly Metrics'!E:E,'Data - Monthly Metrics'!A:A,$B$4,'Data - Monthly Metrics'!B:B,"Feb",'Data - Monthly Metrics'!C:C,"North King",'Data - Monthly Metrics'!D:D,"Non-Target Members - Lodging (#)"))/(SUMIFS('Data - Monthly Metrics'!E:E,'Data - Monthly Metrics'!A:A,$B$4,'Data - Monthly Metrics'!B:B,"Feb",'Data - Monthly Metrics'!C:C,"North King",'Data - Monthly Metrics'!D:D,"Total Target Locations - Lodging (#)")+SUMIFS('Data - Monthly Metrics'!E:E,'Data - Monthly Metrics'!A:A,$B$4,'Data - Monthly Metrics'!B:B,"Feb",'Data - Monthly Metrics'!C:C,"North King",'Data - Monthly Metrics'!D:D,"Non-Target Locations - Lodging (#)")))</f>
        <v/>
      </c>
      <c r="H30" s="118">
        <f>IF((SUMIFS('Data - Monthly Metrics'!E:E,'Data - Monthly Metrics'!A:A,$B$4,'Data - Monthly Metrics'!B:B,"Mar",'Data - Monthly Metrics'!C:C,"North King",'Data - Monthly Metrics'!D:D,"Total Target Locations - Lodging (#)")+SUMIFS('Data - Monthly Metrics'!E:E,'Data - Monthly Metrics'!A:A,$B$4,'Data - Monthly Metrics'!B:B,"Mar",'Data - Monthly Metrics'!C:C,"North King",'Data - Monthly Metrics'!D:D,"Non-Target Locations - Lodging (#)"))=0,"-",(SUMIFS('Data - Monthly Metrics'!E:E,'Data - Monthly Metrics'!A:A,$B$4,'Data - Monthly Metrics'!B:B,"Mar",'Data - Monthly Metrics'!C:C,"North King",'Data - Monthly Metrics'!D:D,"Target Members - Lodging (#)")+SUMIFS('Data - Monthly Metrics'!E:E,'Data - Monthly Metrics'!A:A,$B$4,'Data - Monthly Metrics'!B:B,"Mar",'Data - Monthly Metrics'!C:C,"North King",'Data - Monthly Metrics'!D:D,"Non-Target Members - Lodging (#)"))/(SUMIFS('Data - Monthly Metrics'!E:E,'Data - Monthly Metrics'!A:A,$B$4,'Data - Monthly Metrics'!B:B,"Mar",'Data - Monthly Metrics'!C:C,"North King",'Data - Monthly Metrics'!D:D,"Total Target Locations - Lodging (#)")+SUMIFS('Data - Monthly Metrics'!E:E,'Data - Monthly Metrics'!A:A,$B$4,'Data - Monthly Metrics'!B:B,"Mar",'Data - Monthly Metrics'!C:C,"North King",'Data - Monthly Metrics'!D:D,"Non-Target Locations - Lodging (#)")))</f>
        <v/>
      </c>
      <c r="I30" s="116">
        <f>IF(ISNUMBER(H30),H30,IF(ISNUMBER(G30),G30,IF(ISNUMBER(F30),F30,"-")))</f>
        <v/>
      </c>
      <c r="J30" s="118">
        <f>IF((SUMIFS('Data - Monthly Metrics'!E:E,'Data - Monthly Metrics'!A:A,$B$4,'Data - Monthly Metrics'!B:B,"Apr",'Data - Monthly Metrics'!C:C,"North King",'Data - Monthly Metrics'!D:D,"Total Target Locations - Lodging (#)")+SUMIFS('Data - Monthly Metrics'!E:E,'Data - Monthly Metrics'!A:A,$B$4,'Data - Monthly Metrics'!B:B,"Apr",'Data - Monthly Metrics'!C:C,"North King",'Data - Monthly Metrics'!D:D,"Non-Target Locations - Lodging (#)"))=0,"-",(SUMIFS('Data - Monthly Metrics'!E:E,'Data - Monthly Metrics'!A:A,$B$4,'Data - Monthly Metrics'!B:B,"Apr",'Data - Monthly Metrics'!C:C,"North King",'Data - Monthly Metrics'!D:D,"Target Members - Lodging (#)")+SUMIFS('Data - Monthly Metrics'!E:E,'Data - Monthly Metrics'!A:A,$B$4,'Data - Monthly Metrics'!B:B,"Apr",'Data - Monthly Metrics'!C:C,"North King",'Data - Monthly Metrics'!D:D,"Non-Target Members - Lodging (#)"))/(SUMIFS('Data - Monthly Metrics'!E:E,'Data - Monthly Metrics'!A:A,$B$4,'Data - Monthly Metrics'!B:B,"Apr",'Data - Monthly Metrics'!C:C,"North King",'Data - Monthly Metrics'!D:D,"Total Target Locations - Lodging (#)")+SUMIFS('Data - Monthly Metrics'!E:E,'Data - Monthly Metrics'!A:A,$B$4,'Data - Monthly Metrics'!B:B,"Apr",'Data - Monthly Metrics'!C:C,"North King",'Data - Monthly Metrics'!D:D,"Non-Target Locations - Lodging (#)")))</f>
        <v/>
      </c>
      <c r="K30" s="118">
        <f>IF((SUMIFS('Data - Monthly Metrics'!E:E,'Data - Monthly Metrics'!A:A,$B$4,'Data - Monthly Metrics'!B:B,"May",'Data - Monthly Metrics'!C:C,"North King",'Data - Monthly Metrics'!D:D,"Total Target Locations - Lodging (#)")+SUMIFS('Data - Monthly Metrics'!E:E,'Data - Monthly Metrics'!A:A,$B$4,'Data - Monthly Metrics'!B:B,"May",'Data - Monthly Metrics'!C:C,"North King",'Data - Monthly Metrics'!D:D,"Non-Target Locations - Lodging (#)"))=0,"-",(SUMIFS('Data - Monthly Metrics'!E:E,'Data - Monthly Metrics'!A:A,$B$4,'Data - Monthly Metrics'!B:B,"May",'Data - Monthly Metrics'!C:C,"North King",'Data - Monthly Metrics'!D:D,"Target Members - Lodging (#)")+SUMIFS('Data - Monthly Metrics'!E:E,'Data - Monthly Metrics'!A:A,$B$4,'Data - Monthly Metrics'!B:B,"May",'Data - Monthly Metrics'!C:C,"North King",'Data - Monthly Metrics'!D:D,"Non-Target Members - Lodging (#)"))/(SUMIFS('Data - Monthly Metrics'!E:E,'Data - Monthly Metrics'!A:A,$B$4,'Data - Monthly Metrics'!B:B,"May",'Data - Monthly Metrics'!C:C,"North King",'Data - Monthly Metrics'!D:D,"Total Target Locations - Lodging (#)")+SUMIFS('Data - Monthly Metrics'!E:E,'Data - Monthly Metrics'!A:A,$B$4,'Data - Monthly Metrics'!B:B,"May",'Data - Monthly Metrics'!C:C,"North King",'Data - Monthly Metrics'!D:D,"Non-Target Locations - Lodging (#)")))</f>
        <v/>
      </c>
      <c r="L30" s="118">
        <f>IF((SUMIFS('Data - Monthly Metrics'!E:E,'Data - Monthly Metrics'!A:A,$B$4,'Data - Monthly Metrics'!B:B,"Jun",'Data - Monthly Metrics'!C:C,"North King",'Data - Monthly Metrics'!D:D,"Total Target Locations - Lodging (#)")+SUMIFS('Data - Monthly Metrics'!E:E,'Data - Monthly Metrics'!A:A,$B$4,'Data - Monthly Metrics'!B:B,"Jun",'Data - Monthly Metrics'!C:C,"North King",'Data - Monthly Metrics'!D:D,"Non-Target Locations - Lodging (#)"))=0,"-",(SUMIFS('Data - Monthly Metrics'!E:E,'Data - Monthly Metrics'!A:A,$B$4,'Data - Monthly Metrics'!B:B,"Jun",'Data - Monthly Metrics'!C:C,"North King",'Data - Monthly Metrics'!D:D,"Target Members - Lodging (#)")+SUMIFS('Data - Monthly Metrics'!E:E,'Data - Monthly Metrics'!A:A,$B$4,'Data - Monthly Metrics'!B:B,"Jun",'Data - Monthly Metrics'!C:C,"North King",'Data - Monthly Metrics'!D:D,"Non-Target Members - Lodging (#)"))/(SUMIFS('Data - Monthly Metrics'!E:E,'Data - Monthly Metrics'!A:A,$B$4,'Data - Monthly Metrics'!B:B,"Jun",'Data - Monthly Metrics'!C:C,"North King",'Data - Monthly Metrics'!D:D,"Total Target Locations - Lodging (#)")+SUMIFS('Data - Monthly Metrics'!E:E,'Data - Monthly Metrics'!A:A,$B$4,'Data - Monthly Metrics'!B:B,"Jun",'Data - Monthly Metrics'!C:C,"North King",'Data - Monthly Metrics'!D:D,"Non-Target Locations - Lodging (#)")))</f>
        <v/>
      </c>
      <c r="M30" s="116">
        <f>IF(ISNUMBER(L30),L30,IF(ISNUMBER(K30),K30,IF(ISNUMBER(J30),J30,"-")))</f>
        <v/>
      </c>
      <c r="N30" s="118">
        <f>IF((SUMIFS('Data - Monthly Metrics'!E:E,'Data - Monthly Metrics'!A:A,$B$4,'Data - Monthly Metrics'!B:B,"Jul",'Data - Monthly Metrics'!C:C,"North King",'Data - Monthly Metrics'!D:D,"Total Target Locations - Lodging (#)")+SUMIFS('Data - Monthly Metrics'!E:E,'Data - Monthly Metrics'!A:A,$B$4,'Data - Monthly Metrics'!B:B,"Jul",'Data - Monthly Metrics'!C:C,"North King",'Data - Monthly Metrics'!D:D,"Non-Target Locations - Lodging (#)"))=0,"-",(SUMIFS('Data - Monthly Metrics'!E:E,'Data - Monthly Metrics'!A:A,$B$4,'Data - Monthly Metrics'!B:B,"Jul",'Data - Monthly Metrics'!C:C,"North King",'Data - Monthly Metrics'!D:D,"Target Members - Lodging (#)")+SUMIFS('Data - Monthly Metrics'!E:E,'Data - Monthly Metrics'!A:A,$B$4,'Data - Monthly Metrics'!B:B,"Jul",'Data - Monthly Metrics'!C:C,"North King",'Data - Monthly Metrics'!D:D,"Non-Target Members - Lodging (#)"))/(SUMIFS('Data - Monthly Metrics'!E:E,'Data - Monthly Metrics'!A:A,$B$4,'Data - Monthly Metrics'!B:B,"Jul",'Data - Monthly Metrics'!C:C,"North King",'Data - Monthly Metrics'!D:D,"Total Target Locations - Lodging (#)")+SUMIFS('Data - Monthly Metrics'!E:E,'Data - Monthly Metrics'!A:A,$B$4,'Data - Monthly Metrics'!B:B,"Jul",'Data - Monthly Metrics'!C:C,"North King",'Data - Monthly Metrics'!D:D,"Non-Target Locations - Lodging (#)")))</f>
        <v/>
      </c>
      <c r="O30" s="118">
        <f>IF((SUMIFS('Data - Monthly Metrics'!E:E,'Data - Monthly Metrics'!A:A,$B$4,'Data - Monthly Metrics'!B:B,"Aug",'Data - Monthly Metrics'!C:C,"North King",'Data - Monthly Metrics'!D:D,"Total Target Locations - Lodging (#)")+SUMIFS('Data - Monthly Metrics'!E:E,'Data - Monthly Metrics'!A:A,$B$4,'Data - Monthly Metrics'!B:B,"Aug",'Data - Monthly Metrics'!C:C,"North King",'Data - Monthly Metrics'!D:D,"Non-Target Locations - Lodging (#)"))=0,"-",(SUMIFS('Data - Monthly Metrics'!E:E,'Data - Monthly Metrics'!A:A,$B$4,'Data - Monthly Metrics'!B:B,"Aug",'Data - Monthly Metrics'!C:C,"North King",'Data - Monthly Metrics'!D:D,"Target Members - Lodging (#)")+SUMIFS('Data - Monthly Metrics'!E:E,'Data - Monthly Metrics'!A:A,$B$4,'Data - Monthly Metrics'!B:B,"Aug",'Data - Monthly Metrics'!C:C,"North King",'Data - Monthly Metrics'!D:D,"Non-Target Members - Lodging (#)"))/(SUMIFS('Data - Monthly Metrics'!E:E,'Data - Monthly Metrics'!A:A,$B$4,'Data - Monthly Metrics'!B:B,"Aug",'Data - Monthly Metrics'!C:C,"North King",'Data - Monthly Metrics'!D:D,"Total Target Locations - Lodging (#)")+SUMIFS('Data - Monthly Metrics'!E:E,'Data - Monthly Metrics'!A:A,$B$4,'Data - Monthly Metrics'!B:B,"Aug",'Data - Monthly Metrics'!C:C,"North King",'Data - Monthly Metrics'!D:D,"Non-Target Locations - Lodging (#)")))</f>
        <v/>
      </c>
      <c r="P30" s="118">
        <f>IF((SUMIFS('Data - Monthly Metrics'!E:E,'Data - Monthly Metrics'!A:A,$B$4,'Data - Monthly Metrics'!B:B,"Sep",'Data - Monthly Metrics'!C:C,"North King",'Data - Monthly Metrics'!D:D,"Total Target Locations - Lodging (#)")+SUMIFS('Data - Monthly Metrics'!E:E,'Data - Monthly Metrics'!A:A,$B$4,'Data - Monthly Metrics'!B:B,"Sep",'Data - Monthly Metrics'!C:C,"North King",'Data - Monthly Metrics'!D:D,"Non-Target Locations - Lodging (#)"))=0,"-",(SUMIFS('Data - Monthly Metrics'!E:E,'Data - Monthly Metrics'!A:A,$B$4,'Data - Monthly Metrics'!B:B,"Sep",'Data - Monthly Metrics'!C:C,"North King",'Data - Monthly Metrics'!D:D,"Target Members - Lodging (#)")+SUMIFS('Data - Monthly Metrics'!E:E,'Data - Monthly Metrics'!A:A,$B$4,'Data - Monthly Metrics'!B:B,"Sep",'Data - Monthly Metrics'!C:C,"North King",'Data - Monthly Metrics'!D:D,"Non-Target Members - Lodging (#)"))/(SUMIFS('Data - Monthly Metrics'!E:E,'Data - Monthly Metrics'!A:A,$B$4,'Data - Monthly Metrics'!B:B,"Sep",'Data - Monthly Metrics'!C:C,"North King",'Data - Monthly Metrics'!D:D,"Total Target Locations - Lodging (#)")+SUMIFS('Data - Monthly Metrics'!E:E,'Data - Monthly Metrics'!A:A,$B$4,'Data - Monthly Metrics'!B:B,"Sep",'Data - Monthly Metrics'!C:C,"North King",'Data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Metrics'!C:C,"North King",'Data - Monthly Metrics'!D:D,"Total Target Locations - Restaurant (#)")+SUMIFS('Data - Monthly Metrics'!E:E,'Data - Monthly Metrics'!A:A,$B$4-1,'Data - Monthly Metrics'!B:B,"Oct",'Data - Monthly Metrics'!C:C,"North King",'Data - Monthly Metrics'!D:D,"Total Target Locations - Lodging (#)")+SUMIFS('Data - Monthly Metrics'!E:E,'Data - Monthly Metrics'!A:A,$B$4-1,'Data - Monthly Metrics'!B:B,"Oct",'Data - Monthly Metrics'!C:C,"North King",'Data - Monthly Metrics'!D:D,"Non-Target Locations - Restaurant (#)")+SUMIFS('Data - Monthly Metrics'!E:E,'Data - Monthly Metrics'!A:A,$B$4-1,'Data - Monthly Metrics'!B:B,"Oct",'Data - Monthly Metrics'!C:C,"North King",'Data - Monthly Metrics'!D:D,"Non-Target Locations - Lodging (#)"))=0,"-",(SUMIFS('Data - Monthly Metrics'!E:E,'Data - Monthly Metrics'!A:A,$B$4-1,'Data - Monthly Metrics'!B:B,"Oct",'Data - Monthly Metrics'!C:C,"North King",'Data - Monthly Metrics'!D:D,"Target Members - Restaurant (#)")+SUMIFS('Data - Monthly Metrics'!E:E,'Data - Monthly Metrics'!A:A,$B$4-1,'Data - Monthly Metrics'!B:B,"Oct",'Data - Monthly Metrics'!C:C,"North King",'Data - Monthly Metrics'!D:D,"Target Members - Lodging (#)")+SUMIFS('Data - Monthly Metrics'!E:E,'Data - Monthly Metrics'!A:A,$B$4-1,'Data - Monthly Metrics'!B:B,"Oct",'Data - Monthly Metrics'!C:C,"North King",'Data - Monthly Metrics'!D:D,"Non-Target Members - Restaurant (#)")+SUMIFS('Data - Monthly Metrics'!E:E,'Data - Monthly Metrics'!A:A,$B$4-1,'Data - Monthly Metrics'!B:B,"Oct",'Data - Monthly Metrics'!C:C,"North King",'Data - Monthly Metrics'!D:D,"Non-Target Members - Lodging (#)"))/(SUMIFS('Data - Monthly Metrics'!E:E,'Data - Monthly Metrics'!A:A,$B$4-1,'Data - Monthly Metrics'!B:B,"Oct",'Data - Monthly Metrics'!C:C,"North King",'Data - Monthly Metrics'!D:D,"Total Target Locations - Restaurant (#)")+SUMIFS('Data - Monthly Metrics'!E:E,'Data - Monthly Metrics'!A:A,$B$4-1,'Data - Monthly Metrics'!B:B,"Oct",'Data - Monthly Metrics'!C:C,"North King",'Data - Monthly Metrics'!D:D,"Total Target Locations - Lodging (#)")+SUMIFS('Data - Monthly Metrics'!E:E,'Data - Monthly Metrics'!A:A,$B$4-1,'Data - Monthly Metrics'!B:B,"Oct",'Data - Monthly Metrics'!C:C,"North King",'Data - Monthly Metrics'!D:D,"Non-Target Locations - Restaurant (#)")+SUMIFS('Data - Monthly Metrics'!E:E,'Data - Monthly Metrics'!A:A,$B$4-1,'Data - Monthly Metrics'!B:B,"Oct",'Data - Monthly Metrics'!C:C,"North King",'Data - Monthly Metrics'!D:D,"Non-Target Locations - Lodging (#)")))</f>
        <v/>
      </c>
      <c r="C31" s="115">
        <f>IF((SUMIFS('Data - Monthly Metrics'!E:E,'Data - Monthly Metrics'!A:A,$B$4-1,'Data - Monthly Metrics'!B:B,"Nov",'Data - Monthly Metrics'!C:C,"North King",'Data - Monthly Metrics'!D:D,"Total Target Locations - Restaurant (#)")+SUMIFS('Data - Monthly Metrics'!E:E,'Data - Monthly Metrics'!A:A,$B$4-1,'Data - Monthly Metrics'!B:B,"Nov",'Data - Monthly Metrics'!C:C,"North King",'Data - Monthly Metrics'!D:D,"Total Target Locations - Lodging (#)")+SUMIFS('Data - Monthly Metrics'!E:E,'Data - Monthly Metrics'!A:A,$B$4-1,'Data - Monthly Metrics'!B:B,"Nov",'Data - Monthly Metrics'!C:C,"North King",'Data - Monthly Metrics'!D:D,"Non-Target Locations - Restaurant (#)")+SUMIFS('Data - Monthly Metrics'!E:E,'Data - Monthly Metrics'!A:A,$B$4-1,'Data - Monthly Metrics'!B:B,"Nov",'Data - Monthly Metrics'!C:C,"North King",'Data - Monthly Metrics'!D:D,"Non-Target Locations - Lodging (#)"))=0,"-",(SUMIFS('Data - Monthly Metrics'!E:E,'Data - Monthly Metrics'!A:A,$B$4-1,'Data - Monthly Metrics'!B:B,"Nov",'Data - Monthly Metrics'!C:C,"North King",'Data - Monthly Metrics'!D:D,"Target Members - Restaurant (#)")+SUMIFS('Data - Monthly Metrics'!E:E,'Data - Monthly Metrics'!A:A,$B$4-1,'Data - Monthly Metrics'!B:B,"Nov",'Data - Monthly Metrics'!C:C,"North King",'Data - Monthly Metrics'!D:D,"Target Members - Lodging (#)")+SUMIFS('Data - Monthly Metrics'!E:E,'Data - Monthly Metrics'!A:A,$B$4-1,'Data - Monthly Metrics'!B:B,"Nov",'Data - Monthly Metrics'!C:C,"North King",'Data - Monthly Metrics'!D:D,"Non-Target Members - Restaurant (#)")+SUMIFS('Data - Monthly Metrics'!E:E,'Data - Monthly Metrics'!A:A,$B$4-1,'Data - Monthly Metrics'!B:B,"Nov",'Data - Monthly Metrics'!C:C,"North King",'Data - Monthly Metrics'!D:D,"Non-Target Members - Lodging (#)"))/(SUMIFS('Data - Monthly Metrics'!E:E,'Data - Monthly Metrics'!A:A,$B$4-1,'Data - Monthly Metrics'!B:B,"Nov",'Data - Monthly Metrics'!C:C,"North King",'Data - Monthly Metrics'!D:D,"Total Target Locations - Restaurant (#)")+SUMIFS('Data - Monthly Metrics'!E:E,'Data - Monthly Metrics'!A:A,$B$4-1,'Data - Monthly Metrics'!B:B,"Nov",'Data - Monthly Metrics'!C:C,"North King",'Data - Monthly Metrics'!D:D,"Total Target Locations - Lodging (#)")+SUMIFS('Data - Monthly Metrics'!E:E,'Data - Monthly Metrics'!A:A,$B$4-1,'Data - Monthly Metrics'!B:B,"Nov",'Data - Monthly Metrics'!C:C,"North King",'Data - Monthly Metrics'!D:D,"Non-Target Locations - Restaurant (#)")+SUMIFS('Data - Monthly Metrics'!E:E,'Data - Monthly Metrics'!A:A,$B$4-1,'Data - Monthly Metrics'!B:B,"Nov",'Data - Monthly Metrics'!C:C,"North King",'Data - Monthly Metrics'!D:D,"Non-Target Locations - Lodging (#)")))</f>
        <v/>
      </c>
      <c r="D31" s="115">
        <f>IF((SUMIFS('Data - Monthly Metrics'!E:E,'Data - Monthly Metrics'!A:A,$B$4-1,'Data - Monthly Metrics'!B:B,"Dec",'Data - Monthly Metrics'!C:C,"North King",'Data - Monthly Metrics'!D:D,"Total Target Locations - Restaurant (#)")+SUMIFS('Data - Monthly Metrics'!E:E,'Data - Monthly Metrics'!A:A,$B$4-1,'Data - Monthly Metrics'!B:B,"Dec",'Data - Monthly Metrics'!C:C,"North King",'Data - Monthly Metrics'!D:D,"Total Target Locations - Lodging (#)")+SUMIFS('Data - Monthly Metrics'!E:E,'Data - Monthly Metrics'!A:A,$B$4-1,'Data - Monthly Metrics'!B:B,"Dec",'Data - Monthly Metrics'!C:C,"North King",'Data - Monthly Metrics'!D:D,"Non-Target Locations - Restaurant (#)")+SUMIFS('Data - Monthly Metrics'!E:E,'Data - Monthly Metrics'!A:A,$B$4-1,'Data - Monthly Metrics'!B:B,"Dec",'Data - Monthly Metrics'!C:C,"North King",'Data - Monthly Metrics'!D:D,"Non-Target Locations - Lodging (#)"))=0,"-",(SUMIFS('Data - Monthly Metrics'!E:E,'Data - Monthly Metrics'!A:A,$B$4-1,'Data - Monthly Metrics'!B:B,"Dec",'Data - Monthly Metrics'!C:C,"North King",'Data - Monthly Metrics'!D:D,"Target Members - Restaurant (#)")+SUMIFS('Data - Monthly Metrics'!E:E,'Data - Monthly Metrics'!A:A,$B$4-1,'Data - Monthly Metrics'!B:B,"Dec",'Data - Monthly Metrics'!C:C,"North King",'Data - Monthly Metrics'!D:D,"Target Members - Lodging (#)")+SUMIFS('Data - Monthly Metrics'!E:E,'Data - Monthly Metrics'!A:A,$B$4-1,'Data - Monthly Metrics'!B:B,"Dec",'Data - Monthly Metrics'!C:C,"North King",'Data - Monthly Metrics'!D:D,"Non-Target Members - Restaurant (#)")+SUMIFS('Data - Monthly Metrics'!E:E,'Data - Monthly Metrics'!A:A,$B$4-1,'Data - Monthly Metrics'!B:B,"Dec",'Data - Monthly Metrics'!C:C,"North King",'Data - Monthly Metrics'!D:D,"Non-Target Members - Lodging (#)"))/(SUMIFS('Data - Monthly Metrics'!E:E,'Data - Monthly Metrics'!A:A,$B$4-1,'Data - Monthly Metrics'!B:B,"Dec",'Data - Monthly Metrics'!C:C,"North King",'Data - Monthly Metrics'!D:D,"Total Target Locations - Restaurant (#)")+SUMIFS('Data - Monthly Metrics'!E:E,'Data - Monthly Metrics'!A:A,$B$4-1,'Data - Monthly Metrics'!B:B,"Dec",'Data - Monthly Metrics'!C:C,"North King",'Data - Monthly Metrics'!D:D,"Total Target Locations - Lodging (#)")+SUMIFS('Data - Monthly Metrics'!E:E,'Data - Monthly Metrics'!A:A,$B$4-1,'Data - Monthly Metrics'!B:B,"Dec",'Data - Monthly Metrics'!C:C,"North King",'Data - Monthly Metrics'!D:D,"Non-Target Locations - Restaurant (#)")+SUMIFS('Data - Monthly Metrics'!E:E,'Data - Monthly Metrics'!A:A,$B$4-1,'Data - Monthly Metrics'!B:B,"Dec",'Data - Monthly Metrics'!C:C,"North King",'Data - Monthly Metrics'!D:D,"Non-Target Locations - Lodging (#)")))</f>
        <v/>
      </c>
      <c r="E31" s="116">
        <f>IF(ISNUMBER(D31),D31,IF(ISNUMBER(C31),C31,IF(ISNUMBER(B31),B31,"-")))</f>
        <v/>
      </c>
      <c r="F31" s="115">
        <f>IF((SUMIFS('Data - Monthly Metrics'!E:E,'Data - Monthly Metrics'!A:A,$B$4,'Data - Monthly Metrics'!B:B,"Jan",'Data - Monthly Metrics'!C:C,"North King",'Data - Monthly Metrics'!D:D,"Total Target Locations - Restaurant (#)")+SUMIFS('Data - Monthly Metrics'!E:E,'Data - Monthly Metrics'!A:A,$B$4,'Data - Monthly Metrics'!B:B,"Jan",'Data - Monthly Metrics'!C:C,"North King",'Data - Monthly Metrics'!D:D,"Total Target Locations - Lodging (#)")+SUMIFS('Data - Monthly Metrics'!E:E,'Data - Monthly Metrics'!A:A,$B$4,'Data - Monthly Metrics'!B:B,"Jan",'Data - Monthly Metrics'!C:C,"North King",'Data - Monthly Metrics'!D:D,"Non-Target Locations - Restaurant (#)")+SUMIFS('Data - Monthly Metrics'!E:E,'Data - Monthly Metrics'!A:A,$B$4,'Data - Monthly Metrics'!B:B,"Jan",'Data - Monthly Metrics'!C:C,"North King",'Data - Monthly Metrics'!D:D,"Non-Target Locations - Lodging (#)"))=0,"-",(SUMIFS('Data - Monthly Metrics'!E:E,'Data - Monthly Metrics'!A:A,$B$4,'Data - Monthly Metrics'!B:B,"Jan",'Data - Monthly Metrics'!C:C,"North King",'Data - Monthly Metrics'!D:D,"Target Members - Restaurant (#)")+SUMIFS('Data - Monthly Metrics'!E:E,'Data - Monthly Metrics'!A:A,$B$4,'Data - Monthly Metrics'!B:B,"Jan",'Data - Monthly Metrics'!C:C,"North King",'Data - Monthly Metrics'!D:D,"Target Members - Lodging (#)")+SUMIFS('Data - Monthly Metrics'!E:E,'Data - Monthly Metrics'!A:A,$B$4,'Data - Monthly Metrics'!B:B,"Jan",'Data - Monthly Metrics'!C:C,"North King",'Data - Monthly Metrics'!D:D,"Non-Target Members - Restaurant (#)")+SUMIFS('Data - Monthly Metrics'!E:E,'Data - Monthly Metrics'!A:A,$B$4,'Data - Monthly Metrics'!B:B,"Jan",'Data - Monthly Metrics'!C:C,"North King",'Data - Monthly Metrics'!D:D,"Non-Target Members - Lodging (#)"))/(SUMIFS('Data - Monthly Metrics'!E:E,'Data - Monthly Metrics'!A:A,$B$4,'Data - Monthly Metrics'!B:B,"Jan",'Data - Monthly Metrics'!C:C,"North King",'Data - Monthly Metrics'!D:D,"Total Target Locations - Restaurant (#)")+SUMIFS('Data - Monthly Metrics'!E:E,'Data - Monthly Metrics'!A:A,$B$4,'Data - Monthly Metrics'!B:B,"Jan",'Data - Monthly Metrics'!C:C,"North King",'Data - Monthly Metrics'!D:D,"Total Target Locations - Lodging (#)")+SUMIFS('Data - Monthly Metrics'!E:E,'Data - Monthly Metrics'!A:A,$B$4,'Data - Monthly Metrics'!B:B,"Jan",'Data - Monthly Metrics'!C:C,"North King",'Data - Monthly Metrics'!D:D,"Non-Target Locations - Restaurant (#)")+SUMIFS('Data - Monthly Metrics'!E:E,'Data - Monthly Metrics'!A:A,$B$4,'Data - Monthly Metrics'!B:B,"Jan",'Data - Monthly Metrics'!C:C,"North King",'Data - Monthly Metrics'!D:D,"Non-Target Locations - Lodging (#)")))</f>
        <v/>
      </c>
      <c r="G31" s="115">
        <f>IF((SUMIFS('Data - Monthly Metrics'!E:E,'Data - Monthly Metrics'!A:A,$B$4,'Data - Monthly Metrics'!B:B,"Feb",'Data - Monthly Metrics'!C:C,"North King",'Data - Monthly Metrics'!D:D,"Total Target Locations - Restaurant (#)")+SUMIFS('Data - Monthly Metrics'!E:E,'Data - Monthly Metrics'!A:A,$B$4,'Data - Monthly Metrics'!B:B,"Feb",'Data - Monthly Metrics'!C:C,"North King",'Data - Monthly Metrics'!D:D,"Total Target Locations - Lodging (#)")+SUMIFS('Data - Monthly Metrics'!E:E,'Data - Monthly Metrics'!A:A,$B$4,'Data - Monthly Metrics'!B:B,"Feb",'Data - Monthly Metrics'!C:C,"North King",'Data - Monthly Metrics'!D:D,"Non-Target Locations - Restaurant (#)")+SUMIFS('Data - Monthly Metrics'!E:E,'Data - Monthly Metrics'!A:A,$B$4,'Data - Monthly Metrics'!B:B,"Feb",'Data - Monthly Metrics'!C:C,"North King",'Data - Monthly Metrics'!D:D,"Non-Target Locations - Lodging (#)"))=0,"-",(SUMIFS('Data - Monthly Metrics'!E:E,'Data - Monthly Metrics'!A:A,$B$4,'Data - Monthly Metrics'!B:B,"Feb",'Data - Monthly Metrics'!C:C,"North King",'Data - Monthly Metrics'!D:D,"Target Members - Restaurant (#)")+SUMIFS('Data - Monthly Metrics'!E:E,'Data - Monthly Metrics'!A:A,$B$4,'Data - Monthly Metrics'!B:B,"Feb",'Data - Monthly Metrics'!C:C,"North King",'Data - Monthly Metrics'!D:D,"Target Members - Lodging (#)")+SUMIFS('Data - Monthly Metrics'!E:E,'Data - Monthly Metrics'!A:A,$B$4,'Data - Monthly Metrics'!B:B,"Feb",'Data - Monthly Metrics'!C:C,"North King",'Data - Monthly Metrics'!D:D,"Non-Target Members - Restaurant (#)")+SUMIFS('Data - Monthly Metrics'!E:E,'Data - Monthly Metrics'!A:A,$B$4,'Data - Monthly Metrics'!B:B,"Feb",'Data - Monthly Metrics'!C:C,"North King",'Data - Monthly Metrics'!D:D,"Non-Target Members - Lodging (#)"))/(SUMIFS('Data - Monthly Metrics'!E:E,'Data - Monthly Metrics'!A:A,$B$4,'Data - Monthly Metrics'!B:B,"Feb",'Data - Monthly Metrics'!C:C,"North King",'Data - Monthly Metrics'!D:D,"Total Target Locations - Restaurant (#)")+SUMIFS('Data - Monthly Metrics'!E:E,'Data - Monthly Metrics'!A:A,$B$4,'Data - Monthly Metrics'!B:B,"Feb",'Data - Monthly Metrics'!C:C,"North King",'Data - Monthly Metrics'!D:D,"Total Target Locations - Lodging (#)")+SUMIFS('Data - Monthly Metrics'!E:E,'Data - Monthly Metrics'!A:A,$B$4,'Data - Monthly Metrics'!B:B,"Feb",'Data - Monthly Metrics'!C:C,"North King",'Data - Monthly Metrics'!D:D,"Non-Target Locations - Restaurant (#)")+SUMIFS('Data - Monthly Metrics'!E:E,'Data - Monthly Metrics'!A:A,$B$4,'Data - Monthly Metrics'!B:B,"Feb",'Data - Monthly Metrics'!C:C,"North King",'Data - Monthly Metrics'!D:D,"Non-Target Locations - Lodging (#)")))</f>
        <v/>
      </c>
      <c r="H31" s="115">
        <f>IF((SUMIFS('Data - Monthly Metrics'!E:E,'Data - Monthly Metrics'!A:A,$B$4,'Data - Monthly Metrics'!B:B,"Mar",'Data - Monthly Metrics'!C:C,"North King",'Data - Monthly Metrics'!D:D,"Total Target Locations - Restaurant (#)")+SUMIFS('Data - Monthly Metrics'!E:E,'Data - Monthly Metrics'!A:A,$B$4,'Data - Monthly Metrics'!B:B,"Mar",'Data - Monthly Metrics'!C:C,"North King",'Data - Monthly Metrics'!D:D,"Total Target Locations - Lodging (#)")+SUMIFS('Data - Monthly Metrics'!E:E,'Data - Monthly Metrics'!A:A,$B$4,'Data - Monthly Metrics'!B:B,"Mar",'Data - Monthly Metrics'!C:C,"North King",'Data - Monthly Metrics'!D:D,"Non-Target Locations - Restaurant (#)")+SUMIFS('Data - Monthly Metrics'!E:E,'Data - Monthly Metrics'!A:A,$B$4,'Data - Monthly Metrics'!B:B,"Mar",'Data - Monthly Metrics'!C:C,"North King",'Data - Monthly Metrics'!D:D,"Non-Target Locations - Lodging (#)"))=0,"-",(SUMIFS('Data - Monthly Metrics'!E:E,'Data - Monthly Metrics'!A:A,$B$4,'Data - Monthly Metrics'!B:B,"Mar",'Data - Monthly Metrics'!C:C,"North King",'Data - Monthly Metrics'!D:D,"Target Members - Restaurant (#)")+SUMIFS('Data - Monthly Metrics'!E:E,'Data - Monthly Metrics'!A:A,$B$4,'Data - Monthly Metrics'!B:B,"Mar",'Data - Monthly Metrics'!C:C,"North King",'Data - Monthly Metrics'!D:D,"Target Members - Lodging (#)")+SUMIFS('Data - Monthly Metrics'!E:E,'Data - Monthly Metrics'!A:A,$B$4,'Data - Monthly Metrics'!B:B,"Mar",'Data - Monthly Metrics'!C:C,"North King",'Data - Monthly Metrics'!D:D,"Non-Target Members - Restaurant (#)")+SUMIFS('Data - Monthly Metrics'!E:E,'Data - Monthly Metrics'!A:A,$B$4,'Data - Monthly Metrics'!B:B,"Mar",'Data - Monthly Metrics'!C:C,"North King",'Data - Monthly Metrics'!D:D,"Non-Target Members - Lodging (#)"))/(SUMIFS('Data - Monthly Metrics'!E:E,'Data - Monthly Metrics'!A:A,$B$4,'Data - Monthly Metrics'!B:B,"Mar",'Data - Monthly Metrics'!C:C,"North King",'Data - Monthly Metrics'!D:D,"Total Target Locations - Restaurant (#)")+SUMIFS('Data - Monthly Metrics'!E:E,'Data - Monthly Metrics'!A:A,$B$4,'Data - Monthly Metrics'!B:B,"Mar",'Data - Monthly Metrics'!C:C,"North King",'Data - Monthly Metrics'!D:D,"Total Target Locations - Lodging (#)")+SUMIFS('Data - Monthly Metrics'!E:E,'Data - Monthly Metrics'!A:A,$B$4,'Data - Monthly Metrics'!B:B,"Mar",'Data - Monthly Metrics'!C:C,"North King",'Data - Monthly Metrics'!D:D,"Non-Target Locations - Restaurant (#)")+SUMIFS('Data - Monthly Metrics'!E:E,'Data - Monthly Metrics'!A:A,$B$4,'Data - Monthly Metrics'!B:B,"Mar",'Data - Monthly Metrics'!C:C,"North King",'Data - Monthly Metrics'!D:D,"Non-Target Locations - Lodging (#)")))</f>
        <v/>
      </c>
      <c r="I31" s="116">
        <f>IF(ISNUMBER(H31),H31,IF(ISNUMBER(G31),G31,IF(ISNUMBER(F31),F31,"-")))</f>
        <v/>
      </c>
      <c r="J31" s="115">
        <f>IF((SUMIFS('Data - Monthly Metrics'!E:E,'Data - Monthly Metrics'!A:A,$B$4,'Data - Monthly Metrics'!B:B,"Apr",'Data - Monthly Metrics'!C:C,"North King",'Data - Monthly Metrics'!D:D,"Total Target Locations - Restaurant (#)")+SUMIFS('Data - Monthly Metrics'!E:E,'Data - Monthly Metrics'!A:A,$B$4,'Data - Monthly Metrics'!B:B,"Apr",'Data - Monthly Metrics'!C:C,"North King",'Data - Monthly Metrics'!D:D,"Total Target Locations - Lodging (#)")+SUMIFS('Data - Monthly Metrics'!E:E,'Data - Monthly Metrics'!A:A,$B$4,'Data - Monthly Metrics'!B:B,"Apr",'Data - Monthly Metrics'!C:C,"North King",'Data - Monthly Metrics'!D:D,"Non-Target Locations - Restaurant (#)")+SUMIFS('Data - Monthly Metrics'!E:E,'Data - Monthly Metrics'!A:A,$B$4,'Data - Monthly Metrics'!B:B,"Apr",'Data - Monthly Metrics'!C:C,"North King",'Data - Monthly Metrics'!D:D,"Non-Target Locations - Lodging (#)"))=0,"-",(SUMIFS('Data - Monthly Metrics'!E:E,'Data - Monthly Metrics'!A:A,$B$4,'Data - Monthly Metrics'!B:B,"Apr",'Data - Monthly Metrics'!C:C,"North King",'Data - Monthly Metrics'!D:D,"Target Members - Restaurant (#)")+SUMIFS('Data - Monthly Metrics'!E:E,'Data - Monthly Metrics'!A:A,$B$4,'Data - Monthly Metrics'!B:B,"Apr",'Data - Monthly Metrics'!C:C,"North King",'Data - Monthly Metrics'!D:D,"Target Members - Lodging (#)")+SUMIFS('Data - Monthly Metrics'!E:E,'Data - Monthly Metrics'!A:A,$B$4,'Data - Monthly Metrics'!B:B,"Apr",'Data - Monthly Metrics'!C:C,"North King",'Data - Monthly Metrics'!D:D,"Non-Target Members - Restaurant (#)")+SUMIFS('Data - Monthly Metrics'!E:E,'Data - Monthly Metrics'!A:A,$B$4,'Data - Monthly Metrics'!B:B,"Apr",'Data - Monthly Metrics'!C:C,"North King",'Data - Monthly Metrics'!D:D,"Non-Target Members - Lodging (#)"))/(SUMIFS('Data - Monthly Metrics'!E:E,'Data - Monthly Metrics'!A:A,$B$4,'Data - Monthly Metrics'!B:B,"Apr",'Data - Monthly Metrics'!C:C,"North King",'Data - Monthly Metrics'!D:D,"Total Target Locations - Restaurant (#)")+SUMIFS('Data - Monthly Metrics'!E:E,'Data - Monthly Metrics'!A:A,$B$4,'Data - Monthly Metrics'!B:B,"Apr",'Data - Monthly Metrics'!C:C,"North King",'Data - Monthly Metrics'!D:D,"Total Target Locations - Lodging (#)")+SUMIFS('Data - Monthly Metrics'!E:E,'Data - Monthly Metrics'!A:A,$B$4,'Data - Monthly Metrics'!B:B,"Apr",'Data - Monthly Metrics'!C:C,"North King",'Data - Monthly Metrics'!D:D,"Non-Target Locations - Restaurant (#)")+SUMIFS('Data - Monthly Metrics'!E:E,'Data - Monthly Metrics'!A:A,$B$4,'Data - Monthly Metrics'!B:B,"Apr",'Data - Monthly Metrics'!C:C,"North King",'Data - Monthly Metrics'!D:D,"Non-Target Locations - Lodging (#)")))</f>
        <v/>
      </c>
      <c r="K31" s="115">
        <f>IF((SUMIFS('Data - Monthly Metrics'!E:E,'Data - Monthly Metrics'!A:A,$B$4,'Data - Monthly Metrics'!B:B,"May",'Data - Monthly Metrics'!C:C,"North King",'Data - Monthly Metrics'!D:D,"Total Target Locations - Restaurant (#)")+SUMIFS('Data - Monthly Metrics'!E:E,'Data - Monthly Metrics'!A:A,$B$4,'Data - Monthly Metrics'!B:B,"May",'Data - Monthly Metrics'!C:C,"North King",'Data - Monthly Metrics'!D:D,"Total Target Locations - Lodging (#)")+SUMIFS('Data - Monthly Metrics'!E:E,'Data - Monthly Metrics'!A:A,$B$4,'Data - Monthly Metrics'!B:B,"May",'Data - Monthly Metrics'!C:C,"North King",'Data - Monthly Metrics'!D:D,"Non-Target Locations - Restaurant (#)")+SUMIFS('Data - Monthly Metrics'!E:E,'Data - Monthly Metrics'!A:A,$B$4,'Data - Monthly Metrics'!B:B,"May",'Data - Monthly Metrics'!C:C,"North King",'Data - Monthly Metrics'!D:D,"Non-Target Locations - Lodging (#)"))=0,"-",(SUMIFS('Data - Monthly Metrics'!E:E,'Data - Monthly Metrics'!A:A,$B$4,'Data - Monthly Metrics'!B:B,"May",'Data - Monthly Metrics'!C:C,"North King",'Data - Monthly Metrics'!D:D,"Target Members - Restaurant (#)")+SUMIFS('Data - Monthly Metrics'!E:E,'Data - Monthly Metrics'!A:A,$B$4,'Data - Monthly Metrics'!B:B,"May",'Data - Monthly Metrics'!C:C,"North King",'Data - Monthly Metrics'!D:D,"Target Members - Lodging (#)")+SUMIFS('Data - Monthly Metrics'!E:E,'Data - Monthly Metrics'!A:A,$B$4,'Data - Monthly Metrics'!B:B,"May",'Data - Monthly Metrics'!C:C,"North King",'Data - Monthly Metrics'!D:D,"Non-Target Members - Restaurant (#)")+SUMIFS('Data - Monthly Metrics'!E:E,'Data - Monthly Metrics'!A:A,$B$4,'Data - Monthly Metrics'!B:B,"May",'Data - Monthly Metrics'!C:C,"North King",'Data - Monthly Metrics'!D:D,"Non-Target Members - Lodging (#)"))/(SUMIFS('Data - Monthly Metrics'!E:E,'Data - Monthly Metrics'!A:A,$B$4,'Data - Monthly Metrics'!B:B,"May",'Data - Monthly Metrics'!C:C,"North King",'Data - Monthly Metrics'!D:D,"Total Target Locations - Restaurant (#)")+SUMIFS('Data - Monthly Metrics'!E:E,'Data - Monthly Metrics'!A:A,$B$4,'Data - Monthly Metrics'!B:B,"May",'Data - Monthly Metrics'!C:C,"North King",'Data - Monthly Metrics'!D:D,"Total Target Locations - Lodging (#)")+SUMIFS('Data - Monthly Metrics'!E:E,'Data - Monthly Metrics'!A:A,$B$4,'Data - Monthly Metrics'!B:B,"May",'Data - Monthly Metrics'!C:C,"North King",'Data - Monthly Metrics'!D:D,"Non-Target Locations - Restaurant (#)")+SUMIFS('Data - Monthly Metrics'!E:E,'Data - Monthly Metrics'!A:A,$B$4,'Data - Monthly Metrics'!B:B,"May",'Data - Monthly Metrics'!C:C,"North King",'Data - Monthly Metrics'!D:D,"Non-Target Locations - Lodging (#)")))</f>
        <v/>
      </c>
      <c r="L31" s="115">
        <f>IF((SUMIFS('Data - Monthly Metrics'!E:E,'Data - Monthly Metrics'!A:A,$B$4,'Data - Monthly Metrics'!B:B,"Jun",'Data - Monthly Metrics'!C:C,"North King",'Data - Monthly Metrics'!D:D,"Total Target Locations - Restaurant (#)")+SUMIFS('Data - Monthly Metrics'!E:E,'Data - Monthly Metrics'!A:A,$B$4,'Data - Monthly Metrics'!B:B,"Jun",'Data - Monthly Metrics'!C:C,"North King",'Data - Monthly Metrics'!D:D,"Total Target Locations - Lodging (#)")+SUMIFS('Data - Monthly Metrics'!E:E,'Data - Monthly Metrics'!A:A,$B$4,'Data - Monthly Metrics'!B:B,"Jun",'Data - Monthly Metrics'!C:C,"North King",'Data - Monthly Metrics'!D:D,"Non-Target Locations - Restaurant (#)")+SUMIFS('Data - Monthly Metrics'!E:E,'Data - Monthly Metrics'!A:A,$B$4,'Data - Monthly Metrics'!B:B,"Jun",'Data - Monthly Metrics'!C:C,"North King",'Data - Monthly Metrics'!D:D,"Non-Target Locations - Lodging (#)"))=0,"-",(SUMIFS('Data - Monthly Metrics'!E:E,'Data - Monthly Metrics'!A:A,$B$4,'Data - Monthly Metrics'!B:B,"Jun",'Data - Monthly Metrics'!C:C,"North King",'Data - Monthly Metrics'!D:D,"Target Members - Restaurant (#)")+SUMIFS('Data - Monthly Metrics'!E:E,'Data - Monthly Metrics'!A:A,$B$4,'Data - Monthly Metrics'!B:B,"Jun",'Data - Monthly Metrics'!C:C,"North King",'Data - Monthly Metrics'!D:D,"Target Members - Lodging (#)")+SUMIFS('Data - Monthly Metrics'!E:E,'Data - Monthly Metrics'!A:A,$B$4,'Data - Monthly Metrics'!B:B,"Jun",'Data - Monthly Metrics'!C:C,"North King",'Data - Monthly Metrics'!D:D,"Non-Target Members - Restaurant (#)")+SUMIFS('Data - Monthly Metrics'!E:E,'Data - Monthly Metrics'!A:A,$B$4,'Data - Monthly Metrics'!B:B,"Jun",'Data - Monthly Metrics'!C:C,"North King",'Data - Monthly Metrics'!D:D,"Non-Target Members - Lodging (#)"))/(SUMIFS('Data - Monthly Metrics'!E:E,'Data - Monthly Metrics'!A:A,$B$4,'Data - Monthly Metrics'!B:B,"Jun",'Data - Monthly Metrics'!C:C,"North King",'Data - Monthly Metrics'!D:D,"Total Target Locations - Restaurant (#)")+SUMIFS('Data - Monthly Metrics'!E:E,'Data - Monthly Metrics'!A:A,$B$4,'Data - Monthly Metrics'!B:B,"Jun",'Data - Monthly Metrics'!C:C,"North King",'Data - Monthly Metrics'!D:D,"Total Target Locations - Lodging (#)")+SUMIFS('Data - Monthly Metrics'!E:E,'Data - Monthly Metrics'!A:A,$B$4,'Data - Monthly Metrics'!B:B,"Jun",'Data - Monthly Metrics'!C:C,"North King",'Data - Monthly Metrics'!D:D,"Non-Target Locations - Restaurant (#)")+SUMIFS('Data - Monthly Metrics'!E:E,'Data - Monthly Metrics'!A:A,$B$4,'Data - Monthly Metrics'!B:B,"Jun",'Data - Monthly Metrics'!C:C,"North King",'Data - Monthly Metrics'!D:D,"Non-Target Locations - Lodging (#)")))</f>
        <v/>
      </c>
      <c r="M31" s="116">
        <f>IF(ISNUMBER(L31),L31,IF(ISNUMBER(K31),K31,IF(ISNUMBER(J31),J31,"-")))</f>
        <v/>
      </c>
      <c r="N31" s="115">
        <f>IF((SUMIFS('Data - Monthly Metrics'!E:E,'Data - Monthly Metrics'!A:A,$B$4,'Data - Monthly Metrics'!B:B,"Jul",'Data - Monthly Metrics'!C:C,"North King",'Data - Monthly Metrics'!D:D,"Total Target Locations - Restaurant (#)")+SUMIFS('Data - Monthly Metrics'!E:E,'Data - Monthly Metrics'!A:A,$B$4,'Data - Monthly Metrics'!B:B,"Jul",'Data - Monthly Metrics'!C:C,"North King",'Data - Monthly Metrics'!D:D,"Total Target Locations - Lodging (#)")+SUMIFS('Data - Monthly Metrics'!E:E,'Data - Monthly Metrics'!A:A,$B$4,'Data - Monthly Metrics'!B:B,"Jul",'Data - Monthly Metrics'!C:C,"North King",'Data - Monthly Metrics'!D:D,"Non-Target Locations - Restaurant (#)")+SUMIFS('Data - Monthly Metrics'!E:E,'Data - Monthly Metrics'!A:A,$B$4,'Data - Monthly Metrics'!B:B,"Jul",'Data - Monthly Metrics'!C:C,"North King",'Data - Monthly Metrics'!D:D,"Non-Target Locations - Lodging (#)"))=0,"-",(SUMIFS('Data - Monthly Metrics'!E:E,'Data - Monthly Metrics'!A:A,$B$4,'Data - Monthly Metrics'!B:B,"Jul",'Data - Monthly Metrics'!C:C,"North King",'Data - Monthly Metrics'!D:D,"Target Members - Restaurant (#)")+SUMIFS('Data - Monthly Metrics'!E:E,'Data - Monthly Metrics'!A:A,$B$4,'Data - Monthly Metrics'!B:B,"Jul",'Data - Monthly Metrics'!C:C,"North King",'Data - Monthly Metrics'!D:D,"Target Members - Lodging (#)")+SUMIFS('Data - Monthly Metrics'!E:E,'Data - Monthly Metrics'!A:A,$B$4,'Data - Monthly Metrics'!B:B,"Jul",'Data - Monthly Metrics'!C:C,"North King",'Data - Monthly Metrics'!D:D,"Non-Target Members - Restaurant (#)")+SUMIFS('Data - Monthly Metrics'!E:E,'Data - Monthly Metrics'!A:A,$B$4,'Data - Monthly Metrics'!B:B,"Jul",'Data - Monthly Metrics'!C:C,"North King",'Data - Monthly Metrics'!D:D,"Non-Target Members - Lodging (#)"))/(SUMIFS('Data - Monthly Metrics'!E:E,'Data - Monthly Metrics'!A:A,$B$4,'Data - Monthly Metrics'!B:B,"Jul",'Data - Monthly Metrics'!C:C,"North King",'Data - Monthly Metrics'!D:D,"Total Target Locations - Restaurant (#)")+SUMIFS('Data - Monthly Metrics'!E:E,'Data - Monthly Metrics'!A:A,$B$4,'Data - Monthly Metrics'!B:B,"Jul",'Data - Monthly Metrics'!C:C,"North King",'Data - Monthly Metrics'!D:D,"Total Target Locations - Lodging (#)")+SUMIFS('Data - Monthly Metrics'!E:E,'Data - Monthly Metrics'!A:A,$B$4,'Data - Monthly Metrics'!B:B,"Jul",'Data - Monthly Metrics'!C:C,"North King",'Data - Monthly Metrics'!D:D,"Non-Target Locations - Restaurant (#)")+SUMIFS('Data - Monthly Metrics'!E:E,'Data - Monthly Metrics'!A:A,$B$4,'Data - Monthly Metrics'!B:B,"Jul",'Data - Monthly Metrics'!C:C,"North King",'Data - Monthly Metrics'!D:D,"Non-Target Locations - Lodging (#)")))</f>
        <v/>
      </c>
      <c r="O31" s="115">
        <f>IF((SUMIFS('Data - Monthly Metrics'!E:E,'Data - Monthly Metrics'!A:A,$B$4,'Data - Monthly Metrics'!B:B,"Aug",'Data - Monthly Metrics'!C:C,"North King",'Data - Monthly Metrics'!D:D,"Total Target Locations - Restaurant (#)")+SUMIFS('Data - Monthly Metrics'!E:E,'Data - Monthly Metrics'!A:A,$B$4,'Data - Monthly Metrics'!B:B,"Aug",'Data - Monthly Metrics'!C:C,"North King",'Data - Monthly Metrics'!D:D,"Total Target Locations - Lodging (#)")+SUMIFS('Data - Monthly Metrics'!E:E,'Data - Monthly Metrics'!A:A,$B$4,'Data - Monthly Metrics'!B:B,"Aug",'Data - Monthly Metrics'!C:C,"North King",'Data - Monthly Metrics'!D:D,"Non-Target Locations - Restaurant (#)")+SUMIFS('Data - Monthly Metrics'!E:E,'Data - Monthly Metrics'!A:A,$B$4,'Data - Monthly Metrics'!B:B,"Aug",'Data - Monthly Metrics'!C:C,"North King",'Data - Monthly Metrics'!D:D,"Non-Target Locations - Lodging (#)"))=0,"-",(SUMIFS('Data - Monthly Metrics'!E:E,'Data - Monthly Metrics'!A:A,$B$4,'Data - Monthly Metrics'!B:B,"Aug",'Data - Monthly Metrics'!C:C,"North King",'Data - Monthly Metrics'!D:D,"Target Members - Restaurant (#)")+SUMIFS('Data - Monthly Metrics'!E:E,'Data - Monthly Metrics'!A:A,$B$4,'Data - Monthly Metrics'!B:B,"Aug",'Data - Monthly Metrics'!C:C,"North King",'Data - Monthly Metrics'!D:D,"Target Members - Lodging (#)")+SUMIFS('Data - Monthly Metrics'!E:E,'Data - Monthly Metrics'!A:A,$B$4,'Data - Monthly Metrics'!B:B,"Aug",'Data - Monthly Metrics'!C:C,"North King",'Data - Monthly Metrics'!D:D,"Non-Target Members - Restaurant (#)")+SUMIFS('Data - Monthly Metrics'!E:E,'Data - Monthly Metrics'!A:A,$B$4,'Data - Monthly Metrics'!B:B,"Aug",'Data - Monthly Metrics'!C:C,"North King",'Data - Monthly Metrics'!D:D,"Non-Target Members - Lodging (#)"))/(SUMIFS('Data - Monthly Metrics'!E:E,'Data - Monthly Metrics'!A:A,$B$4,'Data - Monthly Metrics'!B:B,"Aug",'Data - Monthly Metrics'!C:C,"North King",'Data - Monthly Metrics'!D:D,"Total Target Locations - Restaurant (#)")+SUMIFS('Data - Monthly Metrics'!E:E,'Data - Monthly Metrics'!A:A,$B$4,'Data - Monthly Metrics'!B:B,"Aug",'Data - Monthly Metrics'!C:C,"North King",'Data - Monthly Metrics'!D:D,"Total Target Locations - Lodging (#)")+SUMIFS('Data - Monthly Metrics'!E:E,'Data - Monthly Metrics'!A:A,$B$4,'Data - Monthly Metrics'!B:B,"Aug",'Data - Monthly Metrics'!C:C,"North King",'Data - Monthly Metrics'!D:D,"Non-Target Locations - Restaurant (#)")+SUMIFS('Data - Monthly Metrics'!E:E,'Data - Monthly Metrics'!A:A,$B$4,'Data - Monthly Metrics'!B:B,"Aug",'Data - Monthly Metrics'!C:C,"North King",'Data - Monthly Metrics'!D:D,"Non-Target Locations - Lodging (#)")))</f>
        <v/>
      </c>
      <c r="P31" s="115">
        <f>IF((SUMIFS('Data - Monthly Metrics'!E:E,'Data - Monthly Metrics'!A:A,$B$4,'Data - Monthly Metrics'!B:B,"Sep",'Data - Monthly Metrics'!C:C,"North King",'Data - Monthly Metrics'!D:D,"Total Target Locations - Restaurant (#)")+SUMIFS('Data - Monthly Metrics'!E:E,'Data - Monthly Metrics'!A:A,$B$4,'Data - Monthly Metrics'!B:B,"Sep",'Data - Monthly Metrics'!C:C,"North King",'Data - Monthly Metrics'!D:D,"Total Target Locations - Lodging (#)")+SUMIFS('Data - Monthly Metrics'!E:E,'Data - Monthly Metrics'!A:A,$B$4,'Data - Monthly Metrics'!B:B,"Sep",'Data - Monthly Metrics'!C:C,"North King",'Data - Monthly Metrics'!D:D,"Non-Target Locations - Restaurant (#)")+SUMIFS('Data - Monthly Metrics'!E:E,'Data - Monthly Metrics'!A:A,$B$4,'Data - Monthly Metrics'!B:B,"Sep",'Data - Monthly Metrics'!C:C,"North King",'Data - Monthly Metrics'!D:D,"Non-Target Locations - Lodging (#)"))=0,"-",(SUMIFS('Data - Monthly Metrics'!E:E,'Data - Monthly Metrics'!A:A,$B$4,'Data - Monthly Metrics'!B:B,"Sep",'Data - Monthly Metrics'!C:C,"North King",'Data - Monthly Metrics'!D:D,"Target Members - Restaurant (#)")+SUMIFS('Data - Monthly Metrics'!E:E,'Data - Monthly Metrics'!A:A,$B$4,'Data - Monthly Metrics'!B:B,"Sep",'Data - Monthly Metrics'!C:C,"North King",'Data - Monthly Metrics'!D:D,"Target Members - Lodging (#)")+SUMIFS('Data - Monthly Metrics'!E:E,'Data - Monthly Metrics'!A:A,$B$4,'Data - Monthly Metrics'!B:B,"Sep",'Data - Monthly Metrics'!C:C,"North King",'Data - Monthly Metrics'!D:D,"Non-Target Members - Restaurant (#)")+SUMIFS('Data - Monthly Metrics'!E:E,'Data - Monthly Metrics'!A:A,$B$4,'Data - Monthly Metrics'!B:B,"Sep",'Data - Monthly Metrics'!C:C,"North King",'Data - Monthly Metrics'!D:D,"Non-Target Members - Lodging (#)"))/(SUMIFS('Data - Monthly Metrics'!E:E,'Data - Monthly Metrics'!A:A,$B$4,'Data - Monthly Metrics'!B:B,"Sep",'Data - Monthly Metrics'!C:C,"North King",'Data - Monthly Metrics'!D:D,"Total Target Locations - Restaurant (#)")+SUMIFS('Data - Monthly Metrics'!E:E,'Data - Monthly Metrics'!A:A,$B$4,'Data - Monthly Metrics'!B:B,"Sep",'Data - Monthly Metrics'!C:C,"North King",'Data - Monthly Metrics'!D:D,"Total Target Locations - Lodging (#)")+SUMIFS('Data - Monthly Metrics'!E:E,'Data - Monthly Metrics'!A:A,$B$4,'Data - Monthly Metrics'!B:B,"Sep",'Data - Monthly Metrics'!C:C,"North King",'Data - Monthly Metrics'!D:D,"Non-Target Locations - Restaurant (#)")+SUMIFS('Data - Monthly Metrics'!E:E,'Data - Monthly Metrics'!A:A,$B$4,'Data - Monthly Metrics'!B:B,"Sep",'Data - Monthly Metrics'!C:C,"North King",'Data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Metrics'!C:C,"North King",'Data - Monthly Metrics'!D:D,"Goal - New Sales Revenue ($)")=0,"-",SUMIFS('Data - Monthly Metrics'!E:E,'Data - Monthly Metrics'!A:A,$B$4-1,'Data - Monthly Metrics'!B:B,"Oct",'Data - Monthly Metrics'!C:C,"North King",'Data - Monthly Metrics'!D:D,"Goal - New Sales Revenue ($)"))</f>
        <v/>
      </c>
      <c r="C37" s="91">
        <f>IF(COUNTIFS('Data - Monthly Metrics'!A:A,$B$4-1,'Data - Monthly Metrics'!B:B,"Nov",'Data - Monthly Metrics'!C:C,"North King",'Data - Monthly Metrics'!D:D,"Goal - New Sales Revenue ($)")=0,"-",SUMIFS('Data - Monthly Metrics'!E:E,'Data - Monthly Metrics'!A:A,$B$4-1,'Data - Monthly Metrics'!B:B,"Nov",'Data - Monthly Metrics'!C:C,"North King",'Data - Monthly Metrics'!D:D,"Goal - New Sales Revenue ($)"))</f>
        <v/>
      </c>
      <c r="D37" s="91">
        <f>IF(COUNTIFS('Data - Monthly Metrics'!A:A,$B$4-1,'Data - Monthly Metrics'!B:B,"Dec",'Data - Monthly Metrics'!C:C,"North King",'Data - Monthly Metrics'!D:D,"Goal - New Sales Revenue ($)")=0,"-",SUMIFS('Data - Monthly Metrics'!E:E,'Data - Monthly Metrics'!A:A,$B$4-1,'Data - Monthly Metrics'!B:B,"Dec",'Data - Monthly Metrics'!C:C,"North King",'Data - Monthly Metrics'!D:D,"Goal - New Sales Revenue ($)"))</f>
        <v/>
      </c>
      <c r="E37" s="101">
        <f>SUM(B37,C37,D37)</f>
        <v/>
      </c>
      <c r="F37" s="91">
        <f>IF(COUNTIFS('Data - Monthly Metrics'!A:A,$B$4,'Data - Monthly Metrics'!B:B,"Jan",'Data - Monthly Metrics'!C:C,"North King",'Data - Monthly Metrics'!D:D,"Goal - New Sales Revenue ($)")=0,"-",SUMIFS('Data - Monthly Metrics'!E:E,'Data - Monthly Metrics'!A:A,$B$4,'Data - Monthly Metrics'!B:B,"Jan",'Data - Monthly Metrics'!C:C,"North King",'Data - Monthly Metrics'!D:D,"Goal - New Sales Revenue ($)"))</f>
        <v/>
      </c>
      <c r="G37" s="91">
        <f>IF(COUNTIFS('Data - Monthly Metrics'!A:A,$B$4,'Data - Monthly Metrics'!B:B,"Feb",'Data - Monthly Metrics'!C:C,"North King",'Data - Monthly Metrics'!D:D,"Goal - New Sales Revenue ($)")=0,"-",SUMIFS('Data - Monthly Metrics'!E:E,'Data - Monthly Metrics'!A:A,$B$4,'Data - Monthly Metrics'!B:B,"Feb",'Data - Monthly Metrics'!C:C,"North King",'Data - Monthly Metrics'!D:D,"Goal - New Sales Revenue ($)"))</f>
        <v/>
      </c>
      <c r="H37" s="91">
        <f>IF(COUNTIFS('Data - Monthly Metrics'!A:A,$B$4,'Data - Monthly Metrics'!B:B,"Mar",'Data - Monthly Metrics'!C:C,"North King",'Data - Monthly Metrics'!D:D,"Goal - New Sales Revenue ($)")=0,"-",SUMIFS('Data - Monthly Metrics'!E:E,'Data - Monthly Metrics'!A:A,$B$4,'Data - Monthly Metrics'!B:B,"Mar",'Data - Monthly Metrics'!C:C,"North King",'Data - Monthly Metrics'!D:D,"Goal - New Sales Revenue ($)"))</f>
        <v/>
      </c>
      <c r="I37" s="101">
        <f>SUM(F37,G37,H37)</f>
        <v/>
      </c>
      <c r="J37" s="91">
        <f>IF(COUNTIFS('Data - Monthly Metrics'!A:A,$B$4,'Data - Monthly Metrics'!B:B,"Apr",'Data - Monthly Metrics'!C:C,"North King",'Data - Monthly Metrics'!D:D,"Goal - New Sales Revenue ($)")=0,"-",SUMIFS('Data - Monthly Metrics'!E:E,'Data - Monthly Metrics'!A:A,$B$4,'Data - Monthly Metrics'!B:B,"Apr",'Data - Monthly Metrics'!C:C,"North King",'Data - Monthly Metrics'!D:D,"Goal - New Sales Revenue ($)"))</f>
        <v/>
      </c>
      <c r="K37" s="91">
        <f>IF(COUNTIFS('Data - Monthly Metrics'!A:A,$B$4,'Data - Monthly Metrics'!B:B,"May",'Data - Monthly Metrics'!C:C,"North King",'Data - Monthly Metrics'!D:D,"Goal - New Sales Revenue ($)")=0,"-",SUMIFS('Data - Monthly Metrics'!E:E,'Data - Monthly Metrics'!A:A,$B$4,'Data - Monthly Metrics'!B:B,"May",'Data - Monthly Metrics'!C:C,"North King",'Data - Monthly Metrics'!D:D,"Goal - New Sales Revenue ($)"))</f>
        <v/>
      </c>
      <c r="L37" s="91">
        <f>IF(COUNTIFS('Data - Monthly Metrics'!A:A,$B$4,'Data - Monthly Metrics'!B:B,"Jun",'Data - Monthly Metrics'!C:C,"North King",'Data - Monthly Metrics'!D:D,"Goal - New Sales Revenue ($)")=0,"-",SUMIFS('Data - Monthly Metrics'!E:E,'Data - Monthly Metrics'!A:A,$B$4,'Data - Monthly Metrics'!B:B,"Jun",'Data - Monthly Metrics'!C:C,"North King",'Data - Monthly Metrics'!D:D,"Goal - New Sales Revenue ($)"))</f>
        <v/>
      </c>
      <c r="M37" s="101">
        <f>SUM(J37,K37,L37)</f>
        <v/>
      </c>
      <c r="N37" s="91">
        <f>IF(COUNTIFS('Data - Monthly Metrics'!A:A,$B$4,'Data - Monthly Metrics'!B:B,"Jul",'Data - Monthly Metrics'!C:C,"North King",'Data - Monthly Metrics'!D:D,"Goal - New Sales Revenue ($)")=0,"-",SUMIFS('Data - Monthly Metrics'!E:E,'Data - Monthly Metrics'!A:A,$B$4,'Data - Monthly Metrics'!B:B,"Jul",'Data - Monthly Metrics'!C:C,"North King",'Data - Monthly Metrics'!D:D,"Goal - New Sales Revenue ($)"))</f>
        <v/>
      </c>
      <c r="O37" s="91">
        <f>IF(COUNTIFS('Data - Monthly Metrics'!A:A,$B$4,'Data - Monthly Metrics'!B:B,"Aug",'Data - Monthly Metrics'!C:C,"North King",'Data - Monthly Metrics'!D:D,"Goal - New Sales Revenue ($)")=0,"-",SUMIFS('Data - Monthly Metrics'!E:E,'Data - Monthly Metrics'!A:A,$B$4,'Data - Monthly Metrics'!B:B,"Aug",'Data - Monthly Metrics'!C:C,"North King",'Data - Monthly Metrics'!D:D,"Goal - New Sales Revenue ($)"))</f>
        <v/>
      </c>
      <c r="P37" s="91">
        <f>IF(COUNTIFS('Data - Monthly Metrics'!A:A,$B$4,'Data - Monthly Metrics'!B:B,"Sep",'Data - Monthly Metrics'!C:C,"North King",'Data - Monthly Metrics'!D:D,"Goal - New Sales Revenue ($)")=0,"-",SUMIFS('Data - Monthly Metrics'!E:E,'Data - Monthly Metrics'!A:A,$B$4,'Data - Monthly Metrics'!B:B,"Sep",'Data - Monthly Metrics'!C:C,"North King",'Data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Metrics'!C:C,"North King",'Data - Monthly Metrics'!D:D,"New Sales Revenue - Target ($)")=0,"-",SUMIFS('Data - Monthly Metrics'!E:E,'Data - Monthly Metrics'!A:A,$B$4-1,'Data - Monthly Metrics'!B:B,"Oct",'Data - Monthly Metrics'!C:C,"North King",'Data - Monthly Metrics'!D:D,"New Sales Revenue - Target ($)"))</f>
        <v/>
      </c>
      <c r="C38" s="96">
        <f>IF(COUNTIFS('Data - Monthly Metrics'!A:A,$B$4-1,'Data - Monthly Metrics'!B:B,"Nov",'Data - Monthly Metrics'!C:C,"North King",'Data - Monthly Metrics'!D:D,"New Sales Revenue - Target ($)")=0,"-",SUMIFS('Data - Monthly Metrics'!E:E,'Data - Monthly Metrics'!A:A,$B$4-1,'Data - Monthly Metrics'!B:B,"Nov",'Data - Monthly Metrics'!C:C,"North King",'Data - Monthly Metrics'!D:D,"New Sales Revenue - Target ($)"))</f>
        <v/>
      </c>
      <c r="D38" s="96">
        <f>IF(COUNTIFS('Data - Monthly Metrics'!A:A,$B$4-1,'Data - Monthly Metrics'!B:B,"Dec",'Data - Monthly Metrics'!C:C,"North King",'Data - Monthly Metrics'!D:D,"New Sales Revenue - Target ($)")=0,"-",SUMIFS('Data - Monthly Metrics'!E:E,'Data - Monthly Metrics'!A:A,$B$4-1,'Data - Monthly Metrics'!B:B,"Dec",'Data - Monthly Metrics'!C:C,"North King",'Data - Monthly Metrics'!D:D,"New Sales Revenue - Target ($)"))</f>
        <v/>
      </c>
      <c r="E38" s="101">
        <f>SUM(B38,C38,D38)</f>
        <v/>
      </c>
      <c r="F38" s="96">
        <f>IF(COUNTIFS('Data - Monthly Metrics'!A:A,$B$4,'Data - Monthly Metrics'!B:B,"Jan",'Data - Monthly Metrics'!C:C,"North King",'Data - Monthly Metrics'!D:D,"New Sales Revenue - Target ($)")=0,"-",SUMIFS('Data - Monthly Metrics'!E:E,'Data - Monthly Metrics'!A:A,$B$4,'Data - Monthly Metrics'!B:B,"Jan",'Data - Monthly Metrics'!C:C,"North King",'Data - Monthly Metrics'!D:D,"New Sales Revenue - Target ($)"))</f>
        <v/>
      </c>
      <c r="G38" s="96">
        <f>IF(COUNTIFS('Data - Monthly Metrics'!A:A,$B$4,'Data - Monthly Metrics'!B:B,"Feb",'Data - Monthly Metrics'!C:C,"North King",'Data - Monthly Metrics'!D:D,"New Sales Revenue - Target ($)")=0,"-",SUMIFS('Data - Monthly Metrics'!E:E,'Data - Monthly Metrics'!A:A,$B$4,'Data - Monthly Metrics'!B:B,"Feb",'Data - Monthly Metrics'!C:C,"North King",'Data - Monthly Metrics'!D:D,"New Sales Revenue - Target ($)"))</f>
        <v/>
      </c>
      <c r="H38" s="96">
        <f>IF(COUNTIFS('Data - Monthly Metrics'!A:A,$B$4,'Data - Monthly Metrics'!B:B,"Mar",'Data - Monthly Metrics'!C:C,"North King",'Data - Monthly Metrics'!D:D,"New Sales Revenue - Target ($)")=0,"-",SUMIFS('Data - Monthly Metrics'!E:E,'Data - Monthly Metrics'!A:A,$B$4,'Data - Monthly Metrics'!B:B,"Mar",'Data - Monthly Metrics'!C:C,"North King",'Data - Monthly Metrics'!D:D,"New Sales Revenue - Target ($)"))</f>
        <v/>
      </c>
      <c r="I38" s="101">
        <f>SUM(F38,G38,H38)</f>
        <v/>
      </c>
      <c r="J38" s="96">
        <f>IF(COUNTIFS('Data - Monthly Metrics'!A:A,$B$4,'Data - Monthly Metrics'!B:B,"Apr",'Data - Monthly Metrics'!C:C,"North King",'Data - Monthly Metrics'!D:D,"New Sales Revenue - Target ($)")=0,"-",SUMIFS('Data - Monthly Metrics'!E:E,'Data - Monthly Metrics'!A:A,$B$4,'Data - Monthly Metrics'!B:B,"Apr",'Data - Monthly Metrics'!C:C,"North King",'Data - Monthly Metrics'!D:D,"New Sales Revenue - Target ($)"))</f>
        <v/>
      </c>
      <c r="K38" s="96">
        <f>IF(COUNTIFS('Data - Monthly Metrics'!A:A,$B$4,'Data - Monthly Metrics'!B:B,"May",'Data - Monthly Metrics'!C:C,"North King",'Data - Monthly Metrics'!D:D,"New Sales Revenue - Target ($)")=0,"-",SUMIFS('Data - Monthly Metrics'!E:E,'Data - Monthly Metrics'!A:A,$B$4,'Data - Monthly Metrics'!B:B,"May",'Data - Monthly Metrics'!C:C,"North King",'Data - Monthly Metrics'!D:D,"New Sales Revenue - Target ($)"))</f>
        <v/>
      </c>
      <c r="L38" s="96">
        <f>IF(COUNTIFS('Data - Monthly Metrics'!A:A,$B$4,'Data - Monthly Metrics'!B:B,"Jun",'Data - Monthly Metrics'!C:C,"North King",'Data - Monthly Metrics'!D:D,"New Sales Revenue - Target ($)")=0,"-",SUMIFS('Data - Monthly Metrics'!E:E,'Data - Monthly Metrics'!A:A,$B$4,'Data - Monthly Metrics'!B:B,"Jun",'Data - Monthly Metrics'!C:C,"North King",'Data - Monthly Metrics'!D:D,"New Sales Revenue - Target ($)"))</f>
        <v/>
      </c>
      <c r="M38" s="101">
        <f>SUM(J38,K38,L38)</f>
        <v/>
      </c>
      <c r="N38" s="96">
        <f>IF(COUNTIFS('Data - Monthly Metrics'!A:A,$B$4,'Data - Monthly Metrics'!B:B,"Jul",'Data - Monthly Metrics'!C:C,"North King",'Data - Monthly Metrics'!D:D,"New Sales Revenue - Target ($)")=0,"-",SUMIFS('Data - Monthly Metrics'!E:E,'Data - Monthly Metrics'!A:A,$B$4,'Data - Monthly Metrics'!B:B,"Jul",'Data - Monthly Metrics'!C:C,"North King",'Data - Monthly Metrics'!D:D,"New Sales Revenue - Target ($)"))</f>
        <v/>
      </c>
      <c r="O38" s="96">
        <f>IF(COUNTIFS('Data - Monthly Metrics'!A:A,$B$4,'Data - Monthly Metrics'!B:B,"Aug",'Data - Monthly Metrics'!C:C,"North King",'Data - Monthly Metrics'!D:D,"New Sales Revenue - Target ($)")=0,"-",SUMIFS('Data - Monthly Metrics'!E:E,'Data - Monthly Metrics'!A:A,$B$4,'Data - Monthly Metrics'!B:B,"Aug",'Data - Monthly Metrics'!C:C,"North King",'Data - Monthly Metrics'!D:D,"New Sales Revenue - Target ($)"))</f>
        <v/>
      </c>
      <c r="P38" s="96">
        <f>IF(COUNTIFS('Data - Monthly Metrics'!A:A,$B$4,'Data - Monthly Metrics'!B:B,"Sep",'Data - Monthly Metrics'!C:C,"North King",'Data - Monthly Metrics'!D:D,"New Sales Revenue - Target ($)")=0,"-",SUMIFS('Data - Monthly Metrics'!E:E,'Data - Monthly Metrics'!A:A,$B$4,'Data - Monthly Metrics'!B:B,"Sep",'Data - Monthly Metrics'!C:C,"North King",'Data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Metrics'!C:C,"North King",'Data - Monthly Metrics'!D:D,"Goal - New Members (#)")=0,"-",SUMIFS('Data - Monthly Metrics'!E:E,'Data - Monthly Metrics'!A:A,$B$4-1,'Data - Monthly Metrics'!B:B,"Oct",'Data - Monthly Metrics'!C:C,"North King",'Data - Monthly Metrics'!D:D,"Goal - New Members (#)"))</f>
        <v/>
      </c>
      <c r="C41" s="93">
        <f>IF(COUNTIFS('Data - Monthly Metrics'!A:A,$B$4-1,'Data - Monthly Metrics'!B:B,"Nov",'Data - Monthly Metrics'!C:C,"North King",'Data - Monthly Metrics'!D:D,"Goal - New Members (#)")=0,"-",SUMIFS('Data - Monthly Metrics'!E:E,'Data - Monthly Metrics'!A:A,$B$4-1,'Data - Monthly Metrics'!B:B,"Nov",'Data - Monthly Metrics'!C:C,"North King",'Data - Monthly Metrics'!D:D,"Goal - New Members (#)"))</f>
        <v/>
      </c>
      <c r="D41" s="93">
        <f>IF(COUNTIFS('Data - Monthly Metrics'!A:A,$B$4-1,'Data - Monthly Metrics'!B:B,"Dec",'Data - Monthly Metrics'!C:C,"North King",'Data - Monthly Metrics'!D:D,"Goal - New Members (#)")=0,"-",SUMIFS('Data - Monthly Metrics'!E:E,'Data - Monthly Metrics'!A:A,$B$4-1,'Data - Monthly Metrics'!B:B,"Dec",'Data - Monthly Metrics'!C:C,"North King",'Data - Monthly Metrics'!D:D,"Goal - New Members (#)"))</f>
        <v/>
      </c>
      <c r="E41" s="103">
        <f>SUM(B41,C41,D41)</f>
        <v/>
      </c>
      <c r="F41" s="93">
        <f>IF(COUNTIFS('Data - Monthly Metrics'!A:A,$B$4,'Data - Monthly Metrics'!B:B,"Jan",'Data - Monthly Metrics'!C:C,"North King",'Data - Monthly Metrics'!D:D,"Goal - New Members (#)")=0,"-",SUMIFS('Data - Monthly Metrics'!E:E,'Data - Monthly Metrics'!A:A,$B$4,'Data - Monthly Metrics'!B:B,"Jan",'Data - Monthly Metrics'!C:C,"North King",'Data - Monthly Metrics'!D:D,"Goal - New Members (#)"))</f>
        <v/>
      </c>
      <c r="G41" s="93">
        <f>IF(COUNTIFS('Data - Monthly Metrics'!A:A,$B$4,'Data - Monthly Metrics'!B:B,"Feb",'Data - Monthly Metrics'!C:C,"North King",'Data - Monthly Metrics'!D:D,"Goal - New Members (#)")=0,"-",SUMIFS('Data - Monthly Metrics'!E:E,'Data - Monthly Metrics'!A:A,$B$4,'Data - Monthly Metrics'!B:B,"Feb",'Data - Monthly Metrics'!C:C,"North King",'Data - Monthly Metrics'!D:D,"Goal - New Members (#)"))</f>
        <v/>
      </c>
      <c r="H41" s="93">
        <f>IF(COUNTIFS('Data - Monthly Metrics'!A:A,$B$4,'Data - Monthly Metrics'!B:B,"Mar",'Data - Monthly Metrics'!C:C,"North King",'Data - Monthly Metrics'!D:D,"Goal - New Members (#)")=0,"-",SUMIFS('Data - Monthly Metrics'!E:E,'Data - Monthly Metrics'!A:A,$B$4,'Data - Monthly Metrics'!B:B,"Mar",'Data - Monthly Metrics'!C:C,"North King",'Data - Monthly Metrics'!D:D,"Goal - New Members (#)"))</f>
        <v/>
      </c>
      <c r="I41" s="103">
        <f>SUM(F41,G41,H41)</f>
        <v/>
      </c>
      <c r="J41" s="93">
        <f>IF(COUNTIFS('Data - Monthly Metrics'!A:A,$B$4,'Data - Monthly Metrics'!B:B,"Apr",'Data - Monthly Metrics'!C:C,"North King",'Data - Monthly Metrics'!D:D,"Goal - New Members (#)")=0,"-",SUMIFS('Data - Monthly Metrics'!E:E,'Data - Monthly Metrics'!A:A,$B$4,'Data - Monthly Metrics'!B:B,"Apr",'Data - Monthly Metrics'!C:C,"North King",'Data - Monthly Metrics'!D:D,"Goal - New Members (#)"))</f>
        <v/>
      </c>
      <c r="K41" s="93">
        <f>IF(COUNTIFS('Data - Monthly Metrics'!A:A,$B$4,'Data - Monthly Metrics'!B:B,"May",'Data - Monthly Metrics'!C:C,"North King",'Data - Monthly Metrics'!D:D,"Goal - New Members (#)")=0,"-",SUMIFS('Data - Monthly Metrics'!E:E,'Data - Monthly Metrics'!A:A,$B$4,'Data - Monthly Metrics'!B:B,"May",'Data - Monthly Metrics'!C:C,"North King",'Data - Monthly Metrics'!D:D,"Goal - New Members (#)"))</f>
        <v/>
      </c>
      <c r="L41" s="93">
        <f>IF(COUNTIFS('Data - Monthly Metrics'!A:A,$B$4,'Data - Monthly Metrics'!B:B,"Jun",'Data - Monthly Metrics'!C:C,"North King",'Data - Monthly Metrics'!D:D,"Goal - New Members (#)")=0,"-",SUMIFS('Data - Monthly Metrics'!E:E,'Data - Monthly Metrics'!A:A,$B$4,'Data - Monthly Metrics'!B:B,"Jun",'Data - Monthly Metrics'!C:C,"North King",'Data - Monthly Metrics'!D:D,"Goal - New Members (#)"))</f>
        <v/>
      </c>
      <c r="M41" s="103">
        <f>SUM(J41,K41,L41)</f>
        <v/>
      </c>
      <c r="N41" s="93">
        <f>IF(COUNTIFS('Data - Monthly Metrics'!A:A,$B$4,'Data - Monthly Metrics'!B:B,"Jul",'Data - Monthly Metrics'!C:C,"North King",'Data - Monthly Metrics'!D:D,"Goal - New Members (#)")=0,"-",SUMIFS('Data - Monthly Metrics'!E:E,'Data - Monthly Metrics'!A:A,$B$4,'Data - Monthly Metrics'!B:B,"Jul",'Data - Monthly Metrics'!C:C,"North King",'Data - Monthly Metrics'!D:D,"Goal - New Members (#)"))</f>
        <v/>
      </c>
      <c r="O41" s="93">
        <f>IF(COUNTIFS('Data - Monthly Metrics'!A:A,$B$4,'Data - Monthly Metrics'!B:B,"Aug",'Data - Monthly Metrics'!C:C,"North King",'Data - Monthly Metrics'!D:D,"Goal - New Members (#)")=0,"-",SUMIFS('Data - Monthly Metrics'!E:E,'Data - Monthly Metrics'!A:A,$B$4,'Data - Monthly Metrics'!B:B,"Aug",'Data - Monthly Metrics'!C:C,"North King",'Data - Monthly Metrics'!D:D,"Goal - New Members (#)"))</f>
        <v/>
      </c>
      <c r="P41" s="93">
        <f>IF(COUNTIFS('Data - Monthly Metrics'!A:A,$B$4,'Data - Monthly Metrics'!B:B,"Sep",'Data - Monthly Metrics'!C:C,"North King",'Data - Monthly Metrics'!D:D,"Goal - New Members (#)")=0,"-",SUMIFS('Data - Monthly Metrics'!E:E,'Data - Monthly Metrics'!A:A,$B$4,'Data - Monthly Metrics'!B:B,"Sep",'Data - Monthly Metrics'!C:C,"North King",'Data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Metrics'!C:C,"North King",'Data - Monthly Metrics'!D:D,"New Members - Target (#)")=0,"-",SUMIFS('Data - Monthly Metrics'!E:E,'Data - Monthly Metrics'!A:A,$B$4-1,'Data - Monthly Metrics'!B:B,"Oct",'Data - Monthly Metrics'!C:C,"North King",'Data - Monthly Metrics'!D:D,"New Members - Target (#)"))</f>
        <v/>
      </c>
      <c r="C42" s="98">
        <f>IF(COUNTIFS('Data - Monthly Metrics'!A:A,$B$4-1,'Data - Monthly Metrics'!B:B,"Nov",'Data - Monthly Metrics'!C:C,"North King",'Data - Monthly Metrics'!D:D,"New Members - Target (#)")=0,"-",SUMIFS('Data - Monthly Metrics'!E:E,'Data - Monthly Metrics'!A:A,$B$4-1,'Data - Monthly Metrics'!B:B,"Nov",'Data - Monthly Metrics'!C:C,"North King",'Data - Monthly Metrics'!D:D,"New Members - Target (#)"))</f>
        <v/>
      </c>
      <c r="D42" s="98">
        <f>IF(COUNTIFS('Data - Monthly Metrics'!A:A,$B$4-1,'Data - Monthly Metrics'!B:B,"Dec",'Data - Monthly Metrics'!C:C,"North King",'Data - Monthly Metrics'!D:D,"New Members - Target (#)")=0,"-",SUMIFS('Data - Monthly Metrics'!E:E,'Data - Monthly Metrics'!A:A,$B$4-1,'Data - Monthly Metrics'!B:B,"Dec",'Data - Monthly Metrics'!C:C,"North King",'Data - Monthly Metrics'!D:D,"New Members - Target (#)"))</f>
        <v/>
      </c>
      <c r="E42" s="103">
        <f>SUM(B42,C42,D42)</f>
        <v/>
      </c>
      <c r="F42" s="98">
        <f>IF(COUNTIFS('Data - Monthly Metrics'!A:A,$B$4,'Data - Monthly Metrics'!B:B,"Jan",'Data - Monthly Metrics'!C:C,"North King",'Data - Monthly Metrics'!D:D,"New Members - Target (#)")=0,"-",SUMIFS('Data - Monthly Metrics'!E:E,'Data - Monthly Metrics'!A:A,$B$4,'Data - Monthly Metrics'!B:B,"Jan",'Data - Monthly Metrics'!C:C,"North King",'Data - Monthly Metrics'!D:D,"New Members - Target (#)"))</f>
        <v/>
      </c>
      <c r="G42" s="98">
        <f>IF(COUNTIFS('Data - Monthly Metrics'!A:A,$B$4,'Data - Monthly Metrics'!B:B,"Feb",'Data - Monthly Metrics'!C:C,"North King",'Data - Monthly Metrics'!D:D,"New Members - Target (#)")=0,"-",SUMIFS('Data - Monthly Metrics'!E:E,'Data - Monthly Metrics'!A:A,$B$4,'Data - Monthly Metrics'!B:B,"Feb",'Data - Monthly Metrics'!C:C,"North King",'Data - Monthly Metrics'!D:D,"New Members - Target (#)"))</f>
        <v/>
      </c>
      <c r="H42" s="98">
        <f>IF(COUNTIFS('Data - Monthly Metrics'!A:A,$B$4,'Data - Monthly Metrics'!B:B,"Mar",'Data - Monthly Metrics'!C:C,"North King",'Data - Monthly Metrics'!D:D,"New Members - Target (#)")=0,"-",SUMIFS('Data - Monthly Metrics'!E:E,'Data - Monthly Metrics'!A:A,$B$4,'Data - Monthly Metrics'!B:B,"Mar",'Data - Monthly Metrics'!C:C,"North King",'Data - Monthly Metrics'!D:D,"New Members - Target (#)"))</f>
        <v/>
      </c>
      <c r="I42" s="103">
        <f>SUM(F42,G42,H42)</f>
        <v/>
      </c>
      <c r="J42" s="98">
        <f>IF(COUNTIFS('Data - Monthly Metrics'!A:A,$B$4,'Data - Monthly Metrics'!B:B,"Apr",'Data - Monthly Metrics'!C:C,"North King",'Data - Monthly Metrics'!D:D,"New Members - Target (#)")=0,"-",SUMIFS('Data - Monthly Metrics'!E:E,'Data - Monthly Metrics'!A:A,$B$4,'Data - Monthly Metrics'!B:B,"Apr",'Data - Monthly Metrics'!C:C,"North King",'Data - Monthly Metrics'!D:D,"New Members - Target (#)"))</f>
        <v/>
      </c>
      <c r="K42" s="98">
        <f>IF(COUNTIFS('Data - Monthly Metrics'!A:A,$B$4,'Data - Monthly Metrics'!B:B,"May",'Data - Monthly Metrics'!C:C,"North King",'Data - Monthly Metrics'!D:D,"New Members - Target (#)")=0,"-",SUMIFS('Data - Monthly Metrics'!E:E,'Data - Monthly Metrics'!A:A,$B$4,'Data - Monthly Metrics'!B:B,"May",'Data - Monthly Metrics'!C:C,"North King",'Data - Monthly Metrics'!D:D,"New Members - Target (#)"))</f>
        <v/>
      </c>
      <c r="L42" s="98">
        <f>IF(COUNTIFS('Data - Monthly Metrics'!A:A,$B$4,'Data - Monthly Metrics'!B:B,"Jun",'Data - Monthly Metrics'!C:C,"North King",'Data - Monthly Metrics'!D:D,"New Members - Target (#)")=0,"-",SUMIFS('Data - Monthly Metrics'!E:E,'Data - Monthly Metrics'!A:A,$B$4,'Data - Monthly Metrics'!B:B,"Jun",'Data - Monthly Metrics'!C:C,"North King",'Data - Monthly Metrics'!D:D,"New Members - Target (#)"))</f>
        <v/>
      </c>
      <c r="M42" s="103">
        <f>SUM(J42,K42,L42)</f>
        <v/>
      </c>
      <c r="N42" s="98">
        <f>IF(COUNTIFS('Data - Monthly Metrics'!A:A,$B$4,'Data - Monthly Metrics'!B:B,"Jul",'Data - Monthly Metrics'!C:C,"North King",'Data - Monthly Metrics'!D:D,"New Members - Target (#)")=0,"-",SUMIFS('Data - Monthly Metrics'!E:E,'Data - Monthly Metrics'!A:A,$B$4,'Data - Monthly Metrics'!B:B,"Jul",'Data - Monthly Metrics'!C:C,"North King",'Data - Monthly Metrics'!D:D,"New Members - Target (#)"))</f>
        <v/>
      </c>
      <c r="O42" s="98">
        <f>IF(COUNTIFS('Data - Monthly Metrics'!A:A,$B$4,'Data - Monthly Metrics'!B:B,"Aug",'Data - Monthly Metrics'!C:C,"North King",'Data - Monthly Metrics'!D:D,"New Members - Target (#)")=0,"-",SUMIFS('Data - Monthly Metrics'!E:E,'Data - Monthly Metrics'!A:A,$B$4,'Data - Monthly Metrics'!B:B,"Aug",'Data - Monthly Metrics'!C:C,"North King",'Data - Monthly Metrics'!D:D,"New Members - Target (#)"))</f>
        <v/>
      </c>
      <c r="P42" s="98">
        <f>IF(COUNTIFS('Data - Monthly Metrics'!A:A,$B$4,'Data - Monthly Metrics'!B:B,"Sep",'Data - Monthly Metrics'!C:C,"North King",'Data - Monthly Metrics'!D:D,"New Members - Target (#)")=0,"-",SUMIFS('Data - Monthly Metrics'!E:E,'Data - Monthly Metrics'!A:A,$B$4,'Data - Monthly Metrics'!B:B,"Sep",'Data - Monthly Metrics'!C:C,"North King",'Data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Metrics'!C:C,"North King",'Data - Monthly Metrics'!D:D,"Billables - Hospitality Target (#)")=0,"-",SUMIFS('Data - Monthly Metrics'!E:E,'Data - Monthly Metrics'!A:A,$B$4-1,'Data - Monthly Metrics'!B:B,"Oct",'Data - Monthly Metrics'!C:C,"North King",'Data - Monthly Metrics'!D:D,"Billables - Hospitality Target (#)"))</f>
        <v/>
      </c>
      <c r="C46" s="93">
        <f>IF(COUNTIFS('Data - Monthly Metrics'!A:A,$B$4-1,'Data - Monthly Metrics'!B:B,"Nov",'Data - Monthly Metrics'!C:C,"North King",'Data - Monthly Metrics'!D:D,"Billables - Hospitality Target (#)")=0,"-",SUMIFS('Data - Monthly Metrics'!E:E,'Data - Monthly Metrics'!A:A,$B$4-1,'Data - Monthly Metrics'!B:B,"Nov",'Data - Monthly Metrics'!C:C,"North King",'Data - Monthly Metrics'!D:D,"Billables - Hospitality Target (#)"))</f>
        <v/>
      </c>
      <c r="D46" s="93">
        <f>IF(COUNTIFS('Data - Monthly Metrics'!A:A,$B$4-1,'Data - Monthly Metrics'!B:B,"Dec",'Data - Monthly Metrics'!C:C,"North King",'Data - Monthly Metrics'!D:D,"Billables - Hospitality Target (#)")=0,"-",SUMIFS('Data - Monthly Metrics'!E:E,'Data - Monthly Metrics'!A:A,$B$4-1,'Data - Monthly Metrics'!B:B,"Dec",'Data - Monthly Metrics'!C:C,"North King",'Data - Monthly Metrics'!D:D,"Billables - Hospitality Target (#)"))</f>
        <v/>
      </c>
      <c r="E46" s="103">
        <f>IF(ISNUMBER(D46),D46,IF(ISNUMBER(C46),C46,IF(ISNUMBER(B46),B46,"-")))</f>
        <v/>
      </c>
      <c r="F46" s="93">
        <f>IF(COUNTIFS('Data - Monthly Metrics'!A:A,$B$4,'Data - Monthly Metrics'!B:B,"Jan",'Data - Monthly Metrics'!C:C,"North King",'Data - Monthly Metrics'!D:D,"Billables - Hospitality Target (#)")=0,"-",SUMIFS('Data - Monthly Metrics'!E:E,'Data - Monthly Metrics'!A:A,$B$4,'Data - Monthly Metrics'!B:B,"Jan",'Data - Monthly Metrics'!C:C,"North King",'Data - Monthly Metrics'!D:D,"Billables - Hospitality Target (#)"))</f>
        <v/>
      </c>
      <c r="G46" s="93">
        <f>IF(COUNTIFS('Data - Monthly Metrics'!A:A,$B$4,'Data - Monthly Metrics'!B:B,"Feb",'Data - Monthly Metrics'!C:C,"North King",'Data - Monthly Metrics'!D:D,"Billables - Hospitality Target (#)")=0,"-",SUMIFS('Data - Monthly Metrics'!E:E,'Data - Monthly Metrics'!A:A,$B$4,'Data - Monthly Metrics'!B:B,"Feb",'Data - Monthly Metrics'!C:C,"North King",'Data - Monthly Metrics'!D:D,"Billables - Hospitality Target (#)"))</f>
        <v/>
      </c>
      <c r="H46" s="93">
        <f>IF(COUNTIFS('Data - Monthly Metrics'!A:A,$B$4,'Data - Monthly Metrics'!B:B,"Mar",'Data - Monthly Metrics'!C:C,"North King",'Data - Monthly Metrics'!D:D,"Billables - Hospitality Target (#)")=0,"-",SUMIFS('Data - Monthly Metrics'!E:E,'Data - Monthly Metrics'!A:A,$B$4,'Data - Monthly Metrics'!B:B,"Mar",'Data - Monthly Metrics'!C:C,"North King",'Data - Monthly Metrics'!D:D,"Billables - Hospitality Target (#)"))</f>
        <v/>
      </c>
      <c r="I46" s="103">
        <f>IF(ISNUMBER(H46),H46,IF(ISNUMBER(G46),G46,IF(ISNUMBER(F46),F46,"-")))</f>
        <v/>
      </c>
      <c r="J46" s="93">
        <f>IF(COUNTIFS('Data - Monthly Metrics'!A:A,$B$4,'Data - Monthly Metrics'!B:B,"Apr",'Data - Monthly Metrics'!C:C,"North King",'Data - Monthly Metrics'!D:D,"Billables - Hospitality Target (#)")=0,"-",SUMIFS('Data - Monthly Metrics'!E:E,'Data - Monthly Metrics'!A:A,$B$4,'Data - Monthly Metrics'!B:B,"Apr",'Data - Monthly Metrics'!C:C,"North King",'Data - Monthly Metrics'!D:D,"Billables - Hospitality Target (#)"))</f>
        <v/>
      </c>
      <c r="K46" s="93">
        <f>IF(COUNTIFS('Data - Monthly Metrics'!A:A,$B$4,'Data - Monthly Metrics'!B:B,"May",'Data - Monthly Metrics'!C:C,"North King",'Data - Monthly Metrics'!D:D,"Billables - Hospitality Target (#)")=0,"-",SUMIFS('Data - Monthly Metrics'!E:E,'Data - Monthly Metrics'!A:A,$B$4,'Data - Monthly Metrics'!B:B,"May",'Data - Monthly Metrics'!C:C,"North King",'Data - Monthly Metrics'!D:D,"Billables - Hospitality Target (#)"))</f>
        <v/>
      </c>
      <c r="L46" s="93">
        <f>IF(COUNTIFS('Data - Monthly Metrics'!A:A,$B$4,'Data - Monthly Metrics'!B:B,"Jun",'Data - Monthly Metrics'!C:C,"North King",'Data - Monthly Metrics'!D:D,"Billables - Hospitality Target (#)")=0,"-",SUMIFS('Data - Monthly Metrics'!E:E,'Data - Monthly Metrics'!A:A,$B$4,'Data - Monthly Metrics'!B:B,"Jun",'Data - Monthly Metrics'!C:C,"North King",'Data - Monthly Metrics'!D:D,"Billables - Hospitality Target (#)"))</f>
        <v/>
      </c>
      <c r="M46" s="103">
        <f>IF(ISNUMBER(L46),L46,IF(ISNUMBER(K46),K46,IF(ISNUMBER(J46),J46,"-")))</f>
        <v/>
      </c>
      <c r="N46" s="93">
        <f>IF(COUNTIFS('Data - Monthly Metrics'!A:A,$B$4,'Data - Monthly Metrics'!B:B,"Jul",'Data - Monthly Metrics'!C:C,"North King",'Data - Monthly Metrics'!D:D,"Billables - Hospitality Target (#)")=0,"-",SUMIFS('Data - Monthly Metrics'!E:E,'Data - Monthly Metrics'!A:A,$B$4,'Data - Monthly Metrics'!B:B,"Jul",'Data - Monthly Metrics'!C:C,"North King",'Data - Monthly Metrics'!D:D,"Billables - Hospitality Target (#)"))</f>
        <v/>
      </c>
      <c r="O46" s="93">
        <f>IF(COUNTIFS('Data - Monthly Metrics'!A:A,$B$4,'Data - Monthly Metrics'!B:B,"Aug",'Data - Monthly Metrics'!C:C,"North King",'Data - Monthly Metrics'!D:D,"Billables - Hospitality Target (#)")=0,"-",SUMIFS('Data - Monthly Metrics'!E:E,'Data - Monthly Metrics'!A:A,$B$4,'Data - Monthly Metrics'!B:B,"Aug",'Data - Monthly Metrics'!C:C,"North King",'Data - Monthly Metrics'!D:D,"Billables - Hospitality Target (#)"))</f>
        <v/>
      </c>
      <c r="P46" s="93">
        <f>IF(COUNTIFS('Data - Monthly Metrics'!A:A,$B$4,'Data - Monthly Metrics'!B:B,"Sep",'Data - Monthly Metrics'!C:C,"North King",'Data - Monthly Metrics'!D:D,"Billables - Hospitality Target (#)")=0,"-",SUMIFS('Data - Monthly Metrics'!E:E,'Data - Monthly Metrics'!A:A,$B$4,'Data - Monthly Metrics'!B:B,"Sep",'Data - Monthly Metrics'!C:C,"North King",'Data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Metrics'!C:C,"North King",'Data - Monthly Metrics'!D:D,"Member Locations - Target (#)")=0,"-",SUMIFS('Data - Monthly Metrics'!E:E,'Data - Monthly Metrics'!A:A,$B$4-1,'Data - Monthly Metrics'!B:B,"Oct",'Data - Monthly Metrics'!C:C,"North King",'Data - Monthly Metrics'!D:D,"Member Locations - Target (#)"))</f>
        <v/>
      </c>
      <c r="C47" s="93">
        <f>IF(COUNTIFS('Data - Monthly Metrics'!A:A,$B$4-1,'Data - Monthly Metrics'!B:B,"Nov",'Data - Monthly Metrics'!C:C,"North King",'Data - Monthly Metrics'!D:D,"Member Locations - Target (#)")=0,"-",SUMIFS('Data - Monthly Metrics'!E:E,'Data - Monthly Metrics'!A:A,$B$4-1,'Data - Monthly Metrics'!B:B,"Nov",'Data - Monthly Metrics'!C:C,"North King",'Data - Monthly Metrics'!D:D,"Member Locations - Target (#)"))</f>
        <v/>
      </c>
      <c r="D47" s="93">
        <f>IF(COUNTIFS('Data - Monthly Metrics'!A:A,$B$4-1,'Data - Monthly Metrics'!B:B,"Dec",'Data - Monthly Metrics'!C:C,"North King",'Data - Monthly Metrics'!D:D,"Member Locations - Target (#)")=0,"-",SUMIFS('Data - Monthly Metrics'!E:E,'Data - Monthly Metrics'!A:A,$B$4-1,'Data - Monthly Metrics'!B:B,"Dec",'Data - Monthly Metrics'!C:C,"North King",'Data - Monthly Metrics'!D:D,"Member Locations - Target (#)"))</f>
        <v/>
      </c>
      <c r="E47" s="103">
        <f>IF(ISNUMBER(D47),D47,IF(ISNUMBER(C47),C47,IF(ISNUMBER(B47),B47,"-")))</f>
        <v/>
      </c>
      <c r="F47" s="93">
        <f>IF(COUNTIFS('Data - Monthly Metrics'!A:A,$B$4,'Data - Monthly Metrics'!B:B,"Jan",'Data - Monthly Metrics'!C:C,"North King",'Data - Monthly Metrics'!D:D,"Member Locations - Target (#)")=0,"-",SUMIFS('Data - Monthly Metrics'!E:E,'Data - Monthly Metrics'!A:A,$B$4,'Data - Monthly Metrics'!B:B,"Jan",'Data - Monthly Metrics'!C:C,"North King",'Data - Monthly Metrics'!D:D,"Member Locations - Target (#)"))</f>
        <v/>
      </c>
      <c r="G47" s="93">
        <f>IF(COUNTIFS('Data - Monthly Metrics'!A:A,$B$4,'Data - Monthly Metrics'!B:B,"Feb",'Data - Monthly Metrics'!C:C,"North King",'Data - Monthly Metrics'!D:D,"Member Locations - Target (#)")=0,"-",SUMIFS('Data - Monthly Metrics'!E:E,'Data - Monthly Metrics'!A:A,$B$4,'Data - Monthly Metrics'!B:B,"Feb",'Data - Monthly Metrics'!C:C,"North King",'Data - Monthly Metrics'!D:D,"Member Locations - Target (#)"))</f>
        <v/>
      </c>
      <c r="H47" s="93">
        <f>IF(COUNTIFS('Data - Monthly Metrics'!A:A,$B$4,'Data - Monthly Metrics'!B:B,"Mar",'Data - Monthly Metrics'!C:C,"North King",'Data - Monthly Metrics'!D:D,"Member Locations - Target (#)")=0,"-",SUMIFS('Data - Monthly Metrics'!E:E,'Data - Monthly Metrics'!A:A,$B$4,'Data - Monthly Metrics'!B:B,"Mar",'Data - Monthly Metrics'!C:C,"North King",'Data - Monthly Metrics'!D:D,"Member Locations - Target (#)"))</f>
        <v/>
      </c>
      <c r="I47" s="103">
        <f>IF(ISNUMBER(H47),H47,IF(ISNUMBER(G47),G47,IF(ISNUMBER(F47),F47,"-")))</f>
        <v/>
      </c>
      <c r="J47" s="93">
        <f>IF(COUNTIFS('Data - Monthly Metrics'!A:A,$B$4,'Data - Monthly Metrics'!B:B,"Apr",'Data - Monthly Metrics'!C:C,"North King",'Data - Monthly Metrics'!D:D,"Member Locations - Target (#)")=0,"-",SUMIFS('Data - Monthly Metrics'!E:E,'Data - Monthly Metrics'!A:A,$B$4,'Data - Monthly Metrics'!B:B,"Apr",'Data - Monthly Metrics'!C:C,"North King",'Data - Monthly Metrics'!D:D,"Member Locations - Target (#)"))</f>
        <v/>
      </c>
      <c r="K47" s="93">
        <f>IF(COUNTIFS('Data - Monthly Metrics'!A:A,$B$4,'Data - Monthly Metrics'!B:B,"May",'Data - Monthly Metrics'!C:C,"North King",'Data - Monthly Metrics'!D:D,"Member Locations - Target (#)")=0,"-",SUMIFS('Data - Monthly Metrics'!E:E,'Data - Monthly Metrics'!A:A,$B$4,'Data - Monthly Metrics'!B:B,"May",'Data - Monthly Metrics'!C:C,"North King",'Data - Monthly Metrics'!D:D,"Member Locations - Target (#)"))</f>
        <v/>
      </c>
      <c r="L47" s="93">
        <f>IF(COUNTIFS('Data - Monthly Metrics'!A:A,$B$4,'Data - Monthly Metrics'!B:B,"Jun",'Data - Monthly Metrics'!C:C,"North King",'Data - Monthly Metrics'!D:D,"Member Locations - Target (#)")=0,"-",SUMIFS('Data - Monthly Metrics'!E:E,'Data - Monthly Metrics'!A:A,$B$4,'Data - Monthly Metrics'!B:B,"Jun",'Data - Monthly Metrics'!C:C,"North King",'Data - Monthly Metrics'!D:D,"Member Locations - Target (#)"))</f>
        <v/>
      </c>
      <c r="M47" s="103">
        <f>IF(ISNUMBER(L47),L47,IF(ISNUMBER(K47),K47,IF(ISNUMBER(J47),J47,"-")))</f>
        <v/>
      </c>
      <c r="N47" s="93">
        <f>IF(COUNTIFS('Data - Monthly Metrics'!A:A,$B$4,'Data - Monthly Metrics'!B:B,"Jul",'Data - Monthly Metrics'!C:C,"North King",'Data - Monthly Metrics'!D:D,"Member Locations - Target (#)")=0,"-",SUMIFS('Data - Monthly Metrics'!E:E,'Data - Monthly Metrics'!A:A,$B$4,'Data - Monthly Metrics'!B:B,"Jul",'Data - Monthly Metrics'!C:C,"North King",'Data - Monthly Metrics'!D:D,"Member Locations - Target (#)"))</f>
        <v/>
      </c>
      <c r="O47" s="93">
        <f>IF(COUNTIFS('Data - Monthly Metrics'!A:A,$B$4,'Data - Monthly Metrics'!B:B,"Aug",'Data - Monthly Metrics'!C:C,"North King",'Data - Monthly Metrics'!D:D,"Member Locations - Target (#)")=0,"-",SUMIFS('Data - Monthly Metrics'!E:E,'Data - Monthly Metrics'!A:A,$B$4,'Data - Monthly Metrics'!B:B,"Aug",'Data - Monthly Metrics'!C:C,"North King",'Data - Monthly Metrics'!D:D,"Member Locations - Target (#)"))</f>
        <v/>
      </c>
      <c r="P47" s="93">
        <f>IF(COUNTIFS('Data - Monthly Metrics'!A:A,$B$4,'Data - Monthly Metrics'!B:B,"Sep",'Data - Monthly Metrics'!C:C,"North King",'Data - Monthly Metrics'!D:D,"Member Locations - Target (#)")=0,"-",SUMIFS('Data - Monthly Metrics'!E:E,'Data - Monthly Metrics'!A:A,$B$4,'Data - Monthly Metrics'!B:B,"Sep",'Data - Monthly Metrics'!C:C,"North King",'Data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Metrics'!C:C,"North King",'Data - Monthly Metrics'!D:D,"Members Up for Renewal - Target (#)")=0,"-",SUMIFS('Data - Monthly Metrics'!E:E,'Data - Monthly Metrics'!A:A,$B$4-1,'Data - Monthly Metrics'!B:B,"Oct",'Data - Monthly Metrics'!C:C,"North King",'Data - Monthly Metrics'!D:D,"Members Up for Renewal - Target (#)"))</f>
        <v/>
      </c>
      <c r="C51" s="93">
        <f>IF(COUNTIFS('Data - Monthly Metrics'!A:A,$B$4-1,'Data - Monthly Metrics'!B:B,"Nov",'Data - Monthly Metrics'!C:C,"North King",'Data - Monthly Metrics'!D:D,"Members Up for Renewal - Target (#)")=0,"-",SUMIFS('Data - Monthly Metrics'!E:E,'Data - Monthly Metrics'!A:A,$B$4-1,'Data - Monthly Metrics'!B:B,"Nov",'Data - Monthly Metrics'!C:C,"North King",'Data - Monthly Metrics'!D:D,"Members Up for Renewal - Target (#)"))</f>
        <v/>
      </c>
      <c r="D51" s="93">
        <f>IF(COUNTIFS('Data - Monthly Metrics'!A:A,$B$4-1,'Data - Monthly Metrics'!B:B,"Dec",'Data - Monthly Metrics'!C:C,"North King",'Data - Monthly Metrics'!D:D,"Members Up for Renewal - Target (#)")=0,"-",SUMIFS('Data - Monthly Metrics'!E:E,'Data - Monthly Metrics'!A:A,$B$4-1,'Data - Monthly Metrics'!B:B,"Dec",'Data - Monthly Metrics'!C:C,"North King",'Data - Monthly Metrics'!D:D,"Members Up for Renewal - Target (#)"))</f>
        <v/>
      </c>
      <c r="E51" s="103">
        <f>SUM(B51,C51,D51)</f>
        <v/>
      </c>
      <c r="F51" s="93">
        <f>IF(COUNTIFS('Data - Monthly Metrics'!A:A,$B$4,'Data - Monthly Metrics'!B:B,"Jan",'Data - Monthly Metrics'!C:C,"North King",'Data - Monthly Metrics'!D:D,"Members Up for Renewal - Target (#)")=0,"-",SUMIFS('Data - Monthly Metrics'!E:E,'Data - Monthly Metrics'!A:A,$B$4,'Data - Monthly Metrics'!B:B,"Jan",'Data - Monthly Metrics'!C:C,"North King",'Data - Monthly Metrics'!D:D,"Members Up for Renewal - Target (#)"))</f>
        <v/>
      </c>
      <c r="G51" s="93">
        <f>IF(COUNTIFS('Data - Monthly Metrics'!A:A,$B$4,'Data - Monthly Metrics'!B:B,"Feb",'Data - Monthly Metrics'!C:C,"North King",'Data - Monthly Metrics'!D:D,"Members Up for Renewal - Target (#)")=0,"-",SUMIFS('Data - Monthly Metrics'!E:E,'Data - Monthly Metrics'!A:A,$B$4,'Data - Monthly Metrics'!B:B,"Feb",'Data - Monthly Metrics'!C:C,"North King",'Data - Monthly Metrics'!D:D,"Members Up for Renewal - Target (#)"))</f>
        <v/>
      </c>
      <c r="H51" s="93">
        <f>IF(COUNTIFS('Data - Monthly Metrics'!A:A,$B$4,'Data - Monthly Metrics'!B:B,"Mar",'Data - Monthly Metrics'!C:C,"North King",'Data - Monthly Metrics'!D:D,"Members Up for Renewal - Target (#)")=0,"-",SUMIFS('Data - Monthly Metrics'!E:E,'Data - Monthly Metrics'!A:A,$B$4,'Data - Monthly Metrics'!B:B,"Mar",'Data - Monthly Metrics'!C:C,"North King",'Data - Monthly Metrics'!D:D,"Members Up for Renewal - Target (#)"))</f>
        <v/>
      </c>
      <c r="I51" s="103">
        <f>SUM(F51,G51,H51)</f>
        <v/>
      </c>
      <c r="J51" s="93">
        <f>IF(COUNTIFS('Data - Monthly Metrics'!A:A,$B$4,'Data - Monthly Metrics'!B:B,"Apr",'Data - Monthly Metrics'!C:C,"North King",'Data - Monthly Metrics'!D:D,"Members Up for Renewal - Target (#)")=0,"-",SUMIFS('Data - Monthly Metrics'!E:E,'Data - Monthly Metrics'!A:A,$B$4,'Data - Monthly Metrics'!B:B,"Apr",'Data - Monthly Metrics'!C:C,"North King",'Data - Monthly Metrics'!D:D,"Members Up for Renewal - Target (#)"))</f>
        <v/>
      </c>
      <c r="K51" s="93">
        <f>IF(COUNTIFS('Data - Monthly Metrics'!A:A,$B$4,'Data - Monthly Metrics'!B:B,"May",'Data - Monthly Metrics'!C:C,"North King",'Data - Monthly Metrics'!D:D,"Members Up for Renewal - Target (#)")=0,"-",SUMIFS('Data - Monthly Metrics'!E:E,'Data - Monthly Metrics'!A:A,$B$4,'Data - Monthly Metrics'!B:B,"May",'Data - Monthly Metrics'!C:C,"North King",'Data - Monthly Metrics'!D:D,"Members Up for Renewal - Target (#)"))</f>
        <v/>
      </c>
      <c r="L51" s="93">
        <f>IF(COUNTIFS('Data - Monthly Metrics'!A:A,$B$4,'Data - Monthly Metrics'!B:B,"Jun",'Data - Monthly Metrics'!C:C,"North King",'Data - Monthly Metrics'!D:D,"Members Up for Renewal - Target (#)")=0,"-",SUMIFS('Data - Monthly Metrics'!E:E,'Data - Monthly Metrics'!A:A,$B$4,'Data - Monthly Metrics'!B:B,"Jun",'Data - Monthly Metrics'!C:C,"North King",'Data - Monthly Metrics'!D:D,"Members Up for Renewal - Target (#)"))</f>
        <v/>
      </c>
      <c r="M51" s="103">
        <f>SUM(J51,K51,L51)</f>
        <v/>
      </c>
      <c r="N51" s="93">
        <f>IF(COUNTIFS('Data - Monthly Metrics'!A:A,$B$4,'Data - Monthly Metrics'!B:B,"Jul",'Data - Monthly Metrics'!C:C,"North King",'Data - Monthly Metrics'!D:D,"Members Up for Renewal - Target (#)")=0,"-",SUMIFS('Data - Monthly Metrics'!E:E,'Data - Monthly Metrics'!A:A,$B$4,'Data - Monthly Metrics'!B:B,"Jul",'Data - Monthly Metrics'!C:C,"North King",'Data - Monthly Metrics'!D:D,"Members Up for Renewal - Target (#)"))</f>
        <v/>
      </c>
      <c r="O51" s="93">
        <f>IF(COUNTIFS('Data - Monthly Metrics'!A:A,$B$4,'Data - Monthly Metrics'!B:B,"Aug",'Data - Monthly Metrics'!C:C,"North King",'Data - Monthly Metrics'!D:D,"Members Up for Renewal - Target (#)")=0,"-",SUMIFS('Data - Monthly Metrics'!E:E,'Data - Monthly Metrics'!A:A,$B$4,'Data - Monthly Metrics'!B:B,"Aug",'Data - Monthly Metrics'!C:C,"North King",'Data - Monthly Metrics'!D:D,"Members Up for Renewal - Target (#)"))</f>
        <v/>
      </c>
      <c r="P51" s="93">
        <f>IF(COUNTIFS('Data - Monthly Metrics'!A:A,$B$4,'Data - Monthly Metrics'!B:B,"Sep",'Data - Monthly Metrics'!C:C,"North King",'Data - Monthly Metrics'!D:D,"Members Up for Renewal - Target (#)")=0,"-",SUMIFS('Data - Monthly Metrics'!E:E,'Data - Monthly Metrics'!A:A,$B$4,'Data - Monthly Metrics'!B:B,"Sep",'Data - Monthly Metrics'!C:C,"North King",'Data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Metrics'!C:C,"North King",'Data - Monthly Metrics'!D:D,"Members Retained - Target (#)")=0,"-",SUMIFS('Data - Monthly Metrics'!E:E,'Data - Monthly Metrics'!A:A,$B$4-1,'Data - Monthly Metrics'!B:B,"Oct",'Data - Monthly Metrics'!C:C,"North King",'Data - Monthly Metrics'!D:D,"Members Retained - Target (#)"))</f>
        <v/>
      </c>
      <c r="C52" s="98">
        <f>IF(COUNTIFS('Data - Monthly Metrics'!A:A,$B$4-1,'Data - Monthly Metrics'!B:B,"Nov",'Data - Monthly Metrics'!C:C,"North King",'Data - Monthly Metrics'!D:D,"Members Retained - Target (#)")=0,"-",SUMIFS('Data - Monthly Metrics'!E:E,'Data - Monthly Metrics'!A:A,$B$4-1,'Data - Monthly Metrics'!B:B,"Nov",'Data - Monthly Metrics'!C:C,"North King",'Data - Monthly Metrics'!D:D,"Members Retained - Target (#)"))</f>
        <v/>
      </c>
      <c r="D52" s="98">
        <f>IF(COUNTIFS('Data - Monthly Metrics'!A:A,$B$4-1,'Data - Monthly Metrics'!B:B,"Dec",'Data - Monthly Metrics'!C:C,"North King",'Data - Monthly Metrics'!D:D,"Members Retained - Target (#)")=0,"-",SUMIFS('Data - Monthly Metrics'!E:E,'Data - Monthly Metrics'!A:A,$B$4-1,'Data - Monthly Metrics'!B:B,"Dec",'Data - Monthly Metrics'!C:C,"North King",'Data - Monthly Metrics'!D:D,"Members Retained - Target (#)"))</f>
        <v/>
      </c>
      <c r="E52" s="103">
        <f>SUM(B52,C52,D52)</f>
        <v/>
      </c>
      <c r="F52" s="98">
        <f>IF(COUNTIFS('Data - Monthly Metrics'!A:A,$B$4,'Data - Monthly Metrics'!B:B,"Jan",'Data - Monthly Metrics'!C:C,"North King",'Data - Monthly Metrics'!D:D,"Members Retained - Target (#)")=0,"-",SUMIFS('Data - Monthly Metrics'!E:E,'Data - Monthly Metrics'!A:A,$B$4,'Data - Monthly Metrics'!B:B,"Jan",'Data - Monthly Metrics'!C:C,"North King",'Data - Monthly Metrics'!D:D,"Members Retained - Target (#)"))</f>
        <v/>
      </c>
      <c r="G52" s="98">
        <f>IF(COUNTIFS('Data - Monthly Metrics'!A:A,$B$4,'Data - Monthly Metrics'!B:B,"Feb",'Data - Monthly Metrics'!C:C,"North King",'Data - Monthly Metrics'!D:D,"Members Retained - Target (#)")=0,"-",SUMIFS('Data - Monthly Metrics'!E:E,'Data - Monthly Metrics'!A:A,$B$4,'Data - Monthly Metrics'!B:B,"Feb",'Data - Monthly Metrics'!C:C,"North King",'Data - Monthly Metrics'!D:D,"Members Retained - Target (#)"))</f>
        <v/>
      </c>
      <c r="H52" s="98">
        <f>IF(COUNTIFS('Data - Monthly Metrics'!A:A,$B$4,'Data - Monthly Metrics'!B:B,"Mar",'Data - Monthly Metrics'!C:C,"North King",'Data - Monthly Metrics'!D:D,"Members Retained - Target (#)")=0,"-",SUMIFS('Data - Monthly Metrics'!E:E,'Data - Monthly Metrics'!A:A,$B$4,'Data - Monthly Metrics'!B:B,"Mar",'Data - Monthly Metrics'!C:C,"North King",'Data - Monthly Metrics'!D:D,"Members Retained - Target (#)"))</f>
        <v/>
      </c>
      <c r="I52" s="103">
        <f>SUM(F52,G52,H52)</f>
        <v/>
      </c>
      <c r="J52" s="98">
        <f>IF(COUNTIFS('Data - Monthly Metrics'!A:A,$B$4,'Data - Monthly Metrics'!B:B,"Apr",'Data - Monthly Metrics'!C:C,"North King",'Data - Monthly Metrics'!D:D,"Members Retained - Target (#)")=0,"-",SUMIFS('Data - Monthly Metrics'!E:E,'Data - Monthly Metrics'!A:A,$B$4,'Data - Monthly Metrics'!B:B,"Apr",'Data - Monthly Metrics'!C:C,"North King",'Data - Monthly Metrics'!D:D,"Members Retained - Target (#)"))</f>
        <v/>
      </c>
      <c r="K52" s="98">
        <f>IF(COUNTIFS('Data - Monthly Metrics'!A:A,$B$4,'Data - Monthly Metrics'!B:B,"May",'Data - Monthly Metrics'!C:C,"North King",'Data - Monthly Metrics'!D:D,"Members Retained - Target (#)")=0,"-",SUMIFS('Data - Monthly Metrics'!E:E,'Data - Monthly Metrics'!A:A,$B$4,'Data - Monthly Metrics'!B:B,"May",'Data - Monthly Metrics'!C:C,"North King",'Data - Monthly Metrics'!D:D,"Members Retained - Target (#)"))</f>
        <v/>
      </c>
      <c r="L52" s="98">
        <f>IF(COUNTIFS('Data - Monthly Metrics'!A:A,$B$4,'Data - Monthly Metrics'!B:B,"Jun",'Data - Monthly Metrics'!C:C,"North King",'Data - Monthly Metrics'!D:D,"Members Retained - Target (#)")=0,"-",SUMIFS('Data - Monthly Metrics'!E:E,'Data - Monthly Metrics'!A:A,$B$4,'Data - Monthly Metrics'!B:B,"Jun",'Data - Monthly Metrics'!C:C,"North King",'Data - Monthly Metrics'!D:D,"Members Retained - Target (#)"))</f>
        <v/>
      </c>
      <c r="M52" s="103">
        <f>SUM(J52,K52,L52)</f>
        <v/>
      </c>
      <c r="N52" s="98">
        <f>IF(COUNTIFS('Data - Monthly Metrics'!A:A,$B$4,'Data - Monthly Metrics'!B:B,"Jul",'Data - Monthly Metrics'!C:C,"North King",'Data - Monthly Metrics'!D:D,"Members Retained - Target (#)")=0,"-",SUMIFS('Data - Monthly Metrics'!E:E,'Data - Monthly Metrics'!A:A,$B$4,'Data - Monthly Metrics'!B:B,"Jul",'Data - Monthly Metrics'!C:C,"North King",'Data - Monthly Metrics'!D:D,"Members Retained - Target (#)"))</f>
        <v/>
      </c>
      <c r="O52" s="98">
        <f>IF(COUNTIFS('Data - Monthly Metrics'!A:A,$B$4,'Data - Monthly Metrics'!B:B,"Aug",'Data - Monthly Metrics'!C:C,"North King",'Data - Monthly Metrics'!D:D,"Members Retained - Target (#)")=0,"-",SUMIFS('Data - Monthly Metrics'!E:E,'Data - Monthly Metrics'!A:A,$B$4,'Data - Monthly Metrics'!B:B,"Aug",'Data - Monthly Metrics'!C:C,"North King",'Data - Monthly Metrics'!D:D,"Members Retained - Target (#)"))</f>
        <v/>
      </c>
      <c r="P52" s="98">
        <f>IF(COUNTIFS('Data - Monthly Metrics'!A:A,$B$4,'Data - Monthly Metrics'!B:B,"Sep",'Data - Monthly Metrics'!C:C,"North King",'Data - Monthly Metrics'!D:D,"Members Retained - Target (#)")=0,"-",SUMIFS('Data - Monthly Metrics'!E:E,'Data - Monthly Metrics'!A:A,$B$4,'Data - Monthly Metrics'!B:B,"Sep",'Data - Monthly Metrics'!C:C,"North King",'Data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Metrics'!$C:$C,"North King",'Data - Monthly Metrics'!$D:$D,"Goal - Retention %")=0),"—",IF(B53&gt;=SUMIFS('Data - Monthly Metrics'!$E:$E,'Data - Monthly Metrics'!$A:$A,$B$4-1,'Data - Monthly Metrics'!$B:$B,B$8,'Data - Monthly Metrics'!$C:$C,"North King",'Data - Monthly Metrics'!$D:$D,"Goal - Retention %"),"On Track",IF(B53&gt;=SUMIFS('Data - Monthly Metrics'!$E:$E,'Data - Monthly Metrics'!$A:$A,$B$4-1,'Data - Monthly Metrics'!$B:$B,B$8,'Data - Monthly Metrics'!$C:$C,"North King",'Data - Monthly Metrics'!$D:$D,"Goal - Retention %")-0.05,"Watch","At Risk")))</f>
        <v/>
      </c>
      <c r="C54" s="120">
        <f>IF(OR(NOT(ISNUMBER(C53)),C53=0,COUNTIFS('Data - Monthly Metrics'!$A:$A,$B$4-1,'Data - Monthly Metrics'!$B:$B,C$8,'Data - Monthly Metrics'!$C:$C,"North King",'Data - Monthly Metrics'!$D:$D,"Goal - Retention %")=0),"—",IF(C53&gt;=SUMIFS('Data - Monthly Metrics'!$E:$E,'Data - Monthly Metrics'!$A:$A,$B$4-1,'Data - Monthly Metrics'!$B:$B,C$8,'Data - Monthly Metrics'!$C:$C,"North King",'Data - Monthly Metrics'!$D:$D,"Goal - Retention %"),"On Track",IF(C53&gt;=SUMIFS('Data - Monthly Metrics'!$E:$E,'Data - Monthly Metrics'!$A:$A,$B$4-1,'Data - Monthly Metrics'!$B:$B,C$8,'Data - Monthly Metrics'!$C:$C,"North King",'Data - Monthly Metrics'!$D:$D,"Goal - Retention %")-0.05,"Watch","At Risk")))</f>
        <v/>
      </c>
      <c r="D54" s="120">
        <f>IF(OR(NOT(ISNUMBER(D53)),D53=0,COUNTIFS('Data - Monthly Metrics'!$A:$A,$B$4-1,'Data - Monthly Metrics'!$B:$B,D$8,'Data - Monthly Metrics'!$C:$C,"North King",'Data - Monthly Metrics'!$D:$D,"Goal - Retention %")=0),"—",IF(D53&gt;=SUMIFS('Data - Monthly Metrics'!$E:$E,'Data - Monthly Metrics'!$A:$A,$B$4-1,'Data - Monthly Metrics'!$B:$B,D$8,'Data - Monthly Metrics'!$C:$C,"North King",'Data - Monthly Metrics'!$D:$D,"Goal - Retention %"),"On Track",IF(D53&gt;=SUMIFS('Data - Monthly Metrics'!$E:$E,'Data - Monthly Metrics'!$A:$A,$B$4-1,'Data - Monthly Metrics'!$B:$B,D$8,'Data - Monthly Metrics'!$C:$C,"North King",'Data - Monthly Metrics'!$D:$D,"Goal - Retention %")-0.05,"Watch","At Risk")))</f>
        <v/>
      </c>
      <c r="E54" s="121">
        <f>"—"</f>
        <v/>
      </c>
      <c r="F54" s="120">
        <f>IF(OR(NOT(ISNUMBER(F53)),F53=0,COUNTIFS('Data - Monthly Metrics'!$A:$A,$B$4,'Data - Monthly Metrics'!$B:$B,F$8,'Data - Monthly Metrics'!$C:$C,"North King",'Data - Monthly Metrics'!$D:$D,"Goal - Retention %")=0),"—",IF(F53&gt;=SUMIFS('Data - Monthly Metrics'!$E:$E,'Data - Monthly Metrics'!$A:$A,$B$4,'Data - Monthly Metrics'!$B:$B,F$8,'Data - Monthly Metrics'!$C:$C,"North King",'Data - Monthly Metrics'!$D:$D,"Goal - Retention %"),"On Track",IF(F53&gt;=SUMIFS('Data - Monthly Metrics'!$E:$E,'Data - Monthly Metrics'!$A:$A,$B$4,'Data - Monthly Metrics'!$B:$B,F$8,'Data - Monthly Metrics'!$C:$C,"North King",'Data - Monthly Metrics'!$D:$D,"Goal - Retention %")-0.05,"Watch","At Risk")))</f>
        <v/>
      </c>
      <c r="G54" s="120">
        <f>IF(OR(NOT(ISNUMBER(G53)),G53=0,COUNTIFS('Data - Monthly Metrics'!$A:$A,$B$4,'Data - Monthly Metrics'!$B:$B,G$8,'Data - Monthly Metrics'!$C:$C,"North King",'Data - Monthly Metrics'!$D:$D,"Goal - Retention %")=0),"—",IF(G53&gt;=SUMIFS('Data - Monthly Metrics'!$E:$E,'Data - Monthly Metrics'!$A:$A,$B$4,'Data - Monthly Metrics'!$B:$B,G$8,'Data - Monthly Metrics'!$C:$C,"North King",'Data - Monthly Metrics'!$D:$D,"Goal - Retention %"),"On Track",IF(G53&gt;=SUMIFS('Data - Monthly Metrics'!$E:$E,'Data - Monthly Metrics'!$A:$A,$B$4,'Data - Monthly Metrics'!$B:$B,G$8,'Data - Monthly Metrics'!$C:$C,"North King",'Data - Monthly Metrics'!$D:$D,"Goal - Retention %")-0.05,"Watch","At Risk")))</f>
        <v/>
      </c>
      <c r="H54" s="120">
        <f>IF(OR(NOT(ISNUMBER(H53)),H53=0,COUNTIFS('Data - Monthly Metrics'!$A:$A,$B$4,'Data - Monthly Metrics'!$B:$B,H$8,'Data - Monthly Metrics'!$C:$C,"North King",'Data - Monthly Metrics'!$D:$D,"Goal - Retention %")=0),"—",IF(H53&gt;=SUMIFS('Data - Monthly Metrics'!$E:$E,'Data - Monthly Metrics'!$A:$A,$B$4,'Data - Monthly Metrics'!$B:$B,H$8,'Data - Monthly Metrics'!$C:$C,"North King",'Data - Monthly Metrics'!$D:$D,"Goal - Retention %"),"On Track",IF(H53&gt;=SUMIFS('Data - Monthly Metrics'!$E:$E,'Data - Monthly Metrics'!$A:$A,$B$4,'Data - Monthly Metrics'!$B:$B,H$8,'Data - Monthly Metrics'!$C:$C,"North King",'Data - Monthly Metrics'!$D:$D,"Goal - Retention %")-0.05,"Watch","At Risk")))</f>
        <v/>
      </c>
      <c r="I54" s="121">
        <f>"—"</f>
        <v/>
      </c>
      <c r="J54" s="120">
        <f>IF(OR(NOT(ISNUMBER(J53)),J53=0,COUNTIFS('Data - Monthly Metrics'!$A:$A,$B$4,'Data - Monthly Metrics'!$B:$B,J$8,'Data - Monthly Metrics'!$C:$C,"North King",'Data - Monthly Metrics'!$D:$D,"Goal - Retention %")=0),"—",IF(J53&gt;=SUMIFS('Data - Monthly Metrics'!$E:$E,'Data - Monthly Metrics'!$A:$A,$B$4,'Data - Monthly Metrics'!$B:$B,J$8,'Data - Monthly Metrics'!$C:$C,"North King",'Data - Monthly Metrics'!$D:$D,"Goal - Retention %"),"On Track",IF(J53&gt;=SUMIFS('Data - Monthly Metrics'!$E:$E,'Data - Monthly Metrics'!$A:$A,$B$4,'Data - Monthly Metrics'!$B:$B,J$8,'Data - Monthly Metrics'!$C:$C,"North King",'Data - Monthly Metrics'!$D:$D,"Goal - Retention %")-0.05,"Watch","At Risk")))</f>
        <v/>
      </c>
      <c r="K54" s="120">
        <f>IF(OR(NOT(ISNUMBER(K53)),K53=0,COUNTIFS('Data - Monthly Metrics'!$A:$A,$B$4,'Data - Monthly Metrics'!$B:$B,K$8,'Data - Monthly Metrics'!$C:$C,"North King",'Data - Monthly Metrics'!$D:$D,"Goal - Retention %")=0),"—",IF(K53&gt;=SUMIFS('Data - Monthly Metrics'!$E:$E,'Data - Monthly Metrics'!$A:$A,$B$4,'Data - Monthly Metrics'!$B:$B,K$8,'Data - Monthly Metrics'!$C:$C,"North King",'Data - Monthly Metrics'!$D:$D,"Goal - Retention %"),"On Track",IF(K53&gt;=SUMIFS('Data - Monthly Metrics'!$E:$E,'Data - Monthly Metrics'!$A:$A,$B$4,'Data - Monthly Metrics'!$B:$B,K$8,'Data - Monthly Metrics'!$C:$C,"North King",'Data - Monthly Metrics'!$D:$D,"Goal - Retention %")-0.05,"Watch","At Risk")))</f>
        <v/>
      </c>
      <c r="L54" s="120">
        <f>IF(OR(NOT(ISNUMBER(L53)),L53=0,COUNTIFS('Data - Monthly Metrics'!$A:$A,$B$4,'Data - Monthly Metrics'!$B:$B,L$8,'Data - Monthly Metrics'!$C:$C,"North King",'Data - Monthly Metrics'!$D:$D,"Goal - Retention %")=0),"—",IF(L53&gt;=SUMIFS('Data - Monthly Metrics'!$E:$E,'Data - Monthly Metrics'!$A:$A,$B$4,'Data - Monthly Metrics'!$B:$B,L$8,'Data - Monthly Metrics'!$C:$C,"North King",'Data - Monthly Metrics'!$D:$D,"Goal - Retention %"),"On Track",IF(L53&gt;=SUMIFS('Data - Monthly Metrics'!$E:$E,'Data - Monthly Metrics'!$A:$A,$B$4,'Data - Monthly Metrics'!$B:$B,L$8,'Data - Monthly Metrics'!$C:$C,"North King",'Data - Monthly Metrics'!$D:$D,"Goal - Retention %")-0.05,"Watch","At Risk")))</f>
        <v/>
      </c>
      <c r="M54" s="121">
        <f>"—"</f>
        <v/>
      </c>
      <c r="N54" s="120">
        <f>IF(OR(NOT(ISNUMBER(N53)),N53=0,COUNTIFS('Data - Monthly Metrics'!$A:$A,$B$4,'Data - Monthly Metrics'!$B:$B,N$8,'Data - Monthly Metrics'!$C:$C,"North King",'Data - Monthly Metrics'!$D:$D,"Goal - Retention %")=0),"—",IF(N53&gt;=SUMIFS('Data - Monthly Metrics'!$E:$E,'Data - Monthly Metrics'!$A:$A,$B$4,'Data - Monthly Metrics'!$B:$B,N$8,'Data - Monthly Metrics'!$C:$C,"North King",'Data - Monthly Metrics'!$D:$D,"Goal - Retention %"),"On Track",IF(N53&gt;=SUMIFS('Data - Monthly Metrics'!$E:$E,'Data - Monthly Metrics'!$A:$A,$B$4,'Data - Monthly Metrics'!$B:$B,N$8,'Data - Monthly Metrics'!$C:$C,"North King",'Data - Monthly Metrics'!$D:$D,"Goal - Retention %")-0.05,"Watch","At Risk")))</f>
        <v/>
      </c>
      <c r="O54" s="120">
        <f>IF(OR(NOT(ISNUMBER(O53)),O53=0,COUNTIFS('Data - Monthly Metrics'!$A:$A,$B$4,'Data - Monthly Metrics'!$B:$B,O$8,'Data - Monthly Metrics'!$C:$C,"North King",'Data - Monthly Metrics'!$D:$D,"Goal - Retention %")=0),"—",IF(O53&gt;=SUMIFS('Data - Monthly Metrics'!$E:$E,'Data - Monthly Metrics'!$A:$A,$B$4,'Data - Monthly Metrics'!$B:$B,O$8,'Data - Monthly Metrics'!$C:$C,"North King",'Data - Monthly Metrics'!$D:$D,"Goal - Retention %"),"On Track",IF(O53&gt;=SUMIFS('Data - Monthly Metrics'!$E:$E,'Data - Monthly Metrics'!$A:$A,$B$4,'Data - Monthly Metrics'!$B:$B,O$8,'Data - Monthly Metrics'!$C:$C,"North King",'Data - Monthly Metrics'!$D:$D,"Goal - Retention %")-0.05,"Watch","At Risk")))</f>
        <v/>
      </c>
      <c r="P54" s="120">
        <f>IF(OR(NOT(ISNUMBER(P53)),P53=0,COUNTIFS('Data - Monthly Metrics'!$A:$A,$B$4,'Data - Monthly Metrics'!$B:$B,P$8,'Data - Monthly Metrics'!$C:$C,"North King",'Data - Monthly Metrics'!$D:$D,"Goal - Retention %")=0),"—",IF(P53&gt;=SUMIFS('Data - Monthly Metrics'!$E:$E,'Data - Monthly Metrics'!$A:$A,$B$4,'Data - Monthly Metrics'!$B:$B,P$8,'Data - Monthly Metrics'!$C:$C,"North King",'Data - Monthly Metrics'!$D:$D,"Goal - Retention %"),"On Track",IF(P53&gt;=SUMIFS('Data - Monthly Metrics'!$E:$E,'Data - Monthly Metrics'!$A:$A,$B$4,'Data - Monthly Metrics'!$B:$B,P$8,'Data - Monthly Metrics'!$C:$C,"North King",'Data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Metrics'!C:C,"North King",'Data - Monthly Metrics'!D:D,"Revenue Up for Renewal - Target ($)")=0,"-",SUMIFS('Data - Monthly Metrics'!E:E,'Data - Monthly Metrics'!A:A,$B$4-1,'Data - Monthly Metrics'!B:B,"Oct",'Data - Monthly Metrics'!C:C,"North King",'Data - Monthly Metrics'!D:D,"Revenue Up for Renewal - Target ($)"))</f>
        <v/>
      </c>
      <c r="C55" s="91">
        <f>IF(COUNTIFS('Data - Monthly Metrics'!A:A,$B$4-1,'Data - Monthly Metrics'!B:B,"Nov",'Data - Monthly Metrics'!C:C,"North King",'Data - Monthly Metrics'!D:D,"Revenue Up for Renewal - Target ($)")=0,"-",SUMIFS('Data - Monthly Metrics'!E:E,'Data - Monthly Metrics'!A:A,$B$4-1,'Data - Monthly Metrics'!B:B,"Nov",'Data - Monthly Metrics'!C:C,"North King",'Data - Monthly Metrics'!D:D,"Revenue Up for Renewal - Target ($)"))</f>
        <v/>
      </c>
      <c r="D55" s="91">
        <f>IF(COUNTIFS('Data - Monthly Metrics'!A:A,$B$4-1,'Data - Monthly Metrics'!B:B,"Dec",'Data - Monthly Metrics'!C:C,"North King",'Data - Monthly Metrics'!D:D,"Revenue Up for Renewal - Target ($)")=0,"-",SUMIFS('Data - Monthly Metrics'!E:E,'Data - Monthly Metrics'!A:A,$B$4-1,'Data - Monthly Metrics'!B:B,"Dec",'Data - Monthly Metrics'!C:C,"North King",'Data - Monthly Metrics'!D:D,"Revenue Up for Renewal - Target ($)"))</f>
        <v/>
      </c>
      <c r="E55" s="101">
        <f>SUM(B55,C55,D55)</f>
        <v/>
      </c>
      <c r="F55" s="91">
        <f>IF(COUNTIFS('Data - Monthly Metrics'!A:A,$B$4,'Data - Monthly Metrics'!B:B,"Jan",'Data - Monthly Metrics'!C:C,"North King",'Data - Monthly Metrics'!D:D,"Revenue Up for Renewal - Target ($)")=0,"-",SUMIFS('Data - Monthly Metrics'!E:E,'Data - Monthly Metrics'!A:A,$B$4,'Data - Monthly Metrics'!B:B,"Jan",'Data - Monthly Metrics'!C:C,"North King",'Data - Monthly Metrics'!D:D,"Revenue Up for Renewal - Target ($)"))</f>
        <v/>
      </c>
      <c r="G55" s="91">
        <f>IF(COUNTIFS('Data - Monthly Metrics'!A:A,$B$4,'Data - Monthly Metrics'!B:B,"Feb",'Data - Monthly Metrics'!C:C,"North King",'Data - Monthly Metrics'!D:D,"Revenue Up for Renewal - Target ($)")=0,"-",SUMIFS('Data - Monthly Metrics'!E:E,'Data - Monthly Metrics'!A:A,$B$4,'Data - Monthly Metrics'!B:B,"Feb",'Data - Monthly Metrics'!C:C,"North King",'Data - Monthly Metrics'!D:D,"Revenue Up for Renewal - Target ($)"))</f>
        <v/>
      </c>
      <c r="H55" s="91">
        <f>IF(COUNTIFS('Data - Monthly Metrics'!A:A,$B$4,'Data - Monthly Metrics'!B:B,"Mar",'Data - Monthly Metrics'!C:C,"North King",'Data - Monthly Metrics'!D:D,"Revenue Up for Renewal - Target ($)")=0,"-",SUMIFS('Data - Monthly Metrics'!E:E,'Data - Monthly Metrics'!A:A,$B$4,'Data - Monthly Metrics'!B:B,"Mar",'Data - Monthly Metrics'!C:C,"North King",'Data - Monthly Metrics'!D:D,"Revenue Up for Renewal - Target ($)"))</f>
        <v/>
      </c>
      <c r="I55" s="101">
        <f>SUM(F55,G55,H55)</f>
        <v/>
      </c>
      <c r="J55" s="91">
        <f>IF(COUNTIFS('Data - Monthly Metrics'!A:A,$B$4,'Data - Monthly Metrics'!B:B,"Apr",'Data - Monthly Metrics'!C:C,"North King",'Data - Monthly Metrics'!D:D,"Revenue Up for Renewal - Target ($)")=0,"-",SUMIFS('Data - Monthly Metrics'!E:E,'Data - Monthly Metrics'!A:A,$B$4,'Data - Monthly Metrics'!B:B,"Apr",'Data - Monthly Metrics'!C:C,"North King",'Data - Monthly Metrics'!D:D,"Revenue Up for Renewal - Target ($)"))</f>
        <v/>
      </c>
      <c r="K55" s="91">
        <f>IF(COUNTIFS('Data - Monthly Metrics'!A:A,$B$4,'Data - Monthly Metrics'!B:B,"May",'Data - Monthly Metrics'!C:C,"North King",'Data - Monthly Metrics'!D:D,"Revenue Up for Renewal - Target ($)")=0,"-",SUMIFS('Data - Monthly Metrics'!E:E,'Data - Monthly Metrics'!A:A,$B$4,'Data - Monthly Metrics'!B:B,"May",'Data - Monthly Metrics'!C:C,"North King",'Data - Monthly Metrics'!D:D,"Revenue Up for Renewal - Target ($)"))</f>
        <v/>
      </c>
      <c r="L55" s="91">
        <f>IF(COUNTIFS('Data - Monthly Metrics'!A:A,$B$4,'Data - Monthly Metrics'!B:B,"Jun",'Data - Monthly Metrics'!C:C,"North King",'Data - Monthly Metrics'!D:D,"Revenue Up for Renewal - Target ($)")=0,"-",SUMIFS('Data - Monthly Metrics'!E:E,'Data - Monthly Metrics'!A:A,$B$4,'Data - Monthly Metrics'!B:B,"Jun",'Data - Monthly Metrics'!C:C,"North King",'Data - Monthly Metrics'!D:D,"Revenue Up for Renewal - Target ($)"))</f>
        <v/>
      </c>
      <c r="M55" s="101">
        <f>SUM(J55,K55,L55)</f>
        <v/>
      </c>
      <c r="N55" s="91">
        <f>IF(COUNTIFS('Data - Monthly Metrics'!A:A,$B$4,'Data - Monthly Metrics'!B:B,"Jul",'Data - Monthly Metrics'!C:C,"North King",'Data - Monthly Metrics'!D:D,"Revenue Up for Renewal - Target ($)")=0,"-",SUMIFS('Data - Monthly Metrics'!E:E,'Data - Monthly Metrics'!A:A,$B$4,'Data - Monthly Metrics'!B:B,"Jul",'Data - Monthly Metrics'!C:C,"North King",'Data - Monthly Metrics'!D:D,"Revenue Up for Renewal - Target ($)"))</f>
        <v/>
      </c>
      <c r="O55" s="91">
        <f>IF(COUNTIFS('Data - Monthly Metrics'!A:A,$B$4,'Data - Monthly Metrics'!B:B,"Aug",'Data - Monthly Metrics'!C:C,"North King",'Data - Monthly Metrics'!D:D,"Revenue Up for Renewal - Target ($)")=0,"-",SUMIFS('Data - Monthly Metrics'!E:E,'Data - Monthly Metrics'!A:A,$B$4,'Data - Monthly Metrics'!B:B,"Aug",'Data - Monthly Metrics'!C:C,"North King",'Data - Monthly Metrics'!D:D,"Revenue Up for Renewal - Target ($)"))</f>
        <v/>
      </c>
      <c r="P55" s="91">
        <f>IF(COUNTIFS('Data - Monthly Metrics'!A:A,$B$4,'Data - Monthly Metrics'!B:B,"Sep",'Data - Monthly Metrics'!C:C,"North King",'Data - Monthly Metrics'!D:D,"Revenue Up for Renewal - Target ($)")=0,"-",SUMIFS('Data - Monthly Metrics'!E:E,'Data - Monthly Metrics'!A:A,$B$4,'Data - Monthly Metrics'!B:B,"Sep",'Data - Monthly Metrics'!C:C,"North King",'Data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Metrics'!C:C,"North King",'Data - Monthly Metrics'!D:D,"Revenue Retained - Target ($)")=0,"-",SUMIFS('Data - Monthly Metrics'!E:E,'Data - Monthly Metrics'!A:A,$B$4-1,'Data - Monthly Metrics'!B:B,"Oct",'Data - Monthly Metrics'!C:C,"North King",'Data - Monthly Metrics'!D:D,"Revenue Retained - Target ($)"))</f>
        <v/>
      </c>
      <c r="C56" s="96">
        <f>IF(COUNTIFS('Data - Monthly Metrics'!A:A,$B$4-1,'Data - Monthly Metrics'!B:B,"Nov",'Data - Monthly Metrics'!C:C,"North King",'Data - Monthly Metrics'!D:D,"Revenue Retained - Target ($)")=0,"-",SUMIFS('Data - Monthly Metrics'!E:E,'Data - Monthly Metrics'!A:A,$B$4-1,'Data - Monthly Metrics'!B:B,"Nov",'Data - Monthly Metrics'!C:C,"North King",'Data - Monthly Metrics'!D:D,"Revenue Retained - Target ($)"))</f>
        <v/>
      </c>
      <c r="D56" s="96">
        <f>IF(COUNTIFS('Data - Monthly Metrics'!A:A,$B$4-1,'Data - Monthly Metrics'!B:B,"Dec",'Data - Monthly Metrics'!C:C,"North King",'Data - Monthly Metrics'!D:D,"Revenue Retained - Target ($)")=0,"-",SUMIFS('Data - Monthly Metrics'!E:E,'Data - Monthly Metrics'!A:A,$B$4-1,'Data - Monthly Metrics'!B:B,"Dec",'Data - Monthly Metrics'!C:C,"North King",'Data - Monthly Metrics'!D:D,"Revenue Retained - Target ($)"))</f>
        <v/>
      </c>
      <c r="E56" s="101">
        <f>SUM(B56,C56,D56)</f>
        <v/>
      </c>
      <c r="F56" s="96">
        <f>IF(COUNTIFS('Data - Monthly Metrics'!A:A,$B$4,'Data - Monthly Metrics'!B:B,"Jan",'Data - Monthly Metrics'!C:C,"North King",'Data - Monthly Metrics'!D:D,"Revenue Retained - Target ($)")=0,"-",SUMIFS('Data - Monthly Metrics'!E:E,'Data - Monthly Metrics'!A:A,$B$4,'Data - Monthly Metrics'!B:B,"Jan",'Data - Monthly Metrics'!C:C,"North King",'Data - Monthly Metrics'!D:D,"Revenue Retained - Target ($)"))</f>
        <v/>
      </c>
      <c r="G56" s="96">
        <f>IF(COUNTIFS('Data - Monthly Metrics'!A:A,$B$4,'Data - Monthly Metrics'!B:B,"Feb",'Data - Monthly Metrics'!C:C,"North King",'Data - Monthly Metrics'!D:D,"Revenue Retained - Target ($)")=0,"-",SUMIFS('Data - Monthly Metrics'!E:E,'Data - Monthly Metrics'!A:A,$B$4,'Data - Monthly Metrics'!B:B,"Feb",'Data - Monthly Metrics'!C:C,"North King",'Data - Monthly Metrics'!D:D,"Revenue Retained - Target ($)"))</f>
        <v/>
      </c>
      <c r="H56" s="96">
        <f>IF(COUNTIFS('Data - Monthly Metrics'!A:A,$B$4,'Data - Monthly Metrics'!B:B,"Mar",'Data - Monthly Metrics'!C:C,"North King",'Data - Monthly Metrics'!D:D,"Revenue Retained - Target ($)")=0,"-",SUMIFS('Data - Monthly Metrics'!E:E,'Data - Monthly Metrics'!A:A,$B$4,'Data - Monthly Metrics'!B:B,"Mar",'Data - Monthly Metrics'!C:C,"North King",'Data - Monthly Metrics'!D:D,"Revenue Retained - Target ($)"))</f>
        <v/>
      </c>
      <c r="I56" s="101">
        <f>SUM(F56,G56,H56)</f>
        <v/>
      </c>
      <c r="J56" s="96">
        <f>IF(COUNTIFS('Data - Monthly Metrics'!A:A,$B$4,'Data - Monthly Metrics'!B:B,"Apr",'Data - Monthly Metrics'!C:C,"North King",'Data - Monthly Metrics'!D:D,"Revenue Retained - Target ($)")=0,"-",SUMIFS('Data - Monthly Metrics'!E:E,'Data - Monthly Metrics'!A:A,$B$4,'Data - Monthly Metrics'!B:B,"Apr",'Data - Monthly Metrics'!C:C,"North King",'Data - Monthly Metrics'!D:D,"Revenue Retained - Target ($)"))</f>
        <v/>
      </c>
      <c r="K56" s="96">
        <f>IF(COUNTIFS('Data - Monthly Metrics'!A:A,$B$4,'Data - Monthly Metrics'!B:B,"May",'Data - Monthly Metrics'!C:C,"North King",'Data - Monthly Metrics'!D:D,"Revenue Retained - Target ($)")=0,"-",SUMIFS('Data - Monthly Metrics'!E:E,'Data - Monthly Metrics'!A:A,$B$4,'Data - Monthly Metrics'!B:B,"May",'Data - Monthly Metrics'!C:C,"North King",'Data - Monthly Metrics'!D:D,"Revenue Retained - Target ($)"))</f>
        <v/>
      </c>
      <c r="L56" s="96">
        <f>IF(COUNTIFS('Data - Monthly Metrics'!A:A,$B$4,'Data - Monthly Metrics'!B:B,"Jun",'Data - Monthly Metrics'!C:C,"North King",'Data - Monthly Metrics'!D:D,"Revenue Retained - Target ($)")=0,"-",SUMIFS('Data - Monthly Metrics'!E:E,'Data - Monthly Metrics'!A:A,$B$4,'Data - Monthly Metrics'!B:B,"Jun",'Data - Monthly Metrics'!C:C,"North King",'Data - Monthly Metrics'!D:D,"Revenue Retained - Target ($)"))</f>
        <v/>
      </c>
      <c r="M56" s="101">
        <f>SUM(J56,K56,L56)</f>
        <v/>
      </c>
      <c r="N56" s="96">
        <f>IF(COUNTIFS('Data - Monthly Metrics'!A:A,$B$4,'Data - Monthly Metrics'!B:B,"Jul",'Data - Monthly Metrics'!C:C,"North King",'Data - Monthly Metrics'!D:D,"Revenue Retained - Target ($)")=0,"-",SUMIFS('Data - Monthly Metrics'!E:E,'Data - Monthly Metrics'!A:A,$B$4,'Data - Monthly Metrics'!B:B,"Jul",'Data - Monthly Metrics'!C:C,"North King",'Data - Monthly Metrics'!D:D,"Revenue Retained - Target ($)"))</f>
        <v/>
      </c>
      <c r="O56" s="96">
        <f>IF(COUNTIFS('Data - Monthly Metrics'!A:A,$B$4,'Data - Monthly Metrics'!B:B,"Aug",'Data - Monthly Metrics'!C:C,"North King",'Data - Monthly Metrics'!D:D,"Revenue Retained - Target ($)")=0,"-",SUMIFS('Data - Monthly Metrics'!E:E,'Data - Monthly Metrics'!A:A,$B$4,'Data - Monthly Metrics'!B:B,"Aug",'Data - Monthly Metrics'!C:C,"North King",'Data - Monthly Metrics'!D:D,"Revenue Retained - Target ($)"))</f>
        <v/>
      </c>
      <c r="P56" s="96">
        <f>IF(COUNTIFS('Data - Monthly Metrics'!A:A,$B$4,'Data - Monthly Metrics'!B:B,"Sep",'Data - Monthly Metrics'!C:C,"North King",'Data - Monthly Metrics'!D:D,"Revenue Retained - Target ($)")=0,"-",SUMIFS('Data - Monthly Metrics'!E:E,'Data - Monthly Metrics'!A:A,$B$4,'Data - Monthly Metrics'!B:B,"Sep",'Data - Monthly Metrics'!C:C,"North King",'Data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Metrics'!C:C,"North King",'Data - Monthly Metrics'!D:D,"Retention - Comped Target (#)")=0,"-",SUMIFS('Data - Monthly Metrics'!E:E,'Data - Monthly Metrics'!A:A,$B$4-1,'Data - Monthly Metrics'!B:B,"Oct",'Data - Monthly Metrics'!C:C,"North King",'Data - Monthly Metrics'!D:D,"Retention - Comped Target (#)"))</f>
        <v/>
      </c>
      <c r="C57" s="98">
        <f>IF(COUNTIFS('Data - Monthly Metrics'!A:A,$B$4-1,'Data - Monthly Metrics'!B:B,"Nov",'Data - Monthly Metrics'!C:C,"North King",'Data - Monthly Metrics'!D:D,"Retention - Comped Target (#)")=0,"-",SUMIFS('Data - Monthly Metrics'!E:E,'Data - Monthly Metrics'!A:A,$B$4-1,'Data - Monthly Metrics'!B:B,"Nov",'Data - Monthly Metrics'!C:C,"North King",'Data - Monthly Metrics'!D:D,"Retention - Comped Target (#)"))</f>
        <v/>
      </c>
      <c r="D57" s="98">
        <f>IF(COUNTIFS('Data - Monthly Metrics'!A:A,$B$4-1,'Data - Monthly Metrics'!B:B,"Dec",'Data - Monthly Metrics'!C:C,"North King",'Data - Monthly Metrics'!D:D,"Retention - Comped Target (#)")=0,"-",SUMIFS('Data - Monthly Metrics'!E:E,'Data - Monthly Metrics'!A:A,$B$4-1,'Data - Monthly Metrics'!B:B,"Dec",'Data - Monthly Metrics'!C:C,"North King",'Data - Monthly Metrics'!D:D,"Retention - Comped Target (#)"))</f>
        <v/>
      </c>
      <c r="E57" s="103">
        <f>SUM(B57,C57,D57)</f>
        <v/>
      </c>
      <c r="F57" s="98">
        <f>IF(COUNTIFS('Data - Monthly Metrics'!A:A,$B$4,'Data - Monthly Metrics'!B:B,"Jan",'Data - Monthly Metrics'!C:C,"North King",'Data - Monthly Metrics'!D:D,"Retention - Comped Target (#)")=0,"-",SUMIFS('Data - Monthly Metrics'!E:E,'Data - Monthly Metrics'!A:A,$B$4,'Data - Monthly Metrics'!B:B,"Jan",'Data - Monthly Metrics'!C:C,"North King",'Data - Monthly Metrics'!D:D,"Retention - Comped Target (#)"))</f>
        <v/>
      </c>
      <c r="G57" s="98">
        <f>IF(COUNTIFS('Data - Monthly Metrics'!A:A,$B$4,'Data - Monthly Metrics'!B:B,"Feb",'Data - Monthly Metrics'!C:C,"North King",'Data - Monthly Metrics'!D:D,"Retention - Comped Target (#)")=0,"-",SUMIFS('Data - Monthly Metrics'!E:E,'Data - Monthly Metrics'!A:A,$B$4,'Data - Monthly Metrics'!B:B,"Feb",'Data - Monthly Metrics'!C:C,"North King",'Data - Monthly Metrics'!D:D,"Retention - Comped Target (#)"))</f>
        <v/>
      </c>
      <c r="H57" s="98">
        <f>IF(COUNTIFS('Data - Monthly Metrics'!A:A,$B$4,'Data - Monthly Metrics'!B:B,"Mar",'Data - Monthly Metrics'!C:C,"North King",'Data - Monthly Metrics'!D:D,"Retention - Comped Target (#)")=0,"-",SUMIFS('Data - Monthly Metrics'!E:E,'Data - Monthly Metrics'!A:A,$B$4,'Data - Monthly Metrics'!B:B,"Mar",'Data - Monthly Metrics'!C:C,"North King",'Data - Monthly Metrics'!D:D,"Retention - Comped Target (#)"))</f>
        <v/>
      </c>
      <c r="I57" s="103">
        <f>SUM(F57,G57,H57)</f>
        <v/>
      </c>
      <c r="J57" s="98">
        <f>IF(COUNTIFS('Data - Monthly Metrics'!A:A,$B$4,'Data - Monthly Metrics'!B:B,"Apr",'Data - Monthly Metrics'!C:C,"North King",'Data - Monthly Metrics'!D:D,"Retention - Comped Target (#)")=0,"-",SUMIFS('Data - Monthly Metrics'!E:E,'Data - Monthly Metrics'!A:A,$B$4,'Data - Monthly Metrics'!B:B,"Apr",'Data - Monthly Metrics'!C:C,"North King",'Data - Monthly Metrics'!D:D,"Retention - Comped Target (#)"))</f>
        <v/>
      </c>
      <c r="K57" s="98">
        <f>IF(COUNTIFS('Data - Monthly Metrics'!A:A,$B$4,'Data - Monthly Metrics'!B:B,"May",'Data - Monthly Metrics'!C:C,"North King",'Data - Monthly Metrics'!D:D,"Retention - Comped Target (#)")=0,"-",SUMIFS('Data - Monthly Metrics'!E:E,'Data - Monthly Metrics'!A:A,$B$4,'Data - Monthly Metrics'!B:B,"May",'Data - Monthly Metrics'!C:C,"North King",'Data - Monthly Metrics'!D:D,"Retention - Comped Target (#)"))</f>
        <v/>
      </c>
      <c r="L57" s="98">
        <f>IF(COUNTIFS('Data - Monthly Metrics'!A:A,$B$4,'Data - Monthly Metrics'!B:B,"Jun",'Data - Monthly Metrics'!C:C,"North King",'Data - Monthly Metrics'!D:D,"Retention - Comped Target (#)")=0,"-",SUMIFS('Data - Monthly Metrics'!E:E,'Data - Monthly Metrics'!A:A,$B$4,'Data - Monthly Metrics'!B:B,"Jun",'Data - Monthly Metrics'!C:C,"North King",'Data - Monthly Metrics'!D:D,"Retention - Comped Target (#)"))</f>
        <v/>
      </c>
      <c r="M57" s="103">
        <f>SUM(J57,K57,L57)</f>
        <v/>
      </c>
      <c r="N57" s="98">
        <f>IF(COUNTIFS('Data - Monthly Metrics'!A:A,$B$4,'Data - Monthly Metrics'!B:B,"Jul",'Data - Monthly Metrics'!C:C,"North King",'Data - Monthly Metrics'!D:D,"Retention - Comped Target (#)")=0,"-",SUMIFS('Data - Monthly Metrics'!E:E,'Data - Monthly Metrics'!A:A,$B$4,'Data - Monthly Metrics'!B:B,"Jul",'Data - Monthly Metrics'!C:C,"North King",'Data - Monthly Metrics'!D:D,"Retention - Comped Target (#)"))</f>
        <v/>
      </c>
      <c r="O57" s="98">
        <f>IF(COUNTIFS('Data - Monthly Metrics'!A:A,$B$4,'Data - Monthly Metrics'!B:B,"Aug",'Data - Monthly Metrics'!C:C,"North King",'Data - Monthly Metrics'!D:D,"Retention - Comped Target (#)")=0,"-",SUMIFS('Data - Monthly Metrics'!E:E,'Data - Monthly Metrics'!A:A,$B$4,'Data - Monthly Metrics'!B:B,"Aug",'Data - Monthly Metrics'!C:C,"North King",'Data - Monthly Metrics'!D:D,"Retention - Comped Target (#)"))</f>
        <v/>
      </c>
      <c r="P57" s="98">
        <f>IF(COUNTIFS('Data - Monthly Metrics'!A:A,$B$4,'Data - Monthly Metrics'!B:B,"Sep",'Data - Monthly Metrics'!C:C,"North King",'Data - Monthly Metrics'!D:D,"Retention - Comped Target (#)")=0,"-",SUMIFS('Data - Monthly Metrics'!E:E,'Data - Monthly Metrics'!A:A,$B$4,'Data - Monthly Metrics'!B:B,"Sep",'Data - Monthly Metrics'!C:C,"North King",'Data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Metrics'!C:C,"North King",'Data - Monthly Metrics'!D:D,"Retention - Comped Target ($)")=0,"-",SUMIFS('Data - Monthly Metrics'!E:E,'Data - Monthly Metrics'!A:A,$B$4-1,'Data - Monthly Metrics'!B:B,"Oct",'Data - Monthly Metrics'!C:C,"North King",'Data - Monthly Metrics'!D:D,"Retention - Comped Target ($)"))</f>
        <v/>
      </c>
      <c r="C58" s="96">
        <f>IF(COUNTIFS('Data - Monthly Metrics'!A:A,$B$4-1,'Data - Monthly Metrics'!B:B,"Nov",'Data - Monthly Metrics'!C:C,"North King",'Data - Monthly Metrics'!D:D,"Retention - Comped Target ($)")=0,"-",SUMIFS('Data - Monthly Metrics'!E:E,'Data - Monthly Metrics'!A:A,$B$4-1,'Data - Monthly Metrics'!B:B,"Nov",'Data - Monthly Metrics'!C:C,"North King",'Data - Monthly Metrics'!D:D,"Retention - Comped Target ($)"))</f>
        <v/>
      </c>
      <c r="D58" s="96">
        <f>IF(COUNTIFS('Data - Monthly Metrics'!A:A,$B$4-1,'Data - Monthly Metrics'!B:B,"Dec",'Data - Monthly Metrics'!C:C,"North King",'Data - Monthly Metrics'!D:D,"Retention - Comped Target ($)")=0,"-",SUMIFS('Data - Monthly Metrics'!E:E,'Data - Monthly Metrics'!A:A,$B$4-1,'Data - Monthly Metrics'!B:B,"Dec",'Data - Monthly Metrics'!C:C,"North King",'Data - Monthly Metrics'!D:D,"Retention - Comped Target ($)"))</f>
        <v/>
      </c>
      <c r="E58" s="101">
        <f>SUM(B58,C58,D58)</f>
        <v/>
      </c>
      <c r="F58" s="96">
        <f>IF(COUNTIFS('Data - Monthly Metrics'!A:A,$B$4,'Data - Monthly Metrics'!B:B,"Jan",'Data - Monthly Metrics'!C:C,"North King",'Data - Monthly Metrics'!D:D,"Retention - Comped Target ($)")=0,"-",SUMIFS('Data - Monthly Metrics'!E:E,'Data - Monthly Metrics'!A:A,$B$4,'Data - Monthly Metrics'!B:B,"Jan",'Data - Monthly Metrics'!C:C,"North King",'Data - Monthly Metrics'!D:D,"Retention - Comped Target ($)"))</f>
        <v/>
      </c>
      <c r="G58" s="96">
        <f>IF(COUNTIFS('Data - Monthly Metrics'!A:A,$B$4,'Data - Monthly Metrics'!B:B,"Feb",'Data - Monthly Metrics'!C:C,"North King",'Data - Monthly Metrics'!D:D,"Retention - Comped Target ($)")=0,"-",SUMIFS('Data - Monthly Metrics'!E:E,'Data - Monthly Metrics'!A:A,$B$4,'Data - Monthly Metrics'!B:B,"Feb",'Data - Monthly Metrics'!C:C,"North King",'Data - Monthly Metrics'!D:D,"Retention - Comped Target ($)"))</f>
        <v/>
      </c>
      <c r="H58" s="96">
        <f>IF(COUNTIFS('Data - Monthly Metrics'!A:A,$B$4,'Data - Monthly Metrics'!B:B,"Mar",'Data - Monthly Metrics'!C:C,"North King",'Data - Monthly Metrics'!D:D,"Retention - Comped Target ($)")=0,"-",SUMIFS('Data - Monthly Metrics'!E:E,'Data - Monthly Metrics'!A:A,$B$4,'Data - Monthly Metrics'!B:B,"Mar",'Data - Monthly Metrics'!C:C,"North King",'Data - Monthly Metrics'!D:D,"Retention - Comped Target ($)"))</f>
        <v/>
      </c>
      <c r="I58" s="101">
        <f>SUM(F58,G58,H58)</f>
        <v/>
      </c>
      <c r="J58" s="96">
        <f>IF(COUNTIFS('Data - Monthly Metrics'!A:A,$B$4,'Data - Monthly Metrics'!B:B,"Apr",'Data - Monthly Metrics'!C:C,"North King",'Data - Monthly Metrics'!D:D,"Retention - Comped Target ($)")=0,"-",SUMIFS('Data - Monthly Metrics'!E:E,'Data - Monthly Metrics'!A:A,$B$4,'Data - Monthly Metrics'!B:B,"Apr",'Data - Monthly Metrics'!C:C,"North King",'Data - Monthly Metrics'!D:D,"Retention - Comped Target ($)"))</f>
        <v/>
      </c>
      <c r="K58" s="96">
        <f>IF(COUNTIFS('Data - Monthly Metrics'!A:A,$B$4,'Data - Monthly Metrics'!B:B,"May",'Data - Monthly Metrics'!C:C,"North King",'Data - Monthly Metrics'!D:D,"Retention - Comped Target ($)")=0,"-",SUMIFS('Data - Monthly Metrics'!E:E,'Data - Monthly Metrics'!A:A,$B$4,'Data - Monthly Metrics'!B:B,"May",'Data - Monthly Metrics'!C:C,"North King",'Data - Monthly Metrics'!D:D,"Retention - Comped Target ($)"))</f>
        <v/>
      </c>
      <c r="L58" s="96">
        <f>IF(COUNTIFS('Data - Monthly Metrics'!A:A,$B$4,'Data - Monthly Metrics'!B:B,"Jun",'Data - Monthly Metrics'!C:C,"North King",'Data - Monthly Metrics'!D:D,"Retention - Comped Target ($)")=0,"-",SUMIFS('Data - Monthly Metrics'!E:E,'Data - Monthly Metrics'!A:A,$B$4,'Data - Monthly Metrics'!B:B,"Jun",'Data - Monthly Metrics'!C:C,"North King",'Data - Monthly Metrics'!D:D,"Retention - Comped Target ($)"))</f>
        <v/>
      </c>
      <c r="M58" s="101">
        <f>SUM(J58,K58,L58)</f>
        <v/>
      </c>
      <c r="N58" s="96">
        <f>IF(COUNTIFS('Data - Monthly Metrics'!A:A,$B$4,'Data - Monthly Metrics'!B:B,"Jul",'Data - Monthly Metrics'!C:C,"North King",'Data - Monthly Metrics'!D:D,"Retention - Comped Target ($)")=0,"-",SUMIFS('Data - Monthly Metrics'!E:E,'Data - Monthly Metrics'!A:A,$B$4,'Data - Monthly Metrics'!B:B,"Jul",'Data - Monthly Metrics'!C:C,"North King",'Data - Monthly Metrics'!D:D,"Retention - Comped Target ($)"))</f>
        <v/>
      </c>
      <c r="O58" s="96">
        <f>IF(COUNTIFS('Data - Monthly Metrics'!A:A,$B$4,'Data - Monthly Metrics'!B:B,"Aug",'Data - Monthly Metrics'!C:C,"North King",'Data - Monthly Metrics'!D:D,"Retention - Comped Target ($)")=0,"-",SUMIFS('Data - Monthly Metrics'!E:E,'Data - Monthly Metrics'!A:A,$B$4,'Data - Monthly Metrics'!B:B,"Aug",'Data - Monthly Metrics'!C:C,"North King",'Data - Monthly Metrics'!D:D,"Retention - Comped Target ($)"))</f>
        <v/>
      </c>
      <c r="P58" s="96">
        <f>IF(COUNTIFS('Data - Monthly Metrics'!A:A,$B$4,'Data - Monthly Metrics'!B:B,"Sep",'Data - Monthly Metrics'!C:C,"North King",'Data - Monthly Metrics'!D:D,"Retention - Comped Target ($)")=0,"-",SUMIFS('Data - Monthly Metrics'!E:E,'Data - Monthly Metrics'!A:A,$B$4,'Data - Monthly Metrics'!B:B,"Sep",'Data - Monthly Metrics'!C:C,"North King",'Data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Metrics'!C:C,"North King",'Data - Monthly Metrics'!D:D,"Drops - Target (#)")=0,"-",SUMIFS('Data - Monthly Metrics'!E:E,'Data - Monthly Metrics'!A:A,$B$4-1,'Data - Monthly Metrics'!B:B,"Oct",'Data - Monthly Metrics'!C:C,"North King",'Data - Monthly Metrics'!D:D,"Drops - Target (#)"))</f>
        <v/>
      </c>
      <c r="C63" s="93">
        <f>IF(COUNTIFS('Data - Monthly Metrics'!A:A,$B$4-1,'Data - Monthly Metrics'!B:B,"Nov",'Data - Monthly Metrics'!C:C,"North King",'Data - Monthly Metrics'!D:D,"Drops - Target (#)")=0,"-",SUMIFS('Data - Monthly Metrics'!E:E,'Data - Monthly Metrics'!A:A,$B$4-1,'Data - Monthly Metrics'!B:B,"Nov",'Data - Monthly Metrics'!C:C,"North King",'Data - Monthly Metrics'!D:D,"Drops - Target (#)"))</f>
        <v/>
      </c>
      <c r="D63" s="93">
        <f>IF(COUNTIFS('Data - Monthly Metrics'!A:A,$B$4-1,'Data - Monthly Metrics'!B:B,"Dec",'Data - Monthly Metrics'!C:C,"North King",'Data - Monthly Metrics'!D:D,"Drops - Target (#)")=0,"-",SUMIFS('Data - Monthly Metrics'!E:E,'Data - Monthly Metrics'!A:A,$B$4-1,'Data - Monthly Metrics'!B:B,"Dec",'Data - Monthly Metrics'!C:C,"North King",'Data - Monthly Metrics'!D:D,"Drops - Target (#)"))</f>
        <v/>
      </c>
      <c r="E63" s="103">
        <f>SUM(B63,C63,D63)</f>
        <v/>
      </c>
      <c r="F63" s="93">
        <f>IF(COUNTIFS('Data - Monthly Metrics'!A:A,$B$4,'Data - Monthly Metrics'!B:B,"Jan",'Data - Monthly Metrics'!C:C,"North King",'Data - Monthly Metrics'!D:D,"Drops - Target (#)")=0,"-",SUMIFS('Data - Monthly Metrics'!E:E,'Data - Monthly Metrics'!A:A,$B$4,'Data - Monthly Metrics'!B:B,"Jan",'Data - Monthly Metrics'!C:C,"North King",'Data - Monthly Metrics'!D:D,"Drops - Target (#)"))</f>
        <v/>
      </c>
      <c r="G63" s="93">
        <f>IF(COUNTIFS('Data - Monthly Metrics'!A:A,$B$4,'Data - Monthly Metrics'!B:B,"Feb",'Data - Monthly Metrics'!C:C,"North King",'Data - Monthly Metrics'!D:D,"Drops - Target (#)")=0,"-",SUMIFS('Data - Monthly Metrics'!E:E,'Data - Monthly Metrics'!A:A,$B$4,'Data - Monthly Metrics'!B:B,"Feb",'Data - Monthly Metrics'!C:C,"North King",'Data - Monthly Metrics'!D:D,"Drops - Target (#)"))</f>
        <v/>
      </c>
      <c r="H63" s="93">
        <f>IF(COUNTIFS('Data - Monthly Metrics'!A:A,$B$4,'Data - Monthly Metrics'!B:B,"Mar",'Data - Monthly Metrics'!C:C,"North King",'Data - Monthly Metrics'!D:D,"Drops - Target (#)")=0,"-",SUMIFS('Data - Monthly Metrics'!E:E,'Data - Monthly Metrics'!A:A,$B$4,'Data - Monthly Metrics'!B:B,"Mar",'Data - Monthly Metrics'!C:C,"North King",'Data - Monthly Metrics'!D:D,"Drops - Target (#)"))</f>
        <v/>
      </c>
      <c r="I63" s="103">
        <f>SUM(F63,G63,H63)</f>
        <v/>
      </c>
      <c r="J63" s="93">
        <f>IF(COUNTIFS('Data - Monthly Metrics'!A:A,$B$4,'Data - Monthly Metrics'!B:B,"Apr",'Data - Monthly Metrics'!C:C,"North King",'Data - Monthly Metrics'!D:D,"Drops - Target (#)")=0,"-",SUMIFS('Data - Monthly Metrics'!E:E,'Data - Monthly Metrics'!A:A,$B$4,'Data - Monthly Metrics'!B:B,"Apr",'Data - Monthly Metrics'!C:C,"North King",'Data - Monthly Metrics'!D:D,"Drops - Target (#)"))</f>
        <v/>
      </c>
      <c r="K63" s="93">
        <f>IF(COUNTIFS('Data - Monthly Metrics'!A:A,$B$4,'Data - Monthly Metrics'!B:B,"May",'Data - Monthly Metrics'!C:C,"North King",'Data - Monthly Metrics'!D:D,"Drops - Target (#)")=0,"-",SUMIFS('Data - Monthly Metrics'!E:E,'Data - Monthly Metrics'!A:A,$B$4,'Data - Monthly Metrics'!B:B,"May",'Data - Monthly Metrics'!C:C,"North King",'Data - Monthly Metrics'!D:D,"Drops - Target (#)"))</f>
        <v/>
      </c>
      <c r="L63" s="93">
        <f>IF(COUNTIFS('Data - Monthly Metrics'!A:A,$B$4,'Data - Monthly Metrics'!B:B,"Jun",'Data - Monthly Metrics'!C:C,"North King",'Data - Monthly Metrics'!D:D,"Drops - Target (#)")=0,"-",SUMIFS('Data - Monthly Metrics'!E:E,'Data - Monthly Metrics'!A:A,$B$4,'Data - Monthly Metrics'!B:B,"Jun",'Data - Monthly Metrics'!C:C,"North King",'Data - Monthly Metrics'!D:D,"Drops - Target (#)"))</f>
        <v/>
      </c>
      <c r="M63" s="103">
        <f>SUM(J63,K63,L63)</f>
        <v/>
      </c>
      <c r="N63" s="93">
        <f>IF(COUNTIFS('Data - Monthly Metrics'!A:A,$B$4,'Data - Monthly Metrics'!B:B,"Jul",'Data - Monthly Metrics'!C:C,"North King",'Data - Monthly Metrics'!D:D,"Drops - Target (#)")=0,"-",SUMIFS('Data - Monthly Metrics'!E:E,'Data - Monthly Metrics'!A:A,$B$4,'Data - Monthly Metrics'!B:B,"Jul",'Data - Monthly Metrics'!C:C,"North King",'Data - Monthly Metrics'!D:D,"Drops - Target (#)"))</f>
        <v/>
      </c>
      <c r="O63" s="93">
        <f>IF(COUNTIFS('Data - Monthly Metrics'!A:A,$B$4,'Data - Monthly Metrics'!B:B,"Aug",'Data - Monthly Metrics'!C:C,"North King",'Data - Monthly Metrics'!D:D,"Drops - Target (#)")=0,"-",SUMIFS('Data - Monthly Metrics'!E:E,'Data - Monthly Metrics'!A:A,$B$4,'Data - Monthly Metrics'!B:B,"Aug",'Data - Monthly Metrics'!C:C,"North King",'Data - Monthly Metrics'!D:D,"Drops - Target (#)"))</f>
        <v/>
      </c>
      <c r="P63" s="93">
        <f>IF(COUNTIFS('Data - Monthly Metrics'!A:A,$B$4,'Data - Monthly Metrics'!B:B,"Sep",'Data - Monthly Metrics'!C:C,"North King",'Data - Monthly Metrics'!D:D,"Drops - Target (#)")=0,"-",SUMIFS('Data - Monthly Metrics'!E:E,'Data - Monthly Metrics'!A:A,$B$4,'Data - Monthly Metrics'!B:B,"Sep",'Data - Monthly Metrics'!C:C,"North King",'Data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Metrics'!C:C,"North King",'Data - Monthly Metrics'!D:D,"Dropped Revenue - Target ($)")=0,"-",SUMIFS('Data - Monthly Metrics'!E:E,'Data - Monthly Metrics'!A:A,$B$4-1,'Data - Monthly Metrics'!B:B,"Oct",'Data - Monthly Metrics'!C:C,"North King",'Data - Monthly Metrics'!D:D,"Dropped Revenue - Target ($)"))</f>
        <v/>
      </c>
      <c r="C64" s="96">
        <f>IF(COUNTIFS('Data - Monthly Metrics'!A:A,$B$4-1,'Data - Monthly Metrics'!B:B,"Nov",'Data - Monthly Metrics'!C:C,"North King",'Data - Monthly Metrics'!D:D,"Dropped Revenue - Target ($)")=0,"-",SUMIFS('Data - Monthly Metrics'!E:E,'Data - Monthly Metrics'!A:A,$B$4-1,'Data - Monthly Metrics'!B:B,"Nov",'Data - Monthly Metrics'!C:C,"North King",'Data - Monthly Metrics'!D:D,"Dropped Revenue - Target ($)"))</f>
        <v/>
      </c>
      <c r="D64" s="96">
        <f>IF(COUNTIFS('Data - Monthly Metrics'!A:A,$B$4-1,'Data - Monthly Metrics'!B:B,"Dec",'Data - Monthly Metrics'!C:C,"North King",'Data - Monthly Metrics'!D:D,"Dropped Revenue - Target ($)")=0,"-",SUMIFS('Data - Monthly Metrics'!E:E,'Data - Monthly Metrics'!A:A,$B$4-1,'Data - Monthly Metrics'!B:B,"Dec",'Data - Monthly Metrics'!C:C,"North King",'Data - Monthly Metrics'!D:D,"Dropped Revenue - Target ($)"))</f>
        <v/>
      </c>
      <c r="E64" s="101">
        <f>SUM(B64,C64,D64)</f>
        <v/>
      </c>
      <c r="F64" s="96">
        <f>IF(COUNTIFS('Data - Monthly Metrics'!A:A,$B$4,'Data - Monthly Metrics'!B:B,"Jan",'Data - Monthly Metrics'!C:C,"North King",'Data - Monthly Metrics'!D:D,"Dropped Revenue - Target ($)")=0,"-",SUMIFS('Data - Monthly Metrics'!E:E,'Data - Monthly Metrics'!A:A,$B$4,'Data - Monthly Metrics'!B:B,"Jan",'Data - Monthly Metrics'!C:C,"North King",'Data - Monthly Metrics'!D:D,"Dropped Revenue - Target ($)"))</f>
        <v/>
      </c>
      <c r="G64" s="96">
        <f>IF(COUNTIFS('Data - Monthly Metrics'!A:A,$B$4,'Data - Monthly Metrics'!B:B,"Feb",'Data - Monthly Metrics'!C:C,"North King",'Data - Monthly Metrics'!D:D,"Dropped Revenue - Target ($)")=0,"-",SUMIFS('Data - Monthly Metrics'!E:E,'Data - Monthly Metrics'!A:A,$B$4,'Data - Monthly Metrics'!B:B,"Feb",'Data - Monthly Metrics'!C:C,"North King",'Data - Monthly Metrics'!D:D,"Dropped Revenue - Target ($)"))</f>
        <v/>
      </c>
      <c r="H64" s="96">
        <f>IF(COUNTIFS('Data - Monthly Metrics'!A:A,$B$4,'Data - Monthly Metrics'!B:B,"Mar",'Data - Monthly Metrics'!C:C,"North King",'Data - Monthly Metrics'!D:D,"Dropped Revenue - Target ($)")=0,"-",SUMIFS('Data - Monthly Metrics'!E:E,'Data - Monthly Metrics'!A:A,$B$4,'Data - Monthly Metrics'!B:B,"Mar",'Data - Monthly Metrics'!C:C,"North King",'Data - Monthly Metrics'!D:D,"Dropped Revenue - Target ($)"))</f>
        <v/>
      </c>
      <c r="I64" s="101">
        <f>SUM(F64,G64,H64)</f>
        <v/>
      </c>
      <c r="J64" s="96">
        <f>IF(COUNTIFS('Data - Monthly Metrics'!A:A,$B$4,'Data - Monthly Metrics'!B:B,"Apr",'Data - Monthly Metrics'!C:C,"North King",'Data - Monthly Metrics'!D:D,"Dropped Revenue - Target ($)")=0,"-",SUMIFS('Data - Monthly Metrics'!E:E,'Data - Monthly Metrics'!A:A,$B$4,'Data - Monthly Metrics'!B:B,"Apr",'Data - Monthly Metrics'!C:C,"North King",'Data - Monthly Metrics'!D:D,"Dropped Revenue - Target ($)"))</f>
        <v/>
      </c>
      <c r="K64" s="96">
        <f>IF(COUNTIFS('Data - Monthly Metrics'!A:A,$B$4,'Data - Monthly Metrics'!B:B,"May",'Data - Monthly Metrics'!C:C,"North King",'Data - Monthly Metrics'!D:D,"Dropped Revenue - Target ($)")=0,"-",SUMIFS('Data - Monthly Metrics'!E:E,'Data - Monthly Metrics'!A:A,$B$4,'Data - Monthly Metrics'!B:B,"May",'Data - Monthly Metrics'!C:C,"North King",'Data - Monthly Metrics'!D:D,"Dropped Revenue - Target ($)"))</f>
        <v/>
      </c>
      <c r="L64" s="96">
        <f>IF(COUNTIFS('Data - Monthly Metrics'!A:A,$B$4,'Data - Monthly Metrics'!B:B,"Jun",'Data - Monthly Metrics'!C:C,"North King",'Data - Monthly Metrics'!D:D,"Dropped Revenue - Target ($)")=0,"-",SUMIFS('Data - Monthly Metrics'!E:E,'Data - Monthly Metrics'!A:A,$B$4,'Data - Monthly Metrics'!B:B,"Jun",'Data - Monthly Metrics'!C:C,"North King",'Data - Monthly Metrics'!D:D,"Dropped Revenue - Target ($)"))</f>
        <v/>
      </c>
      <c r="M64" s="101">
        <f>SUM(J64,K64,L64)</f>
        <v/>
      </c>
      <c r="N64" s="96">
        <f>IF(COUNTIFS('Data - Monthly Metrics'!A:A,$B$4,'Data - Monthly Metrics'!B:B,"Jul",'Data - Monthly Metrics'!C:C,"North King",'Data - Monthly Metrics'!D:D,"Dropped Revenue - Target ($)")=0,"-",SUMIFS('Data - Monthly Metrics'!E:E,'Data - Monthly Metrics'!A:A,$B$4,'Data - Monthly Metrics'!B:B,"Jul",'Data - Monthly Metrics'!C:C,"North King",'Data - Monthly Metrics'!D:D,"Dropped Revenue - Target ($)"))</f>
        <v/>
      </c>
      <c r="O64" s="96">
        <f>IF(COUNTIFS('Data - Monthly Metrics'!A:A,$B$4,'Data - Monthly Metrics'!B:B,"Aug",'Data - Monthly Metrics'!C:C,"North King",'Data - Monthly Metrics'!D:D,"Dropped Revenue - Target ($)")=0,"-",SUMIFS('Data - Monthly Metrics'!E:E,'Data - Monthly Metrics'!A:A,$B$4,'Data - Monthly Metrics'!B:B,"Aug",'Data - Monthly Metrics'!C:C,"North King",'Data - Monthly Metrics'!D:D,"Dropped Revenue - Target ($)"))</f>
        <v/>
      </c>
      <c r="P64" s="96">
        <f>IF(COUNTIFS('Data - Monthly Metrics'!A:A,$B$4,'Data - Monthly Metrics'!B:B,"Sep",'Data - Monthly Metrics'!C:C,"North King",'Data - Monthly Metrics'!D:D,"Dropped Revenue - Target ($)")=0,"-",SUMIFS('Data - Monthly Metrics'!E:E,'Data - Monthly Metrics'!A:A,$B$4,'Data - Monthly Metrics'!B:B,"Sep",'Data - Monthly Metrics'!C:C,"North King",'Data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Metrics'!C:C,"North King",'Data - Monthly Metrics'!D:D,"Penetration - Restaurant %")=0,"-",SUMIFS('Data - Monthly Metrics'!E:E,'Data - Monthly Metrics'!A:A,$B$4-1,'Data - Monthly Metrics'!B:B,"Oct",'Data - Monthly Metrics'!C:C,"North King",'Data - Monthly Metrics'!D:D,"Penetration - Restaurant %"))</f>
        <v/>
      </c>
      <c r="C68" s="92">
        <f>IF(COUNTIFS('Data - Monthly Metrics'!A:A,$B$4-1,'Data - Monthly Metrics'!B:B,"Nov",'Data - Monthly Metrics'!C:C,"North King",'Data - Monthly Metrics'!D:D,"Penetration - Restaurant %")=0,"-",SUMIFS('Data - Monthly Metrics'!E:E,'Data - Monthly Metrics'!A:A,$B$4-1,'Data - Monthly Metrics'!B:B,"Nov",'Data - Monthly Metrics'!C:C,"North King",'Data - Monthly Metrics'!D:D,"Penetration - Restaurant %"))</f>
        <v/>
      </c>
      <c r="D68" s="92">
        <f>IF(COUNTIFS('Data - Monthly Metrics'!A:A,$B$4-1,'Data - Monthly Metrics'!B:B,"Dec",'Data - Monthly Metrics'!C:C,"North King",'Data - Monthly Metrics'!D:D,"Penetration - Restaurant %")=0,"-",SUMIFS('Data - Monthly Metrics'!E:E,'Data - Monthly Metrics'!A:A,$B$4-1,'Data - Monthly Metrics'!B:B,"Dec",'Data - Monthly Metrics'!C:C,"North King",'Data - Monthly Metrics'!D:D,"Penetration - Restaurant %"))</f>
        <v/>
      </c>
      <c r="E68" s="102">
        <f>IF(ISNUMBER(D68),D68,IF(ISNUMBER(C68),C68,IF(ISNUMBER(B68),B68,"-")))</f>
        <v/>
      </c>
      <c r="F68" s="92">
        <f>IF(COUNTIFS('Data - Monthly Metrics'!A:A,$B$4,'Data - Monthly Metrics'!B:B,"Jan",'Data - Monthly Metrics'!C:C,"North King",'Data - Monthly Metrics'!D:D,"Penetration - Restaurant %")=0,"-",SUMIFS('Data - Monthly Metrics'!E:E,'Data - Monthly Metrics'!A:A,$B$4,'Data - Monthly Metrics'!B:B,"Jan",'Data - Monthly Metrics'!C:C,"North King",'Data - Monthly Metrics'!D:D,"Penetration - Restaurant %"))</f>
        <v/>
      </c>
      <c r="G68" s="92">
        <f>IF(COUNTIFS('Data - Monthly Metrics'!A:A,$B$4,'Data - Monthly Metrics'!B:B,"Feb",'Data - Monthly Metrics'!C:C,"North King",'Data - Monthly Metrics'!D:D,"Penetration - Restaurant %")=0,"-",SUMIFS('Data - Monthly Metrics'!E:E,'Data - Monthly Metrics'!A:A,$B$4,'Data - Monthly Metrics'!B:B,"Feb",'Data - Monthly Metrics'!C:C,"North King",'Data - Monthly Metrics'!D:D,"Penetration - Restaurant %"))</f>
        <v/>
      </c>
      <c r="H68" s="92">
        <f>IF(COUNTIFS('Data - Monthly Metrics'!A:A,$B$4,'Data - Monthly Metrics'!B:B,"Mar",'Data - Monthly Metrics'!C:C,"North King",'Data - Monthly Metrics'!D:D,"Penetration - Restaurant %")=0,"-",SUMIFS('Data - Monthly Metrics'!E:E,'Data - Monthly Metrics'!A:A,$B$4,'Data - Monthly Metrics'!B:B,"Mar",'Data - Monthly Metrics'!C:C,"North King",'Data - Monthly Metrics'!D:D,"Penetration - Restaurant %"))</f>
        <v/>
      </c>
      <c r="I68" s="102">
        <f>IF(ISNUMBER(H68),H68,IF(ISNUMBER(G68),G68,IF(ISNUMBER(F68),F68,"-")))</f>
        <v/>
      </c>
      <c r="J68" s="92">
        <f>IF(COUNTIFS('Data - Monthly Metrics'!A:A,$B$4,'Data - Monthly Metrics'!B:B,"Apr",'Data - Monthly Metrics'!C:C,"North King",'Data - Monthly Metrics'!D:D,"Penetration - Restaurant %")=0,"-",SUMIFS('Data - Monthly Metrics'!E:E,'Data - Monthly Metrics'!A:A,$B$4,'Data - Monthly Metrics'!B:B,"Apr",'Data - Monthly Metrics'!C:C,"North King",'Data - Monthly Metrics'!D:D,"Penetration - Restaurant %"))</f>
        <v/>
      </c>
      <c r="K68" s="92">
        <f>IF(COUNTIFS('Data - Monthly Metrics'!A:A,$B$4,'Data - Monthly Metrics'!B:B,"May",'Data - Monthly Metrics'!C:C,"North King",'Data - Monthly Metrics'!D:D,"Penetration - Restaurant %")=0,"-",SUMIFS('Data - Monthly Metrics'!E:E,'Data - Monthly Metrics'!A:A,$B$4,'Data - Monthly Metrics'!B:B,"May",'Data - Monthly Metrics'!C:C,"North King",'Data - Monthly Metrics'!D:D,"Penetration - Restaurant %"))</f>
        <v/>
      </c>
      <c r="L68" s="92">
        <f>IF(COUNTIFS('Data - Monthly Metrics'!A:A,$B$4,'Data - Monthly Metrics'!B:B,"Jun",'Data - Monthly Metrics'!C:C,"North King",'Data - Monthly Metrics'!D:D,"Penetration - Restaurant %")=0,"-",SUMIFS('Data - Monthly Metrics'!E:E,'Data - Monthly Metrics'!A:A,$B$4,'Data - Monthly Metrics'!B:B,"Jun",'Data - Monthly Metrics'!C:C,"North King",'Data - Monthly Metrics'!D:D,"Penetration - Restaurant %"))</f>
        <v/>
      </c>
      <c r="M68" s="102">
        <f>IF(ISNUMBER(L68),L68,IF(ISNUMBER(K68),K68,IF(ISNUMBER(J68),J68,"-")))</f>
        <v/>
      </c>
      <c r="N68" s="92">
        <f>IF(COUNTIFS('Data - Monthly Metrics'!A:A,$B$4,'Data - Monthly Metrics'!B:B,"Jul",'Data - Monthly Metrics'!C:C,"North King",'Data - Monthly Metrics'!D:D,"Penetration - Restaurant %")=0,"-",SUMIFS('Data - Monthly Metrics'!E:E,'Data - Monthly Metrics'!A:A,$B$4,'Data - Monthly Metrics'!B:B,"Jul",'Data - Monthly Metrics'!C:C,"North King",'Data - Monthly Metrics'!D:D,"Penetration - Restaurant %"))</f>
        <v/>
      </c>
      <c r="O68" s="92">
        <f>IF(COUNTIFS('Data - Monthly Metrics'!A:A,$B$4,'Data - Monthly Metrics'!B:B,"Aug",'Data - Monthly Metrics'!C:C,"North King",'Data - Monthly Metrics'!D:D,"Penetration - Restaurant %")=0,"-",SUMIFS('Data - Monthly Metrics'!E:E,'Data - Monthly Metrics'!A:A,$B$4,'Data - Monthly Metrics'!B:B,"Aug",'Data - Monthly Metrics'!C:C,"North King",'Data - Monthly Metrics'!D:D,"Penetration - Restaurant %"))</f>
        <v/>
      </c>
      <c r="P68" s="92">
        <f>IF(COUNTIFS('Data - Monthly Metrics'!A:A,$B$4,'Data - Monthly Metrics'!B:B,"Sep",'Data - Monthly Metrics'!C:C,"North King",'Data - Monthly Metrics'!D:D,"Penetration - Restaurant %")=0,"-",SUMIFS('Data - Monthly Metrics'!E:E,'Data - Monthly Metrics'!A:A,$B$4,'Data - Monthly Metrics'!B:B,"Sep",'Data - Monthly Metrics'!C:C,"North King",'Data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Metrics'!C:C,"North King",'Data - Monthly Metrics'!D:D,"Penetration - Lodging %")=0,"-",SUMIFS('Data - Monthly Metrics'!E:E,'Data - Monthly Metrics'!A:A,$B$4-1,'Data - Monthly Metrics'!B:B,"Oct",'Data - Monthly Metrics'!C:C,"North King",'Data - Monthly Metrics'!D:D,"Penetration - Lodging %"))</f>
        <v/>
      </c>
      <c r="C69" s="97">
        <f>IF(COUNTIFS('Data - Monthly Metrics'!A:A,$B$4-1,'Data - Monthly Metrics'!B:B,"Nov",'Data - Monthly Metrics'!C:C,"North King",'Data - Monthly Metrics'!D:D,"Penetration - Lodging %")=0,"-",SUMIFS('Data - Monthly Metrics'!E:E,'Data - Monthly Metrics'!A:A,$B$4-1,'Data - Monthly Metrics'!B:B,"Nov",'Data - Monthly Metrics'!C:C,"North King",'Data - Monthly Metrics'!D:D,"Penetration - Lodging %"))</f>
        <v/>
      </c>
      <c r="D69" s="97">
        <f>IF(COUNTIFS('Data - Monthly Metrics'!A:A,$B$4-1,'Data - Monthly Metrics'!B:B,"Dec",'Data - Monthly Metrics'!C:C,"North King",'Data - Monthly Metrics'!D:D,"Penetration - Lodging %")=0,"-",SUMIFS('Data - Monthly Metrics'!E:E,'Data - Monthly Metrics'!A:A,$B$4-1,'Data - Monthly Metrics'!B:B,"Dec",'Data - Monthly Metrics'!C:C,"North King",'Data - Monthly Metrics'!D:D,"Penetration - Lodging %"))</f>
        <v/>
      </c>
      <c r="E69" s="102">
        <f>IF(ISNUMBER(D69),D69,IF(ISNUMBER(C69),C69,IF(ISNUMBER(B69),B69,"-")))</f>
        <v/>
      </c>
      <c r="F69" s="97">
        <f>IF(COUNTIFS('Data - Monthly Metrics'!A:A,$B$4,'Data - Monthly Metrics'!B:B,"Jan",'Data - Monthly Metrics'!C:C,"North King",'Data - Monthly Metrics'!D:D,"Penetration - Lodging %")=0,"-",SUMIFS('Data - Monthly Metrics'!E:E,'Data - Monthly Metrics'!A:A,$B$4,'Data - Monthly Metrics'!B:B,"Jan",'Data - Monthly Metrics'!C:C,"North King",'Data - Monthly Metrics'!D:D,"Penetration - Lodging %"))</f>
        <v/>
      </c>
      <c r="G69" s="97">
        <f>IF(COUNTIFS('Data - Monthly Metrics'!A:A,$B$4,'Data - Monthly Metrics'!B:B,"Feb",'Data - Monthly Metrics'!C:C,"North King",'Data - Monthly Metrics'!D:D,"Penetration - Lodging %")=0,"-",SUMIFS('Data - Monthly Metrics'!E:E,'Data - Monthly Metrics'!A:A,$B$4,'Data - Monthly Metrics'!B:B,"Feb",'Data - Monthly Metrics'!C:C,"North King",'Data - Monthly Metrics'!D:D,"Penetration - Lodging %"))</f>
        <v/>
      </c>
      <c r="H69" s="97">
        <f>IF(COUNTIFS('Data - Monthly Metrics'!A:A,$B$4,'Data - Monthly Metrics'!B:B,"Mar",'Data - Monthly Metrics'!C:C,"North King",'Data - Monthly Metrics'!D:D,"Penetration - Lodging %")=0,"-",SUMIFS('Data - Monthly Metrics'!E:E,'Data - Monthly Metrics'!A:A,$B$4,'Data - Monthly Metrics'!B:B,"Mar",'Data - Monthly Metrics'!C:C,"North King",'Data - Monthly Metrics'!D:D,"Penetration - Lodging %"))</f>
        <v/>
      </c>
      <c r="I69" s="102">
        <f>IF(ISNUMBER(H69),H69,IF(ISNUMBER(G69),G69,IF(ISNUMBER(F69),F69,"-")))</f>
        <v/>
      </c>
      <c r="J69" s="97">
        <f>IF(COUNTIFS('Data - Monthly Metrics'!A:A,$B$4,'Data - Monthly Metrics'!B:B,"Apr",'Data - Monthly Metrics'!C:C,"North King",'Data - Monthly Metrics'!D:D,"Penetration - Lodging %")=0,"-",SUMIFS('Data - Monthly Metrics'!E:E,'Data - Monthly Metrics'!A:A,$B$4,'Data - Monthly Metrics'!B:B,"Apr",'Data - Monthly Metrics'!C:C,"North King",'Data - Monthly Metrics'!D:D,"Penetration - Lodging %"))</f>
        <v/>
      </c>
      <c r="K69" s="97">
        <f>IF(COUNTIFS('Data - Monthly Metrics'!A:A,$B$4,'Data - Monthly Metrics'!B:B,"May",'Data - Monthly Metrics'!C:C,"North King",'Data - Monthly Metrics'!D:D,"Penetration - Lodging %")=0,"-",SUMIFS('Data - Monthly Metrics'!E:E,'Data - Monthly Metrics'!A:A,$B$4,'Data - Monthly Metrics'!B:B,"May",'Data - Monthly Metrics'!C:C,"North King",'Data - Monthly Metrics'!D:D,"Penetration - Lodging %"))</f>
        <v/>
      </c>
      <c r="L69" s="97">
        <f>IF(COUNTIFS('Data - Monthly Metrics'!A:A,$B$4,'Data - Monthly Metrics'!B:B,"Jun",'Data - Monthly Metrics'!C:C,"North King",'Data - Monthly Metrics'!D:D,"Penetration - Lodging %")=0,"-",SUMIFS('Data - Monthly Metrics'!E:E,'Data - Monthly Metrics'!A:A,$B$4,'Data - Monthly Metrics'!B:B,"Jun",'Data - Monthly Metrics'!C:C,"North King",'Data - Monthly Metrics'!D:D,"Penetration - Lodging %"))</f>
        <v/>
      </c>
      <c r="M69" s="102">
        <f>IF(ISNUMBER(L69),L69,IF(ISNUMBER(K69),K69,IF(ISNUMBER(J69),J69,"-")))</f>
        <v/>
      </c>
      <c r="N69" s="97">
        <f>IF(COUNTIFS('Data - Monthly Metrics'!A:A,$B$4,'Data - Monthly Metrics'!B:B,"Jul",'Data - Monthly Metrics'!C:C,"North King",'Data - Monthly Metrics'!D:D,"Penetration - Lodging %")=0,"-",SUMIFS('Data - Monthly Metrics'!E:E,'Data - Monthly Metrics'!A:A,$B$4,'Data - Monthly Metrics'!B:B,"Jul",'Data - Monthly Metrics'!C:C,"North King",'Data - Monthly Metrics'!D:D,"Penetration - Lodging %"))</f>
        <v/>
      </c>
      <c r="O69" s="97">
        <f>IF(COUNTIFS('Data - Monthly Metrics'!A:A,$B$4,'Data - Monthly Metrics'!B:B,"Aug",'Data - Monthly Metrics'!C:C,"North King",'Data - Monthly Metrics'!D:D,"Penetration - Lodging %")=0,"-",SUMIFS('Data - Monthly Metrics'!E:E,'Data - Monthly Metrics'!A:A,$B$4,'Data - Monthly Metrics'!B:B,"Aug",'Data - Monthly Metrics'!C:C,"North King",'Data - Monthly Metrics'!D:D,"Penetration - Lodging %"))</f>
        <v/>
      </c>
      <c r="P69" s="97">
        <f>IF(COUNTIFS('Data - Monthly Metrics'!A:A,$B$4,'Data - Monthly Metrics'!B:B,"Sep",'Data - Monthly Metrics'!C:C,"North King",'Data - Monthly Metrics'!D:D,"Penetration - Lodging %")=0,"-",SUMIFS('Data - Monthly Metrics'!E:E,'Data - Monthly Metrics'!A:A,$B$4,'Data - Monthly Metrics'!B:B,"Sep",'Data - Monthly Metrics'!C:C,"North King",'Data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Metrics'!C:C,"North King",'Data - Monthly Metrics'!D:D,"Penetration - Combined %")=0,"-",SUMIFS('Data - Monthly Metrics'!E:E,'Data - Monthly Metrics'!A:A,$B$4-1,'Data - Monthly Metrics'!B:B,"Oct",'Data - Monthly Metrics'!C:C,"North King",'Data - Monthly Metrics'!D:D,"Penetration - Combined %"))</f>
        <v/>
      </c>
      <c r="C70" s="92">
        <f>IF(COUNTIFS('Data - Monthly Metrics'!A:A,$B$4-1,'Data - Monthly Metrics'!B:B,"Nov",'Data - Monthly Metrics'!C:C,"North King",'Data - Monthly Metrics'!D:D,"Penetration - Combined %")=0,"-",SUMIFS('Data - Monthly Metrics'!E:E,'Data - Monthly Metrics'!A:A,$B$4-1,'Data - Monthly Metrics'!B:B,"Nov",'Data - Monthly Metrics'!C:C,"North King",'Data - Monthly Metrics'!D:D,"Penetration - Combined %"))</f>
        <v/>
      </c>
      <c r="D70" s="92">
        <f>IF(COUNTIFS('Data - Monthly Metrics'!A:A,$B$4-1,'Data - Monthly Metrics'!B:B,"Dec",'Data - Monthly Metrics'!C:C,"North King",'Data - Monthly Metrics'!D:D,"Penetration - Combined %")=0,"-",SUMIFS('Data - Monthly Metrics'!E:E,'Data - Monthly Metrics'!A:A,$B$4-1,'Data - Monthly Metrics'!B:B,"Dec",'Data - Monthly Metrics'!C:C,"North King",'Data - Monthly Metrics'!D:D,"Penetration - Combined %"))</f>
        <v/>
      </c>
      <c r="E70" s="102">
        <f>IF(ISNUMBER(D70),D70,IF(ISNUMBER(C70),C70,IF(ISNUMBER(B70),B70,"-")))</f>
        <v/>
      </c>
      <c r="F70" s="92">
        <f>IF(COUNTIFS('Data - Monthly Metrics'!A:A,$B$4,'Data - Monthly Metrics'!B:B,"Jan",'Data - Monthly Metrics'!C:C,"North King",'Data - Monthly Metrics'!D:D,"Penetration - Combined %")=0,"-",SUMIFS('Data - Monthly Metrics'!E:E,'Data - Monthly Metrics'!A:A,$B$4,'Data - Monthly Metrics'!B:B,"Jan",'Data - Monthly Metrics'!C:C,"North King",'Data - Monthly Metrics'!D:D,"Penetration - Combined %"))</f>
        <v/>
      </c>
      <c r="G70" s="92">
        <f>IF(COUNTIFS('Data - Monthly Metrics'!A:A,$B$4,'Data - Monthly Metrics'!B:B,"Feb",'Data - Monthly Metrics'!C:C,"North King",'Data - Monthly Metrics'!D:D,"Penetration - Combined %")=0,"-",SUMIFS('Data - Monthly Metrics'!E:E,'Data - Monthly Metrics'!A:A,$B$4,'Data - Monthly Metrics'!B:B,"Feb",'Data - Monthly Metrics'!C:C,"North King",'Data - Monthly Metrics'!D:D,"Penetration - Combined %"))</f>
        <v/>
      </c>
      <c r="H70" s="92">
        <f>IF(COUNTIFS('Data - Monthly Metrics'!A:A,$B$4,'Data - Monthly Metrics'!B:B,"Mar",'Data - Monthly Metrics'!C:C,"North King",'Data - Monthly Metrics'!D:D,"Penetration - Combined %")=0,"-",SUMIFS('Data - Monthly Metrics'!E:E,'Data - Monthly Metrics'!A:A,$B$4,'Data - Monthly Metrics'!B:B,"Mar",'Data - Monthly Metrics'!C:C,"North King",'Data - Monthly Metrics'!D:D,"Penetration - Combined %"))</f>
        <v/>
      </c>
      <c r="I70" s="102">
        <f>IF(ISNUMBER(H70),H70,IF(ISNUMBER(G70),G70,IF(ISNUMBER(F70),F70,"-")))</f>
        <v/>
      </c>
      <c r="J70" s="92">
        <f>IF(COUNTIFS('Data - Monthly Metrics'!A:A,$B$4,'Data - Monthly Metrics'!B:B,"Apr",'Data - Monthly Metrics'!C:C,"North King",'Data - Monthly Metrics'!D:D,"Penetration - Combined %")=0,"-",SUMIFS('Data - Monthly Metrics'!E:E,'Data - Monthly Metrics'!A:A,$B$4,'Data - Monthly Metrics'!B:B,"Apr",'Data - Monthly Metrics'!C:C,"North King",'Data - Monthly Metrics'!D:D,"Penetration - Combined %"))</f>
        <v/>
      </c>
      <c r="K70" s="92">
        <f>IF(COUNTIFS('Data - Monthly Metrics'!A:A,$B$4,'Data - Monthly Metrics'!B:B,"May",'Data - Monthly Metrics'!C:C,"North King",'Data - Monthly Metrics'!D:D,"Penetration - Combined %")=0,"-",SUMIFS('Data - Monthly Metrics'!E:E,'Data - Monthly Metrics'!A:A,$B$4,'Data - Monthly Metrics'!B:B,"May",'Data - Monthly Metrics'!C:C,"North King",'Data - Monthly Metrics'!D:D,"Penetration - Combined %"))</f>
        <v/>
      </c>
      <c r="L70" s="92">
        <f>IF(COUNTIFS('Data - Monthly Metrics'!A:A,$B$4,'Data - Monthly Metrics'!B:B,"Jun",'Data - Monthly Metrics'!C:C,"North King",'Data - Monthly Metrics'!D:D,"Penetration - Combined %")=0,"-",SUMIFS('Data - Monthly Metrics'!E:E,'Data - Monthly Metrics'!A:A,$B$4,'Data - Monthly Metrics'!B:B,"Jun",'Data - Monthly Metrics'!C:C,"North King",'Data - Monthly Metrics'!D:D,"Penetration - Combined %"))</f>
        <v/>
      </c>
      <c r="M70" s="102">
        <f>IF(ISNUMBER(L70),L70,IF(ISNUMBER(K70),K70,IF(ISNUMBER(J70),J70,"-")))</f>
        <v/>
      </c>
      <c r="N70" s="92">
        <f>IF(COUNTIFS('Data - Monthly Metrics'!A:A,$B$4,'Data - Monthly Metrics'!B:B,"Jul",'Data - Monthly Metrics'!C:C,"North King",'Data - Monthly Metrics'!D:D,"Penetration - Combined %")=0,"-",SUMIFS('Data - Monthly Metrics'!E:E,'Data - Monthly Metrics'!A:A,$B$4,'Data - Monthly Metrics'!B:B,"Jul",'Data - Monthly Metrics'!C:C,"North King",'Data - Monthly Metrics'!D:D,"Penetration - Combined %"))</f>
        <v/>
      </c>
      <c r="O70" s="92">
        <f>IF(COUNTIFS('Data - Monthly Metrics'!A:A,$B$4,'Data - Monthly Metrics'!B:B,"Aug",'Data - Monthly Metrics'!C:C,"North King",'Data - Monthly Metrics'!D:D,"Penetration - Combined %")=0,"-",SUMIFS('Data - Monthly Metrics'!E:E,'Data - Monthly Metrics'!A:A,$B$4,'Data - Monthly Metrics'!B:B,"Aug",'Data - Monthly Metrics'!C:C,"North King",'Data - Monthly Metrics'!D:D,"Penetration - Combined %"))</f>
        <v/>
      </c>
      <c r="P70" s="92">
        <f>IF(COUNTIFS('Data - Monthly Metrics'!A:A,$B$4,'Data - Monthly Metrics'!B:B,"Sep",'Data - Monthly Metrics'!C:C,"North King",'Data - Monthly Metrics'!D:D,"Penetration - Combined %")=0,"-",SUMIFS('Data - Monthly Metrics'!E:E,'Data - Monthly Metrics'!A:A,$B$4,'Data - Monthly Metrics'!B:B,"Sep",'Data - Monthly Metrics'!C:C,"North King",'Data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Metrics'!$C:$C,"North King",'Data - Monthly Metrics'!$D:$D,"Goal - Penetration %")=0),"—",IF(B70&gt;=SUMIFS('Data - Monthly Metrics'!$E:$E,'Data - Monthly Metrics'!$A:$A,$B$4-1,'Data - Monthly Metrics'!$B:$B,B$8,'Data - Monthly Metrics'!$C:$C,"North King",'Data - Monthly Metrics'!$D:$D,"Goal - Penetration %"),"On Track",IF(B70&gt;=SUMIFS('Data - Monthly Metrics'!$E:$E,'Data - Monthly Metrics'!$A:$A,$B$4-1,'Data - Monthly Metrics'!$B:$B,B$8,'Data - Monthly Metrics'!$C:$C,"North King",'Data - Monthly Metrics'!$D:$D,"Goal - Penetration %")-0.05,"Watch","At Risk")))</f>
        <v/>
      </c>
      <c r="C71" s="120">
        <f>IF(OR(NOT(ISNUMBER(C70)),C70=0,COUNTIFS('Data - Monthly Metrics'!$A:$A,$B$4-1,'Data - Monthly Metrics'!$B:$B,C$8,'Data - Monthly Metrics'!$C:$C,"North King",'Data - Monthly Metrics'!$D:$D,"Goal - Penetration %")=0),"—",IF(C70&gt;=SUMIFS('Data - Monthly Metrics'!$E:$E,'Data - Monthly Metrics'!$A:$A,$B$4-1,'Data - Monthly Metrics'!$B:$B,C$8,'Data - Monthly Metrics'!$C:$C,"North King",'Data - Monthly Metrics'!$D:$D,"Goal - Penetration %"),"On Track",IF(C70&gt;=SUMIFS('Data - Monthly Metrics'!$E:$E,'Data - Monthly Metrics'!$A:$A,$B$4-1,'Data - Monthly Metrics'!$B:$B,C$8,'Data - Monthly Metrics'!$C:$C,"North King",'Data - Monthly Metrics'!$D:$D,"Goal - Penetration %")-0.05,"Watch","At Risk")))</f>
        <v/>
      </c>
      <c r="D71" s="120">
        <f>IF(OR(NOT(ISNUMBER(D70)),D70=0,COUNTIFS('Data - Monthly Metrics'!$A:$A,$B$4-1,'Data - Monthly Metrics'!$B:$B,D$8,'Data - Monthly Metrics'!$C:$C,"North King",'Data - Monthly Metrics'!$D:$D,"Goal - Penetration %")=0),"—",IF(D70&gt;=SUMIFS('Data - Monthly Metrics'!$E:$E,'Data - Monthly Metrics'!$A:$A,$B$4-1,'Data - Monthly Metrics'!$B:$B,D$8,'Data - Monthly Metrics'!$C:$C,"North King",'Data - Monthly Metrics'!$D:$D,"Goal - Penetration %"),"On Track",IF(D70&gt;=SUMIFS('Data - Monthly Metrics'!$E:$E,'Data - Monthly Metrics'!$A:$A,$B$4-1,'Data - Monthly Metrics'!$B:$B,D$8,'Data - Monthly Metrics'!$C:$C,"North King",'Data - Monthly Metrics'!$D:$D,"Goal - Penetration %")-0.05,"Watch","At Risk")))</f>
        <v/>
      </c>
      <c r="E71" s="121">
        <f>"—"</f>
        <v/>
      </c>
      <c r="F71" s="120">
        <f>IF(OR(NOT(ISNUMBER(F70)),F70=0,COUNTIFS('Data - Monthly Metrics'!$A:$A,$B$4,'Data - Monthly Metrics'!$B:$B,F$8,'Data - Monthly Metrics'!$C:$C,"North King",'Data - Monthly Metrics'!$D:$D,"Goal - Penetration %")=0),"—",IF(F70&gt;=SUMIFS('Data - Monthly Metrics'!$E:$E,'Data - Monthly Metrics'!$A:$A,$B$4,'Data - Monthly Metrics'!$B:$B,F$8,'Data - Monthly Metrics'!$C:$C,"North King",'Data - Monthly Metrics'!$D:$D,"Goal - Penetration %"),"On Track",IF(F70&gt;=SUMIFS('Data - Monthly Metrics'!$E:$E,'Data - Monthly Metrics'!$A:$A,$B$4,'Data - Monthly Metrics'!$B:$B,F$8,'Data - Monthly Metrics'!$C:$C,"North King",'Data - Monthly Metrics'!$D:$D,"Goal - Penetration %")-0.05,"Watch","At Risk")))</f>
        <v/>
      </c>
      <c r="G71" s="120">
        <f>IF(OR(NOT(ISNUMBER(G70)),G70=0,COUNTIFS('Data - Monthly Metrics'!$A:$A,$B$4,'Data - Monthly Metrics'!$B:$B,G$8,'Data - Monthly Metrics'!$C:$C,"North King",'Data - Monthly Metrics'!$D:$D,"Goal - Penetration %")=0),"—",IF(G70&gt;=SUMIFS('Data - Monthly Metrics'!$E:$E,'Data - Monthly Metrics'!$A:$A,$B$4,'Data - Monthly Metrics'!$B:$B,G$8,'Data - Monthly Metrics'!$C:$C,"North King",'Data - Monthly Metrics'!$D:$D,"Goal - Penetration %"),"On Track",IF(G70&gt;=SUMIFS('Data - Monthly Metrics'!$E:$E,'Data - Monthly Metrics'!$A:$A,$B$4,'Data - Monthly Metrics'!$B:$B,G$8,'Data - Monthly Metrics'!$C:$C,"North King",'Data - Monthly Metrics'!$D:$D,"Goal - Penetration %")-0.05,"Watch","At Risk")))</f>
        <v/>
      </c>
      <c r="H71" s="120">
        <f>IF(OR(NOT(ISNUMBER(H70)),H70=0,COUNTIFS('Data - Monthly Metrics'!$A:$A,$B$4,'Data - Monthly Metrics'!$B:$B,H$8,'Data - Monthly Metrics'!$C:$C,"North King",'Data - Monthly Metrics'!$D:$D,"Goal - Penetration %")=0),"—",IF(H70&gt;=SUMIFS('Data - Monthly Metrics'!$E:$E,'Data - Monthly Metrics'!$A:$A,$B$4,'Data - Monthly Metrics'!$B:$B,H$8,'Data - Monthly Metrics'!$C:$C,"North King",'Data - Monthly Metrics'!$D:$D,"Goal - Penetration %"),"On Track",IF(H70&gt;=SUMIFS('Data - Monthly Metrics'!$E:$E,'Data - Monthly Metrics'!$A:$A,$B$4,'Data - Monthly Metrics'!$B:$B,H$8,'Data - Monthly Metrics'!$C:$C,"North King",'Data - Monthly Metrics'!$D:$D,"Goal - Penetration %")-0.05,"Watch","At Risk")))</f>
        <v/>
      </c>
      <c r="I71" s="121">
        <f>"—"</f>
        <v/>
      </c>
      <c r="J71" s="120">
        <f>IF(OR(NOT(ISNUMBER(J70)),J70=0,COUNTIFS('Data - Monthly Metrics'!$A:$A,$B$4,'Data - Monthly Metrics'!$B:$B,J$8,'Data - Monthly Metrics'!$C:$C,"North King",'Data - Monthly Metrics'!$D:$D,"Goal - Penetration %")=0),"—",IF(J70&gt;=SUMIFS('Data - Monthly Metrics'!$E:$E,'Data - Monthly Metrics'!$A:$A,$B$4,'Data - Monthly Metrics'!$B:$B,J$8,'Data - Monthly Metrics'!$C:$C,"North King",'Data - Monthly Metrics'!$D:$D,"Goal - Penetration %"),"On Track",IF(J70&gt;=SUMIFS('Data - Monthly Metrics'!$E:$E,'Data - Monthly Metrics'!$A:$A,$B$4,'Data - Monthly Metrics'!$B:$B,J$8,'Data - Monthly Metrics'!$C:$C,"North King",'Data - Monthly Metrics'!$D:$D,"Goal - Penetration %")-0.05,"Watch","At Risk")))</f>
        <v/>
      </c>
      <c r="K71" s="120">
        <f>IF(OR(NOT(ISNUMBER(K70)),K70=0,COUNTIFS('Data - Monthly Metrics'!$A:$A,$B$4,'Data - Monthly Metrics'!$B:$B,K$8,'Data - Monthly Metrics'!$C:$C,"North King",'Data - Monthly Metrics'!$D:$D,"Goal - Penetration %")=0),"—",IF(K70&gt;=SUMIFS('Data - Monthly Metrics'!$E:$E,'Data - Monthly Metrics'!$A:$A,$B$4,'Data - Monthly Metrics'!$B:$B,K$8,'Data - Monthly Metrics'!$C:$C,"North King",'Data - Monthly Metrics'!$D:$D,"Goal - Penetration %"),"On Track",IF(K70&gt;=SUMIFS('Data - Monthly Metrics'!$E:$E,'Data - Monthly Metrics'!$A:$A,$B$4,'Data - Monthly Metrics'!$B:$B,K$8,'Data - Monthly Metrics'!$C:$C,"North King",'Data - Monthly Metrics'!$D:$D,"Goal - Penetration %")-0.05,"Watch","At Risk")))</f>
        <v/>
      </c>
      <c r="L71" s="120">
        <f>IF(OR(NOT(ISNUMBER(L70)),L70=0,COUNTIFS('Data - Monthly Metrics'!$A:$A,$B$4,'Data - Monthly Metrics'!$B:$B,L$8,'Data - Monthly Metrics'!$C:$C,"North King",'Data - Monthly Metrics'!$D:$D,"Goal - Penetration %")=0),"—",IF(L70&gt;=SUMIFS('Data - Monthly Metrics'!$E:$E,'Data - Monthly Metrics'!$A:$A,$B$4,'Data - Monthly Metrics'!$B:$B,L$8,'Data - Monthly Metrics'!$C:$C,"North King",'Data - Monthly Metrics'!$D:$D,"Goal - Penetration %"),"On Track",IF(L70&gt;=SUMIFS('Data - Monthly Metrics'!$E:$E,'Data - Monthly Metrics'!$A:$A,$B$4,'Data - Monthly Metrics'!$B:$B,L$8,'Data - Monthly Metrics'!$C:$C,"North King",'Data - Monthly Metrics'!$D:$D,"Goal - Penetration %")-0.05,"Watch","At Risk")))</f>
        <v/>
      </c>
      <c r="M71" s="121">
        <f>"—"</f>
        <v/>
      </c>
      <c r="N71" s="120">
        <f>IF(OR(NOT(ISNUMBER(N70)),N70=0,COUNTIFS('Data - Monthly Metrics'!$A:$A,$B$4,'Data - Monthly Metrics'!$B:$B,N$8,'Data - Monthly Metrics'!$C:$C,"North King",'Data - Monthly Metrics'!$D:$D,"Goal - Penetration %")=0),"—",IF(N70&gt;=SUMIFS('Data - Monthly Metrics'!$E:$E,'Data - Monthly Metrics'!$A:$A,$B$4,'Data - Monthly Metrics'!$B:$B,N$8,'Data - Monthly Metrics'!$C:$C,"North King",'Data - Monthly Metrics'!$D:$D,"Goal - Penetration %"),"On Track",IF(N70&gt;=SUMIFS('Data - Monthly Metrics'!$E:$E,'Data - Monthly Metrics'!$A:$A,$B$4,'Data - Monthly Metrics'!$B:$B,N$8,'Data - Monthly Metrics'!$C:$C,"North King",'Data - Monthly Metrics'!$D:$D,"Goal - Penetration %")-0.05,"Watch","At Risk")))</f>
        <v/>
      </c>
      <c r="O71" s="120">
        <f>IF(OR(NOT(ISNUMBER(O70)),O70=0,COUNTIFS('Data - Monthly Metrics'!$A:$A,$B$4,'Data - Monthly Metrics'!$B:$B,O$8,'Data - Monthly Metrics'!$C:$C,"North King",'Data - Monthly Metrics'!$D:$D,"Goal - Penetration %")=0),"—",IF(O70&gt;=SUMIFS('Data - Monthly Metrics'!$E:$E,'Data - Monthly Metrics'!$A:$A,$B$4,'Data - Monthly Metrics'!$B:$B,O$8,'Data - Monthly Metrics'!$C:$C,"North King",'Data - Monthly Metrics'!$D:$D,"Goal - Penetration %"),"On Track",IF(O70&gt;=SUMIFS('Data - Monthly Metrics'!$E:$E,'Data - Monthly Metrics'!$A:$A,$B$4,'Data - Monthly Metrics'!$B:$B,O$8,'Data - Monthly Metrics'!$C:$C,"North King",'Data - Monthly Metrics'!$D:$D,"Goal - Penetration %")-0.05,"Watch","At Risk")))</f>
        <v/>
      </c>
      <c r="P71" s="120">
        <f>IF(OR(NOT(ISNUMBER(P70)),P70=0,COUNTIFS('Data - Monthly Metrics'!$A:$A,$B$4,'Data - Monthly Metrics'!$B:$B,P$8,'Data - Monthly Metrics'!$C:$C,"North King",'Data - Monthly Metrics'!$D:$D,"Goal - Penetration %")=0),"—",IF(P70&gt;=SUMIFS('Data - Monthly Metrics'!$E:$E,'Data - Monthly Metrics'!$A:$A,$B$4,'Data - Monthly Metrics'!$B:$B,P$8,'Data - Monthly Metrics'!$C:$C,"North King",'Data - Monthly Metrics'!$D:$D,"Goal - Penetration %"),"On Track",IF(P70&gt;=SUMIFS('Data - Monthly Metrics'!$E:$E,'Data - Monthly Metrics'!$A:$A,$B$4,'Data - Monthly Metrics'!$B:$B,P$8,'Data - Monthly Metrics'!$C:$C,"North King",'Data - Monthly Metrics'!$D:$D,"Goal - Penetration %")-0.05,"Watch","At Risk")))</f>
        <v/>
      </c>
      <c r="Q71" s="121">
        <f>"—"</f>
        <v/>
      </c>
      <c r="R71" s="121">
        <f>"—"</f>
        <v/>
      </c>
    </row>
    <row r="72" ht="14.25" customHeight="1" s="82">
      <c r="A72" s="151" t="inlineStr">
        <is>
          <t>Goal</t>
        </is>
      </c>
      <c r="B72" s="152">
        <f>IF(COUNTIFS('Data - Monthly Metrics'!$A:$A,$B$4-1,'Data - Monthly Metrics'!$B:$B,B$8,'Data - Monthly Metrics'!$C:$C,"North King",'Data - Monthly Metrics'!$D:$D,"Goal - Penetration %")=0,"-",SUMIFS('Data - Monthly Metrics'!$E:$E,'Data - Monthly Metrics'!$A:$A,$B$4-1,'Data - Monthly Metrics'!$B:$B,B$8,'Data - Monthly Metrics'!$C:$C,"North King",'Data - Monthly Metrics'!$D:$D,"Goal - Penetration %"))</f>
        <v/>
      </c>
      <c r="C72" s="152">
        <f>IF(COUNTIFS('Data - Monthly Metrics'!$A:$A,$B$4-1,'Data - Monthly Metrics'!$B:$B,C$8,'Data - Monthly Metrics'!$C:$C,"North King",'Data - Monthly Metrics'!$D:$D,"Goal - Penetration %")=0,"-",SUMIFS('Data - Monthly Metrics'!$E:$E,'Data - Monthly Metrics'!$A:$A,$B$4-1,'Data - Monthly Metrics'!$B:$B,C$8,'Data - Monthly Metrics'!$C:$C,"North King",'Data - Monthly Metrics'!$D:$D,"Goal - Penetration %"))</f>
        <v/>
      </c>
      <c r="D72" s="152">
        <f>IF(COUNTIFS('Data - Monthly Metrics'!$A:$A,$B$4-1,'Data - Monthly Metrics'!$B:$B,D$8,'Data - Monthly Metrics'!$C:$C,"North King",'Data - Monthly Metrics'!$D:$D,"Goal - Penetration %")=0,"-",SUMIFS('Data - Monthly Metrics'!$E:$E,'Data - Monthly Metrics'!$A:$A,$B$4-1,'Data - Monthly Metrics'!$B:$B,D$8,'Data - Monthly Metrics'!$C:$C,"North King",'Data - Monthly Metrics'!$D:$D,"Goal - Penetration %"))</f>
        <v/>
      </c>
      <c r="E72" s="153" t="n"/>
      <c r="F72" s="152">
        <f>IF(COUNTIFS('Data - Monthly Metrics'!$A:$A,$B$4,'Data - Monthly Metrics'!$B:$B,F$8,'Data - Monthly Metrics'!$C:$C,"North King",'Data - Monthly Metrics'!$D:$D,"Goal - Penetration %")=0,"-",SUMIFS('Data - Monthly Metrics'!$E:$E,'Data - Monthly Metrics'!$A:$A,$B$4,'Data - Monthly Metrics'!$B:$B,F$8,'Data - Monthly Metrics'!$C:$C,"North King",'Data - Monthly Metrics'!$D:$D,"Goal - Penetration %"))</f>
        <v/>
      </c>
      <c r="G72" s="152">
        <f>IF(COUNTIFS('Data - Monthly Metrics'!$A:$A,$B$4,'Data - Monthly Metrics'!$B:$B,G$8,'Data - Monthly Metrics'!$C:$C,"North King",'Data - Monthly Metrics'!$D:$D,"Goal - Penetration %")=0,"-",SUMIFS('Data - Monthly Metrics'!$E:$E,'Data - Monthly Metrics'!$A:$A,$B$4,'Data - Monthly Metrics'!$B:$B,G$8,'Data - Monthly Metrics'!$C:$C,"North King",'Data - Monthly Metrics'!$D:$D,"Goal - Penetration %"))</f>
        <v/>
      </c>
      <c r="H72" s="152">
        <f>IF(COUNTIFS('Data - Monthly Metrics'!$A:$A,$B$4,'Data - Monthly Metrics'!$B:$B,H$8,'Data - Monthly Metrics'!$C:$C,"North King",'Data - Monthly Metrics'!$D:$D,"Goal - Penetration %")=0,"-",SUMIFS('Data - Monthly Metrics'!$E:$E,'Data - Monthly Metrics'!$A:$A,$B$4,'Data - Monthly Metrics'!$B:$B,H$8,'Data - Monthly Metrics'!$C:$C,"North King",'Data - Monthly Metrics'!$D:$D,"Goal - Penetration %"))</f>
        <v/>
      </c>
      <c r="I72" s="153" t="n"/>
      <c r="J72" s="152">
        <f>IF(COUNTIFS('Data - Monthly Metrics'!$A:$A,$B$4,'Data - Monthly Metrics'!$B:$B,J$8,'Data - Monthly Metrics'!$C:$C,"North King",'Data - Monthly Metrics'!$D:$D,"Goal - Penetration %")=0,"-",SUMIFS('Data - Monthly Metrics'!$E:$E,'Data - Monthly Metrics'!$A:$A,$B$4,'Data - Monthly Metrics'!$B:$B,J$8,'Data - Monthly Metrics'!$C:$C,"North King",'Data - Monthly Metrics'!$D:$D,"Goal - Penetration %"))</f>
        <v/>
      </c>
      <c r="K72" s="152">
        <f>IF(COUNTIFS('Data - Monthly Metrics'!$A:$A,$B$4,'Data - Monthly Metrics'!$B:$B,K$8,'Data - Monthly Metrics'!$C:$C,"North King",'Data - Monthly Metrics'!$D:$D,"Goal - Penetration %")=0,"-",SUMIFS('Data - Monthly Metrics'!$E:$E,'Data - Monthly Metrics'!$A:$A,$B$4,'Data - Monthly Metrics'!$B:$B,K$8,'Data - Monthly Metrics'!$C:$C,"North King",'Data - Monthly Metrics'!$D:$D,"Goal - Penetration %"))</f>
        <v/>
      </c>
      <c r="L72" s="152">
        <f>IF(COUNTIFS('Data - Monthly Metrics'!$A:$A,$B$4,'Data - Monthly Metrics'!$B:$B,L$8,'Data - Monthly Metrics'!$C:$C,"North King",'Data - Monthly Metrics'!$D:$D,"Goal - Penetration %")=0,"-",SUMIFS('Data - Monthly Metrics'!$E:$E,'Data - Monthly Metrics'!$A:$A,$B$4,'Data - Monthly Metrics'!$B:$B,L$8,'Data - Monthly Metrics'!$C:$C,"North King",'Data - Monthly Metrics'!$D:$D,"Goal - Penetration %"))</f>
        <v/>
      </c>
      <c r="M72" s="153" t="n"/>
      <c r="N72" s="152">
        <f>IF(COUNTIFS('Data - Monthly Metrics'!$A:$A,$B$4,'Data - Monthly Metrics'!$B:$B,N$8,'Data - Monthly Metrics'!$C:$C,"North King",'Data - Monthly Metrics'!$D:$D,"Goal - Penetration %")=0,"-",SUMIFS('Data - Monthly Metrics'!$E:$E,'Data - Monthly Metrics'!$A:$A,$B$4,'Data - Monthly Metrics'!$B:$B,N$8,'Data - Monthly Metrics'!$C:$C,"North King",'Data - Monthly Metrics'!$D:$D,"Goal - Penetration %"))</f>
        <v/>
      </c>
      <c r="O72" s="152">
        <f>IF(COUNTIFS('Data - Monthly Metrics'!$A:$A,$B$4,'Data - Monthly Metrics'!$B:$B,O$8,'Data - Monthly Metrics'!$C:$C,"North King",'Data - Monthly Metrics'!$D:$D,"Goal - Penetration %")=0,"-",SUMIFS('Data - Monthly Metrics'!$E:$E,'Data - Monthly Metrics'!$A:$A,$B$4,'Data - Monthly Metrics'!$B:$B,O$8,'Data - Monthly Metrics'!$C:$C,"North King",'Data - Monthly Metrics'!$D:$D,"Goal - Penetration %"))</f>
        <v/>
      </c>
      <c r="P72" s="152">
        <f>IF(COUNTIFS('Data - Monthly Metrics'!$A:$A,$B$4,'Data - Monthly Metrics'!$B:$B,P$8,'Data - Monthly Metrics'!$C:$C,"North King",'Data - Monthly Metrics'!$D:$D,"Goal - Penetration %")=0,"-",SUMIFS('Data - Monthly Metrics'!$E:$E,'Data - Monthly Metrics'!$A:$A,$B$4,'Data - Monthly Metrics'!$B:$B,P$8,'Data - Monthly Metrics'!$C:$C,"North King",'Data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Metrics'!C:C,"North King",'Data - Monthly Metrics'!D:D,"New Sales Revenue - Non-Target ($)")=0,"-",SUMIFS('Data - Monthly Metrics'!E:E,'Data - Monthly Metrics'!A:A,$B$4-1,'Data - Monthly Metrics'!B:B,"Oct",'Data - Monthly Metrics'!C:C,"North King",'Data - Monthly Metrics'!D:D,"New Sales Revenue - Non-Target ($)"))</f>
        <v/>
      </c>
      <c r="C79" s="91">
        <f>IF(COUNTIFS('Data - Monthly Metrics'!A:A,$B$4-1,'Data - Monthly Metrics'!B:B,"Nov",'Data - Monthly Metrics'!C:C,"North King",'Data - Monthly Metrics'!D:D,"New Sales Revenue - Non-Target ($)")=0,"-",SUMIFS('Data - Monthly Metrics'!E:E,'Data - Monthly Metrics'!A:A,$B$4-1,'Data - Monthly Metrics'!B:B,"Nov",'Data - Monthly Metrics'!C:C,"North King",'Data - Monthly Metrics'!D:D,"New Sales Revenue - Non-Target ($)"))</f>
        <v/>
      </c>
      <c r="D79" s="91">
        <f>IF(COUNTIFS('Data - Monthly Metrics'!A:A,$B$4-1,'Data - Monthly Metrics'!B:B,"Dec",'Data - Monthly Metrics'!C:C,"North King",'Data - Monthly Metrics'!D:D,"New Sales Revenue - Non-Target ($)")=0,"-",SUMIFS('Data - Monthly Metrics'!E:E,'Data - Monthly Metrics'!A:A,$B$4-1,'Data - Monthly Metrics'!B:B,"Dec",'Data - Monthly Metrics'!C:C,"North King",'Data - Monthly Metrics'!D:D,"New Sales Revenue - Non-Target ($)"))</f>
        <v/>
      </c>
      <c r="E79" s="101">
        <f>SUM(B79,C79,D79)</f>
        <v/>
      </c>
      <c r="F79" s="91">
        <f>IF(COUNTIFS('Data - Monthly Metrics'!A:A,$B$4,'Data - Monthly Metrics'!B:B,"Jan",'Data - Monthly Metrics'!C:C,"North King",'Data - Monthly Metrics'!D:D,"New Sales Revenue - Non-Target ($)")=0,"-",SUMIFS('Data - Monthly Metrics'!E:E,'Data - Monthly Metrics'!A:A,$B$4,'Data - Monthly Metrics'!B:B,"Jan",'Data - Monthly Metrics'!C:C,"North King",'Data - Monthly Metrics'!D:D,"New Sales Revenue - Non-Target ($)"))</f>
        <v/>
      </c>
      <c r="G79" s="91">
        <f>IF(COUNTIFS('Data - Monthly Metrics'!A:A,$B$4,'Data - Monthly Metrics'!B:B,"Feb",'Data - Monthly Metrics'!C:C,"North King",'Data - Monthly Metrics'!D:D,"New Sales Revenue - Non-Target ($)")=0,"-",SUMIFS('Data - Monthly Metrics'!E:E,'Data - Monthly Metrics'!A:A,$B$4,'Data - Monthly Metrics'!B:B,"Feb",'Data - Monthly Metrics'!C:C,"North King",'Data - Monthly Metrics'!D:D,"New Sales Revenue - Non-Target ($)"))</f>
        <v/>
      </c>
      <c r="H79" s="91">
        <f>IF(COUNTIFS('Data - Monthly Metrics'!A:A,$B$4,'Data - Monthly Metrics'!B:B,"Mar",'Data - Monthly Metrics'!C:C,"North King",'Data - Monthly Metrics'!D:D,"New Sales Revenue - Non-Target ($)")=0,"-",SUMIFS('Data - Monthly Metrics'!E:E,'Data - Monthly Metrics'!A:A,$B$4,'Data - Monthly Metrics'!B:B,"Mar",'Data - Monthly Metrics'!C:C,"North King",'Data - Monthly Metrics'!D:D,"New Sales Revenue - Non-Target ($)"))</f>
        <v/>
      </c>
      <c r="I79" s="101">
        <f>SUM(F79,G79,H79)</f>
        <v/>
      </c>
      <c r="J79" s="91">
        <f>IF(COUNTIFS('Data - Monthly Metrics'!A:A,$B$4,'Data - Monthly Metrics'!B:B,"Apr",'Data - Monthly Metrics'!C:C,"North King",'Data - Monthly Metrics'!D:D,"New Sales Revenue - Non-Target ($)")=0,"-",SUMIFS('Data - Monthly Metrics'!E:E,'Data - Monthly Metrics'!A:A,$B$4,'Data - Monthly Metrics'!B:B,"Apr",'Data - Monthly Metrics'!C:C,"North King",'Data - Monthly Metrics'!D:D,"New Sales Revenue - Non-Target ($)"))</f>
        <v/>
      </c>
      <c r="K79" s="91">
        <f>IF(COUNTIFS('Data - Monthly Metrics'!A:A,$B$4,'Data - Monthly Metrics'!B:B,"May",'Data - Monthly Metrics'!C:C,"North King",'Data - Monthly Metrics'!D:D,"New Sales Revenue - Non-Target ($)")=0,"-",SUMIFS('Data - Monthly Metrics'!E:E,'Data - Monthly Metrics'!A:A,$B$4,'Data - Monthly Metrics'!B:B,"May",'Data - Monthly Metrics'!C:C,"North King",'Data - Monthly Metrics'!D:D,"New Sales Revenue - Non-Target ($)"))</f>
        <v/>
      </c>
      <c r="L79" s="91">
        <f>IF(COUNTIFS('Data - Monthly Metrics'!A:A,$B$4,'Data - Monthly Metrics'!B:B,"Jun",'Data - Monthly Metrics'!C:C,"North King",'Data - Monthly Metrics'!D:D,"New Sales Revenue - Non-Target ($)")=0,"-",SUMIFS('Data - Monthly Metrics'!E:E,'Data - Monthly Metrics'!A:A,$B$4,'Data - Monthly Metrics'!B:B,"Jun",'Data - Monthly Metrics'!C:C,"North King",'Data - Monthly Metrics'!D:D,"New Sales Revenue - Non-Target ($)"))</f>
        <v/>
      </c>
      <c r="M79" s="101">
        <f>SUM(J79,K79,L79)</f>
        <v/>
      </c>
      <c r="N79" s="91">
        <f>IF(COUNTIFS('Data - Monthly Metrics'!A:A,$B$4,'Data - Monthly Metrics'!B:B,"Jul",'Data - Monthly Metrics'!C:C,"North King",'Data - Monthly Metrics'!D:D,"New Sales Revenue - Non-Target ($)")=0,"-",SUMIFS('Data - Monthly Metrics'!E:E,'Data - Monthly Metrics'!A:A,$B$4,'Data - Monthly Metrics'!B:B,"Jul",'Data - Monthly Metrics'!C:C,"North King",'Data - Monthly Metrics'!D:D,"New Sales Revenue - Non-Target ($)"))</f>
        <v/>
      </c>
      <c r="O79" s="91">
        <f>IF(COUNTIFS('Data - Monthly Metrics'!A:A,$B$4,'Data - Monthly Metrics'!B:B,"Aug",'Data - Monthly Metrics'!C:C,"North King",'Data - Monthly Metrics'!D:D,"New Sales Revenue - Non-Target ($)")=0,"-",SUMIFS('Data - Monthly Metrics'!E:E,'Data - Monthly Metrics'!A:A,$B$4,'Data - Monthly Metrics'!B:B,"Aug",'Data - Monthly Metrics'!C:C,"North King",'Data - Monthly Metrics'!D:D,"New Sales Revenue - Non-Target ($)"))</f>
        <v/>
      </c>
      <c r="P79" s="91">
        <f>IF(COUNTIFS('Data - Monthly Metrics'!A:A,$B$4,'Data - Monthly Metrics'!B:B,"Sep",'Data - Monthly Metrics'!C:C,"North King",'Data - Monthly Metrics'!D:D,"New Sales Revenue - Non-Target ($)")=0,"-",SUMIFS('Data - Monthly Metrics'!E:E,'Data - Monthly Metrics'!A:A,$B$4,'Data - Monthly Metrics'!B:B,"Sep",'Data - Monthly Metrics'!C:C,"North King",'Data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Metrics'!C:C,"North King",'Data - Monthly Metrics'!D:D,"New Members - Non-Target (#)")=0,"-",SUMIFS('Data - Monthly Metrics'!E:E,'Data - Monthly Metrics'!A:A,$B$4-1,'Data - Monthly Metrics'!B:B,"Oct",'Data - Monthly Metrics'!C:C,"North King",'Data - Monthly Metrics'!D:D,"New Members - Non-Target (#)"))</f>
        <v/>
      </c>
      <c r="C80" s="98">
        <f>IF(COUNTIFS('Data - Monthly Metrics'!A:A,$B$4-1,'Data - Monthly Metrics'!B:B,"Nov",'Data - Monthly Metrics'!C:C,"North King",'Data - Monthly Metrics'!D:D,"New Members - Non-Target (#)")=0,"-",SUMIFS('Data - Monthly Metrics'!E:E,'Data - Monthly Metrics'!A:A,$B$4-1,'Data - Monthly Metrics'!B:B,"Nov",'Data - Monthly Metrics'!C:C,"North King",'Data - Monthly Metrics'!D:D,"New Members - Non-Target (#)"))</f>
        <v/>
      </c>
      <c r="D80" s="98">
        <f>IF(COUNTIFS('Data - Monthly Metrics'!A:A,$B$4-1,'Data - Monthly Metrics'!B:B,"Dec",'Data - Monthly Metrics'!C:C,"North King",'Data - Monthly Metrics'!D:D,"New Members - Non-Target (#)")=0,"-",SUMIFS('Data - Monthly Metrics'!E:E,'Data - Monthly Metrics'!A:A,$B$4-1,'Data - Monthly Metrics'!B:B,"Dec",'Data - Monthly Metrics'!C:C,"North King",'Data - Monthly Metrics'!D:D,"New Members - Non-Target (#)"))</f>
        <v/>
      </c>
      <c r="E80" s="103">
        <f>SUM(B80,C80,D80)</f>
        <v/>
      </c>
      <c r="F80" s="98">
        <f>IF(COUNTIFS('Data - Monthly Metrics'!A:A,$B$4,'Data - Monthly Metrics'!B:B,"Jan",'Data - Monthly Metrics'!C:C,"North King",'Data - Monthly Metrics'!D:D,"New Members - Non-Target (#)")=0,"-",SUMIFS('Data - Monthly Metrics'!E:E,'Data - Monthly Metrics'!A:A,$B$4,'Data - Monthly Metrics'!B:B,"Jan",'Data - Monthly Metrics'!C:C,"North King",'Data - Monthly Metrics'!D:D,"New Members - Non-Target (#)"))</f>
        <v/>
      </c>
      <c r="G80" s="98">
        <f>IF(COUNTIFS('Data - Monthly Metrics'!A:A,$B$4,'Data - Monthly Metrics'!B:B,"Feb",'Data - Monthly Metrics'!C:C,"North King",'Data - Monthly Metrics'!D:D,"New Members - Non-Target (#)")=0,"-",SUMIFS('Data - Monthly Metrics'!E:E,'Data - Monthly Metrics'!A:A,$B$4,'Data - Monthly Metrics'!B:B,"Feb",'Data - Monthly Metrics'!C:C,"North King",'Data - Monthly Metrics'!D:D,"New Members - Non-Target (#)"))</f>
        <v/>
      </c>
      <c r="H80" s="98">
        <f>IF(COUNTIFS('Data - Monthly Metrics'!A:A,$B$4,'Data - Monthly Metrics'!B:B,"Mar",'Data - Monthly Metrics'!C:C,"North King",'Data - Monthly Metrics'!D:D,"New Members - Non-Target (#)")=0,"-",SUMIFS('Data - Monthly Metrics'!E:E,'Data - Monthly Metrics'!A:A,$B$4,'Data - Monthly Metrics'!B:B,"Mar",'Data - Monthly Metrics'!C:C,"North King",'Data - Monthly Metrics'!D:D,"New Members - Non-Target (#)"))</f>
        <v/>
      </c>
      <c r="I80" s="103">
        <f>SUM(F80,G80,H80)</f>
        <v/>
      </c>
      <c r="J80" s="98">
        <f>IF(COUNTIFS('Data - Monthly Metrics'!A:A,$B$4,'Data - Monthly Metrics'!B:B,"Apr",'Data - Monthly Metrics'!C:C,"North King",'Data - Monthly Metrics'!D:D,"New Members - Non-Target (#)")=0,"-",SUMIFS('Data - Monthly Metrics'!E:E,'Data - Monthly Metrics'!A:A,$B$4,'Data - Monthly Metrics'!B:B,"Apr",'Data - Monthly Metrics'!C:C,"North King",'Data - Monthly Metrics'!D:D,"New Members - Non-Target (#)"))</f>
        <v/>
      </c>
      <c r="K80" s="98">
        <f>IF(COUNTIFS('Data - Monthly Metrics'!A:A,$B$4,'Data - Monthly Metrics'!B:B,"May",'Data - Monthly Metrics'!C:C,"North King",'Data - Monthly Metrics'!D:D,"New Members - Non-Target (#)")=0,"-",SUMIFS('Data - Monthly Metrics'!E:E,'Data - Monthly Metrics'!A:A,$B$4,'Data - Monthly Metrics'!B:B,"May",'Data - Monthly Metrics'!C:C,"North King",'Data - Monthly Metrics'!D:D,"New Members - Non-Target (#)"))</f>
        <v/>
      </c>
      <c r="L80" s="98">
        <f>IF(COUNTIFS('Data - Monthly Metrics'!A:A,$B$4,'Data - Monthly Metrics'!B:B,"Jun",'Data - Monthly Metrics'!C:C,"North King",'Data - Monthly Metrics'!D:D,"New Members - Non-Target (#)")=0,"-",SUMIFS('Data - Monthly Metrics'!E:E,'Data - Monthly Metrics'!A:A,$B$4,'Data - Monthly Metrics'!B:B,"Jun",'Data - Monthly Metrics'!C:C,"North King",'Data - Monthly Metrics'!D:D,"New Members - Non-Target (#)"))</f>
        <v/>
      </c>
      <c r="M80" s="103">
        <f>SUM(J80,K80,L80)</f>
        <v/>
      </c>
      <c r="N80" s="98">
        <f>IF(COUNTIFS('Data - Monthly Metrics'!A:A,$B$4,'Data - Monthly Metrics'!B:B,"Jul",'Data - Monthly Metrics'!C:C,"North King",'Data - Monthly Metrics'!D:D,"New Members - Non-Target (#)")=0,"-",SUMIFS('Data - Monthly Metrics'!E:E,'Data - Monthly Metrics'!A:A,$B$4,'Data - Monthly Metrics'!B:B,"Jul",'Data - Monthly Metrics'!C:C,"North King",'Data - Monthly Metrics'!D:D,"New Members - Non-Target (#)"))</f>
        <v/>
      </c>
      <c r="O80" s="98">
        <f>IF(COUNTIFS('Data - Monthly Metrics'!A:A,$B$4,'Data - Monthly Metrics'!B:B,"Aug",'Data - Monthly Metrics'!C:C,"North King",'Data - Monthly Metrics'!D:D,"New Members - Non-Target (#)")=0,"-",SUMIFS('Data - Monthly Metrics'!E:E,'Data - Monthly Metrics'!A:A,$B$4,'Data - Monthly Metrics'!B:B,"Aug",'Data - Monthly Metrics'!C:C,"North King",'Data - Monthly Metrics'!D:D,"New Members - Non-Target (#)"))</f>
        <v/>
      </c>
      <c r="P80" s="98">
        <f>IF(COUNTIFS('Data - Monthly Metrics'!A:A,$B$4,'Data - Monthly Metrics'!B:B,"Sep",'Data - Monthly Metrics'!C:C,"North King",'Data - Monthly Metrics'!D:D,"New Members - Non-Target (#)")=0,"-",SUMIFS('Data - Monthly Metrics'!E:E,'Data - Monthly Metrics'!A:A,$B$4,'Data - Monthly Metrics'!B:B,"Sep",'Data - Monthly Metrics'!C:C,"North King",'Data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Metrics'!C:C,"North King",'Data - Monthly Metrics'!D:D,"Billables - Hospitality Non-Target (#)")=0,"-",SUMIFS('Data - Monthly Metrics'!E:E,'Data - Monthly Metrics'!A:A,$B$4-1,'Data - Monthly Metrics'!B:B,"Oct",'Data - Monthly Metrics'!C:C,"North King",'Data - Monthly Metrics'!D:D,"Billables - Hospitality Non-Target (#)"))</f>
        <v/>
      </c>
      <c r="C84" s="93">
        <f>IF(COUNTIFS('Data - Monthly Metrics'!A:A,$B$4-1,'Data - Monthly Metrics'!B:B,"Nov",'Data - Monthly Metrics'!C:C,"North King",'Data - Monthly Metrics'!D:D,"Billables - Hospitality Non-Target (#)")=0,"-",SUMIFS('Data - Monthly Metrics'!E:E,'Data - Monthly Metrics'!A:A,$B$4-1,'Data - Monthly Metrics'!B:B,"Nov",'Data - Monthly Metrics'!C:C,"North King",'Data - Monthly Metrics'!D:D,"Billables - Hospitality Non-Target (#)"))</f>
        <v/>
      </c>
      <c r="D84" s="93">
        <f>IF(COUNTIFS('Data - Monthly Metrics'!A:A,$B$4-1,'Data - Monthly Metrics'!B:B,"Dec",'Data - Monthly Metrics'!C:C,"North King",'Data - Monthly Metrics'!D:D,"Billables - Hospitality Non-Target (#)")=0,"-",SUMIFS('Data - Monthly Metrics'!E:E,'Data - Monthly Metrics'!A:A,$B$4-1,'Data - Monthly Metrics'!B:B,"Dec",'Data - Monthly Metrics'!C:C,"North King",'Data - Monthly Metrics'!D:D,"Billables - Hospitality Non-Target (#)"))</f>
        <v/>
      </c>
      <c r="E84" s="103">
        <f>IF(ISNUMBER(D84),D84,IF(ISNUMBER(C84),C84,IF(ISNUMBER(B84),B84,"-")))</f>
        <v/>
      </c>
      <c r="F84" s="93">
        <f>IF(COUNTIFS('Data - Monthly Metrics'!A:A,$B$4,'Data - Monthly Metrics'!B:B,"Jan",'Data - Monthly Metrics'!C:C,"North King",'Data - Monthly Metrics'!D:D,"Billables - Hospitality Non-Target (#)")=0,"-",SUMIFS('Data - Monthly Metrics'!E:E,'Data - Monthly Metrics'!A:A,$B$4,'Data - Monthly Metrics'!B:B,"Jan",'Data - Monthly Metrics'!C:C,"North King",'Data - Monthly Metrics'!D:D,"Billables - Hospitality Non-Target (#)"))</f>
        <v/>
      </c>
      <c r="G84" s="93">
        <f>IF(COUNTIFS('Data - Monthly Metrics'!A:A,$B$4,'Data - Monthly Metrics'!B:B,"Feb",'Data - Monthly Metrics'!C:C,"North King",'Data - Monthly Metrics'!D:D,"Billables - Hospitality Non-Target (#)")=0,"-",SUMIFS('Data - Monthly Metrics'!E:E,'Data - Monthly Metrics'!A:A,$B$4,'Data - Monthly Metrics'!B:B,"Feb",'Data - Monthly Metrics'!C:C,"North King",'Data - Monthly Metrics'!D:D,"Billables - Hospitality Non-Target (#)"))</f>
        <v/>
      </c>
      <c r="H84" s="93">
        <f>IF(COUNTIFS('Data - Monthly Metrics'!A:A,$B$4,'Data - Monthly Metrics'!B:B,"Mar",'Data - Monthly Metrics'!C:C,"North King",'Data - Monthly Metrics'!D:D,"Billables - Hospitality Non-Target (#)")=0,"-",SUMIFS('Data - Monthly Metrics'!E:E,'Data - Monthly Metrics'!A:A,$B$4,'Data - Monthly Metrics'!B:B,"Mar",'Data - Monthly Metrics'!C:C,"North King",'Data - Monthly Metrics'!D:D,"Billables - Hospitality Non-Target (#)"))</f>
        <v/>
      </c>
      <c r="I84" s="103">
        <f>IF(ISNUMBER(H84),H84,IF(ISNUMBER(G84),G84,IF(ISNUMBER(F84),F84,"-")))</f>
        <v/>
      </c>
      <c r="J84" s="93">
        <f>IF(COUNTIFS('Data - Monthly Metrics'!A:A,$B$4,'Data - Monthly Metrics'!B:B,"Apr",'Data - Monthly Metrics'!C:C,"North King",'Data - Monthly Metrics'!D:D,"Billables - Hospitality Non-Target (#)")=0,"-",SUMIFS('Data - Monthly Metrics'!E:E,'Data - Monthly Metrics'!A:A,$B$4,'Data - Monthly Metrics'!B:B,"Apr",'Data - Monthly Metrics'!C:C,"North King",'Data - Monthly Metrics'!D:D,"Billables - Hospitality Non-Target (#)"))</f>
        <v/>
      </c>
      <c r="K84" s="93">
        <f>IF(COUNTIFS('Data - Monthly Metrics'!A:A,$B$4,'Data - Monthly Metrics'!B:B,"May",'Data - Monthly Metrics'!C:C,"North King",'Data - Monthly Metrics'!D:D,"Billables - Hospitality Non-Target (#)")=0,"-",SUMIFS('Data - Monthly Metrics'!E:E,'Data - Monthly Metrics'!A:A,$B$4,'Data - Monthly Metrics'!B:B,"May",'Data - Monthly Metrics'!C:C,"North King",'Data - Monthly Metrics'!D:D,"Billables - Hospitality Non-Target (#)"))</f>
        <v/>
      </c>
      <c r="L84" s="93">
        <f>IF(COUNTIFS('Data - Monthly Metrics'!A:A,$B$4,'Data - Monthly Metrics'!B:B,"Jun",'Data - Monthly Metrics'!C:C,"North King",'Data - Monthly Metrics'!D:D,"Billables - Hospitality Non-Target (#)")=0,"-",SUMIFS('Data - Monthly Metrics'!E:E,'Data - Monthly Metrics'!A:A,$B$4,'Data - Monthly Metrics'!B:B,"Jun",'Data - Monthly Metrics'!C:C,"North King",'Data - Monthly Metrics'!D:D,"Billables - Hospitality Non-Target (#)"))</f>
        <v/>
      </c>
      <c r="M84" s="103">
        <f>IF(ISNUMBER(L84),L84,IF(ISNUMBER(K84),K84,IF(ISNUMBER(J84),J84,"-")))</f>
        <v/>
      </c>
      <c r="N84" s="93">
        <f>IF(COUNTIFS('Data - Monthly Metrics'!A:A,$B$4,'Data - Monthly Metrics'!B:B,"Jul",'Data - Monthly Metrics'!C:C,"North King",'Data - Monthly Metrics'!D:D,"Billables - Hospitality Non-Target (#)")=0,"-",SUMIFS('Data - Monthly Metrics'!E:E,'Data - Monthly Metrics'!A:A,$B$4,'Data - Monthly Metrics'!B:B,"Jul",'Data - Monthly Metrics'!C:C,"North King",'Data - Monthly Metrics'!D:D,"Billables - Hospitality Non-Target (#)"))</f>
        <v/>
      </c>
      <c r="O84" s="93">
        <f>IF(COUNTIFS('Data - Monthly Metrics'!A:A,$B$4,'Data - Monthly Metrics'!B:B,"Aug",'Data - Monthly Metrics'!C:C,"North King",'Data - Monthly Metrics'!D:D,"Billables - Hospitality Non-Target (#)")=0,"-",SUMIFS('Data - Monthly Metrics'!E:E,'Data - Monthly Metrics'!A:A,$B$4,'Data - Monthly Metrics'!B:B,"Aug",'Data - Monthly Metrics'!C:C,"North King",'Data - Monthly Metrics'!D:D,"Billables - Hospitality Non-Target (#)"))</f>
        <v/>
      </c>
      <c r="P84" s="93">
        <f>IF(COUNTIFS('Data - Monthly Metrics'!A:A,$B$4,'Data - Monthly Metrics'!B:B,"Sep",'Data - Monthly Metrics'!C:C,"North King",'Data - Monthly Metrics'!D:D,"Billables - Hospitality Non-Target (#)")=0,"-",SUMIFS('Data - Monthly Metrics'!E:E,'Data - Monthly Metrics'!A:A,$B$4,'Data - Monthly Metrics'!B:B,"Sep",'Data - Monthly Metrics'!C:C,"North King",'Data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Metrics'!C:C,"North King",'Data - Monthly Metrics'!D:D,"Member Locations - Non-Target (#)")=0,"-",SUMIFS('Data - Monthly Metrics'!E:E,'Data - Monthly Metrics'!A:A,$B$4-1,'Data - Monthly Metrics'!B:B,"Oct",'Data - Monthly Metrics'!C:C,"North King",'Data - Monthly Metrics'!D:D,"Member Locations - Non-Target (#)"))</f>
        <v/>
      </c>
      <c r="C85" s="93">
        <f>IF(COUNTIFS('Data - Monthly Metrics'!A:A,$B$4-1,'Data - Monthly Metrics'!B:B,"Nov",'Data - Monthly Metrics'!C:C,"North King",'Data - Monthly Metrics'!D:D,"Member Locations - Non-Target (#)")=0,"-",SUMIFS('Data - Monthly Metrics'!E:E,'Data - Monthly Metrics'!A:A,$B$4-1,'Data - Monthly Metrics'!B:B,"Nov",'Data - Monthly Metrics'!C:C,"North King",'Data - Monthly Metrics'!D:D,"Member Locations - Non-Target (#)"))</f>
        <v/>
      </c>
      <c r="D85" s="93">
        <f>IF(COUNTIFS('Data - Monthly Metrics'!A:A,$B$4-1,'Data - Monthly Metrics'!B:B,"Dec",'Data - Monthly Metrics'!C:C,"North King",'Data - Monthly Metrics'!D:D,"Member Locations - Non-Target (#)")=0,"-",SUMIFS('Data - Monthly Metrics'!E:E,'Data - Monthly Metrics'!A:A,$B$4-1,'Data - Monthly Metrics'!B:B,"Dec",'Data - Monthly Metrics'!C:C,"North King",'Data - Monthly Metrics'!D:D,"Member Locations - Non-Target (#)"))</f>
        <v/>
      </c>
      <c r="E85" s="103">
        <f>IF(ISNUMBER(D85),D85,IF(ISNUMBER(C85),C85,IF(ISNUMBER(B85),B85,"-")))</f>
        <v/>
      </c>
      <c r="F85" s="93">
        <f>IF(COUNTIFS('Data - Monthly Metrics'!A:A,$B$4,'Data - Monthly Metrics'!B:B,"Jan",'Data - Monthly Metrics'!C:C,"North King",'Data - Monthly Metrics'!D:D,"Member Locations - Non-Target (#)")=0,"-",SUMIFS('Data - Monthly Metrics'!E:E,'Data - Monthly Metrics'!A:A,$B$4,'Data - Monthly Metrics'!B:B,"Jan",'Data - Monthly Metrics'!C:C,"North King",'Data - Monthly Metrics'!D:D,"Member Locations - Non-Target (#)"))</f>
        <v/>
      </c>
      <c r="G85" s="93">
        <f>IF(COUNTIFS('Data - Monthly Metrics'!A:A,$B$4,'Data - Monthly Metrics'!B:B,"Feb",'Data - Monthly Metrics'!C:C,"North King",'Data - Monthly Metrics'!D:D,"Member Locations - Non-Target (#)")=0,"-",SUMIFS('Data - Monthly Metrics'!E:E,'Data - Monthly Metrics'!A:A,$B$4,'Data - Monthly Metrics'!B:B,"Feb",'Data - Monthly Metrics'!C:C,"North King",'Data - Monthly Metrics'!D:D,"Member Locations - Non-Target (#)"))</f>
        <v/>
      </c>
      <c r="H85" s="93">
        <f>IF(COUNTIFS('Data - Monthly Metrics'!A:A,$B$4,'Data - Monthly Metrics'!B:B,"Mar",'Data - Monthly Metrics'!C:C,"North King",'Data - Monthly Metrics'!D:D,"Member Locations - Non-Target (#)")=0,"-",SUMIFS('Data - Monthly Metrics'!E:E,'Data - Monthly Metrics'!A:A,$B$4,'Data - Monthly Metrics'!B:B,"Mar",'Data - Monthly Metrics'!C:C,"North King",'Data - Monthly Metrics'!D:D,"Member Locations - Non-Target (#)"))</f>
        <v/>
      </c>
      <c r="I85" s="103">
        <f>IF(ISNUMBER(H85),H85,IF(ISNUMBER(G85),G85,IF(ISNUMBER(F85),F85,"-")))</f>
        <v/>
      </c>
      <c r="J85" s="93">
        <f>IF(COUNTIFS('Data - Monthly Metrics'!A:A,$B$4,'Data - Monthly Metrics'!B:B,"Apr",'Data - Monthly Metrics'!C:C,"North King",'Data - Monthly Metrics'!D:D,"Member Locations - Non-Target (#)")=0,"-",SUMIFS('Data - Monthly Metrics'!E:E,'Data - Monthly Metrics'!A:A,$B$4,'Data - Monthly Metrics'!B:B,"Apr",'Data - Monthly Metrics'!C:C,"North King",'Data - Monthly Metrics'!D:D,"Member Locations - Non-Target (#)"))</f>
        <v/>
      </c>
      <c r="K85" s="93">
        <f>IF(COUNTIFS('Data - Monthly Metrics'!A:A,$B$4,'Data - Monthly Metrics'!B:B,"May",'Data - Monthly Metrics'!C:C,"North King",'Data - Monthly Metrics'!D:D,"Member Locations - Non-Target (#)")=0,"-",SUMIFS('Data - Monthly Metrics'!E:E,'Data - Monthly Metrics'!A:A,$B$4,'Data - Monthly Metrics'!B:B,"May",'Data - Monthly Metrics'!C:C,"North King",'Data - Monthly Metrics'!D:D,"Member Locations - Non-Target (#)"))</f>
        <v/>
      </c>
      <c r="L85" s="93">
        <f>IF(COUNTIFS('Data - Monthly Metrics'!A:A,$B$4,'Data - Monthly Metrics'!B:B,"Jun",'Data - Monthly Metrics'!C:C,"North King",'Data - Monthly Metrics'!D:D,"Member Locations - Non-Target (#)")=0,"-",SUMIFS('Data - Monthly Metrics'!E:E,'Data - Monthly Metrics'!A:A,$B$4,'Data - Monthly Metrics'!B:B,"Jun",'Data - Monthly Metrics'!C:C,"North King",'Data - Monthly Metrics'!D:D,"Member Locations - Non-Target (#)"))</f>
        <v/>
      </c>
      <c r="M85" s="103">
        <f>IF(ISNUMBER(L85),L85,IF(ISNUMBER(K85),K85,IF(ISNUMBER(J85),J85,"-")))</f>
        <v/>
      </c>
      <c r="N85" s="93">
        <f>IF(COUNTIFS('Data - Monthly Metrics'!A:A,$B$4,'Data - Monthly Metrics'!B:B,"Jul",'Data - Monthly Metrics'!C:C,"North King",'Data - Monthly Metrics'!D:D,"Member Locations - Non-Target (#)")=0,"-",SUMIFS('Data - Monthly Metrics'!E:E,'Data - Monthly Metrics'!A:A,$B$4,'Data - Monthly Metrics'!B:B,"Jul",'Data - Monthly Metrics'!C:C,"North King",'Data - Monthly Metrics'!D:D,"Member Locations - Non-Target (#)"))</f>
        <v/>
      </c>
      <c r="O85" s="93">
        <f>IF(COUNTIFS('Data - Monthly Metrics'!A:A,$B$4,'Data - Monthly Metrics'!B:B,"Aug",'Data - Monthly Metrics'!C:C,"North King",'Data - Monthly Metrics'!D:D,"Member Locations - Non-Target (#)")=0,"-",SUMIFS('Data - Monthly Metrics'!E:E,'Data - Monthly Metrics'!A:A,$B$4,'Data - Monthly Metrics'!B:B,"Aug",'Data - Monthly Metrics'!C:C,"North King",'Data - Monthly Metrics'!D:D,"Member Locations - Non-Target (#)"))</f>
        <v/>
      </c>
      <c r="P85" s="93">
        <f>IF(COUNTIFS('Data - Monthly Metrics'!A:A,$B$4,'Data - Monthly Metrics'!B:B,"Sep",'Data - Monthly Metrics'!C:C,"North King",'Data - Monthly Metrics'!D:D,"Member Locations - Non-Target (#)")=0,"-",SUMIFS('Data - Monthly Metrics'!E:E,'Data - Monthly Metrics'!A:A,$B$4,'Data - Monthly Metrics'!B:B,"Sep",'Data - Monthly Metrics'!C:C,"North King",'Data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Metrics'!C:C,"North King",'Data - Monthly Metrics'!D:D,"Billables - Allied (#)")=0,"-",SUMIFS('Data - Monthly Metrics'!E:E,'Data - Monthly Metrics'!A:A,$B$4-1,'Data - Monthly Metrics'!B:B,"Oct",'Data - Monthly Metrics'!C:C,"North King",'Data - Monthly Metrics'!D:D,"Billables - Allied (#)"))</f>
        <v/>
      </c>
      <c r="C86" s="98">
        <f>IF(COUNTIFS('Data - Monthly Metrics'!A:A,$B$4-1,'Data - Monthly Metrics'!B:B,"Nov",'Data - Monthly Metrics'!C:C,"North King",'Data - Monthly Metrics'!D:D,"Billables - Allied (#)")=0,"-",SUMIFS('Data - Monthly Metrics'!E:E,'Data - Monthly Metrics'!A:A,$B$4-1,'Data - Monthly Metrics'!B:B,"Nov",'Data - Monthly Metrics'!C:C,"North King",'Data - Monthly Metrics'!D:D,"Billables - Allied (#)"))</f>
        <v/>
      </c>
      <c r="D86" s="98">
        <f>IF(COUNTIFS('Data - Monthly Metrics'!A:A,$B$4-1,'Data - Monthly Metrics'!B:B,"Dec",'Data - Monthly Metrics'!C:C,"North King",'Data - Monthly Metrics'!D:D,"Billables - Allied (#)")=0,"-",SUMIFS('Data - Monthly Metrics'!E:E,'Data - Monthly Metrics'!A:A,$B$4-1,'Data - Monthly Metrics'!B:B,"Dec",'Data - Monthly Metrics'!C:C,"North King",'Data - Monthly Metrics'!D:D,"Billables - Allied (#)"))</f>
        <v/>
      </c>
      <c r="E86" s="103">
        <f>IF(ISNUMBER(D86),D86,IF(ISNUMBER(C86),C86,IF(ISNUMBER(B86),B86,"-")))</f>
        <v/>
      </c>
      <c r="F86" s="98">
        <f>IF(COUNTIFS('Data - Monthly Metrics'!A:A,$B$4,'Data - Monthly Metrics'!B:B,"Jan",'Data - Monthly Metrics'!C:C,"North King",'Data - Monthly Metrics'!D:D,"Billables - Allied (#)")=0,"-",SUMIFS('Data - Monthly Metrics'!E:E,'Data - Monthly Metrics'!A:A,$B$4,'Data - Monthly Metrics'!B:B,"Jan",'Data - Monthly Metrics'!C:C,"North King",'Data - Monthly Metrics'!D:D,"Billables - Allied (#)"))</f>
        <v/>
      </c>
      <c r="G86" s="98">
        <f>IF(COUNTIFS('Data - Monthly Metrics'!A:A,$B$4,'Data - Monthly Metrics'!B:B,"Feb",'Data - Monthly Metrics'!C:C,"North King",'Data - Monthly Metrics'!D:D,"Billables - Allied (#)")=0,"-",SUMIFS('Data - Monthly Metrics'!E:E,'Data - Monthly Metrics'!A:A,$B$4,'Data - Monthly Metrics'!B:B,"Feb",'Data - Monthly Metrics'!C:C,"North King",'Data - Monthly Metrics'!D:D,"Billables - Allied (#)"))</f>
        <v/>
      </c>
      <c r="H86" s="98">
        <f>IF(COUNTIFS('Data - Monthly Metrics'!A:A,$B$4,'Data - Monthly Metrics'!B:B,"Mar",'Data - Monthly Metrics'!C:C,"North King",'Data - Monthly Metrics'!D:D,"Billables - Allied (#)")=0,"-",SUMIFS('Data - Monthly Metrics'!E:E,'Data - Monthly Metrics'!A:A,$B$4,'Data - Monthly Metrics'!B:B,"Mar",'Data - Monthly Metrics'!C:C,"North King",'Data - Monthly Metrics'!D:D,"Billables - Allied (#)"))</f>
        <v/>
      </c>
      <c r="I86" s="103">
        <f>IF(ISNUMBER(H86),H86,IF(ISNUMBER(G86),G86,IF(ISNUMBER(F86),F86,"-")))</f>
        <v/>
      </c>
      <c r="J86" s="98">
        <f>IF(COUNTIFS('Data - Monthly Metrics'!A:A,$B$4,'Data - Monthly Metrics'!B:B,"Apr",'Data - Monthly Metrics'!C:C,"North King",'Data - Monthly Metrics'!D:D,"Billables - Allied (#)")=0,"-",SUMIFS('Data - Monthly Metrics'!E:E,'Data - Monthly Metrics'!A:A,$B$4,'Data - Monthly Metrics'!B:B,"Apr",'Data - Monthly Metrics'!C:C,"North King",'Data - Monthly Metrics'!D:D,"Billables - Allied (#)"))</f>
        <v/>
      </c>
      <c r="K86" s="98">
        <f>IF(COUNTIFS('Data - Monthly Metrics'!A:A,$B$4,'Data - Monthly Metrics'!B:B,"May",'Data - Monthly Metrics'!C:C,"North King",'Data - Monthly Metrics'!D:D,"Billables - Allied (#)")=0,"-",SUMIFS('Data - Monthly Metrics'!E:E,'Data - Monthly Metrics'!A:A,$B$4,'Data - Monthly Metrics'!B:B,"May",'Data - Monthly Metrics'!C:C,"North King",'Data - Monthly Metrics'!D:D,"Billables - Allied (#)"))</f>
        <v/>
      </c>
      <c r="L86" s="98">
        <f>IF(COUNTIFS('Data - Monthly Metrics'!A:A,$B$4,'Data - Monthly Metrics'!B:B,"Jun",'Data - Monthly Metrics'!C:C,"North King",'Data - Monthly Metrics'!D:D,"Billables - Allied (#)")=0,"-",SUMIFS('Data - Monthly Metrics'!E:E,'Data - Monthly Metrics'!A:A,$B$4,'Data - Monthly Metrics'!B:B,"Jun",'Data - Monthly Metrics'!C:C,"North King",'Data - Monthly Metrics'!D:D,"Billables - Allied (#)"))</f>
        <v/>
      </c>
      <c r="M86" s="103">
        <f>IF(ISNUMBER(L86),L86,IF(ISNUMBER(K86),K86,IF(ISNUMBER(J86),J86,"-")))</f>
        <v/>
      </c>
      <c r="N86" s="98">
        <f>IF(COUNTIFS('Data - Monthly Metrics'!A:A,$B$4,'Data - Monthly Metrics'!B:B,"Jul",'Data - Monthly Metrics'!C:C,"North King",'Data - Monthly Metrics'!D:D,"Billables - Allied (#)")=0,"-",SUMIFS('Data - Monthly Metrics'!E:E,'Data - Monthly Metrics'!A:A,$B$4,'Data - Monthly Metrics'!B:B,"Jul",'Data - Monthly Metrics'!C:C,"North King",'Data - Monthly Metrics'!D:D,"Billables - Allied (#)"))</f>
        <v/>
      </c>
      <c r="O86" s="98">
        <f>IF(COUNTIFS('Data - Monthly Metrics'!A:A,$B$4,'Data - Monthly Metrics'!B:B,"Aug",'Data - Monthly Metrics'!C:C,"North King",'Data - Monthly Metrics'!D:D,"Billables - Allied (#)")=0,"-",SUMIFS('Data - Monthly Metrics'!E:E,'Data - Monthly Metrics'!A:A,$B$4,'Data - Monthly Metrics'!B:B,"Aug",'Data - Monthly Metrics'!C:C,"North King",'Data - Monthly Metrics'!D:D,"Billables - Allied (#)"))</f>
        <v/>
      </c>
      <c r="P86" s="98">
        <f>IF(COUNTIFS('Data - Monthly Metrics'!A:A,$B$4,'Data - Monthly Metrics'!B:B,"Sep",'Data - Monthly Metrics'!C:C,"North King",'Data - Monthly Metrics'!D:D,"Billables - Allied (#)")=0,"-",SUMIFS('Data - Monthly Metrics'!E:E,'Data - Monthly Metrics'!A:A,$B$4,'Data - Monthly Metrics'!B:B,"Sep",'Data - Monthly Metrics'!C:C,"North King",'Data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Metrics'!C:C,"North King",'Data - Monthly Metrics'!D:D,"Members Up for Renewal - Non-Target (#)")=0,"-",SUMIFS('Data - Monthly Metrics'!E:E,'Data - Monthly Metrics'!A:A,$B$4-1,'Data - Monthly Metrics'!B:B,"Oct",'Data - Monthly Metrics'!C:C,"North King",'Data - Monthly Metrics'!D:D,"Members Up for Renewal - Non-Target (#)"))</f>
        <v/>
      </c>
      <c r="C91" s="93">
        <f>IF(COUNTIFS('Data - Monthly Metrics'!A:A,$B$4-1,'Data - Monthly Metrics'!B:B,"Nov",'Data - Monthly Metrics'!C:C,"North King",'Data - Monthly Metrics'!D:D,"Members Up for Renewal - Non-Target (#)")=0,"-",SUMIFS('Data - Monthly Metrics'!E:E,'Data - Monthly Metrics'!A:A,$B$4-1,'Data - Monthly Metrics'!B:B,"Nov",'Data - Monthly Metrics'!C:C,"North King",'Data - Monthly Metrics'!D:D,"Members Up for Renewal - Non-Target (#)"))</f>
        <v/>
      </c>
      <c r="D91" s="93">
        <f>IF(COUNTIFS('Data - Monthly Metrics'!A:A,$B$4-1,'Data - Monthly Metrics'!B:B,"Dec",'Data - Monthly Metrics'!C:C,"North King",'Data - Monthly Metrics'!D:D,"Members Up for Renewal - Non-Target (#)")=0,"-",SUMIFS('Data - Monthly Metrics'!E:E,'Data - Monthly Metrics'!A:A,$B$4-1,'Data - Monthly Metrics'!B:B,"Dec",'Data - Monthly Metrics'!C:C,"North King",'Data - Monthly Metrics'!D:D,"Members Up for Renewal - Non-Target (#)"))</f>
        <v/>
      </c>
      <c r="E91" s="103">
        <f>SUM(B91,C91,D91)</f>
        <v/>
      </c>
      <c r="F91" s="93">
        <f>IF(COUNTIFS('Data - Monthly Metrics'!A:A,$B$4,'Data - Monthly Metrics'!B:B,"Jan",'Data - Monthly Metrics'!C:C,"North King",'Data - Monthly Metrics'!D:D,"Members Up for Renewal - Non-Target (#)")=0,"-",SUMIFS('Data - Monthly Metrics'!E:E,'Data - Monthly Metrics'!A:A,$B$4,'Data - Monthly Metrics'!B:B,"Jan",'Data - Monthly Metrics'!C:C,"North King",'Data - Monthly Metrics'!D:D,"Members Up for Renewal - Non-Target (#)"))</f>
        <v/>
      </c>
      <c r="G91" s="93">
        <f>IF(COUNTIFS('Data - Monthly Metrics'!A:A,$B$4,'Data - Monthly Metrics'!B:B,"Feb",'Data - Monthly Metrics'!C:C,"North King",'Data - Monthly Metrics'!D:D,"Members Up for Renewal - Non-Target (#)")=0,"-",SUMIFS('Data - Monthly Metrics'!E:E,'Data - Monthly Metrics'!A:A,$B$4,'Data - Monthly Metrics'!B:B,"Feb",'Data - Monthly Metrics'!C:C,"North King",'Data - Monthly Metrics'!D:D,"Members Up for Renewal - Non-Target (#)"))</f>
        <v/>
      </c>
      <c r="H91" s="93">
        <f>IF(COUNTIFS('Data - Monthly Metrics'!A:A,$B$4,'Data - Monthly Metrics'!B:B,"Mar",'Data - Monthly Metrics'!C:C,"North King",'Data - Monthly Metrics'!D:D,"Members Up for Renewal - Non-Target (#)")=0,"-",SUMIFS('Data - Monthly Metrics'!E:E,'Data - Monthly Metrics'!A:A,$B$4,'Data - Monthly Metrics'!B:B,"Mar",'Data - Monthly Metrics'!C:C,"North King",'Data - Monthly Metrics'!D:D,"Members Up for Renewal - Non-Target (#)"))</f>
        <v/>
      </c>
      <c r="I91" s="103">
        <f>SUM(F91,G91,H91)</f>
        <v/>
      </c>
      <c r="J91" s="93">
        <f>IF(COUNTIFS('Data - Monthly Metrics'!A:A,$B$4,'Data - Monthly Metrics'!B:B,"Apr",'Data - Monthly Metrics'!C:C,"North King",'Data - Monthly Metrics'!D:D,"Members Up for Renewal - Non-Target (#)")=0,"-",SUMIFS('Data - Monthly Metrics'!E:E,'Data - Monthly Metrics'!A:A,$B$4,'Data - Monthly Metrics'!B:B,"Apr",'Data - Monthly Metrics'!C:C,"North King",'Data - Monthly Metrics'!D:D,"Members Up for Renewal - Non-Target (#)"))</f>
        <v/>
      </c>
      <c r="K91" s="93">
        <f>IF(COUNTIFS('Data - Monthly Metrics'!A:A,$B$4,'Data - Monthly Metrics'!B:B,"May",'Data - Monthly Metrics'!C:C,"North King",'Data - Monthly Metrics'!D:D,"Members Up for Renewal - Non-Target (#)")=0,"-",SUMIFS('Data - Monthly Metrics'!E:E,'Data - Monthly Metrics'!A:A,$B$4,'Data - Monthly Metrics'!B:B,"May",'Data - Monthly Metrics'!C:C,"North King",'Data - Monthly Metrics'!D:D,"Members Up for Renewal - Non-Target (#)"))</f>
        <v/>
      </c>
      <c r="L91" s="93">
        <f>IF(COUNTIFS('Data - Monthly Metrics'!A:A,$B$4,'Data - Monthly Metrics'!B:B,"Jun",'Data - Monthly Metrics'!C:C,"North King",'Data - Monthly Metrics'!D:D,"Members Up for Renewal - Non-Target (#)")=0,"-",SUMIFS('Data - Monthly Metrics'!E:E,'Data - Monthly Metrics'!A:A,$B$4,'Data - Monthly Metrics'!B:B,"Jun",'Data - Monthly Metrics'!C:C,"North King",'Data - Monthly Metrics'!D:D,"Members Up for Renewal - Non-Target (#)"))</f>
        <v/>
      </c>
      <c r="M91" s="103">
        <f>SUM(J91,K91,L91)</f>
        <v/>
      </c>
      <c r="N91" s="93">
        <f>IF(COUNTIFS('Data - Monthly Metrics'!A:A,$B$4,'Data - Monthly Metrics'!B:B,"Jul",'Data - Monthly Metrics'!C:C,"North King",'Data - Monthly Metrics'!D:D,"Members Up for Renewal - Non-Target (#)")=0,"-",SUMIFS('Data - Monthly Metrics'!E:E,'Data - Monthly Metrics'!A:A,$B$4,'Data - Monthly Metrics'!B:B,"Jul",'Data - Monthly Metrics'!C:C,"North King",'Data - Monthly Metrics'!D:D,"Members Up for Renewal - Non-Target (#)"))</f>
        <v/>
      </c>
      <c r="O91" s="93">
        <f>IF(COUNTIFS('Data - Monthly Metrics'!A:A,$B$4,'Data - Monthly Metrics'!B:B,"Aug",'Data - Monthly Metrics'!C:C,"North King",'Data - Monthly Metrics'!D:D,"Members Up for Renewal - Non-Target (#)")=0,"-",SUMIFS('Data - Monthly Metrics'!E:E,'Data - Monthly Metrics'!A:A,$B$4,'Data - Monthly Metrics'!B:B,"Aug",'Data - Monthly Metrics'!C:C,"North King",'Data - Monthly Metrics'!D:D,"Members Up for Renewal - Non-Target (#)"))</f>
        <v/>
      </c>
      <c r="P91" s="93">
        <f>IF(COUNTIFS('Data - Monthly Metrics'!A:A,$B$4,'Data - Monthly Metrics'!B:B,"Sep",'Data - Monthly Metrics'!C:C,"North King",'Data - Monthly Metrics'!D:D,"Members Up for Renewal - Non-Target (#)")=0,"-",SUMIFS('Data - Monthly Metrics'!E:E,'Data - Monthly Metrics'!A:A,$B$4,'Data - Monthly Metrics'!B:B,"Sep",'Data - Monthly Metrics'!C:C,"North King",'Data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Metrics'!C:C,"North King",'Data - Monthly Metrics'!D:D,"Members Retained - Non-Target (#)")=0,"-",SUMIFS('Data - Monthly Metrics'!E:E,'Data - Monthly Metrics'!A:A,$B$4-1,'Data - Monthly Metrics'!B:B,"Oct",'Data - Monthly Metrics'!C:C,"North King",'Data - Monthly Metrics'!D:D,"Members Retained - Non-Target (#)"))</f>
        <v/>
      </c>
      <c r="C92" s="98">
        <f>IF(COUNTIFS('Data - Monthly Metrics'!A:A,$B$4-1,'Data - Monthly Metrics'!B:B,"Nov",'Data - Monthly Metrics'!C:C,"North King",'Data - Monthly Metrics'!D:D,"Members Retained - Non-Target (#)")=0,"-",SUMIFS('Data - Monthly Metrics'!E:E,'Data - Monthly Metrics'!A:A,$B$4-1,'Data - Monthly Metrics'!B:B,"Nov",'Data - Monthly Metrics'!C:C,"North King",'Data - Monthly Metrics'!D:D,"Members Retained - Non-Target (#)"))</f>
        <v/>
      </c>
      <c r="D92" s="98">
        <f>IF(COUNTIFS('Data - Monthly Metrics'!A:A,$B$4-1,'Data - Monthly Metrics'!B:B,"Dec",'Data - Monthly Metrics'!C:C,"North King",'Data - Monthly Metrics'!D:D,"Members Retained - Non-Target (#)")=0,"-",SUMIFS('Data - Monthly Metrics'!E:E,'Data - Monthly Metrics'!A:A,$B$4-1,'Data - Monthly Metrics'!B:B,"Dec",'Data - Monthly Metrics'!C:C,"North King",'Data - Monthly Metrics'!D:D,"Members Retained - Non-Target (#)"))</f>
        <v/>
      </c>
      <c r="E92" s="103">
        <f>SUM(B92,C92,D92)</f>
        <v/>
      </c>
      <c r="F92" s="98">
        <f>IF(COUNTIFS('Data - Monthly Metrics'!A:A,$B$4,'Data - Monthly Metrics'!B:B,"Jan",'Data - Monthly Metrics'!C:C,"North King",'Data - Monthly Metrics'!D:D,"Members Retained - Non-Target (#)")=0,"-",SUMIFS('Data - Monthly Metrics'!E:E,'Data - Monthly Metrics'!A:A,$B$4,'Data - Monthly Metrics'!B:B,"Jan",'Data - Monthly Metrics'!C:C,"North King",'Data - Monthly Metrics'!D:D,"Members Retained - Non-Target (#)"))</f>
        <v/>
      </c>
      <c r="G92" s="98">
        <f>IF(COUNTIFS('Data - Monthly Metrics'!A:A,$B$4,'Data - Monthly Metrics'!B:B,"Feb",'Data - Monthly Metrics'!C:C,"North King",'Data - Monthly Metrics'!D:D,"Members Retained - Non-Target (#)")=0,"-",SUMIFS('Data - Monthly Metrics'!E:E,'Data - Monthly Metrics'!A:A,$B$4,'Data - Monthly Metrics'!B:B,"Feb",'Data - Monthly Metrics'!C:C,"North King",'Data - Monthly Metrics'!D:D,"Members Retained - Non-Target (#)"))</f>
        <v/>
      </c>
      <c r="H92" s="98">
        <f>IF(COUNTIFS('Data - Monthly Metrics'!A:A,$B$4,'Data - Monthly Metrics'!B:B,"Mar",'Data - Monthly Metrics'!C:C,"North King",'Data - Monthly Metrics'!D:D,"Members Retained - Non-Target (#)")=0,"-",SUMIFS('Data - Monthly Metrics'!E:E,'Data - Monthly Metrics'!A:A,$B$4,'Data - Monthly Metrics'!B:B,"Mar",'Data - Monthly Metrics'!C:C,"North King",'Data - Monthly Metrics'!D:D,"Members Retained - Non-Target (#)"))</f>
        <v/>
      </c>
      <c r="I92" s="103">
        <f>SUM(F92,G92,H92)</f>
        <v/>
      </c>
      <c r="J92" s="98">
        <f>IF(COUNTIFS('Data - Monthly Metrics'!A:A,$B$4,'Data - Monthly Metrics'!B:B,"Apr",'Data - Monthly Metrics'!C:C,"North King",'Data - Monthly Metrics'!D:D,"Members Retained - Non-Target (#)")=0,"-",SUMIFS('Data - Monthly Metrics'!E:E,'Data - Monthly Metrics'!A:A,$B$4,'Data - Monthly Metrics'!B:B,"Apr",'Data - Monthly Metrics'!C:C,"North King",'Data - Monthly Metrics'!D:D,"Members Retained - Non-Target (#)"))</f>
        <v/>
      </c>
      <c r="K92" s="98">
        <f>IF(COUNTIFS('Data - Monthly Metrics'!A:A,$B$4,'Data - Monthly Metrics'!B:B,"May",'Data - Monthly Metrics'!C:C,"North King",'Data - Monthly Metrics'!D:D,"Members Retained - Non-Target (#)")=0,"-",SUMIFS('Data - Monthly Metrics'!E:E,'Data - Monthly Metrics'!A:A,$B$4,'Data - Monthly Metrics'!B:B,"May",'Data - Monthly Metrics'!C:C,"North King",'Data - Monthly Metrics'!D:D,"Members Retained - Non-Target (#)"))</f>
        <v/>
      </c>
      <c r="L92" s="98">
        <f>IF(COUNTIFS('Data - Monthly Metrics'!A:A,$B$4,'Data - Monthly Metrics'!B:B,"Jun",'Data - Monthly Metrics'!C:C,"North King",'Data - Monthly Metrics'!D:D,"Members Retained - Non-Target (#)")=0,"-",SUMIFS('Data - Monthly Metrics'!E:E,'Data - Monthly Metrics'!A:A,$B$4,'Data - Monthly Metrics'!B:B,"Jun",'Data - Monthly Metrics'!C:C,"North King",'Data - Monthly Metrics'!D:D,"Members Retained - Non-Target (#)"))</f>
        <v/>
      </c>
      <c r="M92" s="103">
        <f>SUM(J92,K92,L92)</f>
        <v/>
      </c>
      <c r="N92" s="98">
        <f>IF(COUNTIFS('Data - Monthly Metrics'!A:A,$B$4,'Data - Monthly Metrics'!B:B,"Jul",'Data - Monthly Metrics'!C:C,"North King",'Data - Monthly Metrics'!D:D,"Members Retained - Non-Target (#)")=0,"-",SUMIFS('Data - Monthly Metrics'!E:E,'Data - Monthly Metrics'!A:A,$B$4,'Data - Monthly Metrics'!B:B,"Jul",'Data - Monthly Metrics'!C:C,"North King",'Data - Monthly Metrics'!D:D,"Members Retained - Non-Target (#)"))</f>
        <v/>
      </c>
      <c r="O92" s="98">
        <f>IF(COUNTIFS('Data - Monthly Metrics'!A:A,$B$4,'Data - Monthly Metrics'!B:B,"Aug",'Data - Monthly Metrics'!C:C,"North King",'Data - Monthly Metrics'!D:D,"Members Retained - Non-Target (#)")=0,"-",SUMIFS('Data - Monthly Metrics'!E:E,'Data - Monthly Metrics'!A:A,$B$4,'Data - Monthly Metrics'!B:B,"Aug",'Data - Monthly Metrics'!C:C,"North King",'Data - Monthly Metrics'!D:D,"Members Retained - Non-Target (#)"))</f>
        <v/>
      </c>
      <c r="P92" s="98">
        <f>IF(COUNTIFS('Data - Monthly Metrics'!A:A,$B$4,'Data - Monthly Metrics'!B:B,"Sep",'Data - Monthly Metrics'!C:C,"North King",'Data - Monthly Metrics'!D:D,"Members Retained - Non-Target (#)")=0,"-",SUMIFS('Data - Monthly Metrics'!E:E,'Data - Monthly Metrics'!A:A,$B$4,'Data - Monthly Metrics'!B:B,"Sep",'Data - Monthly Metrics'!C:C,"North King",'Data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Metrics'!$C:$C,"North King",'Data - Monthly Metrics'!$D:$D,"Goal - Retention %")=0),"—",IF(B93&gt;=SUMIFS('Data - Monthly Metrics'!$E:$E,'Data - Monthly Metrics'!$A:$A,$B$4-1,'Data - Monthly Metrics'!$B:$B,B$8,'Data - Monthly Metrics'!$C:$C,"North King",'Data - Monthly Metrics'!$D:$D,"Goal - Retention %"),"On Track",IF(B93&gt;=SUMIFS('Data - Monthly Metrics'!$E:$E,'Data - Monthly Metrics'!$A:$A,$B$4-1,'Data - Monthly Metrics'!$B:$B,B$8,'Data - Monthly Metrics'!$C:$C,"North King",'Data - Monthly Metrics'!$D:$D,"Goal - Retention %")-0.05,"Watch","At Risk")))</f>
        <v/>
      </c>
      <c r="C94" s="120">
        <f>IF(OR(NOT(ISNUMBER(C93)),C93=0,COUNTIFS('Data - Monthly Metrics'!$A:$A,$B$4-1,'Data - Monthly Metrics'!$B:$B,C$8,'Data - Monthly Metrics'!$C:$C,"North King",'Data - Monthly Metrics'!$D:$D,"Goal - Retention %")=0),"—",IF(C93&gt;=SUMIFS('Data - Monthly Metrics'!$E:$E,'Data - Monthly Metrics'!$A:$A,$B$4-1,'Data - Monthly Metrics'!$B:$B,C$8,'Data - Monthly Metrics'!$C:$C,"North King",'Data - Monthly Metrics'!$D:$D,"Goal - Retention %"),"On Track",IF(C93&gt;=SUMIFS('Data - Monthly Metrics'!$E:$E,'Data - Monthly Metrics'!$A:$A,$B$4-1,'Data - Monthly Metrics'!$B:$B,C$8,'Data - Monthly Metrics'!$C:$C,"North King",'Data - Monthly Metrics'!$D:$D,"Goal - Retention %")-0.05,"Watch","At Risk")))</f>
        <v/>
      </c>
      <c r="D94" s="120">
        <f>IF(OR(NOT(ISNUMBER(D93)),D93=0,COUNTIFS('Data - Monthly Metrics'!$A:$A,$B$4-1,'Data - Monthly Metrics'!$B:$B,D$8,'Data - Monthly Metrics'!$C:$C,"North King",'Data - Monthly Metrics'!$D:$D,"Goal - Retention %")=0),"—",IF(D93&gt;=SUMIFS('Data - Monthly Metrics'!$E:$E,'Data - Monthly Metrics'!$A:$A,$B$4-1,'Data - Monthly Metrics'!$B:$B,D$8,'Data - Monthly Metrics'!$C:$C,"North King",'Data - Monthly Metrics'!$D:$D,"Goal - Retention %"),"On Track",IF(D93&gt;=SUMIFS('Data - Monthly Metrics'!$E:$E,'Data - Monthly Metrics'!$A:$A,$B$4-1,'Data - Monthly Metrics'!$B:$B,D$8,'Data - Monthly Metrics'!$C:$C,"North King",'Data - Monthly Metrics'!$D:$D,"Goal - Retention %")-0.05,"Watch","At Risk")))</f>
        <v/>
      </c>
      <c r="E94" s="121">
        <f>"—"</f>
        <v/>
      </c>
      <c r="F94" s="120">
        <f>IF(OR(NOT(ISNUMBER(F93)),F93=0,COUNTIFS('Data - Monthly Metrics'!$A:$A,$B$4,'Data - Monthly Metrics'!$B:$B,F$8,'Data - Monthly Metrics'!$C:$C,"North King",'Data - Monthly Metrics'!$D:$D,"Goal - Retention %")=0),"—",IF(F93&gt;=SUMIFS('Data - Monthly Metrics'!$E:$E,'Data - Monthly Metrics'!$A:$A,$B$4,'Data - Monthly Metrics'!$B:$B,F$8,'Data - Monthly Metrics'!$C:$C,"North King",'Data - Monthly Metrics'!$D:$D,"Goal - Retention %"),"On Track",IF(F93&gt;=SUMIFS('Data - Monthly Metrics'!$E:$E,'Data - Monthly Metrics'!$A:$A,$B$4,'Data - Monthly Metrics'!$B:$B,F$8,'Data - Monthly Metrics'!$C:$C,"North King",'Data - Monthly Metrics'!$D:$D,"Goal - Retention %")-0.05,"Watch","At Risk")))</f>
        <v/>
      </c>
      <c r="G94" s="120">
        <f>IF(OR(NOT(ISNUMBER(G93)),G93=0,COUNTIFS('Data - Monthly Metrics'!$A:$A,$B$4,'Data - Monthly Metrics'!$B:$B,G$8,'Data - Monthly Metrics'!$C:$C,"North King",'Data - Monthly Metrics'!$D:$D,"Goal - Retention %")=0),"—",IF(G93&gt;=SUMIFS('Data - Monthly Metrics'!$E:$E,'Data - Monthly Metrics'!$A:$A,$B$4,'Data - Monthly Metrics'!$B:$B,G$8,'Data - Monthly Metrics'!$C:$C,"North King",'Data - Monthly Metrics'!$D:$D,"Goal - Retention %"),"On Track",IF(G93&gt;=SUMIFS('Data - Monthly Metrics'!$E:$E,'Data - Monthly Metrics'!$A:$A,$B$4,'Data - Monthly Metrics'!$B:$B,G$8,'Data - Monthly Metrics'!$C:$C,"North King",'Data - Monthly Metrics'!$D:$D,"Goal - Retention %")-0.05,"Watch","At Risk")))</f>
        <v/>
      </c>
      <c r="H94" s="120">
        <f>IF(OR(NOT(ISNUMBER(H93)),H93=0,COUNTIFS('Data - Monthly Metrics'!$A:$A,$B$4,'Data - Monthly Metrics'!$B:$B,H$8,'Data - Monthly Metrics'!$C:$C,"North King",'Data - Monthly Metrics'!$D:$D,"Goal - Retention %")=0),"—",IF(H93&gt;=SUMIFS('Data - Monthly Metrics'!$E:$E,'Data - Monthly Metrics'!$A:$A,$B$4,'Data - Monthly Metrics'!$B:$B,H$8,'Data - Monthly Metrics'!$C:$C,"North King",'Data - Monthly Metrics'!$D:$D,"Goal - Retention %"),"On Track",IF(H93&gt;=SUMIFS('Data - Monthly Metrics'!$E:$E,'Data - Monthly Metrics'!$A:$A,$B$4,'Data - Monthly Metrics'!$B:$B,H$8,'Data - Monthly Metrics'!$C:$C,"North King",'Data - Monthly Metrics'!$D:$D,"Goal - Retention %")-0.05,"Watch","At Risk")))</f>
        <v/>
      </c>
      <c r="I94" s="121">
        <f>"—"</f>
        <v/>
      </c>
      <c r="J94" s="120">
        <f>IF(OR(NOT(ISNUMBER(J93)),J93=0,COUNTIFS('Data - Monthly Metrics'!$A:$A,$B$4,'Data - Monthly Metrics'!$B:$B,J$8,'Data - Monthly Metrics'!$C:$C,"North King",'Data - Monthly Metrics'!$D:$D,"Goal - Retention %")=0),"—",IF(J93&gt;=SUMIFS('Data - Monthly Metrics'!$E:$E,'Data - Monthly Metrics'!$A:$A,$B$4,'Data - Monthly Metrics'!$B:$B,J$8,'Data - Monthly Metrics'!$C:$C,"North King",'Data - Monthly Metrics'!$D:$D,"Goal - Retention %"),"On Track",IF(J93&gt;=SUMIFS('Data - Monthly Metrics'!$E:$E,'Data - Monthly Metrics'!$A:$A,$B$4,'Data - Monthly Metrics'!$B:$B,J$8,'Data - Monthly Metrics'!$C:$C,"North King",'Data - Monthly Metrics'!$D:$D,"Goal - Retention %")-0.05,"Watch","At Risk")))</f>
        <v/>
      </c>
      <c r="K94" s="120">
        <f>IF(OR(NOT(ISNUMBER(K93)),K93=0,COUNTIFS('Data - Monthly Metrics'!$A:$A,$B$4,'Data - Monthly Metrics'!$B:$B,K$8,'Data - Monthly Metrics'!$C:$C,"North King",'Data - Monthly Metrics'!$D:$D,"Goal - Retention %")=0),"—",IF(K93&gt;=SUMIFS('Data - Monthly Metrics'!$E:$E,'Data - Monthly Metrics'!$A:$A,$B$4,'Data - Monthly Metrics'!$B:$B,K$8,'Data - Monthly Metrics'!$C:$C,"North King",'Data - Monthly Metrics'!$D:$D,"Goal - Retention %"),"On Track",IF(K93&gt;=SUMIFS('Data - Monthly Metrics'!$E:$E,'Data - Monthly Metrics'!$A:$A,$B$4,'Data - Monthly Metrics'!$B:$B,K$8,'Data - Monthly Metrics'!$C:$C,"North King",'Data - Monthly Metrics'!$D:$D,"Goal - Retention %")-0.05,"Watch","At Risk")))</f>
        <v/>
      </c>
      <c r="L94" s="120">
        <f>IF(OR(NOT(ISNUMBER(L93)),L93=0,COUNTIFS('Data - Monthly Metrics'!$A:$A,$B$4,'Data - Monthly Metrics'!$B:$B,L$8,'Data - Monthly Metrics'!$C:$C,"North King",'Data - Monthly Metrics'!$D:$D,"Goal - Retention %")=0),"—",IF(L93&gt;=SUMIFS('Data - Monthly Metrics'!$E:$E,'Data - Monthly Metrics'!$A:$A,$B$4,'Data - Monthly Metrics'!$B:$B,L$8,'Data - Monthly Metrics'!$C:$C,"North King",'Data - Monthly Metrics'!$D:$D,"Goal - Retention %"),"On Track",IF(L93&gt;=SUMIFS('Data - Monthly Metrics'!$E:$E,'Data - Monthly Metrics'!$A:$A,$B$4,'Data - Monthly Metrics'!$B:$B,L$8,'Data - Monthly Metrics'!$C:$C,"North King",'Data - Monthly Metrics'!$D:$D,"Goal - Retention %")-0.05,"Watch","At Risk")))</f>
        <v/>
      </c>
      <c r="M94" s="121">
        <f>"—"</f>
        <v/>
      </c>
      <c r="N94" s="120">
        <f>IF(OR(NOT(ISNUMBER(N93)),N93=0,COUNTIFS('Data - Monthly Metrics'!$A:$A,$B$4,'Data - Monthly Metrics'!$B:$B,N$8,'Data - Monthly Metrics'!$C:$C,"North King",'Data - Monthly Metrics'!$D:$D,"Goal - Retention %")=0),"—",IF(N93&gt;=SUMIFS('Data - Monthly Metrics'!$E:$E,'Data - Monthly Metrics'!$A:$A,$B$4,'Data - Monthly Metrics'!$B:$B,N$8,'Data - Monthly Metrics'!$C:$C,"North King",'Data - Monthly Metrics'!$D:$D,"Goal - Retention %"),"On Track",IF(N93&gt;=SUMIFS('Data - Monthly Metrics'!$E:$E,'Data - Monthly Metrics'!$A:$A,$B$4,'Data - Monthly Metrics'!$B:$B,N$8,'Data - Monthly Metrics'!$C:$C,"North King",'Data - Monthly Metrics'!$D:$D,"Goal - Retention %")-0.05,"Watch","At Risk")))</f>
        <v/>
      </c>
      <c r="O94" s="120">
        <f>IF(OR(NOT(ISNUMBER(O93)),O93=0,COUNTIFS('Data - Monthly Metrics'!$A:$A,$B$4,'Data - Monthly Metrics'!$B:$B,O$8,'Data - Monthly Metrics'!$C:$C,"North King",'Data - Monthly Metrics'!$D:$D,"Goal - Retention %")=0),"—",IF(O93&gt;=SUMIFS('Data - Monthly Metrics'!$E:$E,'Data - Monthly Metrics'!$A:$A,$B$4,'Data - Monthly Metrics'!$B:$B,O$8,'Data - Monthly Metrics'!$C:$C,"North King",'Data - Monthly Metrics'!$D:$D,"Goal - Retention %"),"On Track",IF(O93&gt;=SUMIFS('Data - Monthly Metrics'!$E:$E,'Data - Monthly Metrics'!$A:$A,$B$4,'Data - Monthly Metrics'!$B:$B,O$8,'Data - Monthly Metrics'!$C:$C,"North King",'Data - Monthly Metrics'!$D:$D,"Goal - Retention %")-0.05,"Watch","At Risk")))</f>
        <v/>
      </c>
      <c r="P94" s="120">
        <f>IF(OR(NOT(ISNUMBER(P93)),P93=0,COUNTIFS('Data - Monthly Metrics'!$A:$A,$B$4,'Data - Monthly Metrics'!$B:$B,P$8,'Data - Monthly Metrics'!$C:$C,"North King",'Data - Monthly Metrics'!$D:$D,"Goal - Retention %")=0),"—",IF(P93&gt;=SUMIFS('Data - Monthly Metrics'!$E:$E,'Data - Monthly Metrics'!$A:$A,$B$4,'Data - Monthly Metrics'!$B:$B,P$8,'Data - Monthly Metrics'!$C:$C,"North King",'Data - Monthly Metrics'!$D:$D,"Goal - Retention %"),"On Track",IF(P93&gt;=SUMIFS('Data - Monthly Metrics'!$E:$E,'Data - Monthly Metrics'!$A:$A,$B$4,'Data - Monthly Metrics'!$B:$B,P$8,'Data - Monthly Metrics'!$C:$C,"North King",'Data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Metrics'!C:C,"North King",'Data - Monthly Metrics'!D:D,"Retention - Comped Non-Target (#)")=0,"-",SUMIFS('Data - Monthly Metrics'!E:E,'Data - Monthly Metrics'!A:A,$B$4-1,'Data - Monthly Metrics'!B:B,"Oct",'Data - Monthly Metrics'!C:C,"North King",'Data - Monthly Metrics'!D:D,"Retention - Comped Non-Target (#)"))</f>
        <v/>
      </c>
      <c r="C95" s="98">
        <f>IF(COUNTIFS('Data - Monthly Metrics'!A:A,$B$4-1,'Data - Monthly Metrics'!B:B,"Nov",'Data - Monthly Metrics'!C:C,"North King",'Data - Monthly Metrics'!D:D,"Retention - Comped Non-Target (#)")=0,"-",SUMIFS('Data - Monthly Metrics'!E:E,'Data - Monthly Metrics'!A:A,$B$4-1,'Data - Monthly Metrics'!B:B,"Nov",'Data - Monthly Metrics'!C:C,"North King",'Data - Monthly Metrics'!D:D,"Retention - Comped Non-Target (#)"))</f>
        <v/>
      </c>
      <c r="D95" s="98">
        <f>IF(COUNTIFS('Data - Monthly Metrics'!A:A,$B$4-1,'Data - Monthly Metrics'!B:B,"Dec",'Data - Monthly Metrics'!C:C,"North King",'Data - Monthly Metrics'!D:D,"Retention - Comped Non-Target (#)")=0,"-",SUMIFS('Data - Monthly Metrics'!E:E,'Data - Monthly Metrics'!A:A,$B$4-1,'Data - Monthly Metrics'!B:B,"Dec",'Data - Monthly Metrics'!C:C,"North King",'Data - Monthly Metrics'!D:D,"Retention - Comped Non-Target (#)"))</f>
        <v/>
      </c>
      <c r="E95" s="103">
        <f>SUM(B95,C95,D95)</f>
        <v/>
      </c>
      <c r="F95" s="98">
        <f>IF(COUNTIFS('Data - Monthly Metrics'!A:A,$B$4,'Data - Monthly Metrics'!B:B,"Jan",'Data - Monthly Metrics'!C:C,"North King",'Data - Monthly Metrics'!D:D,"Retention - Comped Non-Target (#)")=0,"-",SUMIFS('Data - Monthly Metrics'!E:E,'Data - Monthly Metrics'!A:A,$B$4,'Data - Monthly Metrics'!B:B,"Jan",'Data - Monthly Metrics'!C:C,"North King",'Data - Monthly Metrics'!D:D,"Retention - Comped Non-Target (#)"))</f>
        <v/>
      </c>
      <c r="G95" s="98">
        <f>IF(COUNTIFS('Data - Monthly Metrics'!A:A,$B$4,'Data - Monthly Metrics'!B:B,"Feb",'Data - Monthly Metrics'!C:C,"North King",'Data - Monthly Metrics'!D:D,"Retention - Comped Non-Target (#)")=0,"-",SUMIFS('Data - Monthly Metrics'!E:E,'Data - Monthly Metrics'!A:A,$B$4,'Data - Monthly Metrics'!B:B,"Feb",'Data - Monthly Metrics'!C:C,"North King",'Data - Monthly Metrics'!D:D,"Retention - Comped Non-Target (#)"))</f>
        <v/>
      </c>
      <c r="H95" s="98">
        <f>IF(COUNTIFS('Data - Monthly Metrics'!A:A,$B$4,'Data - Monthly Metrics'!B:B,"Mar",'Data - Monthly Metrics'!C:C,"North King",'Data - Monthly Metrics'!D:D,"Retention - Comped Non-Target (#)")=0,"-",SUMIFS('Data - Monthly Metrics'!E:E,'Data - Monthly Metrics'!A:A,$B$4,'Data - Monthly Metrics'!B:B,"Mar",'Data - Monthly Metrics'!C:C,"North King",'Data - Monthly Metrics'!D:D,"Retention - Comped Non-Target (#)"))</f>
        <v/>
      </c>
      <c r="I95" s="103">
        <f>SUM(F95,G95,H95)</f>
        <v/>
      </c>
      <c r="J95" s="98">
        <f>IF(COUNTIFS('Data - Monthly Metrics'!A:A,$B$4,'Data - Monthly Metrics'!B:B,"Apr",'Data - Monthly Metrics'!C:C,"North King",'Data - Monthly Metrics'!D:D,"Retention - Comped Non-Target (#)")=0,"-",SUMIFS('Data - Monthly Metrics'!E:E,'Data - Monthly Metrics'!A:A,$B$4,'Data - Monthly Metrics'!B:B,"Apr",'Data - Monthly Metrics'!C:C,"North King",'Data - Monthly Metrics'!D:D,"Retention - Comped Non-Target (#)"))</f>
        <v/>
      </c>
      <c r="K95" s="98">
        <f>IF(COUNTIFS('Data - Monthly Metrics'!A:A,$B$4,'Data - Monthly Metrics'!B:B,"May",'Data - Monthly Metrics'!C:C,"North King",'Data - Monthly Metrics'!D:D,"Retention - Comped Non-Target (#)")=0,"-",SUMIFS('Data - Monthly Metrics'!E:E,'Data - Monthly Metrics'!A:A,$B$4,'Data - Monthly Metrics'!B:B,"May",'Data - Monthly Metrics'!C:C,"North King",'Data - Monthly Metrics'!D:D,"Retention - Comped Non-Target (#)"))</f>
        <v/>
      </c>
      <c r="L95" s="98">
        <f>IF(COUNTIFS('Data - Monthly Metrics'!A:A,$B$4,'Data - Monthly Metrics'!B:B,"Jun",'Data - Monthly Metrics'!C:C,"North King",'Data - Monthly Metrics'!D:D,"Retention - Comped Non-Target (#)")=0,"-",SUMIFS('Data - Monthly Metrics'!E:E,'Data - Monthly Metrics'!A:A,$B$4,'Data - Monthly Metrics'!B:B,"Jun",'Data - Monthly Metrics'!C:C,"North King",'Data - Monthly Metrics'!D:D,"Retention - Comped Non-Target (#)"))</f>
        <v/>
      </c>
      <c r="M95" s="103">
        <f>SUM(J95,K95,L95)</f>
        <v/>
      </c>
      <c r="N95" s="98">
        <f>IF(COUNTIFS('Data - Monthly Metrics'!A:A,$B$4,'Data - Monthly Metrics'!B:B,"Jul",'Data - Monthly Metrics'!C:C,"North King",'Data - Monthly Metrics'!D:D,"Retention - Comped Non-Target (#)")=0,"-",SUMIFS('Data - Monthly Metrics'!E:E,'Data - Monthly Metrics'!A:A,$B$4,'Data - Monthly Metrics'!B:B,"Jul",'Data - Monthly Metrics'!C:C,"North King",'Data - Monthly Metrics'!D:D,"Retention - Comped Non-Target (#)"))</f>
        <v/>
      </c>
      <c r="O95" s="98">
        <f>IF(COUNTIFS('Data - Monthly Metrics'!A:A,$B$4,'Data - Monthly Metrics'!B:B,"Aug",'Data - Monthly Metrics'!C:C,"North King",'Data - Monthly Metrics'!D:D,"Retention - Comped Non-Target (#)")=0,"-",SUMIFS('Data - Monthly Metrics'!E:E,'Data - Monthly Metrics'!A:A,$B$4,'Data - Monthly Metrics'!B:B,"Aug",'Data - Monthly Metrics'!C:C,"North King",'Data - Monthly Metrics'!D:D,"Retention - Comped Non-Target (#)"))</f>
        <v/>
      </c>
      <c r="P95" s="98">
        <f>IF(COUNTIFS('Data - Monthly Metrics'!A:A,$B$4,'Data - Monthly Metrics'!B:B,"Sep",'Data - Monthly Metrics'!C:C,"North King",'Data - Monthly Metrics'!D:D,"Retention - Comped Non-Target (#)")=0,"-",SUMIFS('Data - Monthly Metrics'!E:E,'Data - Monthly Metrics'!A:A,$B$4,'Data - Monthly Metrics'!B:B,"Sep",'Data - Monthly Metrics'!C:C,"North King",'Data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Metrics'!C:C,"North King",'Data - Monthly Metrics'!D:D,"Retention - Comped Non-Target ($)")=0,"-",SUMIFS('Data - Monthly Metrics'!E:E,'Data - Monthly Metrics'!A:A,$B$4-1,'Data - Monthly Metrics'!B:B,"Oct",'Data - Monthly Metrics'!C:C,"North King",'Data - Monthly Metrics'!D:D,"Retention - Comped Non-Target ($)"))</f>
        <v/>
      </c>
      <c r="C96" s="96">
        <f>IF(COUNTIFS('Data - Monthly Metrics'!A:A,$B$4-1,'Data - Monthly Metrics'!B:B,"Nov",'Data - Monthly Metrics'!C:C,"North King",'Data - Monthly Metrics'!D:D,"Retention - Comped Non-Target ($)")=0,"-",SUMIFS('Data - Monthly Metrics'!E:E,'Data - Monthly Metrics'!A:A,$B$4-1,'Data - Monthly Metrics'!B:B,"Nov",'Data - Monthly Metrics'!C:C,"North King",'Data - Monthly Metrics'!D:D,"Retention - Comped Non-Target ($)"))</f>
        <v/>
      </c>
      <c r="D96" s="96">
        <f>IF(COUNTIFS('Data - Monthly Metrics'!A:A,$B$4-1,'Data - Monthly Metrics'!B:B,"Dec",'Data - Monthly Metrics'!C:C,"North King",'Data - Monthly Metrics'!D:D,"Retention - Comped Non-Target ($)")=0,"-",SUMIFS('Data - Monthly Metrics'!E:E,'Data - Monthly Metrics'!A:A,$B$4-1,'Data - Monthly Metrics'!B:B,"Dec",'Data - Monthly Metrics'!C:C,"North King",'Data - Monthly Metrics'!D:D,"Retention - Comped Non-Target ($)"))</f>
        <v/>
      </c>
      <c r="E96" s="101">
        <f>SUM(B96,C96,D96)</f>
        <v/>
      </c>
      <c r="F96" s="96">
        <f>IF(COUNTIFS('Data - Monthly Metrics'!A:A,$B$4,'Data - Monthly Metrics'!B:B,"Jan",'Data - Monthly Metrics'!C:C,"North King",'Data - Monthly Metrics'!D:D,"Retention - Comped Non-Target ($)")=0,"-",SUMIFS('Data - Monthly Metrics'!E:E,'Data - Monthly Metrics'!A:A,$B$4,'Data - Monthly Metrics'!B:B,"Jan",'Data - Monthly Metrics'!C:C,"North King",'Data - Monthly Metrics'!D:D,"Retention - Comped Non-Target ($)"))</f>
        <v/>
      </c>
      <c r="G96" s="96">
        <f>IF(COUNTIFS('Data - Monthly Metrics'!A:A,$B$4,'Data - Monthly Metrics'!B:B,"Feb",'Data - Monthly Metrics'!C:C,"North King",'Data - Monthly Metrics'!D:D,"Retention - Comped Non-Target ($)")=0,"-",SUMIFS('Data - Monthly Metrics'!E:E,'Data - Monthly Metrics'!A:A,$B$4,'Data - Monthly Metrics'!B:B,"Feb",'Data - Monthly Metrics'!C:C,"North King",'Data - Monthly Metrics'!D:D,"Retention - Comped Non-Target ($)"))</f>
        <v/>
      </c>
      <c r="H96" s="96">
        <f>IF(COUNTIFS('Data - Monthly Metrics'!A:A,$B$4,'Data - Monthly Metrics'!B:B,"Mar",'Data - Monthly Metrics'!C:C,"North King",'Data - Monthly Metrics'!D:D,"Retention - Comped Non-Target ($)")=0,"-",SUMIFS('Data - Monthly Metrics'!E:E,'Data - Monthly Metrics'!A:A,$B$4,'Data - Monthly Metrics'!B:B,"Mar",'Data - Monthly Metrics'!C:C,"North King",'Data - Monthly Metrics'!D:D,"Retention - Comped Non-Target ($)"))</f>
        <v/>
      </c>
      <c r="I96" s="101">
        <f>SUM(F96,G96,H96)</f>
        <v/>
      </c>
      <c r="J96" s="96">
        <f>IF(COUNTIFS('Data - Monthly Metrics'!A:A,$B$4,'Data - Monthly Metrics'!B:B,"Apr",'Data - Monthly Metrics'!C:C,"North King",'Data - Monthly Metrics'!D:D,"Retention - Comped Non-Target ($)")=0,"-",SUMIFS('Data - Monthly Metrics'!E:E,'Data - Monthly Metrics'!A:A,$B$4,'Data - Monthly Metrics'!B:B,"Apr",'Data - Monthly Metrics'!C:C,"North King",'Data - Monthly Metrics'!D:D,"Retention - Comped Non-Target ($)"))</f>
        <v/>
      </c>
      <c r="K96" s="96">
        <f>IF(COUNTIFS('Data - Monthly Metrics'!A:A,$B$4,'Data - Monthly Metrics'!B:B,"May",'Data - Monthly Metrics'!C:C,"North King",'Data - Monthly Metrics'!D:D,"Retention - Comped Non-Target ($)")=0,"-",SUMIFS('Data - Monthly Metrics'!E:E,'Data - Monthly Metrics'!A:A,$B$4,'Data - Monthly Metrics'!B:B,"May",'Data - Monthly Metrics'!C:C,"North King",'Data - Monthly Metrics'!D:D,"Retention - Comped Non-Target ($)"))</f>
        <v/>
      </c>
      <c r="L96" s="96">
        <f>IF(COUNTIFS('Data - Monthly Metrics'!A:A,$B$4,'Data - Monthly Metrics'!B:B,"Jun",'Data - Monthly Metrics'!C:C,"North King",'Data - Monthly Metrics'!D:D,"Retention - Comped Non-Target ($)")=0,"-",SUMIFS('Data - Monthly Metrics'!E:E,'Data - Monthly Metrics'!A:A,$B$4,'Data - Monthly Metrics'!B:B,"Jun",'Data - Monthly Metrics'!C:C,"North King",'Data - Monthly Metrics'!D:D,"Retention - Comped Non-Target ($)"))</f>
        <v/>
      </c>
      <c r="M96" s="101">
        <f>SUM(J96,K96,L96)</f>
        <v/>
      </c>
      <c r="N96" s="96">
        <f>IF(COUNTIFS('Data - Monthly Metrics'!A:A,$B$4,'Data - Monthly Metrics'!B:B,"Jul",'Data - Monthly Metrics'!C:C,"North King",'Data - Monthly Metrics'!D:D,"Retention - Comped Non-Target ($)")=0,"-",SUMIFS('Data - Monthly Metrics'!E:E,'Data - Monthly Metrics'!A:A,$B$4,'Data - Monthly Metrics'!B:B,"Jul",'Data - Monthly Metrics'!C:C,"North King",'Data - Monthly Metrics'!D:D,"Retention - Comped Non-Target ($)"))</f>
        <v/>
      </c>
      <c r="O96" s="96">
        <f>IF(COUNTIFS('Data - Monthly Metrics'!A:A,$B$4,'Data - Monthly Metrics'!B:B,"Aug",'Data - Monthly Metrics'!C:C,"North King",'Data - Monthly Metrics'!D:D,"Retention - Comped Non-Target ($)")=0,"-",SUMIFS('Data - Monthly Metrics'!E:E,'Data - Monthly Metrics'!A:A,$B$4,'Data - Monthly Metrics'!B:B,"Aug",'Data - Monthly Metrics'!C:C,"North King",'Data - Monthly Metrics'!D:D,"Retention - Comped Non-Target ($)"))</f>
        <v/>
      </c>
      <c r="P96" s="96">
        <f>IF(COUNTIFS('Data - Monthly Metrics'!A:A,$B$4,'Data - Monthly Metrics'!B:B,"Sep",'Data - Monthly Metrics'!C:C,"North King",'Data - Monthly Metrics'!D:D,"Retention - Comped Non-Target ($)")=0,"-",SUMIFS('Data - Monthly Metrics'!E:E,'Data - Monthly Metrics'!A:A,$B$4,'Data - Monthly Metrics'!B:B,"Sep",'Data - Monthly Metrics'!C:C,"North King",'Data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Metrics'!C:C,"North King",'Data - Monthly Metrics'!D:D,"Drops - Non-Target (#)")=0,"-",SUMIFS('Data - Monthly Metrics'!E:E,'Data - Monthly Metrics'!A:A,$B$4-1,'Data - Monthly Metrics'!B:B,"Oct",'Data - Monthly Metrics'!C:C,"North King",'Data - Monthly Metrics'!D:D,"Drops - Non-Target (#)"))</f>
        <v/>
      </c>
      <c r="C100" s="93">
        <f>IF(COUNTIFS('Data - Monthly Metrics'!A:A,$B$4-1,'Data - Monthly Metrics'!B:B,"Nov",'Data - Monthly Metrics'!C:C,"North King",'Data - Monthly Metrics'!D:D,"Drops - Non-Target (#)")=0,"-",SUMIFS('Data - Monthly Metrics'!E:E,'Data - Monthly Metrics'!A:A,$B$4-1,'Data - Monthly Metrics'!B:B,"Nov",'Data - Monthly Metrics'!C:C,"North King",'Data - Monthly Metrics'!D:D,"Drops - Non-Target (#)"))</f>
        <v/>
      </c>
      <c r="D100" s="93">
        <f>IF(COUNTIFS('Data - Monthly Metrics'!A:A,$B$4-1,'Data - Monthly Metrics'!B:B,"Dec",'Data - Monthly Metrics'!C:C,"North King",'Data - Monthly Metrics'!D:D,"Drops - Non-Target (#)")=0,"-",SUMIFS('Data - Monthly Metrics'!E:E,'Data - Monthly Metrics'!A:A,$B$4-1,'Data - Monthly Metrics'!B:B,"Dec",'Data - Monthly Metrics'!C:C,"North King",'Data - Monthly Metrics'!D:D,"Drops - Non-Target (#)"))</f>
        <v/>
      </c>
      <c r="E100" s="103">
        <f>SUM(B100,C100,D100)</f>
        <v/>
      </c>
      <c r="F100" s="93">
        <f>IF(COUNTIFS('Data - Monthly Metrics'!A:A,$B$4,'Data - Monthly Metrics'!B:B,"Jan",'Data - Monthly Metrics'!C:C,"North King",'Data - Monthly Metrics'!D:D,"Drops - Non-Target (#)")=0,"-",SUMIFS('Data - Monthly Metrics'!E:E,'Data - Monthly Metrics'!A:A,$B$4,'Data - Monthly Metrics'!B:B,"Jan",'Data - Monthly Metrics'!C:C,"North King",'Data - Monthly Metrics'!D:D,"Drops - Non-Target (#)"))</f>
        <v/>
      </c>
      <c r="G100" s="93">
        <f>IF(COUNTIFS('Data - Monthly Metrics'!A:A,$B$4,'Data - Monthly Metrics'!B:B,"Feb",'Data - Monthly Metrics'!C:C,"North King",'Data - Monthly Metrics'!D:D,"Drops - Non-Target (#)")=0,"-",SUMIFS('Data - Monthly Metrics'!E:E,'Data - Monthly Metrics'!A:A,$B$4,'Data - Monthly Metrics'!B:B,"Feb",'Data - Monthly Metrics'!C:C,"North King",'Data - Monthly Metrics'!D:D,"Drops - Non-Target (#)"))</f>
        <v/>
      </c>
      <c r="H100" s="93">
        <f>IF(COUNTIFS('Data - Monthly Metrics'!A:A,$B$4,'Data - Monthly Metrics'!B:B,"Mar",'Data - Monthly Metrics'!C:C,"North King",'Data - Monthly Metrics'!D:D,"Drops - Non-Target (#)")=0,"-",SUMIFS('Data - Monthly Metrics'!E:E,'Data - Monthly Metrics'!A:A,$B$4,'Data - Monthly Metrics'!B:B,"Mar",'Data - Monthly Metrics'!C:C,"North King",'Data - Monthly Metrics'!D:D,"Drops - Non-Target (#)"))</f>
        <v/>
      </c>
      <c r="I100" s="103">
        <f>SUM(F100,G100,H100)</f>
        <v/>
      </c>
      <c r="J100" s="93">
        <f>IF(COUNTIFS('Data - Monthly Metrics'!A:A,$B$4,'Data - Monthly Metrics'!B:B,"Apr",'Data - Monthly Metrics'!C:C,"North King",'Data - Monthly Metrics'!D:D,"Drops - Non-Target (#)")=0,"-",SUMIFS('Data - Monthly Metrics'!E:E,'Data - Monthly Metrics'!A:A,$B$4,'Data - Monthly Metrics'!B:B,"Apr",'Data - Monthly Metrics'!C:C,"North King",'Data - Monthly Metrics'!D:D,"Drops - Non-Target (#)"))</f>
        <v/>
      </c>
      <c r="K100" s="93">
        <f>IF(COUNTIFS('Data - Monthly Metrics'!A:A,$B$4,'Data - Monthly Metrics'!B:B,"May",'Data - Monthly Metrics'!C:C,"North King",'Data - Monthly Metrics'!D:D,"Drops - Non-Target (#)")=0,"-",SUMIFS('Data - Monthly Metrics'!E:E,'Data - Monthly Metrics'!A:A,$B$4,'Data - Monthly Metrics'!B:B,"May",'Data - Monthly Metrics'!C:C,"North King",'Data - Monthly Metrics'!D:D,"Drops - Non-Target (#)"))</f>
        <v/>
      </c>
      <c r="L100" s="93">
        <f>IF(COUNTIFS('Data - Monthly Metrics'!A:A,$B$4,'Data - Monthly Metrics'!B:B,"Jun",'Data - Monthly Metrics'!C:C,"North King",'Data - Monthly Metrics'!D:D,"Drops - Non-Target (#)")=0,"-",SUMIFS('Data - Monthly Metrics'!E:E,'Data - Monthly Metrics'!A:A,$B$4,'Data - Monthly Metrics'!B:B,"Jun",'Data - Monthly Metrics'!C:C,"North King",'Data - Monthly Metrics'!D:D,"Drops - Non-Target (#)"))</f>
        <v/>
      </c>
      <c r="M100" s="103">
        <f>SUM(J100,K100,L100)</f>
        <v/>
      </c>
      <c r="N100" s="93">
        <f>IF(COUNTIFS('Data - Monthly Metrics'!A:A,$B$4,'Data - Monthly Metrics'!B:B,"Jul",'Data - Monthly Metrics'!C:C,"North King",'Data - Monthly Metrics'!D:D,"Drops - Non-Target (#)")=0,"-",SUMIFS('Data - Monthly Metrics'!E:E,'Data - Monthly Metrics'!A:A,$B$4,'Data - Monthly Metrics'!B:B,"Jul",'Data - Monthly Metrics'!C:C,"North King",'Data - Monthly Metrics'!D:D,"Drops - Non-Target (#)"))</f>
        <v/>
      </c>
      <c r="O100" s="93">
        <f>IF(COUNTIFS('Data - Monthly Metrics'!A:A,$B$4,'Data - Monthly Metrics'!B:B,"Aug",'Data - Monthly Metrics'!C:C,"North King",'Data - Monthly Metrics'!D:D,"Drops - Non-Target (#)")=0,"-",SUMIFS('Data - Monthly Metrics'!E:E,'Data - Monthly Metrics'!A:A,$B$4,'Data - Monthly Metrics'!B:B,"Aug",'Data - Monthly Metrics'!C:C,"North King",'Data - Monthly Metrics'!D:D,"Drops - Non-Target (#)"))</f>
        <v/>
      </c>
      <c r="P100" s="93">
        <f>IF(COUNTIFS('Data - Monthly Metrics'!A:A,$B$4,'Data - Monthly Metrics'!B:B,"Sep",'Data - Monthly Metrics'!C:C,"North King",'Data - Monthly Metrics'!D:D,"Drops - Non-Target (#)")=0,"-",SUMIFS('Data - Monthly Metrics'!E:E,'Data - Monthly Metrics'!A:A,$B$4,'Data - Monthly Metrics'!B:B,"Sep",'Data - Monthly Metrics'!C:C,"North King",'Data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Metrics'!C:C,"North King",'Data - Monthly Metrics'!D:D,"Dropped Revenue - Non-Target ($)")=0,"-",SUMIFS('Data - Monthly Metrics'!E:E,'Data - Monthly Metrics'!A:A,$B$4-1,'Data - Monthly Metrics'!B:B,"Oct",'Data - Monthly Metrics'!C:C,"North King",'Data - Monthly Metrics'!D:D,"Dropped Revenue - Non-Target ($)"))</f>
        <v/>
      </c>
      <c r="C101" s="96">
        <f>IF(COUNTIFS('Data - Monthly Metrics'!A:A,$B$4-1,'Data - Monthly Metrics'!B:B,"Nov",'Data - Monthly Metrics'!C:C,"North King",'Data - Monthly Metrics'!D:D,"Dropped Revenue - Non-Target ($)")=0,"-",SUMIFS('Data - Monthly Metrics'!E:E,'Data - Monthly Metrics'!A:A,$B$4-1,'Data - Monthly Metrics'!B:B,"Nov",'Data - Monthly Metrics'!C:C,"North King",'Data - Monthly Metrics'!D:D,"Dropped Revenue - Non-Target ($)"))</f>
        <v/>
      </c>
      <c r="D101" s="96">
        <f>IF(COUNTIFS('Data - Monthly Metrics'!A:A,$B$4-1,'Data - Monthly Metrics'!B:B,"Dec",'Data - Monthly Metrics'!C:C,"North King",'Data - Monthly Metrics'!D:D,"Dropped Revenue - Non-Target ($)")=0,"-",SUMIFS('Data - Monthly Metrics'!E:E,'Data - Monthly Metrics'!A:A,$B$4-1,'Data - Monthly Metrics'!B:B,"Dec",'Data - Monthly Metrics'!C:C,"North King",'Data - Monthly Metrics'!D:D,"Dropped Revenue - Non-Target ($)"))</f>
        <v/>
      </c>
      <c r="E101" s="101">
        <f>SUM(B101,C101,D101)</f>
        <v/>
      </c>
      <c r="F101" s="96">
        <f>IF(COUNTIFS('Data - Monthly Metrics'!A:A,$B$4,'Data - Monthly Metrics'!B:B,"Jan",'Data - Monthly Metrics'!C:C,"North King",'Data - Monthly Metrics'!D:D,"Dropped Revenue - Non-Target ($)")=0,"-",SUMIFS('Data - Monthly Metrics'!E:E,'Data - Monthly Metrics'!A:A,$B$4,'Data - Monthly Metrics'!B:B,"Jan",'Data - Monthly Metrics'!C:C,"North King",'Data - Monthly Metrics'!D:D,"Dropped Revenue - Non-Target ($)"))</f>
        <v/>
      </c>
      <c r="G101" s="96">
        <f>IF(COUNTIFS('Data - Monthly Metrics'!A:A,$B$4,'Data - Monthly Metrics'!B:B,"Feb",'Data - Monthly Metrics'!C:C,"North King",'Data - Monthly Metrics'!D:D,"Dropped Revenue - Non-Target ($)")=0,"-",SUMIFS('Data - Monthly Metrics'!E:E,'Data - Monthly Metrics'!A:A,$B$4,'Data - Monthly Metrics'!B:B,"Feb",'Data - Monthly Metrics'!C:C,"North King",'Data - Monthly Metrics'!D:D,"Dropped Revenue - Non-Target ($)"))</f>
        <v/>
      </c>
      <c r="H101" s="96">
        <f>IF(COUNTIFS('Data - Monthly Metrics'!A:A,$B$4,'Data - Monthly Metrics'!B:B,"Mar",'Data - Monthly Metrics'!C:C,"North King",'Data - Monthly Metrics'!D:D,"Dropped Revenue - Non-Target ($)")=0,"-",SUMIFS('Data - Monthly Metrics'!E:E,'Data - Monthly Metrics'!A:A,$B$4,'Data - Monthly Metrics'!B:B,"Mar",'Data - Monthly Metrics'!C:C,"North King",'Data - Monthly Metrics'!D:D,"Dropped Revenue - Non-Target ($)"))</f>
        <v/>
      </c>
      <c r="I101" s="101">
        <f>SUM(F101,G101,H101)</f>
        <v/>
      </c>
      <c r="J101" s="96">
        <f>IF(COUNTIFS('Data - Monthly Metrics'!A:A,$B$4,'Data - Monthly Metrics'!B:B,"Apr",'Data - Monthly Metrics'!C:C,"North King",'Data - Monthly Metrics'!D:D,"Dropped Revenue - Non-Target ($)")=0,"-",SUMIFS('Data - Monthly Metrics'!E:E,'Data - Monthly Metrics'!A:A,$B$4,'Data - Monthly Metrics'!B:B,"Apr",'Data - Monthly Metrics'!C:C,"North King",'Data - Monthly Metrics'!D:D,"Dropped Revenue - Non-Target ($)"))</f>
        <v/>
      </c>
      <c r="K101" s="96">
        <f>IF(COUNTIFS('Data - Monthly Metrics'!A:A,$B$4,'Data - Monthly Metrics'!B:B,"May",'Data - Monthly Metrics'!C:C,"North King",'Data - Monthly Metrics'!D:D,"Dropped Revenue - Non-Target ($)")=0,"-",SUMIFS('Data - Monthly Metrics'!E:E,'Data - Monthly Metrics'!A:A,$B$4,'Data - Monthly Metrics'!B:B,"May",'Data - Monthly Metrics'!C:C,"North King",'Data - Monthly Metrics'!D:D,"Dropped Revenue - Non-Target ($)"))</f>
        <v/>
      </c>
      <c r="L101" s="96">
        <f>IF(COUNTIFS('Data - Monthly Metrics'!A:A,$B$4,'Data - Monthly Metrics'!B:B,"Jun",'Data - Monthly Metrics'!C:C,"North King",'Data - Monthly Metrics'!D:D,"Dropped Revenue - Non-Target ($)")=0,"-",SUMIFS('Data - Monthly Metrics'!E:E,'Data - Monthly Metrics'!A:A,$B$4,'Data - Monthly Metrics'!B:B,"Jun",'Data - Monthly Metrics'!C:C,"North King",'Data - Monthly Metrics'!D:D,"Dropped Revenue - Non-Target ($)"))</f>
        <v/>
      </c>
      <c r="M101" s="101">
        <f>SUM(J101,K101,L101)</f>
        <v/>
      </c>
      <c r="N101" s="96">
        <f>IF(COUNTIFS('Data - Monthly Metrics'!A:A,$B$4,'Data - Monthly Metrics'!B:B,"Jul",'Data - Monthly Metrics'!C:C,"North King",'Data - Monthly Metrics'!D:D,"Dropped Revenue - Non-Target ($)")=0,"-",SUMIFS('Data - Monthly Metrics'!E:E,'Data - Monthly Metrics'!A:A,$B$4,'Data - Monthly Metrics'!B:B,"Jul",'Data - Monthly Metrics'!C:C,"North King",'Data - Monthly Metrics'!D:D,"Dropped Revenue - Non-Target ($)"))</f>
        <v/>
      </c>
      <c r="O101" s="96">
        <f>IF(COUNTIFS('Data - Monthly Metrics'!A:A,$B$4,'Data - Monthly Metrics'!B:B,"Aug",'Data - Monthly Metrics'!C:C,"North King",'Data - Monthly Metrics'!D:D,"Dropped Revenue - Non-Target ($)")=0,"-",SUMIFS('Data - Monthly Metrics'!E:E,'Data - Monthly Metrics'!A:A,$B$4,'Data - Monthly Metrics'!B:B,"Aug",'Data - Monthly Metrics'!C:C,"North King",'Data - Monthly Metrics'!D:D,"Dropped Revenue - Non-Target ($)"))</f>
        <v/>
      </c>
      <c r="P101" s="96">
        <f>IF(COUNTIFS('Data - Monthly Metrics'!A:A,$B$4,'Data - Monthly Metrics'!B:B,"Sep",'Data - Monthly Metrics'!C:C,"North King",'Data - Monthly Metrics'!D:D,"Dropped Revenue - Non-Target ($)")=0,"-",SUMIFS('Data - Monthly Metrics'!E:E,'Data - Monthly Metrics'!A:A,$B$4,'Data - Monthly Metrics'!B:B,"Sep",'Data - Monthly Metrics'!C:C,"North King",'Data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Metrics'!C:C,"North King",'Data - Monthly Metrics'!D:D,"Penetration - Restaurant Non-Target %")=0,"-",SUMIFS('Data - Monthly Metrics'!E:E,'Data - Monthly Metrics'!A:A,$B$4-1,'Data - Monthly Metrics'!B:B,"Oct",'Data - Monthly Metrics'!C:C,"North King",'Data - Monthly Metrics'!D:D,"Penetration - Restaurant Non-Target %"))</f>
        <v/>
      </c>
      <c r="C105" s="115">
        <f>IF(COUNTIFS('Data - Monthly Metrics'!A:A,$B$4-1,'Data - Monthly Metrics'!B:B,"Nov",'Data - Monthly Metrics'!C:C,"North King",'Data - Monthly Metrics'!D:D,"Penetration - Restaurant Non-Target %")=0,"-",SUMIFS('Data - Monthly Metrics'!E:E,'Data - Monthly Metrics'!A:A,$B$4-1,'Data - Monthly Metrics'!B:B,"Nov",'Data - Monthly Metrics'!C:C,"North King",'Data - Monthly Metrics'!D:D,"Penetration - Restaurant Non-Target %"))</f>
        <v/>
      </c>
      <c r="D105" s="115">
        <f>IF(COUNTIFS('Data - Monthly Metrics'!A:A,$B$4-1,'Data - Monthly Metrics'!B:B,"Dec",'Data - Monthly Metrics'!C:C,"North King",'Data - Monthly Metrics'!D:D,"Penetration - Restaurant Non-Target %")=0,"-",SUMIFS('Data - Monthly Metrics'!E:E,'Data - Monthly Metrics'!A:A,$B$4-1,'Data - Monthly Metrics'!B:B,"Dec",'Data - Monthly Metrics'!C:C,"North King",'Data - Monthly Metrics'!D:D,"Penetration - Restaurant Non-Target %"))</f>
        <v/>
      </c>
      <c r="E105" s="116">
        <f>IF(ISNUMBER(D105),D105,IF(ISNUMBER(C105),C105,IF(ISNUMBER(B105),B105,"-")))</f>
        <v/>
      </c>
      <c r="F105" s="115">
        <f>IF(COUNTIFS('Data - Monthly Metrics'!A:A,$B$4,'Data - Monthly Metrics'!B:B,"Jan",'Data - Monthly Metrics'!C:C,"North King",'Data - Monthly Metrics'!D:D,"Penetration - Restaurant Non-Target %")=0,"-",SUMIFS('Data - Monthly Metrics'!E:E,'Data - Monthly Metrics'!A:A,$B$4,'Data - Monthly Metrics'!B:B,"Jan",'Data - Monthly Metrics'!C:C,"North King",'Data - Monthly Metrics'!D:D,"Penetration - Restaurant Non-Target %"))</f>
        <v/>
      </c>
      <c r="G105" s="115">
        <f>IF(COUNTIFS('Data - Monthly Metrics'!A:A,$B$4,'Data - Monthly Metrics'!B:B,"Feb",'Data - Monthly Metrics'!C:C,"North King",'Data - Monthly Metrics'!D:D,"Penetration - Restaurant Non-Target %")=0,"-",SUMIFS('Data - Monthly Metrics'!E:E,'Data - Monthly Metrics'!A:A,$B$4,'Data - Monthly Metrics'!B:B,"Feb",'Data - Monthly Metrics'!C:C,"North King",'Data - Monthly Metrics'!D:D,"Penetration - Restaurant Non-Target %"))</f>
        <v/>
      </c>
      <c r="H105" s="115">
        <f>IF(COUNTIFS('Data - Monthly Metrics'!A:A,$B$4,'Data - Monthly Metrics'!B:B,"Mar",'Data - Monthly Metrics'!C:C,"North King",'Data - Monthly Metrics'!D:D,"Penetration - Restaurant Non-Target %")=0,"-",SUMIFS('Data - Monthly Metrics'!E:E,'Data - Monthly Metrics'!A:A,$B$4,'Data - Monthly Metrics'!B:B,"Mar",'Data - Monthly Metrics'!C:C,"North King",'Data - Monthly Metrics'!D:D,"Penetration - Restaurant Non-Target %"))</f>
        <v/>
      </c>
      <c r="I105" s="116">
        <f>IF(ISNUMBER(H105),H105,IF(ISNUMBER(G105),G105,IF(ISNUMBER(F105),F105,"-")))</f>
        <v/>
      </c>
      <c r="J105" s="115">
        <f>IF(COUNTIFS('Data - Monthly Metrics'!A:A,$B$4,'Data - Monthly Metrics'!B:B,"Apr",'Data - Monthly Metrics'!C:C,"North King",'Data - Monthly Metrics'!D:D,"Penetration - Restaurant Non-Target %")=0,"-",SUMIFS('Data - Monthly Metrics'!E:E,'Data - Monthly Metrics'!A:A,$B$4,'Data - Monthly Metrics'!B:B,"Apr",'Data - Monthly Metrics'!C:C,"North King",'Data - Monthly Metrics'!D:D,"Penetration - Restaurant Non-Target %"))</f>
        <v/>
      </c>
      <c r="K105" s="115">
        <f>IF(COUNTIFS('Data - Monthly Metrics'!A:A,$B$4,'Data - Monthly Metrics'!B:B,"May",'Data - Monthly Metrics'!C:C,"North King",'Data - Monthly Metrics'!D:D,"Penetration - Restaurant Non-Target %")=0,"-",SUMIFS('Data - Monthly Metrics'!E:E,'Data - Monthly Metrics'!A:A,$B$4,'Data - Monthly Metrics'!B:B,"May",'Data - Monthly Metrics'!C:C,"North King",'Data - Monthly Metrics'!D:D,"Penetration - Restaurant Non-Target %"))</f>
        <v/>
      </c>
      <c r="L105" s="115">
        <f>IF(COUNTIFS('Data - Monthly Metrics'!A:A,$B$4,'Data - Monthly Metrics'!B:B,"Jun",'Data - Monthly Metrics'!C:C,"North King",'Data - Monthly Metrics'!D:D,"Penetration - Restaurant Non-Target %")=0,"-",SUMIFS('Data - Monthly Metrics'!E:E,'Data - Monthly Metrics'!A:A,$B$4,'Data - Monthly Metrics'!B:B,"Jun",'Data - Monthly Metrics'!C:C,"North King",'Data - Monthly Metrics'!D:D,"Penetration - Restaurant Non-Target %"))</f>
        <v/>
      </c>
      <c r="M105" s="116">
        <f>IF(ISNUMBER(L105),L105,IF(ISNUMBER(K105),K105,IF(ISNUMBER(J105),J105,"-")))</f>
        <v/>
      </c>
      <c r="N105" s="115">
        <f>IF(COUNTIFS('Data - Monthly Metrics'!A:A,$B$4,'Data - Monthly Metrics'!B:B,"Jul",'Data - Monthly Metrics'!C:C,"North King",'Data - Monthly Metrics'!D:D,"Penetration - Restaurant Non-Target %")=0,"-",SUMIFS('Data - Monthly Metrics'!E:E,'Data - Monthly Metrics'!A:A,$B$4,'Data - Monthly Metrics'!B:B,"Jul",'Data - Monthly Metrics'!C:C,"North King",'Data - Monthly Metrics'!D:D,"Penetration - Restaurant Non-Target %"))</f>
        <v/>
      </c>
      <c r="O105" s="115">
        <f>IF(COUNTIFS('Data - Monthly Metrics'!A:A,$B$4,'Data - Monthly Metrics'!B:B,"Aug",'Data - Monthly Metrics'!C:C,"North King",'Data - Monthly Metrics'!D:D,"Penetration - Restaurant Non-Target %")=0,"-",SUMIFS('Data - Monthly Metrics'!E:E,'Data - Monthly Metrics'!A:A,$B$4,'Data - Monthly Metrics'!B:B,"Aug",'Data - Monthly Metrics'!C:C,"North King",'Data - Monthly Metrics'!D:D,"Penetration - Restaurant Non-Target %"))</f>
        <v/>
      </c>
      <c r="P105" s="115">
        <f>IF(COUNTIFS('Data - Monthly Metrics'!A:A,$B$4,'Data - Monthly Metrics'!B:B,"Sep",'Data - Monthly Metrics'!C:C,"North King",'Data - Monthly Metrics'!D:D,"Penetration - Restaurant Non-Target %")=0,"-",SUMIFS('Data - Monthly Metrics'!E:E,'Data - Monthly Metrics'!A:A,$B$4,'Data - Monthly Metrics'!B:B,"Sep",'Data - Monthly Metrics'!C:C,"North King",'Data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Metrics'!C:C,"North King",'Data - Monthly Metrics'!D:D,"Penetration - Lodging Non-Target %")=0,"-",SUMIFS('Data - Monthly Metrics'!E:E,'Data - Monthly Metrics'!A:A,$B$4-1,'Data - Monthly Metrics'!B:B,"Oct",'Data - Monthly Metrics'!C:C,"North King",'Data - Monthly Metrics'!D:D,"Penetration - Lodging Non-Target %"))</f>
        <v/>
      </c>
      <c r="C106" s="118">
        <f>IF(COUNTIFS('Data - Monthly Metrics'!A:A,$B$4-1,'Data - Monthly Metrics'!B:B,"Nov",'Data - Monthly Metrics'!C:C,"North King",'Data - Monthly Metrics'!D:D,"Penetration - Lodging Non-Target %")=0,"-",SUMIFS('Data - Monthly Metrics'!E:E,'Data - Monthly Metrics'!A:A,$B$4-1,'Data - Monthly Metrics'!B:B,"Nov",'Data - Monthly Metrics'!C:C,"North King",'Data - Monthly Metrics'!D:D,"Penetration - Lodging Non-Target %"))</f>
        <v/>
      </c>
      <c r="D106" s="118">
        <f>IF(COUNTIFS('Data - Monthly Metrics'!A:A,$B$4-1,'Data - Monthly Metrics'!B:B,"Dec",'Data - Monthly Metrics'!C:C,"North King",'Data - Monthly Metrics'!D:D,"Penetration - Lodging Non-Target %")=0,"-",SUMIFS('Data - Monthly Metrics'!E:E,'Data - Monthly Metrics'!A:A,$B$4-1,'Data - Monthly Metrics'!B:B,"Dec",'Data - Monthly Metrics'!C:C,"North King",'Data - Monthly Metrics'!D:D,"Penetration - Lodging Non-Target %"))</f>
        <v/>
      </c>
      <c r="E106" s="116">
        <f>IF(ISNUMBER(D106),D106,IF(ISNUMBER(C106),C106,IF(ISNUMBER(B106),B106,"-")))</f>
        <v/>
      </c>
      <c r="F106" s="118">
        <f>IF(COUNTIFS('Data - Monthly Metrics'!A:A,$B$4,'Data - Monthly Metrics'!B:B,"Jan",'Data - Monthly Metrics'!C:C,"North King",'Data - Monthly Metrics'!D:D,"Penetration - Lodging Non-Target %")=0,"-",SUMIFS('Data - Monthly Metrics'!E:E,'Data - Monthly Metrics'!A:A,$B$4,'Data - Monthly Metrics'!B:B,"Jan",'Data - Monthly Metrics'!C:C,"North King",'Data - Monthly Metrics'!D:D,"Penetration - Lodging Non-Target %"))</f>
        <v/>
      </c>
      <c r="G106" s="118">
        <f>IF(COUNTIFS('Data - Monthly Metrics'!A:A,$B$4,'Data - Monthly Metrics'!B:B,"Feb",'Data - Monthly Metrics'!C:C,"North King",'Data - Monthly Metrics'!D:D,"Penetration - Lodging Non-Target %")=0,"-",SUMIFS('Data - Monthly Metrics'!E:E,'Data - Monthly Metrics'!A:A,$B$4,'Data - Monthly Metrics'!B:B,"Feb",'Data - Monthly Metrics'!C:C,"North King",'Data - Monthly Metrics'!D:D,"Penetration - Lodging Non-Target %"))</f>
        <v/>
      </c>
      <c r="H106" s="118">
        <f>IF(COUNTIFS('Data - Monthly Metrics'!A:A,$B$4,'Data - Monthly Metrics'!B:B,"Mar",'Data - Monthly Metrics'!C:C,"North King",'Data - Monthly Metrics'!D:D,"Penetration - Lodging Non-Target %")=0,"-",SUMIFS('Data - Monthly Metrics'!E:E,'Data - Monthly Metrics'!A:A,$B$4,'Data - Monthly Metrics'!B:B,"Mar",'Data - Monthly Metrics'!C:C,"North King",'Data - Monthly Metrics'!D:D,"Penetration - Lodging Non-Target %"))</f>
        <v/>
      </c>
      <c r="I106" s="116">
        <f>IF(ISNUMBER(H106),H106,IF(ISNUMBER(G106),G106,IF(ISNUMBER(F106),F106,"-")))</f>
        <v/>
      </c>
      <c r="J106" s="118">
        <f>IF(COUNTIFS('Data - Monthly Metrics'!A:A,$B$4,'Data - Monthly Metrics'!B:B,"Apr",'Data - Monthly Metrics'!C:C,"North King",'Data - Monthly Metrics'!D:D,"Penetration - Lodging Non-Target %")=0,"-",SUMIFS('Data - Monthly Metrics'!E:E,'Data - Monthly Metrics'!A:A,$B$4,'Data - Monthly Metrics'!B:B,"Apr",'Data - Monthly Metrics'!C:C,"North King",'Data - Monthly Metrics'!D:D,"Penetration - Lodging Non-Target %"))</f>
        <v/>
      </c>
      <c r="K106" s="118">
        <f>IF(COUNTIFS('Data - Monthly Metrics'!A:A,$B$4,'Data - Monthly Metrics'!B:B,"May",'Data - Monthly Metrics'!C:C,"North King",'Data - Monthly Metrics'!D:D,"Penetration - Lodging Non-Target %")=0,"-",SUMIFS('Data - Monthly Metrics'!E:E,'Data - Monthly Metrics'!A:A,$B$4,'Data - Monthly Metrics'!B:B,"May",'Data - Monthly Metrics'!C:C,"North King",'Data - Monthly Metrics'!D:D,"Penetration - Lodging Non-Target %"))</f>
        <v/>
      </c>
      <c r="L106" s="118">
        <f>IF(COUNTIFS('Data - Monthly Metrics'!A:A,$B$4,'Data - Monthly Metrics'!B:B,"Jun",'Data - Monthly Metrics'!C:C,"North King",'Data - Monthly Metrics'!D:D,"Penetration - Lodging Non-Target %")=0,"-",SUMIFS('Data - Monthly Metrics'!E:E,'Data - Monthly Metrics'!A:A,$B$4,'Data - Monthly Metrics'!B:B,"Jun",'Data - Monthly Metrics'!C:C,"North King",'Data - Monthly Metrics'!D:D,"Penetration - Lodging Non-Target %"))</f>
        <v/>
      </c>
      <c r="M106" s="116">
        <f>IF(ISNUMBER(L106),L106,IF(ISNUMBER(K106),K106,IF(ISNUMBER(J106),J106,"-")))</f>
        <v/>
      </c>
      <c r="N106" s="118">
        <f>IF(COUNTIFS('Data - Monthly Metrics'!A:A,$B$4,'Data - Monthly Metrics'!B:B,"Jul",'Data - Monthly Metrics'!C:C,"North King",'Data - Monthly Metrics'!D:D,"Penetration - Lodging Non-Target %")=0,"-",SUMIFS('Data - Monthly Metrics'!E:E,'Data - Monthly Metrics'!A:A,$B$4,'Data - Monthly Metrics'!B:B,"Jul",'Data - Monthly Metrics'!C:C,"North King",'Data - Monthly Metrics'!D:D,"Penetration - Lodging Non-Target %"))</f>
        <v/>
      </c>
      <c r="O106" s="118">
        <f>IF(COUNTIFS('Data - Monthly Metrics'!A:A,$B$4,'Data - Monthly Metrics'!B:B,"Aug",'Data - Monthly Metrics'!C:C,"North King",'Data - Monthly Metrics'!D:D,"Penetration - Lodging Non-Target %")=0,"-",SUMIFS('Data - Monthly Metrics'!E:E,'Data - Monthly Metrics'!A:A,$B$4,'Data - Monthly Metrics'!B:B,"Aug",'Data - Monthly Metrics'!C:C,"North King",'Data - Monthly Metrics'!D:D,"Penetration - Lodging Non-Target %"))</f>
        <v/>
      </c>
      <c r="P106" s="118">
        <f>IF(COUNTIFS('Data - Monthly Metrics'!A:A,$B$4,'Data - Monthly Metrics'!B:B,"Sep",'Data - Monthly Metrics'!C:C,"North King",'Data - Monthly Metrics'!D:D,"Penetration - Lodging Non-Target %")=0,"-",SUMIFS('Data - Monthly Metrics'!E:E,'Data - Monthly Metrics'!A:A,$B$4,'Data - Monthly Metrics'!B:B,"Sep",'Data - Monthly Metrics'!C:C,"North King",'Data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Metrics'!C:C,"North King",'Data - Monthly Metrics'!D:D,"Penetration - Combined Non-Target %")=0,"-",SUMIFS('Data - Monthly Metrics'!E:E,'Data - Monthly Metrics'!A:A,$B$4-1,'Data - Monthly Metrics'!B:B,"Oct",'Data - Monthly Metrics'!C:C,"North King",'Data - Monthly Metrics'!D:D,"Penetration - Combined Non-Target %"))</f>
        <v/>
      </c>
      <c r="C107" s="115">
        <f>IF(COUNTIFS('Data - Monthly Metrics'!A:A,$B$4-1,'Data - Monthly Metrics'!B:B,"Nov",'Data - Monthly Metrics'!C:C,"North King",'Data - Monthly Metrics'!D:D,"Penetration - Combined Non-Target %")=0,"-",SUMIFS('Data - Monthly Metrics'!E:E,'Data - Monthly Metrics'!A:A,$B$4-1,'Data - Monthly Metrics'!B:B,"Nov",'Data - Monthly Metrics'!C:C,"North King",'Data - Monthly Metrics'!D:D,"Penetration - Combined Non-Target %"))</f>
        <v/>
      </c>
      <c r="D107" s="115">
        <f>IF(COUNTIFS('Data - Monthly Metrics'!A:A,$B$4-1,'Data - Monthly Metrics'!B:B,"Dec",'Data - Monthly Metrics'!C:C,"North King",'Data - Monthly Metrics'!D:D,"Penetration - Combined Non-Target %")=0,"-",SUMIFS('Data - Monthly Metrics'!E:E,'Data - Monthly Metrics'!A:A,$B$4-1,'Data - Monthly Metrics'!B:B,"Dec",'Data - Monthly Metrics'!C:C,"North King",'Data - Monthly Metrics'!D:D,"Penetration - Combined Non-Target %"))</f>
        <v/>
      </c>
      <c r="E107" s="116">
        <f>IF(ISNUMBER(D107),D107,IF(ISNUMBER(C107),C107,IF(ISNUMBER(B107),B107,"-")))</f>
        <v/>
      </c>
      <c r="F107" s="115">
        <f>IF(COUNTIFS('Data - Monthly Metrics'!A:A,$B$4,'Data - Monthly Metrics'!B:B,"Jan",'Data - Monthly Metrics'!C:C,"North King",'Data - Monthly Metrics'!D:D,"Penetration - Combined Non-Target %")=0,"-",SUMIFS('Data - Monthly Metrics'!E:E,'Data - Monthly Metrics'!A:A,$B$4,'Data - Monthly Metrics'!B:B,"Jan",'Data - Monthly Metrics'!C:C,"North King",'Data - Monthly Metrics'!D:D,"Penetration - Combined Non-Target %"))</f>
        <v/>
      </c>
      <c r="G107" s="115">
        <f>IF(COUNTIFS('Data - Monthly Metrics'!A:A,$B$4,'Data - Monthly Metrics'!B:B,"Feb",'Data - Monthly Metrics'!C:C,"North King",'Data - Monthly Metrics'!D:D,"Penetration - Combined Non-Target %")=0,"-",SUMIFS('Data - Monthly Metrics'!E:E,'Data - Monthly Metrics'!A:A,$B$4,'Data - Monthly Metrics'!B:B,"Feb",'Data - Monthly Metrics'!C:C,"North King",'Data - Monthly Metrics'!D:D,"Penetration - Combined Non-Target %"))</f>
        <v/>
      </c>
      <c r="H107" s="115">
        <f>IF(COUNTIFS('Data - Monthly Metrics'!A:A,$B$4,'Data - Monthly Metrics'!B:B,"Mar",'Data - Monthly Metrics'!C:C,"North King",'Data - Monthly Metrics'!D:D,"Penetration - Combined Non-Target %")=0,"-",SUMIFS('Data - Monthly Metrics'!E:E,'Data - Monthly Metrics'!A:A,$B$4,'Data - Monthly Metrics'!B:B,"Mar",'Data - Monthly Metrics'!C:C,"North King",'Data - Monthly Metrics'!D:D,"Penetration - Combined Non-Target %"))</f>
        <v/>
      </c>
      <c r="I107" s="116">
        <f>IF(ISNUMBER(H107),H107,IF(ISNUMBER(G107),G107,IF(ISNUMBER(F107),F107,"-")))</f>
        <v/>
      </c>
      <c r="J107" s="115">
        <f>IF(COUNTIFS('Data - Monthly Metrics'!A:A,$B$4,'Data - Monthly Metrics'!B:B,"Apr",'Data - Monthly Metrics'!C:C,"North King",'Data - Monthly Metrics'!D:D,"Penetration - Combined Non-Target %")=0,"-",SUMIFS('Data - Monthly Metrics'!E:E,'Data - Monthly Metrics'!A:A,$B$4,'Data - Monthly Metrics'!B:B,"Apr",'Data - Monthly Metrics'!C:C,"North King",'Data - Monthly Metrics'!D:D,"Penetration - Combined Non-Target %"))</f>
        <v/>
      </c>
      <c r="K107" s="115">
        <f>IF(COUNTIFS('Data - Monthly Metrics'!A:A,$B$4,'Data - Monthly Metrics'!B:B,"May",'Data - Monthly Metrics'!C:C,"North King",'Data - Monthly Metrics'!D:D,"Penetration - Combined Non-Target %")=0,"-",SUMIFS('Data - Monthly Metrics'!E:E,'Data - Monthly Metrics'!A:A,$B$4,'Data - Monthly Metrics'!B:B,"May",'Data - Monthly Metrics'!C:C,"North King",'Data - Monthly Metrics'!D:D,"Penetration - Combined Non-Target %"))</f>
        <v/>
      </c>
      <c r="L107" s="115">
        <f>IF(COUNTIFS('Data - Monthly Metrics'!A:A,$B$4,'Data - Monthly Metrics'!B:B,"Jun",'Data - Monthly Metrics'!C:C,"North King",'Data - Monthly Metrics'!D:D,"Penetration - Combined Non-Target %")=0,"-",SUMIFS('Data - Monthly Metrics'!E:E,'Data - Monthly Metrics'!A:A,$B$4,'Data - Monthly Metrics'!B:B,"Jun",'Data - Monthly Metrics'!C:C,"North King",'Data - Monthly Metrics'!D:D,"Penetration - Combined Non-Target %"))</f>
        <v/>
      </c>
      <c r="M107" s="116">
        <f>IF(ISNUMBER(L107),L107,IF(ISNUMBER(K107),K107,IF(ISNUMBER(J107),J107,"-")))</f>
        <v/>
      </c>
      <c r="N107" s="115">
        <f>IF(COUNTIFS('Data - Monthly Metrics'!A:A,$B$4,'Data - Monthly Metrics'!B:B,"Jul",'Data - Monthly Metrics'!C:C,"North King",'Data - Monthly Metrics'!D:D,"Penetration - Combined Non-Target %")=0,"-",SUMIFS('Data - Monthly Metrics'!E:E,'Data - Monthly Metrics'!A:A,$B$4,'Data - Monthly Metrics'!B:B,"Jul",'Data - Monthly Metrics'!C:C,"North King",'Data - Monthly Metrics'!D:D,"Penetration - Combined Non-Target %"))</f>
        <v/>
      </c>
      <c r="O107" s="115">
        <f>IF(COUNTIFS('Data - Monthly Metrics'!A:A,$B$4,'Data - Monthly Metrics'!B:B,"Aug",'Data - Monthly Metrics'!C:C,"North King",'Data - Monthly Metrics'!D:D,"Penetration - Combined Non-Target %")=0,"-",SUMIFS('Data - Monthly Metrics'!E:E,'Data - Monthly Metrics'!A:A,$B$4,'Data - Monthly Metrics'!B:B,"Aug",'Data - Monthly Metrics'!C:C,"North King",'Data - Monthly Metrics'!D:D,"Penetration - Combined Non-Target %"))</f>
        <v/>
      </c>
      <c r="P107" s="115">
        <f>IF(COUNTIFS('Data - Monthly Metrics'!A:A,$B$4,'Data - Monthly Metrics'!B:B,"Sep",'Data - Monthly Metrics'!C:C,"North King",'Data - Monthly Metrics'!D:D,"Penetration - Combined Non-Target %")=0,"-",SUMIFS('Data - Monthly Metrics'!E:E,'Data - Monthly Metrics'!A:A,$B$4,'Data - Monthly Metrics'!B:B,"Sep",'Data - Monthly Metrics'!C:C,"North King",'Data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Metrics'!$C:$C,"North King",'Data - Monthly Metrics'!$D:$D,"Goal - Retention %")&gt;0,B53&gt;=SUMIFS('Data - Monthly Metrics'!$E:$E,'Data - Monthly Metrics'!$A:$A,$B$4-1,'Data - Monthly Metrics'!$B:$B,B$8,'Data - Monthly Metrics'!$C:$C,"North King",'Data - Monthly Metrics'!$D:$D,"Goal - Retention %"))</formula>
    </cfRule>
    <cfRule type="expression" rank="0" priority="11" equalAverage="0" aboveAverage="0" dxfId="2" stopIfTrue="1" text="" percent="0" bottom="0">
      <formula>AND(ISNUMBER(B53),COUNTIFS('Data - Monthly Metrics'!$A:$A,$B$4-1,'Data - Monthly Metrics'!$B:$B,B$8,'Data - Monthly Metrics'!$C:$C,"North King",'Data - Monthly Metrics'!$D:$D,"Goal - Retention %")&gt;0,B53&gt;=SUMIFS('Data - Monthly Metrics'!$E:$E,'Data - Monthly Metrics'!$A:$A,$B$4-1,'Data - Monthly Metrics'!$B:$B,B$8,'Data - Monthly Metrics'!$C:$C,"North King",'Data - Monthly Metrics'!$D:$D,"Goal - Retention %")-0.05)</formula>
    </cfRule>
    <cfRule type="expression" rank="0" priority="12" equalAverage="0" aboveAverage="0" dxfId="1" stopIfTrue="1" text="" percent="0" bottom="0">
      <formula>AND(ISNUMBER(B53),COUNTIFS('Data - Monthly Metrics'!$A:$A,$B$4-1,'Data - Monthly Metrics'!$B:$B,B$8,'Data - Monthly Metrics'!$C:$C,"North King",'Data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Metrics'!$C:$C,"North King",'Data - Monthly Metrics'!$D:$D,"Goal - Retention %")&gt;0,C53&gt;=SUMIFS('Data - Monthly Metrics'!$E:$E,'Data - Monthly Metrics'!$A:$A,$B$4-1,'Data - Monthly Metrics'!$B:$B,C$8,'Data - Monthly Metrics'!$C:$C,"North King",'Data - Monthly Metrics'!$D:$D,"Goal - Retention %"))</formula>
    </cfRule>
    <cfRule type="expression" rank="0" priority="14" equalAverage="0" aboveAverage="0" dxfId="2" stopIfTrue="1" text="" percent="0" bottom="0">
      <formula>AND(ISNUMBER(C53),COUNTIFS('Data - Monthly Metrics'!$A:$A,$B$4-1,'Data - Monthly Metrics'!$B:$B,C$8,'Data - Monthly Metrics'!$C:$C,"North King",'Data - Monthly Metrics'!$D:$D,"Goal - Retention %")&gt;0,C53&gt;=SUMIFS('Data - Monthly Metrics'!$E:$E,'Data - Monthly Metrics'!$A:$A,$B$4-1,'Data - Monthly Metrics'!$B:$B,C$8,'Data - Monthly Metrics'!$C:$C,"North King",'Data - Monthly Metrics'!$D:$D,"Goal - Retention %")-0.05)</formula>
    </cfRule>
    <cfRule type="expression" rank="0" priority="15" equalAverage="0" aboveAverage="0" dxfId="1" stopIfTrue="1" text="" percent="0" bottom="0">
      <formula>AND(ISNUMBER(C53),COUNTIFS('Data - Monthly Metrics'!$A:$A,$B$4-1,'Data - Monthly Metrics'!$B:$B,C$8,'Data - Monthly Metrics'!$C:$C,"North King",'Data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Metrics'!$C:$C,"North King",'Data - Monthly Metrics'!$D:$D,"Goal - Retention %")&gt;0,D53&gt;=SUMIFS('Data - Monthly Metrics'!$E:$E,'Data - Monthly Metrics'!$A:$A,$B$4-1,'Data - Monthly Metrics'!$B:$B,D$8,'Data - Monthly Metrics'!$C:$C,"North King",'Data - Monthly Metrics'!$D:$D,"Goal - Retention %"))</formula>
    </cfRule>
    <cfRule type="expression" rank="0" priority="17" equalAverage="0" aboveAverage="0" dxfId="2" stopIfTrue="1" text="" percent="0" bottom="0">
      <formula>AND(ISNUMBER(D53),COUNTIFS('Data - Monthly Metrics'!$A:$A,$B$4-1,'Data - Monthly Metrics'!$B:$B,D$8,'Data - Monthly Metrics'!$C:$C,"North King",'Data - Monthly Metrics'!$D:$D,"Goal - Retention %")&gt;0,D53&gt;=SUMIFS('Data - Monthly Metrics'!$E:$E,'Data - Monthly Metrics'!$A:$A,$B$4-1,'Data - Monthly Metrics'!$B:$B,D$8,'Data - Monthly Metrics'!$C:$C,"North King",'Data - Monthly Metrics'!$D:$D,"Goal - Retention %")-0.05)</formula>
    </cfRule>
    <cfRule type="expression" rank="0" priority="18" equalAverage="0" aboveAverage="0" dxfId="1" stopIfTrue="1" text="" percent="0" bottom="0">
      <formula>AND(ISNUMBER(D53),COUNTIFS('Data - Monthly Metrics'!$A:$A,$B$4-1,'Data - Monthly Metrics'!$B:$B,D$8,'Data - Monthly Metrics'!$C:$C,"North King",'Data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Metrics'!$C:$C,"North King",'Data - Monthly Metrics'!$D:$D,"Goal - Retention %")&gt;0,F53&gt;=SUMIFS('Data - Monthly Metrics'!$E:$E,'Data - Monthly Metrics'!$A:$A,$B$4,'Data - Monthly Metrics'!$B:$B,F$8,'Data - Monthly Metrics'!$C:$C,"North King",'Data - Monthly Metrics'!$D:$D,"Goal - Retention %"))</formula>
    </cfRule>
    <cfRule type="expression" rank="0" priority="20" equalAverage="0" aboveAverage="0" dxfId="2" stopIfTrue="1" text="" percent="0" bottom="0">
      <formula>AND(ISNUMBER(F53),COUNTIFS('Data - Monthly Metrics'!$A:$A,$B$4,'Data - Monthly Metrics'!$B:$B,F$8,'Data - Monthly Metrics'!$C:$C,"North King",'Data - Monthly Metrics'!$D:$D,"Goal - Retention %")&gt;0,F53&gt;=SUMIFS('Data - Monthly Metrics'!$E:$E,'Data - Monthly Metrics'!$A:$A,$B$4,'Data - Monthly Metrics'!$B:$B,F$8,'Data - Monthly Metrics'!$C:$C,"North King",'Data - Monthly Metrics'!$D:$D,"Goal - Retention %")-0.05)</formula>
    </cfRule>
    <cfRule type="expression" rank="0" priority="21" equalAverage="0" aboveAverage="0" dxfId="1" stopIfTrue="1" text="" percent="0" bottom="0">
      <formula>AND(ISNUMBER(F53),COUNTIFS('Data - Monthly Metrics'!$A:$A,$B$4,'Data - Monthly Metrics'!$B:$B,F$8,'Data - Monthly Metrics'!$C:$C,"North King",'Data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Metrics'!$C:$C,"North King",'Data - Monthly Metrics'!$D:$D,"Goal - Retention %")&gt;0,G53&gt;=SUMIFS('Data - Monthly Metrics'!$E:$E,'Data - Monthly Metrics'!$A:$A,$B$4,'Data - Monthly Metrics'!$B:$B,G$8,'Data - Monthly Metrics'!$C:$C,"North King",'Data - Monthly Metrics'!$D:$D,"Goal - Retention %"))</formula>
    </cfRule>
    <cfRule type="expression" rank="0" priority="23" equalAverage="0" aboveAverage="0" dxfId="2" stopIfTrue="1" text="" percent="0" bottom="0">
      <formula>AND(ISNUMBER(G53),COUNTIFS('Data - Monthly Metrics'!$A:$A,$B$4,'Data - Monthly Metrics'!$B:$B,G$8,'Data - Monthly Metrics'!$C:$C,"North King",'Data - Monthly Metrics'!$D:$D,"Goal - Retention %")&gt;0,G53&gt;=SUMIFS('Data - Monthly Metrics'!$E:$E,'Data - Monthly Metrics'!$A:$A,$B$4,'Data - Monthly Metrics'!$B:$B,G$8,'Data - Monthly Metrics'!$C:$C,"North King",'Data - Monthly Metrics'!$D:$D,"Goal - Retention %")-0.05)</formula>
    </cfRule>
    <cfRule type="expression" rank="0" priority="24" equalAverage="0" aboveAverage="0" dxfId="1" stopIfTrue="1" text="" percent="0" bottom="0">
      <formula>AND(ISNUMBER(G53),COUNTIFS('Data - Monthly Metrics'!$A:$A,$B$4,'Data - Monthly Metrics'!$B:$B,G$8,'Data - Monthly Metrics'!$C:$C,"North King",'Data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Metrics'!$C:$C,"North King",'Data - Monthly Metrics'!$D:$D,"Goal - Retention %")&gt;0,H53&gt;=SUMIFS('Data - Monthly Metrics'!$E:$E,'Data - Monthly Metrics'!$A:$A,$B$4,'Data - Monthly Metrics'!$B:$B,H$8,'Data - Monthly Metrics'!$C:$C,"North King",'Data - Monthly Metrics'!$D:$D,"Goal - Retention %"))</formula>
    </cfRule>
    <cfRule type="expression" rank="0" priority="26" equalAverage="0" aboveAverage="0" dxfId="2" stopIfTrue="1" text="" percent="0" bottom="0">
      <formula>AND(ISNUMBER(H53),COUNTIFS('Data - Monthly Metrics'!$A:$A,$B$4,'Data - Monthly Metrics'!$B:$B,H$8,'Data - Monthly Metrics'!$C:$C,"North King",'Data - Monthly Metrics'!$D:$D,"Goal - Retention %")&gt;0,H53&gt;=SUMIFS('Data - Monthly Metrics'!$E:$E,'Data - Monthly Metrics'!$A:$A,$B$4,'Data - Monthly Metrics'!$B:$B,H$8,'Data - Monthly Metrics'!$C:$C,"North King",'Data - Monthly Metrics'!$D:$D,"Goal - Retention %")-0.05)</formula>
    </cfRule>
    <cfRule type="expression" rank="0" priority="27" equalAverage="0" aboveAverage="0" dxfId="1" stopIfTrue="1" text="" percent="0" bottom="0">
      <formula>AND(ISNUMBER(H53),COUNTIFS('Data - Monthly Metrics'!$A:$A,$B$4,'Data - Monthly Metrics'!$B:$B,H$8,'Data - Monthly Metrics'!$C:$C,"North King",'Data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Metrics'!$C:$C,"North King",'Data - Monthly Metrics'!$D:$D,"Goal - Retention %")&gt;0,J53&gt;=SUMIFS('Data - Monthly Metrics'!$E:$E,'Data - Monthly Metrics'!$A:$A,$B$4,'Data - Monthly Metrics'!$B:$B,J$8,'Data - Monthly Metrics'!$C:$C,"North King",'Data - Monthly Metrics'!$D:$D,"Goal - Retention %"))</formula>
    </cfRule>
    <cfRule type="expression" rank="0" priority="29" equalAverage="0" aboveAverage="0" dxfId="2" stopIfTrue="1" text="" percent="0" bottom="0">
      <formula>AND(ISNUMBER(J53),COUNTIFS('Data - Monthly Metrics'!$A:$A,$B$4,'Data - Monthly Metrics'!$B:$B,J$8,'Data - Monthly Metrics'!$C:$C,"North King",'Data - Monthly Metrics'!$D:$D,"Goal - Retention %")&gt;0,J53&gt;=SUMIFS('Data - Monthly Metrics'!$E:$E,'Data - Monthly Metrics'!$A:$A,$B$4,'Data - Monthly Metrics'!$B:$B,J$8,'Data - Monthly Metrics'!$C:$C,"North King",'Data - Monthly Metrics'!$D:$D,"Goal - Retention %")-0.05)</formula>
    </cfRule>
    <cfRule type="expression" rank="0" priority="30" equalAverage="0" aboveAverage="0" dxfId="1" stopIfTrue="1" text="" percent="0" bottom="0">
      <formula>AND(ISNUMBER(J53),COUNTIFS('Data - Monthly Metrics'!$A:$A,$B$4,'Data - Monthly Metrics'!$B:$B,J$8,'Data - Monthly Metrics'!$C:$C,"North King",'Data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Metrics'!$C:$C,"North King",'Data - Monthly Metrics'!$D:$D,"Goal - Retention %")&gt;0,K53&gt;=SUMIFS('Data - Monthly Metrics'!$E:$E,'Data - Monthly Metrics'!$A:$A,$B$4,'Data - Monthly Metrics'!$B:$B,K$8,'Data - Monthly Metrics'!$C:$C,"North King",'Data - Monthly Metrics'!$D:$D,"Goal - Retention %"))</formula>
    </cfRule>
    <cfRule type="expression" rank="0" priority="32" equalAverage="0" aboveAverage="0" dxfId="2" stopIfTrue="1" text="" percent="0" bottom="0">
      <formula>AND(ISNUMBER(K53),COUNTIFS('Data - Monthly Metrics'!$A:$A,$B$4,'Data - Monthly Metrics'!$B:$B,K$8,'Data - Monthly Metrics'!$C:$C,"North King",'Data - Monthly Metrics'!$D:$D,"Goal - Retention %")&gt;0,K53&gt;=SUMIFS('Data - Monthly Metrics'!$E:$E,'Data - Monthly Metrics'!$A:$A,$B$4,'Data - Monthly Metrics'!$B:$B,K$8,'Data - Monthly Metrics'!$C:$C,"North King",'Data - Monthly Metrics'!$D:$D,"Goal - Retention %")-0.05)</formula>
    </cfRule>
    <cfRule type="expression" rank="0" priority="33" equalAverage="0" aboveAverage="0" dxfId="1" stopIfTrue="1" text="" percent="0" bottom="0">
      <formula>AND(ISNUMBER(K53),COUNTIFS('Data - Monthly Metrics'!$A:$A,$B$4,'Data - Monthly Metrics'!$B:$B,K$8,'Data - Monthly Metrics'!$C:$C,"North King",'Data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Metrics'!$C:$C,"North King",'Data - Monthly Metrics'!$D:$D,"Goal - Retention %")&gt;0,L53&gt;=SUMIFS('Data - Monthly Metrics'!$E:$E,'Data - Monthly Metrics'!$A:$A,$B$4,'Data - Monthly Metrics'!$B:$B,L$8,'Data - Monthly Metrics'!$C:$C,"North King",'Data - Monthly Metrics'!$D:$D,"Goal - Retention %"))</formula>
    </cfRule>
    <cfRule type="expression" rank="0" priority="35" equalAverage="0" aboveAverage="0" dxfId="2" stopIfTrue="1" text="" percent="0" bottom="0">
      <formula>AND(ISNUMBER(L53),COUNTIFS('Data - Monthly Metrics'!$A:$A,$B$4,'Data - Monthly Metrics'!$B:$B,L$8,'Data - Monthly Metrics'!$C:$C,"North King",'Data - Monthly Metrics'!$D:$D,"Goal - Retention %")&gt;0,L53&gt;=SUMIFS('Data - Monthly Metrics'!$E:$E,'Data - Monthly Metrics'!$A:$A,$B$4,'Data - Monthly Metrics'!$B:$B,L$8,'Data - Monthly Metrics'!$C:$C,"North King",'Data - Monthly Metrics'!$D:$D,"Goal - Retention %")-0.05)</formula>
    </cfRule>
    <cfRule type="expression" rank="0" priority="36" equalAverage="0" aboveAverage="0" dxfId="1" stopIfTrue="1" text="" percent="0" bottom="0">
      <formula>AND(ISNUMBER(L53),COUNTIFS('Data - Monthly Metrics'!$A:$A,$B$4,'Data - Monthly Metrics'!$B:$B,L$8,'Data - Monthly Metrics'!$C:$C,"North King",'Data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Metrics'!$C:$C,"North King",'Data - Monthly Metrics'!$D:$D,"Goal - Retention %")&gt;0,N53&gt;=SUMIFS('Data - Monthly Metrics'!$E:$E,'Data - Monthly Metrics'!$A:$A,$B$4,'Data - Monthly Metrics'!$B:$B,N$8,'Data - Monthly Metrics'!$C:$C,"North King",'Data - Monthly Metrics'!$D:$D,"Goal - Retention %"))</formula>
    </cfRule>
    <cfRule type="expression" rank="0" priority="38" equalAverage="0" aboveAverage="0" dxfId="2" stopIfTrue="1" text="" percent="0" bottom="0">
      <formula>AND(ISNUMBER(N53),COUNTIFS('Data - Monthly Metrics'!$A:$A,$B$4,'Data - Monthly Metrics'!$B:$B,N$8,'Data - Monthly Metrics'!$C:$C,"North King",'Data - Monthly Metrics'!$D:$D,"Goal - Retention %")&gt;0,N53&gt;=SUMIFS('Data - Monthly Metrics'!$E:$E,'Data - Monthly Metrics'!$A:$A,$B$4,'Data - Monthly Metrics'!$B:$B,N$8,'Data - Monthly Metrics'!$C:$C,"North King",'Data - Monthly Metrics'!$D:$D,"Goal - Retention %")-0.05)</formula>
    </cfRule>
    <cfRule type="expression" rank="0" priority="39" equalAverage="0" aboveAverage="0" dxfId="1" stopIfTrue="1" text="" percent="0" bottom="0">
      <formula>AND(ISNUMBER(N53),COUNTIFS('Data - Monthly Metrics'!$A:$A,$B$4,'Data - Monthly Metrics'!$B:$B,N$8,'Data - Monthly Metrics'!$C:$C,"North King",'Data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Metrics'!$C:$C,"North King",'Data - Monthly Metrics'!$D:$D,"Goal - Retention %")&gt;0,O53&gt;=SUMIFS('Data - Monthly Metrics'!$E:$E,'Data - Monthly Metrics'!$A:$A,$B$4,'Data - Monthly Metrics'!$B:$B,O$8,'Data - Monthly Metrics'!$C:$C,"North King",'Data - Monthly Metrics'!$D:$D,"Goal - Retention %"))</formula>
    </cfRule>
    <cfRule type="expression" rank="0" priority="41" equalAverage="0" aboveAverage="0" dxfId="2" stopIfTrue="1" text="" percent="0" bottom="0">
      <formula>AND(ISNUMBER(O53),COUNTIFS('Data - Monthly Metrics'!$A:$A,$B$4,'Data - Monthly Metrics'!$B:$B,O$8,'Data - Monthly Metrics'!$C:$C,"North King",'Data - Monthly Metrics'!$D:$D,"Goal - Retention %")&gt;0,O53&gt;=SUMIFS('Data - Monthly Metrics'!$E:$E,'Data - Monthly Metrics'!$A:$A,$B$4,'Data - Monthly Metrics'!$B:$B,O$8,'Data - Monthly Metrics'!$C:$C,"North King",'Data - Monthly Metrics'!$D:$D,"Goal - Retention %")-0.05)</formula>
    </cfRule>
    <cfRule type="expression" rank="0" priority="42" equalAverage="0" aboveAverage="0" dxfId="1" stopIfTrue="1" text="" percent="0" bottom="0">
      <formula>AND(ISNUMBER(O53),COUNTIFS('Data - Monthly Metrics'!$A:$A,$B$4,'Data - Monthly Metrics'!$B:$B,O$8,'Data - Monthly Metrics'!$C:$C,"North King",'Data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Metrics'!$C:$C,"North King",'Data - Monthly Metrics'!$D:$D,"Goal - Retention %")&gt;0,P53&gt;=SUMIFS('Data - Monthly Metrics'!$E:$E,'Data - Monthly Metrics'!$A:$A,$B$4,'Data - Monthly Metrics'!$B:$B,P$8,'Data - Monthly Metrics'!$C:$C,"North King",'Data - Monthly Metrics'!$D:$D,"Goal - Retention %"))</formula>
    </cfRule>
    <cfRule type="expression" rank="0" priority="44" equalAverage="0" aboveAverage="0" dxfId="2" stopIfTrue="1" text="" percent="0" bottom="0">
      <formula>AND(ISNUMBER(P53),COUNTIFS('Data - Monthly Metrics'!$A:$A,$B$4,'Data - Monthly Metrics'!$B:$B,P$8,'Data - Monthly Metrics'!$C:$C,"North King",'Data - Monthly Metrics'!$D:$D,"Goal - Retention %")&gt;0,P53&gt;=SUMIFS('Data - Monthly Metrics'!$E:$E,'Data - Monthly Metrics'!$A:$A,$B$4,'Data - Monthly Metrics'!$B:$B,P$8,'Data - Monthly Metrics'!$C:$C,"North King",'Data - Monthly Metrics'!$D:$D,"Goal - Retention %")-0.05)</formula>
    </cfRule>
    <cfRule type="expression" rank="0" priority="45" equalAverage="0" aboveAverage="0" dxfId="1" stopIfTrue="1" text="" percent="0" bottom="0">
      <formula>AND(ISNUMBER(P53),COUNTIFS('Data - Monthly Metrics'!$A:$A,$B$4,'Data - Monthly Metrics'!$B:$B,P$8,'Data - Monthly Metrics'!$C:$C,"North King",'Data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Metrics'!$C:$C,"North King",'Data - Monthly Metrics'!$D:$D,"Goal - Retention %")&gt;0,B93&gt;=SUMIFS('Data - Monthly Metrics'!$E:$E,'Data - Monthly Metrics'!$A:$A,$B$4-1,'Data - Monthly Metrics'!$B:$B,B$8,'Data - Monthly Metrics'!$C:$C,"North King",'Data - Monthly Metrics'!$D:$D,"Goal - Retention %"))</formula>
    </cfRule>
    <cfRule type="expression" rank="0" priority="47" equalAverage="0" aboveAverage="0" dxfId="2" stopIfTrue="1" text="" percent="0" bottom="0">
      <formula>AND(ISNUMBER(B93),COUNTIFS('Data - Monthly Metrics'!$A:$A,$B$4-1,'Data - Monthly Metrics'!$B:$B,B$8,'Data - Monthly Metrics'!$C:$C,"North King",'Data - Monthly Metrics'!$D:$D,"Goal - Retention %")&gt;0,B93&gt;=SUMIFS('Data - Monthly Metrics'!$E:$E,'Data - Monthly Metrics'!$A:$A,$B$4-1,'Data - Monthly Metrics'!$B:$B,B$8,'Data - Monthly Metrics'!$C:$C,"North King",'Data - Monthly Metrics'!$D:$D,"Goal - Retention %")-0.05)</formula>
    </cfRule>
    <cfRule type="expression" rank="0" priority="48" equalAverage="0" aboveAverage="0" dxfId="1" stopIfTrue="1" text="" percent="0" bottom="0">
      <formula>AND(ISNUMBER(B93),COUNTIFS('Data - Monthly Metrics'!$A:$A,$B$4-1,'Data - Monthly Metrics'!$B:$B,B$8,'Data - Monthly Metrics'!$C:$C,"North King",'Data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Metrics'!$C:$C,"North King",'Data - Monthly Metrics'!$D:$D,"Goal - Retention %")&gt;0,C93&gt;=SUMIFS('Data - Monthly Metrics'!$E:$E,'Data - Monthly Metrics'!$A:$A,$B$4-1,'Data - Monthly Metrics'!$B:$B,C$8,'Data - Monthly Metrics'!$C:$C,"North King",'Data - Monthly Metrics'!$D:$D,"Goal - Retention %"))</formula>
    </cfRule>
    <cfRule type="expression" rank="0" priority="50" equalAverage="0" aboveAverage="0" dxfId="2" stopIfTrue="1" text="" percent="0" bottom="0">
      <formula>AND(ISNUMBER(C93),COUNTIFS('Data - Monthly Metrics'!$A:$A,$B$4-1,'Data - Monthly Metrics'!$B:$B,C$8,'Data - Monthly Metrics'!$C:$C,"North King",'Data - Monthly Metrics'!$D:$D,"Goal - Retention %")&gt;0,C93&gt;=SUMIFS('Data - Monthly Metrics'!$E:$E,'Data - Monthly Metrics'!$A:$A,$B$4-1,'Data - Monthly Metrics'!$B:$B,C$8,'Data - Monthly Metrics'!$C:$C,"North King",'Data - Monthly Metrics'!$D:$D,"Goal - Retention %")-0.05)</formula>
    </cfRule>
    <cfRule type="expression" rank="0" priority="51" equalAverage="0" aboveAverage="0" dxfId="1" stopIfTrue="1" text="" percent="0" bottom="0">
      <formula>AND(ISNUMBER(C93),COUNTIFS('Data - Monthly Metrics'!$A:$A,$B$4-1,'Data - Monthly Metrics'!$B:$B,C$8,'Data - Monthly Metrics'!$C:$C,"North King",'Data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Metrics'!$C:$C,"North King",'Data - Monthly Metrics'!$D:$D,"Goal - Retention %")&gt;0,D93&gt;=SUMIFS('Data - Monthly Metrics'!$E:$E,'Data - Monthly Metrics'!$A:$A,$B$4-1,'Data - Monthly Metrics'!$B:$B,D$8,'Data - Monthly Metrics'!$C:$C,"North King",'Data - Monthly Metrics'!$D:$D,"Goal - Retention %"))</formula>
    </cfRule>
    <cfRule type="expression" rank="0" priority="53" equalAverage="0" aboveAverage="0" dxfId="2" stopIfTrue="1" text="" percent="0" bottom="0">
      <formula>AND(ISNUMBER(D93),COUNTIFS('Data - Monthly Metrics'!$A:$A,$B$4-1,'Data - Monthly Metrics'!$B:$B,D$8,'Data - Monthly Metrics'!$C:$C,"North King",'Data - Monthly Metrics'!$D:$D,"Goal - Retention %")&gt;0,D93&gt;=SUMIFS('Data - Monthly Metrics'!$E:$E,'Data - Monthly Metrics'!$A:$A,$B$4-1,'Data - Monthly Metrics'!$B:$B,D$8,'Data - Monthly Metrics'!$C:$C,"North King",'Data - Monthly Metrics'!$D:$D,"Goal - Retention %")-0.05)</formula>
    </cfRule>
    <cfRule type="expression" rank="0" priority="54" equalAverage="0" aboveAverage="0" dxfId="1" stopIfTrue="1" text="" percent="0" bottom="0">
      <formula>AND(ISNUMBER(D93),COUNTIFS('Data - Monthly Metrics'!$A:$A,$B$4-1,'Data - Monthly Metrics'!$B:$B,D$8,'Data - Monthly Metrics'!$C:$C,"North King",'Data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Metrics'!$C:$C,"North King",'Data - Monthly Metrics'!$D:$D,"Goal - Retention %")&gt;0,F93&gt;=SUMIFS('Data - Monthly Metrics'!$E:$E,'Data - Monthly Metrics'!$A:$A,$B$4,'Data - Monthly Metrics'!$B:$B,F$8,'Data - Monthly Metrics'!$C:$C,"North King",'Data - Monthly Metrics'!$D:$D,"Goal - Retention %"))</formula>
    </cfRule>
    <cfRule type="expression" rank="0" priority="56" equalAverage="0" aboveAverage="0" dxfId="2" stopIfTrue="1" text="" percent="0" bottom="0">
      <formula>AND(ISNUMBER(F93),COUNTIFS('Data - Monthly Metrics'!$A:$A,$B$4,'Data - Monthly Metrics'!$B:$B,F$8,'Data - Monthly Metrics'!$C:$C,"North King",'Data - Monthly Metrics'!$D:$D,"Goal - Retention %")&gt;0,F93&gt;=SUMIFS('Data - Monthly Metrics'!$E:$E,'Data - Monthly Metrics'!$A:$A,$B$4,'Data - Monthly Metrics'!$B:$B,F$8,'Data - Monthly Metrics'!$C:$C,"North King",'Data - Monthly Metrics'!$D:$D,"Goal - Retention %")-0.05)</formula>
    </cfRule>
    <cfRule type="expression" rank="0" priority="57" equalAverage="0" aboveAverage="0" dxfId="1" stopIfTrue="1" text="" percent="0" bottom="0">
      <formula>AND(ISNUMBER(F93),COUNTIFS('Data - Monthly Metrics'!$A:$A,$B$4,'Data - Monthly Metrics'!$B:$B,F$8,'Data - Monthly Metrics'!$C:$C,"North King",'Data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Metrics'!$C:$C,"North King",'Data - Monthly Metrics'!$D:$D,"Goal - Retention %")&gt;0,G93&gt;=SUMIFS('Data - Monthly Metrics'!$E:$E,'Data - Monthly Metrics'!$A:$A,$B$4,'Data - Monthly Metrics'!$B:$B,G$8,'Data - Monthly Metrics'!$C:$C,"North King",'Data - Monthly Metrics'!$D:$D,"Goal - Retention %"))</formula>
    </cfRule>
    <cfRule type="expression" rank="0" priority="59" equalAverage="0" aboveAverage="0" dxfId="2" stopIfTrue="1" text="" percent="0" bottom="0">
      <formula>AND(ISNUMBER(G93),COUNTIFS('Data - Monthly Metrics'!$A:$A,$B$4,'Data - Monthly Metrics'!$B:$B,G$8,'Data - Monthly Metrics'!$C:$C,"North King",'Data - Monthly Metrics'!$D:$D,"Goal - Retention %")&gt;0,G93&gt;=SUMIFS('Data - Monthly Metrics'!$E:$E,'Data - Monthly Metrics'!$A:$A,$B$4,'Data - Monthly Metrics'!$B:$B,G$8,'Data - Monthly Metrics'!$C:$C,"North King",'Data - Monthly Metrics'!$D:$D,"Goal - Retention %")-0.05)</formula>
    </cfRule>
    <cfRule type="expression" rank="0" priority="60" equalAverage="0" aboveAverage="0" dxfId="1" stopIfTrue="1" text="" percent="0" bottom="0">
      <formula>AND(ISNUMBER(G93),COUNTIFS('Data - Monthly Metrics'!$A:$A,$B$4,'Data - Monthly Metrics'!$B:$B,G$8,'Data - Monthly Metrics'!$C:$C,"North King",'Data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Metrics'!$C:$C,"North King",'Data - Monthly Metrics'!$D:$D,"Goal - Retention %")&gt;0,H93&gt;=SUMIFS('Data - Monthly Metrics'!$E:$E,'Data - Monthly Metrics'!$A:$A,$B$4,'Data - Monthly Metrics'!$B:$B,H$8,'Data - Monthly Metrics'!$C:$C,"North King",'Data - Monthly Metrics'!$D:$D,"Goal - Retention %"))</formula>
    </cfRule>
    <cfRule type="expression" rank="0" priority="62" equalAverage="0" aboveAverage="0" dxfId="2" stopIfTrue="1" text="" percent="0" bottom="0">
      <formula>AND(ISNUMBER(H93),COUNTIFS('Data - Monthly Metrics'!$A:$A,$B$4,'Data - Monthly Metrics'!$B:$B,H$8,'Data - Monthly Metrics'!$C:$C,"North King",'Data - Monthly Metrics'!$D:$D,"Goal - Retention %")&gt;0,H93&gt;=SUMIFS('Data - Monthly Metrics'!$E:$E,'Data - Monthly Metrics'!$A:$A,$B$4,'Data - Monthly Metrics'!$B:$B,H$8,'Data - Monthly Metrics'!$C:$C,"North King",'Data - Monthly Metrics'!$D:$D,"Goal - Retention %")-0.05)</formula>
    </cfRule>
    <cfRule type="expression" rank="0" priority="63" equalAverage="0" aboveAverage="0" dxfId="1" stopIfTrue="1" text="" percent="0" bottom="0">
      <formula>AND(ISNUMBER(H93),COUNTIFS('Data - Monthly Metrics'!$A:$A,$B$4,'Data - Monthly Metrics'!$B:$B,H$8,'Data - Monthly Metrics'!$C:$C,"North King",'Data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Metrics'!$C:$C,"North King",'Data - Monthly Metrics'!$D:$D,"Goal - Retention %")&gt;0,J93&gt;=SUMIFS('Data - Monthly Metrics'!$E:$E,'Data - Monthly Metrics'!$A:$A,$B$4,'Data - Monthly Metrics'!$B:$B,J$8,'Data - Monthly Metrics'!$C:$C,"North King",'Data - Monthly Metrics'!$D:$D,"Goal - Retention %"))</formula>
    </cfRule>
    <cfRule type="expression" rank="0" priority="65" equalAverage="0" aboveAverage="0" dxfId="2" stopIfTrue="1" text="" percent="0" bottom="0">
      <formula>AND(ISNUMBER(J93),COUNTIFS('Data - Monthly Metrics'!$A:$A,$B$4,'Data - Monthly Metrics'!$B:$B,J$8,'Data - Monthly Metrics'!$C:$C,"North King",'Data - Monthly Metrics'!$D:$D,"Goal - Retention %")&gt;0,J93&gt;=SUMIFS('Data - Monthly Metrics'!$E:$E,'Data - Monthly Metrics'!$A:$A,$B$4,'Data - Monthly Metrics'!$B:$B,J$8,'Data - Monthly Metrics'!$C:$C,"North King",'Data - Monthly Metrics'!$D:$D,"Goal - Retention %")-0.05)</formula>
    </cfRule>
    <cfRule type="expression" rank="0" priority="66" equalAverage="0" aboveAverage="0" dxfId="1" stopIfTrue="1" text="" percent="0" bottom="0">
      <formula>AND(ISNUMBER(J93),COUNTIFS('Data - Monthly Metrics'!$A:$A,$B$4,'Data - Monthly Metrics'!$B:$B,J$8,'Data - Monthly Metrics'!$C:$C,"North King",'Data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Metrics'!$C:$C,"North King",'Data - Monthly Metrics'!$D:$D,"Goal - Retention %")&gt;0,K93&gt;=SUMIFS('Data - Monthly Metrics'!$E:$E,'Data - Monthly Metrics'!$A:$A,$B$4,'Data - Monthly Metrics'!$B:$B,K$8,'Data - Monthly Metrics'!$C:$C,"North King",'Data - Monthly Metrics'!$D:$D,"Goal - Retention %"))</formula>
    </cfRule>
    <cfRule type="expression" rank="0" priority="68" equalAverage="0" aboveAverage="0" dxfId="2" stopIfTrue="1" text="" percent="0" bottom="0">
      <formula>AND(ISNUMBER(K93),COUNTIFS('Data - Monthly Metrics'!$A:$A,$B$4,'Data - Monthly Metrics'!$B:$B,K$8,'Data - Monthly Metrics'!$C:$C,"North King",'Data - Monthly Metrics'!$D:$D,"Goal - Retention %")&gt;0,K93&gt;=SUMIFS('Data - Monthly Metrics'!$E:$E,'Data - Monthly Metrics'!$A:$A,$B$4,'Data - Monthly Metrics'!$B:$B,K$8,'Data - Monthly Metrics'!$C:$C,"North King",'Data - Monthly Metrics'!$D:$D,"Goal - Retention %")-0.05)</formula>
    </cfRule>
    <cfRule type="expression" rank="0" priority="69" equalAverage="0" aboveAverage="0" dxfId="1" stopIfTrue="1" text="" percent="0" bottom="0">
      <formula>AND(ISNUMBER(K93),COUNTIFS('Data - Monthly Metrics'!$A:$A,$B$4,'Data - Monthly Metrics'!$B:$B,K$8,'Data - Monthly Metrics'!$C:$C,"North King",'Data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Metrics'!$C:$C,"North King",'Data - Monthly Metrics'!$D:$D,"Goal - Retention %")&gt;0,L93&gt;=SUMIFS('Data - Monthly Metrics'!$E:$E,'Data - Monthly Metrics'!$A:$A,$B$4,'Data - Monthly Metrics'!$B:$B,L$8,'Data - Monthly Metrics'!$C:$C,"North King",'Data - Monthly Metrics'!$D:$D,"Goal - Retention %"))</formula>
    </cfRule>
    <cfRule type="expression" rank="0" priority="71" equalAverage="0" aboveAverage="0" dxfId="2" stopIfTrue="1" text="" percent="0" bottom="0">
      <formula>AND(ISNUMBER(L93),COUNTIFS('Data - Monthly Metrics'!$A:$A,$B$4,'Data - Monthly Metrics'!$B:$B,L$8,'Data - Monthly Metrics'!$C:$C,"North King",'Data - Monthly Metrics'!$D:$D,"Goal - Retention %")&gt;0,L93&gt;=SUMIFS('Data - Monthly Metrics'!$E:$E,'Data - Monthly Metrics'!$A:$A,$B$4,'Data - Monthly Metrics'!$B:$B,L$8,'Data - Monthly Metrics'!$C:$C,"North King",'Data - Monthly Metrics'!$D:$D,"Goal - Retention %")-0.05)</formula>
    </cfRule>
    <cfRule type="expression" rank="0" priority="72" equalAverage="0" aboveAverage="0" dxfId="1" stopIfTrue="1" text="" percent="0" bottom="0">
      <formula>AND(ISNUMBER(L93),COUNTIFS('Data - Monthly Metrics'!$A:$A,$B$4,'Data - Monthly Metrics'!$B:$B,L$8,'Data - Monthly Metrics'!$C:$C,"North King",'Data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Metrics'!$C:$C,"North King",'Data - Monthly Metrics'!$D:$D,"Goal - Retention %")&gt;0,N93&gt;=SUMIFS('Data - Monthly Metrics'!$E:$E,'Data - Monthly Metrics'!$A:$A,$B$4,'Data - Monthly Metrics'!$B:$B,N$8,'Data - Monthly Metrics'!$C:$C,"North King",'Data - Monthly Metrics'!$D:$D,"Goal - Retention %"))</formula>
    </cfRule>
    <cfRule type="expression" rank="0" priority="74" equalAverage="0" aboveAverage="0" dxfId="2" stopIfTrue="1" text="" percent="0" bottom="0">
      <formula>AND(ISNUMBER(N93),COUNTIFS('Data - Monthly Metrics'!$A:$A,$B$4,'Data - Monthly Metrics'!$B:$B,N$8,'Data - Monthly Metrics'!$C:$C,"North King",'Data - Monthly Metrics'!$D:$D,"Goal - Retention %")&gt;0,N93&gt;=SUMIFS('Data - Monthly Metrics'!$E:$E,'Data - Monthly Metrics'!$A:$A,$B$4,'Data - Monthly Metrics'!$B:$B,N$8,'Data - Monthly Metrics'!$C:$C,"North King",'Data - Monthly Metrics'!$D:$D,"Goal - Retention %")-0.05)</formula>
    </cfRule>
    <cfRule type="expression" rank="0" priority="75" equalAverage="0" aboveAverage="0" dxfId="1" stopIfTrue="1" text="" percent="0" bottom="0">
      <formula>AND(ISNUMBER(N93),COUNTIFS('Data - Monthly Metrics'!$A:$A,$B$4,'Data - Monthly Metrics'!$B:$B,N$8,'Data - Monthly Metrics'!$C:$C,"North King",'Data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Metrics'!$C:$C,"North King",'Data - Monthly Metrics'!$D:$D,"Goal - Retention %")&gt;0,O93&gt;=SUMIFS('Data - Monthly Metrics'!$E:$E,'Data - Monthly Metrics'!$A:$A,$B$4,'Data - Monthly Metrics'!$B:$B,O$8,'Data - Monthly Metrics'!$C:$C,"North King",'Data - Monthly Metrics'!$D:$D,"Goal - Retention %"))</formula>
    </cfRule>
    <cfRule type="expression" rank="0" priority="77" equalAverage="0" aboveAverage="0" dxfId="2" stopIfTrue="1" text="" percent="0" bottom="0">
      <formula>AND(ISNUMBER(O93),COUNTIFS('Data - Monthly Metrics'!$A:$A,$B$4,'Data - Monthly Metrics'!$B:$B,O$8,'Data - Monthly Metrics'!$C:$C,"North King",'Data - Monthly Metrics'!$D:$D,"Goal - Retention %")&gt;0,O93&gt;=SUMIFS('Data - Monthly Metrics'!$E:$E,'Data - Monthly Metrics'!$A:$A,$B$4,'Data - Monthly Metrics'!$B:$B,O$8,'Data - Monthly Metrics'!$C:$C,"North King",'Data - Monthly Metrics'!$D:$D,"Goal - Retention %")-0.05)</formula>
    </cfRule>
    <cfRule type="expression" rank="0" priority="78" equalAverage="0" aboveAverage="0" dxfId="1" stopIfTrue="1" text="" percent="0" bottom="0">
      <formula>AND(ISNUMBER(O93),COUNTIFS('Data - Monthly Metrics'!$A:$A,$B$4,'Data - Monthly Metrics'!$B:$B,O$8,'Data - Monthly Metrics'!$C:$C,"North King",'Data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Metrics'!$C:$C,"North King",'Data - Monthly Metrics'!$D:$D,"Goal - Retention %")&gt;0,P93&gt;=SUMIFS('Data - Monthly Metrics'!$E:$E,'Data - Monthly Metrics'!$A:$A,$B$4,'Data - Monthly Metrics'!$B:$B,P$8,'Data - Monthly Metrics'!$C:$C,"North King",'Data - Monthly Metrics'!$D:$D,"Goal - Retention %"))</formula>
    </cfRule>
    <cfRule type="expression" rank="0" priority="80" equalAverage="0" aboveAverage="0" dxfId="2" stopIfTrue="1" text="" percent="0" bottom="0">
      <formula>AND(ISNUMBER(P93),COUNTIFS('Data - Monthly Metrics'!$A:$A,$B$4,'Data - Monthly Metrics'!$B:$B,P$8,'Data - Monthly Metrics'!$C:$C,"North King",'Data - Monthly Metrics'!$D:$D,"Goal - Retention %")&gt;0,P93&gt;=SUMIFS('Data - Monthly Metrics'!$E:$E,'Data - Monthly Metrics'!$A:$A,$B$4,'Data - Monthly Metrics'!$B:$B,P$8,'Data - Monthly Metrics'!$C:$C,"North King",'Data - Monthly Metrics'!$D:$D,"Goal - Retention %")-0.05)</formula>
    </cfRule>
    <cfRule type="expression" rank="0" priority="81" equalAverage="0" aboveAverage="0" dxfId="1" stopIfTrue="1" text="" percent="0" bottom="0">
      <formula>AND(ISNUMBER(P93),COUNTIFS('Data - Monthly Metrics'!$A:$A,$B$4,'Data - Monthly Metrics'!$B:$B,P$8,'Data - Monthly Metrics'!$C:$C,"North King",'Data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Metrics'!$C:$C,"North King",'Data - Monthly Metrics'!$D:$D,"Goal - Retention %")&gt;0,B59&gt;=SUMIFS('Data - Monthly Metrics'!$E:$E,'Data - Monthly Metrics'!$A:$A,$B$4-1,'Data - Monthly Metrics'!$B:$B,B$8,'Data - Monthly Metrics'!$C:$C,"North King",'Data - Monthly Metrics'!$D:$D,"Goal - Retention %"))</formula>
    </cfRule>
    <cfRule type="expression" rank="0" priority="83" equalAverage="0" aboveAverage="0" dxfId="2" stopIfTrue="1" text="" percent="0" bottom="0">
      <formula>AND(ISNUMBER(B59),COUNTIFS('Data - Monthly Metrics'!$A:$A,$B$4-1,'Data - Monthly Metrics'!$B:$B,B$8,'Data - Monthly Metrics'!$C:$C,"North King",'Data - Monthly Metrics'!$D:$D,"Goal - Retention %")&gt;0,B59&gt;=SUMIFS('Data - Monthly Metrics'!$E:$E,'Data - Monthly Metrics'!$A:$A,$B$4-1,'Data - Monthly Metrics'!$B:$B,B$8,'Data - Monthly Metrics'!$C:$C,"North King",'Data - Monthly Metrics'!$D:$D,"Goal - Retention %")-0.05)</formula>
    </cfRule>
    <cfRule type="expression" rank="0" priority="84" equalAverage="0" aboveAverage="0" dxfId="1" stopIfTrue="1" text="" percent="0" bottom="0">
      <formula>AND(ISNUMBER(B59),COUNTIFS('Data - Monthly Metrics'!$A:$A,$B$4-1,'Data - Monthly Metrics'!$B:$B,B$8,'Data - Monthly Metrics'!$C:$C,"North King",'Data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Metrics'!$C:$C,"North King",'Data - Monthly Metrics'!$D:$D,"Goal - Retention %")&gt;0,C59&gt;=SUMIFS('Data - Monthly Metrics'!$E:$E,'Data - Monthly Metrics'!$A:$A,$B$4-1,'Data - Monthly Metrics'!$B:$B,C$8,'Data - Monthly Metrics'!$C:$C,"North King",'Data - Monthly Metrics'!$D:$D,"Goal - Retention %"))</formula>
    </cfRule>
    <cfRule type="expression" rank="0" priority="86" equalAverage="0" aboveAverage="0" dxfId="2" stopIfTrue="1" text="" percent="0" bottom="0">
      <formula>AND(ISNUMBER(C59),COUNTIFS('Data - Monthly Metrics'!$A:$A,$B$4-1,'Data - Monthly Metrics'!$B:$B,C$8,'Data - Monthly Metrics'!$C:$C,"North King",'Data - Monthly Metrics'!$D:$D,"Goal - Retention %")&gt;0,C59&gt;=SUMIFS('Data - Monthly Metrics'!$E:$E,'Data - Monthly Metrics'!$A:$A,$B$4-1,'Data - Monthly Metrics'!$B:$B,C$8,'Data - Monthly Metrics'!$C:$C,"North King",'Data - Monthly Metrics'!$D:$D,"Goal - Retention %")-0.05)</formula>
    </cfRule>
    <cfRule type="expression" rank="0" priority="87" equalAverage="0" aboveAverage="0" dxfId="1" stopIfTrue="1" text="" percent="0" bottom="0">
      <formula>AND(ISNUMBER(C59),COUNTIFS('Data - Monthly Metrics'!$A:$A,$B$4-1,'Data - Monthly Metrics'!$B:$B,C$8,'Data - Monthly Metrics'!$C:$C,"North King",'Data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Metrics'!$C:$C,"North King",'Data - Monthly Metrics'!$D:$D,"Goal - Retention %")&gt;0,D59&gt;=SUMIFS('Data - Monthly Metrics'!$E:$E,'Data - Monthly Metrics'!$A:$A,$B$4-1,'Data - Monthly Metrics'!$B:$B,D$8,'Data - Monthly Metrics'!$C:$C,"North King",'Data - Monthly Metrics'!$D:$D,"Goal - Retention %"))</formula>
    </cfRule>
    <cfRule type="expression" rank="0" priority="89" equalAverage="0" aboveAverage="0" dxfId="2" stopIfTrue="1" text="" percent="0" bottom="0">
      <formula>AND(ISNUMBER(D59),COUNTIFS('Data - Monthly Metrics'!$A:$A,$B$4-1,'Data - Monthly Metrics'!$B:$B,D$8,'Data - Monthly Metrics'!$C:$C,"North King",'Data - Monthly Metrics'!$D:$D,"Goal - Retention %")&gt;0,D59&gt;=SUMIFS('Data - Monthly Metrics'!$E:$E,'Data - Monthly Metrics'!$A:$A,$B$4-1,'Data - Monthly Metrics'!$B:$B,D$8,'Data - Monthly Metrics'!$C:$C,"North King",'Data - Monthly Metrics'!$D:$D,"Goal - Retention %")-0.05)</formula>
    </cfRule>
    <cfRule type="expression" rank="0" priority="90" equalAverage="0" aboveAverage="0" dxfId="1" stopIfTrue="1" text="" percent="0" bottom="0">
      <formula>AND(ISNUMBER(D59),COUNTIFS('Data - Monthly Metrics'!$A:$A,$B$4-1,'Data - Monthly Metrics'!$B:$B,D$8,'Data - Monthly Metrics'!$C:$C,"North King",'Data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Metrics'!$C:$C,"North King",'Data - Monthly Metrics'!$D:$D,"Goal - Retention %")&gt;0,F59&gt;=SUMIFS('Data - Monthly Metrics'!$E:$E,'Data - Monthly Metrics'!$A:$A,$B$4,'Data - Monthly Metrics'!$B:$B,F$8,'Data - Monthly Metrics'!$C:$C,"North King",'Data - Monthly Metrics'!$D:$D,"Goal - Retention %"))</formula>
    </cfRule>
    <cfRule type="expression" rank="0" priority="92" equalAverage="0" aboveAverage="0" dxfId="2" stopIfTrue="1" text="" percent="0" bottom="0">
      <formula>AND(ISNUMBER(F59),COUNTIFS('Data - Monthly Metrics'!$A:$A,$B$4,'Data - Monthly Metrics'!$B:$B,F$8,'Data - Monthly Metrics'!$C:$C,"North King",'Data - Monthly Metrics'!$D:$D,"Goal - Retention %")&gt;0,F59&gt;=SUMIFS('Data - Monthly Metrics'!$E:$E,'Data - Monthly Metrics'!$A:$A,$B$4,'Data - Monthly Metrics'!$B:$B,F$8,'Data - Monthly Metrics'!$C:$C,"North King",'Data - Monthly Metrics'!$D:$D,"Goal - Retention %")-0.05)</formula>
    </cfRule>
    <cfRule type="expression" rank="0" priority="93" equalAverage="0" aboveAverage="0" dxfId="1" stopIfTrue="1" text="" percent="0" bottom="0">
      <formula>AND(ISNUMBER(F59),COUNTIFS('Data - Monthly Metrics'!$A:$A,$B$4,'Data - Monthly Metrics'!$B:$B,F$8,'Data - Monthly Metrics'!$C:$C,"North King",'Data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Metrics'!$C:$C,"North King",'Data - Monthly Metrics'!$D:$D,"Goal - Retention %")&gt;0,G59&gt;=SUMIFS('Data - Monthly Metrics'!$E:$E,'Data - Monthly Metrics'!$A:$A,$B$4,'Data - Monthly Metrics'!$B:$B,G$8,'Data - Monthly Metrics'!$C:$C,"North King",'Data - Monthly Metrics'!$D:$D,"Goal - Retention %"))</formula>
    </cfRule>
    <cfRule type="expression" rank="0" priority="95" equalAverage="0" aboveAverage="0" dxfId="2" stopIfTrue="1" text="" percent="0" bottom="0">
      <formula>AND(ISNUMBER(G59),COUNTIFS('Data - Monthly Metrics'!$A:$A,$B$4,'Data - Monthly Metrics'!$B:$B,G$8,'Data - Monthly Metrics'!$C:$C,"North King",'Data - Monthly Metrics'!$D:$D,"Goal - Retention %")&gt;0,G59&gt;=SUMIFS('Data - Monthly Metrics'!$E:$E,'Data - Monthly Metrics'!$A:$A,$B$4,'Data - Monthly Metrics'!$B:$B,G$8,'Data - Monthly Metrics'!$C:$C,"North King",'Data - Monthly Metrics'!$D:$D,"Goal - Retention %")-0.05)</formula>
    </cfRule>
    <cfRule type="expression" rank="0" priority="96" equalAverage="0" aboveAverage="0" dxfId="1" stopIfTrue="1" text="" percent="0" bottom="0">
      <formula>AND(ISNUMBER(G59),COUNTIFS('Data - Monthly Metrics'!$A:$A,$B$4,'Data - Monthly Metrics'!$B:$B,G$8,'Data - Monthly Metrics'!$C:$C,"North King",'Data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Metrics'!$C:$C,"North King",'Data - Monthly Metrics'!$D:$D,"Goal - Retention %")&gt;0,H59&gt;=SUMIFS('Data - Monthly Metrics'!$E:$E,'Data - Monthly Metrics'!$A:$A,$B$4,'Data - Monthly Metrics'!$B:$B,H$8,'Data - Monthly Metrics'!$C:$C,"North King",'Data - Monthly Metrics'!$D:$D,"Goal - Retention %"))</formula>
    </cfRule>
    <cfRule type="expression" rank="0" priority="98" equalAverage="0" aboveAverage="0" dxfId="2" stopIfTrue="1" text="" percent="0" bottom="0">
      <formula>AND(ISNUMBER(H59),COUNTIFS('Data - Monthly Metrics'!$A:$A,$B$4,'Data - Monthly Metrics'!$B:$B,H$8,'Data - Monthly Metrics'!$C:$C,"North King",'Data - Monthly Metrics'!$D:$D,"Goal - Retention %")&gt;0,H59&gt;=SUMIFS('Data - Monthly Metrics'!$E:$E,'Data - Monthly Metrics'!$A:$A,$B$4,'Data - Monthly Metrics'!$B:$B,H$8,'Data - Monthly Metrics'!$C:$C,"North King",'Data - Monthly Metrics'!$D:$D,"Goal - Retention %")-0.05)</formula>
    </cfRule>
    <cfRule type="expression" rank="0" priority="99" equalAverage="0" aboveAverage="0" dxfId="1" stopIfTrue="1" text="" percent="0" bottom="0">
      <formula>AND(ISNUMBER(H59),COUNTIFS('Data - Monthly Metrics'!$A:$A,$B$4,'Data - Monthly Metrics'!$B:$B,H$8,'Data - Monthly Metrics'!$C:$C,"North King",'Data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Metrics'!$C:$C,"North King",'Data - Monthly Metrics'!$D:$D,"Goal - Retention %")&gt;0,J59&gt;=SUMIFS('Data - Monthly Metrics'!$E:$E,'Data - Monthly Metrics'!$A:$A,$B$4,'Data - Monthly Metrics'!$B:$B,J$8,'Data - Monthly Metrics'!$C:$C,"North King",'Data - Monthly Metrics'!$D:$D,"Goal - Retention %"))</formula>
    </cfRule>
    <cfRule type="expression" rank="0" priority="101" equalAverage="0" aboveAverage="0" dxfId="2" stopIfTrue="1" text="" percent="0" bottom="0">
      <formula>AND(ISNUMBER(J59),COUNTIFS('Data - Monthly Metrics'!$A:$A,$B$4,'Data - Monthly Metrics'!$B:$B,J$8,'Data - Monthly Metrics'!$C:$C,"North King",'Data - Monthly Metrics'!$D:$D,"Goal - Retention %")&gt;0,J59&gt;=SUMIFS('Data - Monthly Metrics'!$E:$E,'Data - Monthly Metrics'!$A:$A,$B$4,'Data - Monthly Metrics'!$B:$B,J$8,'Data - Monthly Metrics'!$C:$C,"North King",'Data - Monthly Metrics'!$D:$D,"Goal - Retention %")-0.05)</formula>
    </cfRule>
    <cfRule type="expression" rank="0" priority="102" equalAverage="0" aboveAverage="0" dxfId="1" stopIfTrue="1" text="" percent="0" bottom="0">
      <formula>AND(ISNUMBER(J59),COUNTIFS('Data - Monthly Metrics'!$A:$A,$B$4,'Data - Monthly Metrics'!$B:$B,J$8,'Data - Monthly Metrics'!$C:$C,"North King",'Data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Metrics'!$C:$C,"North King",'Data - Monthly Metrics'!$D:$D,"Goal - Retention %")&gt;0,K59&gt;=SUMIFS('Data - Monthly Metrics'!$E:$E,'Data - Monthly Metrics'!$A:$A,$B$4,'Data - Monthly Metrics'!$B:$B,K$8,'Data - Monthly Metrics'!$C:$C,"North King",'Data - Monthly Metrics'!$D:$D,"Goal - Retention %"))</formula>
    </cfRule>
    <cfRule type="expression" rank="0" priority="104" equalAverage="0" aboveAverage="0" dxfId="2" stopIfTrue="1" text="" percent="0" bottom="0">
      <formula>AND(ISNUMBER(K59),COUNTIFS('Data - Monthly Metrics'!$A:$A,$B$4,'Data - Monthly Metrics'!$B:$B,K$8,'Data - Monthly Metrics'!$C:$C,"North King",'Data - Monthly Metrics'!$D:$D,"Goal - Retention %")&gt;0,K59&gt;=SUMIFS('Data - Monthly Metrics'!$E:$E,'Data - Monthly Metrics'!$A:$A,$B$4,'Data - Monthly Metrics'!$B:$B,K$8,'Data - Monthly Metrics'!$C:$C,"North King",'Data - Monthly Metrics'!$D:$D,"Goal - Retention %")-0.05)</formula>
    </cfRule>
    <cfRule type="expression" rank="0" priority="105" equalAverage="0" aboveAverage="0" dxfId="1" stopIfTrue="1" text="" percent="0" bottom="0">
      <formula>AND(ISNUMBER(K59),COUNTIFS('Data - Monthly Metrics'!$A:$A,$B$4,'Data - Monthly Metrics'!$B:$B,K$8,'Data - Monthly Metrics'!$C:$C,"North King",'Data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Metrics'!$C:$C,"North King",'Data - Monthly Metrics'!$D:$D,"Goal - Retention %")&gt;0,L59&gt;=SUMIFS('Data - Monthly Metrics'!$E:$E,'Data - Monthly Metrics'!$A:$A,$B$4,'Data - Monthly Metrics'!$B:$B,L$8,'Data - Monthly Metrics'!$C:$C,"North King",'Data - Monthly Metrics'!$D:$D,"Goal - Retention %"))</formula>
    </cfRule>
    <cfRule type="expression" rank="0" priority="107" equalAverage="0" aboveAverage="0" dxfId="2" stopIfTrue="1" text="" percent="0" bottom="0">
      <formula>AND(ISNUMBER(L59),COUNTIFS('Data - Monthly Metrics'!$A:$A,$B$4,'Data - Monthly Metrics'!$B:$B,L$8,'Data - Monthly Metrics'!$C:$C,"North King",'Data - Monthly Metrics'!$D:$D,"Goal - Retention %")&gt;0,L59&gt;=SUMIFS('Data - Monthly Metrics'!$E:$E,'Data - Monthly Metrics'!$A:$A,$B$4,'Data - Monthly Metrics'!$B:$B,L$8,'Data - Monthly Metrics'!$C:$C,"North King",'Data - Monthly Metrics'!$D:$D,"Goal - Retention %")-0.05)</formula>
    </cfRule>
    <cfRule type="expression" rank="0" priority="108" equalAverage="0" aboveAverage="0" dxfId="1" stopIfTrue="1" text="" percent="0" bottom="0">
      <formula>AND(ISNUMBER(L59),COUNTIFS('Data - Monthly Metrics'!$A:$A,$B$4,'Data - Monthly Metrics'!$B:$B,L$8,'Data - Monthly Metrics'!$C:$C,"North King",'Data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Metrics'!$C:$C,"North King",'Data - Monthly Metrics'!$D:$D,"Goal - Retention %")&gt;0,N59&gt;=SUMIFS('Data - Monthly Metrics'!$E:$E,'Data - Monthly Metrics'!$A:$A,$B$4,'Data - Monthly Metrics'!$B:$B,N$8,'Data - Monthly Metrics'!$C:$C,"North King",'Data - Monthly Metrics'!$D:$D,"Goal - Retention %"))</formula>
    </cfRule>
    <cfRule type="expression" rank="0" priority="110" equalAverage="0" aboveAverage="0" dxfId="2" stopIfTrue="1" text="" percent="0" bottom="0">
      <formula>AND(ISNUMBER(N59),COUNTIFS('Data - Monthly Metrics'!$A:$A,$B$4,'Data - Monthly Metrics'!$B:$B,N$8,'Data - Monthly Metrics'!$C:$C,"North King",'Data - Monthly Metrics'!$D:$D,"Goal - Retention %")&gt;0,N59&gt;=SUMIFS('Data - Monthly Metrics'!$E:$E,'Data - Monthly Metrics'!$A:$A,$B$4,'Data - Monthly Metrics'!$B:$B,N$8,'Data - Monthly Metrics'!$C:$C,"North King",'Data - Monthly Metrics'!$D:$D,"Goal - Retention %")-0.05)</formula>
    </cfRule>
    <cfRule type="expression" rank="0" priority="111" equalAverage="0" aboveAverage="0" dxfId="1" stopIfTrue="1" text="" percent="0" bottom="0">
      <formula>AND(ISNUMBER(N59),COUNTIFS('Data - Monthly Metrics'!$A:$A,$B$4,'Data - Monthly Metrics'!$B:$B,N$8,'Data - Monthly Metrics'!$C:$C,"North King",'Data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Metrics'!$C:$C,"North King",'Data - Monthly Metrics'!$D:$D,"Goal - Retention %")&gt;0,O59&gt;=SUMIFS('Data - Monthly Metrics'!$E:$E,'Data - Monthly Metrics'!$A:$A,$B$4,'Data - Monthly Metrics'!$B:$B,O$8,'Data - Monthly Metrics'!$C:$C,"North King",'Data - Monthly Metrics'!$D:$D,"Goal - Retention %"))</formula>
    </cfRule>
    <cfRule type="expression" rank="0" priority="113" equalAverage="0" aboveAverage="0" dxfId="2" stopIfTrue="1" text="" percent="0" bottom="0">
      <formula>AND(ISNUMBER(O59),COUNTIFS('Data - Monthly Metrics'!$A:$A,$B$4,'Data - Monthly Metrics'!$B:$B,O$8,'Data - Monthly Metrics'!$C:$C,"North King",'Data - Monthly Metrics'!$D:$D,"Goal - Retention %")&gt;0,O59&gt;=SUMIFS('Data - Monthly Metrics'!$E:$E,'Data - Monthly Metrics'!$A:$A,$B$4,'Data - Monthly Metrics'!$B:$B,O$8,'Data - Monthly Metrics'!$C:$C,"North King",'Data - Monthly Metrics'!$D:$D,"Goal - Retention %")-0.05)</formula>
    </cfRule>
    <cfRule type="expression" rank="0" priority="114" equalAverage="0" aboveAverage="0" dxfId="1" stopIfTrue="1" text="" percent="0" bottom="0">
      <formula>AND(ISNUMBER(O59),COUNTIFS('Data - Monthly Metrics'!$A:$A,$B$4,'Data - Monthly Metrics'!$B:$B,O$8,'Data - Monthly Metrics'!$C:$C,"North King",'Data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Metrics'!$C:$C,"North King",'Data - Monthly Metrics'!$D:$D,"Goal - Retention %")&gt;0,P59&gt;=SUMIFS('Data - Monthly Metrics'!$E:$E,'Data - Monthly Metrics'!$A:$A,$B$4,'Data - Monthly Metrics'!$B:$B,P$8,'Data - Monthly Metrics'!$C:$C,"North King",'Data - Monthly Metrics'!$D:$D,"Goal - Retention %"))</formula>
    </cfRule>
    <cfRule type="expression" rank="0" priority="116" equalAverage="0" aboveAverage="0" dxfId="2" stopIfTrue="1" text="" percent="0" bottom="0">
      <formula>AND(ISNUMBER(P59),COUNTIFS('Data - Monthly Metrics'!$A:$A,$B$4,'Data - Monthly Metrics'!$B:$B,P$8,'Data - Monthly Metrics'!$C:$C,"North King",'Data - Monthly Metrics'!$D:$D,"Goal - Retention %")&gt;0,P59&gt;=SUMIFS('Data - Monthly Metrics'!$E:$E,'Data - Monthly Metrics'!$A:$A,$B$4,'Data - Monthly Metrics'!$B:$B,P$8,'Data - Monthly Metrics'!$C:$C,"North King",'Data - Monthly Metrics'!$D:$D,"Goal - Retention %")-0.05)</formula>
    </cfRule>
    <cfRule type="expression" rank="0" priority="117" equalAverage="0" aboveAverage="0" dxfId="1" stopIfTrue="1" text="" percent="0" bottom="0">
      <formula>AND(ISNUMBER(P59),COUNTIFS('Data - Monthly Metrics'!$A:$A,$B$4,'Data - Monthly Metrics'!$B:$B,P$8,'Data - Monthly Metrics'!$C:$C,"North King",'Data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Metrics'!$C:$C,"North King",'Data - Monthly Metrics'!$D:$D,"Goal - Penetration %")&gt;0,B68&gt;=SUMIFS('Data - Monthly Metrics'!$E:$E,'Data - Monthly Metrics'!$A:$A,$B$4-1,'Data - Monthly Metrics'!$B:$B,B$8,'Data - Monthly Metrics'!$C:$C,"North King",'Data - Monthly Metrics'!$D:$D,"Goal - Penetration %"))</formula>
    </cfRule>
    <cfRule type="expression" rank="0" priority="119" equalAverage="0" aboveAverage="0" dxfId="2" stopIfTrue="1" text="" percent="0" bottom="0">
      <formula>AND(ISNUMBER(B68),COUNTIFS('Data - Monthly Metrics'!$A:$A,$B$4-1,'Data - Monthly Metrics'!$B:$B,B$8,'Data - Monthly Metrics'!$C:$C,"North King",'Data - Monthly Metrics'!$D:$D,"Goal - Penetration %")&gt;0,B68&gt;=SUMIFS('Data - Monthly Metrics'!$E:$E,'Data - Monthly Metrics'!$A:$A,$B$4-1,'Data - Monthly Metrics'!$B:$B,B$8,'Data - Monthly Metrics'!$C:$C,"North King",'Data - Monthly Metrics'!$D:$D,"Goal - Penetration %")-0.05)</formula>
    </cfRule>
    <cfRule type="expression" rank="0" priority="120" equalAverage="0" aboveAverage="0" dxfId="1" stopIfTrue="1" text="" percent="0" bottom="0">
      <formula>AND(ISNUMBER(B68),COUNTIFS('Data - Monthly Metrics'!$A:$A,$B$4-1,'Data - Monthly Metrics'!$B:$B,B$8,'Data - Monthly Metrics'!$C:$C,"North King",'Data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Metrics'!$C:$C,"North King",'Data - Monthly Metrics'!$D:$D,"Goal - Penetration %")&gt;0,C68&gt;=SUMIFS('Data - Monthly Metrics'!$E:$E,'Data - Monthly Metrics'!$A:$A,$B$4-1,'Data - Monthly Metrics'!$B:$B,C$8,'Data - Monthly Metrics'!$C:$C,"North King",'Data - Monthly Metrics'!$D:$D,"Goal - Penetration %"))</formula>
    </cfRule>
    <cfRule type="expression" rank="0" priority="122" equalAverage="0" aboveAverage="0" dxfId="2" stopIfTrue="1" text="" percent="0" bottom="0">
      <formula>AND(ISNUMBER(C68),COUNTIFS('Data - Monthly Metrics'!$A:$A,$B$4-1,'Data - Monthly Metrics'!$B:$B,C$8,'Data - Monthly Metrics'!$C:$C,"North King",'Data - Monthly Metrics'!$D:$D,"Goal - Penetration %")&gt;0,C68&gt;=SUMIFS('Data - Monthly Metrics'!$E:$E,'Data - Monthly Metrics'!$A:$A,$B$4-1,'Data - Monthly Metrics'!$B:$B,C$8,'Data - Monthly Metrics'!$C:$C,"North King",'Data - Monthly Metrics'!$D:$D,"Goal - Penetration %")-0.05)</formula>
    </cfRule>
    <cfRule type="expression" rank="0" priority="123" equalAverage="0" aboveAverage="0" dxfId="1" stopIfTrue="1" text="" percent="0" bottom="0">
      <formula>AND(ISNUMBER(C68),COUNTIFS('Data - Monthly Metrics'!$A:$A,$B$4-1,'Data - Monthly Metrics'!$B:$B,C$8,'Data - Monthly Metrics'!$C:$C,"North King",'Data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Metrics'!$C:$C,"North King",'Data - Monthly Metrics'!$D:$D,"Goal - Penetration %")&gt;0,D68&gt;=SUMIFS('Data - Monthly Metrics'!$E:$E,'Data - Monthly Metrics'!$A:$A,$B$4-1,'Data - Monthly Metrics'!$B:$B,D$8,'Data - Monthly Metrics'!$C:$C,"North King",'Data - Monthly Metrics'!$D:$D,"Goal - Penetration %"))</formula>
    </cfRule>
    <cfRule type="expression" rank="0" priority="125" equalAverage="0" aboveAverage="0" dxfId="2" stopIfTrue="1" text="" percent="0" bottom="0">
      <formula>AND(ISNUMBER(D68),COUNTIFS('Data - Monthly Metrics'!$A:$A,$B$4-1,'Data - Monthly Metrics'!$B:$B,D$8,'Data - Monthly Metrics'!$C:$C,"North King",'Data - Monthly Metrics'!$D:$D,"Goal - Penetration %")&gt;0,D68&gt;=SUMIFS('Data - Monthly Metrics'!$E:$E,'Data - Monthly Metrics'!$A:$A,$B$4-1,'Data - Monthly Metrics'!$B:$B,D$8,'Data - Monthly Metrics'!$C:$C,"North King",'Data - Monthly Metrics'!$D:$D,"Goal - Penetration %")-0.05)</formula>
    </cfRule>
    <cfRule type="expression" rank="0" priority="126" equalAverage="0" aboveAverage="0" dxfId="1" stopIfTrue="1" text="" percent="0" bottom="0">
      <formula>AND(ISNUMBER(D68),COUNTIFS('Data - Monthly Metrics'!$A:$A,$B$4-1,'Data - Monthly Metrics'!$B:$B,D$8,'Data - Monthly Metrics'!$C:$C,"North King",'Data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Metrics'!$C:$C,"North King",'Data - Monthly Metrics'!$D:$D,"Goal - Penetration %")&gt;0,F68&gt;=SUMIFS('Data - Monthly Metrics'!$E:$E,'Data - Monthly Metrics'!$A:$A,$B$4,'Data - Monthly Metrics'!$B:$B,F$8,'Data - Monthly Metrics'!$C:$C,"North King",'Data - Monthly Metrics'!$D:$D,"Goal - Penetration %"))</formula>
    </cfRule>
    <cfRule type="expression" rank="0" priority="128" equalAverage="0" aboveAverage="0" dxfId="2" stopIfTrue="1" text="" percent="0" bottom="0">
      <formula>AND(ISNUMBER(F68),COUNTIFS('Data - Monthly Metrics'!$A:$A,$B$4,'Data - Monthly Metrics'!$B:$B,F$8,'Data - Monthly Metrics'!$C:$C,"North King",'Data - Monthly Metrics'!$D:$D,"Goal - Penetration %")&gt;0,F68&gt;=SUMIFS('Data - Monthly Metrics'!$E:$E,'Data - Monthly Metrics'!$A:$A,$B$4,'Data - Monthly Metrics'!$B:$B,F$8,'Data - Monthly Metrics'!$C:$C,"North King",'Data - Monthly Metrics'!$D:$D,"Goal - Penetration %")-0.05)</formula>
    </cfRule>
    <cfRule type="expression" rank="0" priority="129" equalAverage="0" aboveAverage="0" dxfId="1" stopIfTrue="1" text="" percent="0" bottom="0">
      <formula>AND(ISNUMBER(F68),COUNTIFS('Data - Monthly Metrics'!$A:$A,$B$4,'Data - Monthly Metrics'!$B:$B,F$8,'Data - Monthly Metrics'!$C:$C,"North King",'Data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Metrics'!$C:$C,"North King",'Data - Monthly Metrics'!$D:$D,"Goal - Penetration %")&gt;0,G68&gt;=SUMIFS('Data - Monthly Metrics'!$E:$E,'Data - Monthly Metrics'!$A:$A,$B$4,'Data - Monthly Metrics'!$B:$B,G$8,'Data - Monthly Metrics'!$C:$C,"North King",'Data - Monthly Metrics'!$D:$D,"Goal - Penetration %"))</formula>
    </cfRule>
    <cfRule type="expression" rank="0" priority="131" equalAverage="0" aboveAverage="0" dxfId="2" stopIfTrue="1" text="" percent="0" bottom="0">
      <formula>AND(ISNUMBER(G68),COUNTIFS('Data - Monthly Metrics'!$A:$A,$B$4,'Data - Monthly Metrics'!$B:$B,G$8,'Data - Monthly Metrics'!$C:$C,"North King",'Data - Monthly Metrics'!$D:$D,"Goal - Penetration %")&gt;0,G68&gt;=SUMIFS('Data - Monthly Metrics'!$E:$E,'Data - Monthly Metrics'!$A:$A,$B$4,'Data - Monthly Metrics'!$B:$B,G$8,'Data - Monthly Metrics'!$C:$C,"North King",'Data - Monthly Metrics'!$D:$D,"Goal - Penetration %")-0.05)</formula>
    </cfRule>
    <cfRule type="expression" rank="0" priority="132" equalAverage="0" aboveAverage="0" dxfId="1" stopIfTrue="1" text="" percent="0" bottom="0">
      <formula>AND(ISNUMBER(G68),COUNTIFS('Data - Monthly Metrics'!$A:$A,$B$4,'Data - Monthly Metrics'!$B:$B,G$8,'Data - Monthly Metrics'!$C:$C,"North King",'Data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Metrics'!$C:$C,"North King",'Data - Monthly Metrics'!$D:$D,"Goal - Penetration %")&gt;0,H68&gt;=SUMIFS('Data - Monthly Metrics'!$E:$E,'Data - Monthly Metrics'!$A:$A,$B$4,'Data - Monthly Metrics'!$B:$B,H$8,'Data - Monthly Metrics'!$C:$C,"North King",'Data - Monthly Metrics'!$D:$D,"Goal - Penetration %"))</formula>
    </cfRule>
    <cfRule type="expression" rank="0" priority="134" equalAverage="0" aboveAverage="0" dxfId="2" stopIfTrue="1" text="" percent="0" bottom="0">
      <formula>AND(ISNUMBER(H68),COUNTIFS('Data - Monthly Metrics'!$A:$A,$B$4,'Data - Monthly Metrics'!$B:$B,H$8,'Data - Monthly Metrics'!$C:$C,"North King",'Data - Monthly Metrics'!$D:$D,"Goal - Penetration %")&gt;0,H68&gt;=SUMIFS('Data - Monthly Metrics'!$E:$E,'Data - Monthly Metrics'!$A:$A,$B$4,'Data - Monthly Metrics'!$B:$B,H$8,'Data - Monthly Metrics'!$C:$C,"North King",'Data - Monthly Metrics'!$D:$D,"Goal - Penetration %")-0.05)</formula>
    </cfRule>
    <cfRule type="expression" rank="0" priority="135" equalAverage="0" aboveAverage="0" dxfId="1" stopIfTrue="1" text="" percent="0" bottom="0">
      <formula>AND(ISNUMBER(H68),COUNTIFS('Data - Monthly Metrics'!$A:$A,$B$4,'Data - Monthly Metrics'!$B:$B,H$8,'Data - Monthly Metrics'!$C:$C,"North King",'Data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Metrics'!$C:$C,"North King",'Data - Monthly Metrics'!$D:$D,"Goal - Penetration %")&gt;0,J68&gt;=SUMIFS('Data - Monthly Metrics'!$E:$E,'Data - Monthly Metrics'!$A:$A,$B$4,'Data - Monthly Metrics'!$B:$B,J$8,'Data - Monthly Metrics'!$C:$C,"North King",'Data - Monthly Metrics'!$D:$D,"Goal - Penetration %"))</formula>
    </cfRule>
    <cfRule type="expression" rank="0" priority="137" equalAverage="0" aboveAverage="0" dxfId="2" stopIfTrue="1" text="" percent="0" bottom="0">
      <formula>AND(ISNUMBER(J68),COUNTIFS('Data - Monthly Metrics'!$A:$A,$B$4,'Data - Monthly Metrics'!$B:$B,J$8,'Data - Monthly Metrics'!$C:$C,"North King",'Data - Monthly Metrics'!$D:$D,"Goal - Penetration %")&gt;0,J68&gt;=SUMIFS('Data - Monthly Metrics'!$E:$E,'Data - Monthly Metrics'!$A:$A,$B$4,'Data - Monthly Metrics'!$B:$B,J$8,'Data - Monthly Metrics'!$C:$C,"North King",'Data - Monthly Metrics'!$D:$D,"Goal - Penetration %")-0.05)</formula>
    </cfRule>
    <cfRule type="expression" rank="0" priority="138" equalAverage="0" aboveAverage="0" dxfId="1" stopIfTrue="1" text="" percent="0" bottom="0">
      <formula>AND(ISNUMBER(J68),COUNTIFS('Data - Monthly Metrics'!$A:$A,$B$4,'Data - Monthly Metrics'!$B:$B,J$8,'Data - Monthly Metrics'!$C:$C,"North King",'Data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Metrics'!$C:$C,"North King",'Data - Monthly Metrics'!$D:$D,"Goal - Penetration %")&gt;0,K68&gt;=SUMIFS('Data - Monthly Metrics'!$E:$E,'Data - Monthly Metrics'!$A:$A,$B$4,'Data - Monthly Metrics'!$B:$B,K$8,'Data - Monthly Metrics'!$C:$C,"North King",'Data - Monthly Metrics'!$D:$D,"Goal - Penetration %"))</formula>
    </cfRule>
    <cfRule type="expression" rank="0" priority="140" equalAverage="0" aboveAverage="0" dxfId="2" stopIfTrue="1" text="" percent="0" bottom="0">
      <formula>AND(ISNUMBER(K68),COUNTIFS('Data - Monthly Metrics'!$A:$A,$B$4,'Data - Monthly Metrics'!$B:$B,K$8,'Data - Monthly Metrics'!$C:$C,"North King",'Data - Monthly Metrics'!$D:$D,"Goal - Penetration %")&gt;0,K68&gt;=SUMIFS('Data - Monthly Metrics'!$E:$E,'Data - Monthly Metrics'!$A:$A,$B$4,'Data - Monthly Metrics'!$B:$B,K$8,'Data - Monthly Metrics'!$C:$C,"North King",'Data - Monthly Metrics'!$D:$D,"Goal - Penetration %")-0.05)</formula>
    </cfRule>
    <cfRule type="expression" rank="0" priority="141" equalAverage="0" aboveAverage="0" dxfId="1" stopIfTrue="1" text="" percent="0" bottom="0">
      <formula>AND(ISNUMBER(K68),COUNTIFS('Data - Monthly Metrics'!$A:$A,$B$4,'Data - Monthly Metrics'!$B:$B,K$8,'Data - Monthly Metrics'!$C:$C,"North King",'Data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Metrics'!$C:$C,"North King",'Data - Monthly Metrics'!$D:$D,"Goal - Penetration %")&gt;0,L68&gt;=SUMIFS('Data - Monthly Metrics'!$E:$E,'Data - Monthly Metrics'!$A:$A,$B$4,'Data - Monthly Metrics'!$B:$B,L$8,'Data - Monthly Metrics'!$C:$C,"North King",'Data - Monthly Metrics'!$D:$D,"Goal - Penetration %"))</formula>
    </cfRule>
    <cfRule type="expression" rank="0" priority="143" equalAverage="0" aboveAverage="0" dxfId="2" stopIfTrue="1" text="" percent="0" bottom="0">
      <formula>AND(ISNUMBER(L68),COUNTIFS('Data - Monthly Metrics'!$A:$A,$B$4,'Data - Monthly Metrics'!$B:$B,L$8,'Data - Monthly Metrics'!$C:$C,"North King",'Data - Monthly Metrics'!$D:$D,"Goal - Penetration %")&gt;0,L68&gt;=SUMIFS('Data - Monthly Metrics'!$E:$E,'Data - Monthly Metrics'!$A:$A,$B$4,'Data - Monthly Metrics'!$B:$B,L$8,'Data - Monthly Metrics'!$C:$C,"North King",'Data - Monthly Metrics'!$D:$D,"Goal - Penetration %")-0.05)</formula>
    </cfRule>
    <cfRule type="expression" rank="0" priority="144" equalAverage="0" aboveAverage="0" dxfId="1" stopIfTrue="1" text="" percent="0" bottom="0">
      <formula>AND(ISNUMBER(L68),COUNTIFS('Data - Monthly Metrics'!$A:$A,$B$4,'Data - Monthly Metrics'!$B:$B,L$8,'Data - Monthly Metrics'!$C:$C,"North King",'Data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Metrics'!$C:$C,"North King",'Data - Monthly Metrics'!$D:$D,"Goal - Penetration %")&gt;0,N68&gt;=SUMIFS('Data - Monthly Metrics'!$E:$E,'Data - Monthly Metrics'!$A:$A,$B$4,'Data - Monthly Metrics'!$B:$B,N$8,'Data - Monthly Metrics'!$C:$C,"North King",'Data - Monthly Metrics'!$D:$D,"Goal - Penetration %"))</formula>
    </cfRule>
    <cfRule type="expression" rank="0" priority="146" equalAverage="0" aboveAverage="0" dxfId="2" stopIfTrue="1" text="" percent="0" bottom="0">
      <formula>AND(ISNUMBER(N68),COUNTIFS('Data - Monthly Metrics'!$A:$A,$B$4,'Data - Monthly Metrics'!$B:$B,N$8,'Data - Monthly Metrics'!$C:$C,"North King",'Data - Monthly Metrics'!$D:$D,"Goal - Penetration %")&gt;0,N68&gt;=SUMIFS('Data - Monthly Metrics'!$E:$E,'Data - Monthly Metrics'!$A:$A,$B$4,'Data - Monthly Metrics'!$B:$B,N$8,'Data - Monthly Metrics'!$C:$C,"North King",'Data - Monthly Metrics'!$D:$D,"Goal - Penetration %")-0.05)</formula>
    </cfRule>
    <cfRule type="expression" rank="0" priority="147" equalAverage="0" aboveAverage="0" dxfId="1" stopIfTrue="1" text="" percent="0" bottom="0">
      <formula>AND(ISNUMBER(N68),COUNTIFS('Data - Monthly Metrics'!$A:$A,$B$4,'Data - Monthly Metrics'!$B:$B,N$8,'Data - Monthly Metrics'!$C:$C,"North King",'Data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Metrics'!$C:$C,"North King",'Data - Monthly Metrics'!$D:$D,"Goal - Penetration %")&gt;0,O68&gt;=SUMIFS('Data - Monthly Metrics'!$E:$E,'Data - Monthly Metrics'!$A:$A,$B$4,'Data - Monthly Metrics'!$B:$B,O$8,'Data - Monthly Metrics'!$C:$C,"North King",'Data - Monthly Metrics'!$D:$D,"Goal - Penetration %"))</formula>
    </cfRule>
    <cfRule type="expression" rank="0" priority="149" equalAverage="0" aboveAverage="0" dxfId="2" stopIfTrue="1" text="" percent="0" bottom="0">
      <formula>AND(ISNUMBER(O68),COUNTIFS('Data - Monthly Metrics'!$A:$A,$B$4,'Data - Monthly Metrics'!$B:$B,O$8,'Data - Monthly Metrics'!$C:$C,"North King",'Data - Monthly Metrics'!$D:$D,"Goal - Penetration %")&gt;0,O68&gt;=SUMIFS('Data - Monthly Metrics'!$E:$E,'Data - Monthly Metrics'!$A:$A,$B$4,'Data - Monthly Metrics'!$B:$B,O$8,'Data - Monthly Metrics'!$C:$C,"North King",'Data - Monthly Metrics'!$D:$D,"Goal - Penetration %")-0.05)</formula>
    </cfRule>
    <cfRule type="expression" rank="0" priority="150" equalAverage="0" aboveAverage="0" dxfId="1" stopIfTrue="1" text="" percent="0" bottom="0">
      <formula>AND(ISNUMBER(O68),COUNTIFS('Data - Monthly Metrics'!$A:$A,$B$4,'Data - Monthly Metrics'!$B:$B,O$8,'Data - Monthly Metrics'!$C:$C,"North King",'Data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Metrics'!$C:$C,"North King",'Data - Monthly Metrics'!$D:$D,"Goal - Penetration %")&gt;0,P68&gt;=SUMIFS('Data - Monthly Metrics'!$E:$E,'Data - Monthly Metrics'!$A:$A,$B$4,'Data - Monthly Metrics'!$B:$B,P$8,'Data - Monthly Metrics'!$C:$C,"North King",'Data - Monthly Metrics'!$D:$D,"Goal - Penetration %"))</formula>
    </cfRule>
    <cfRule type="expression" rank="0" priority="152" equalAverage="0" aboveAverage="0" dxfId="2" stopIfTrue="1" text="" percent="0" bottom="0">
      <formula>AND(ISNUMBER(P68),COUNTIFS('Data - Monthly Metrics'!$A:$A,$B$4,'Data - Monthly Metrics'!$B:$B,P$8,'Data - Monthly Metrics'!$C:$C,"North King",'Data - Monthly Metrics'!$D:$D,"Goal - Penetration %")&gt;0,P68&gt;=SUMIFS('Data - Monthly Metrics'!$E:$E,'Data - Monthly Metrics'!$A:$A,$B$4,'Data - Monthly Metrics'!$B:$B,P$8,'Data - Monthly Metrics'!$C:$C,"North King",'Data - Monthly Metrics'!$D:$D,"Goal - Penetration %")-0.05)</formula>
    </cfRule>
    <cfRule type="expression" rank="0" priority="153" equalAverage="0" aboveAverage="0" dxfId="1" stopIfTrue="1" text="" percent="0" bottom="0">
      <formula>AND(ISNUMBER(P68),COUNTIFS('Data - Monthly Metrics'!$A:$A,$B$4,'Data - Monthly Metrics'!$B:$B,P$8,'Data - Monthly Metrics'!$C:$C,"North King",'Data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Metrics'!$C:$C,"North King",'Data - Monthly Metrics'!$D:$D,"Goal - Penetration %")&gt;0,B69&gt;=SUMIFS('Data - Monthly Metrics'!$E:$E,'Data - Monthly Metrics'!$A:$A,$B$4-1,'Data - Monthly Metrics'!$B:$B,B$8,'Data - Monthly Metrics'!$C:$C,"North King",'Data - Monthly Metrics'!$D:$D,"Goal - Penetration %"))</formula>
    </cfRule>
    <cfRule type="expression" rank="0" priority="155" equalAverage="0" aboveAverage="0" dxfId="2" stopIfTrue="1" text="" percent="0" bottom="0">
      <formula>AND(ISNUMBER(B69),COUNTIFS('Data - Monthly Metrics'!$A:$A,$B$4-1,'Data - Monthly Metrics'!$B:$B,B$8,'Data - Monthly Metrics'!$C:$C,"North King",'Data - Monthly Metrics'!$D:$D,"Goal - Penetration %")&gt;0,B69&gt;=SUMIFS('Data - Monthly Metrics'!$E:$E,'Data - Monthly Metrics'!$A:$A,$B$4-1,'Data - Monthly Metrics'!$B:$B,B$8,'Data - Monthly Metrics'!$C:$C,"North King",'Data - Monthly Metrics'!$D:$D,"Goal - Penetration %")-0.05)</formula>
    </cfRule>
    <cfRule type="expression" rank="0" priority="156" equalAverage="0" aboveAverage="0" dxfId="1" stopIfTrue="1" text="" percent="0" bottom="0">
      <formula>AND(ISNUMBER(B69),COUNTIFS('Data - Monthly Metrics'!$A:$A,$B$4-1,'Data - Monthly Metrics'!$B:$B,B$8,'Data - Monthly Metrics'!$C:$C,"North King",'Data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Metrics'!$C:$C,"North King",'Data - Monthly Metrics'!$D:$D,"Goal - Penetration %")&gt;0,C69&gt;=SUMIFS('Data - Monthly Metrics'!$E:$E,'Data - Monthly Metrics'!$A:$A,$B$4-1,'Data - Monthly Metrics'!$B:$B,C$8,'Data - Monthly Metrics'!$C:$C,"North King",'Data - Monthly Metrics'!$D:$D,"Goal - Penetration %"))</formula>
    </cfRule>
    <cfRule type="expression" rank="0" priority="158" equalAverage="0" aboveAverage="0" dxfId="2" stopIfTrue="1" text="" percent="0" bottom="0">
      <formula>AND(ISNUMBER(C69),COUNTIFS('Data - Monthly Metrics'!$A:$A,$B$4-1,'Data - Monthly Metrics'!$B:$B,C$8,'Data - Monthly Metrics'!$C:$C,"North King",'Data - Monthly Metrics'!$D:$D,"Goal - Penetration %")&gt;0,C69&gt;=SUMIFS('Data - Monthly Metrics'!$E:$E,'Data - Monthly Metrics'!$A:$A,$B$4-1,'Data - Monthly Metrics'!$B:$B,C$8,'Data - Monthly Metrics'!$C:$C,"North King",'Data - Monthly Metrics'!$D:$D,"Goal - Penetration %")-0.05)</formula>
    </cfRule>
    <cfRule type="expression" rank="0" priority="159" equalAverage="0" aboveAverage="0" dxfId="1" stopIfTrue="1" text="" percent="0" bottom="0">
      <formula>AND(ISNUMBER(C69),COUNTIFS('Data - Monthly Metrics'!$A:$A,$B$4-1,'Data - Monthly Metrics'!$B:$B,C$8,'Data - Monthly Metrics'!$C:$C,"North King",'Data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Metrics'!$C:$C,"North King",'Data - Monthly Metrics'!$D:$D,"Goal - Penetration %")&gt;0,D69&gt;=SUMIFS('Data - Monthly Metrics'!$E:$E,'Data - Monthly Metrics'!$A:$A,$B$4-1,'Data - Monthly Metrics'!$B:$B,D$8,'Data - Monthly Metrics'!$C:$C,"North King",'Data - Monthly Metrics'!$D:$D,"Goal - Penetration %"))</formula>
    </cfRule>
    <cfRule type="expression" rank="0" priority="161" equalAverage="0" aboveAverage="0" dxfId="2" stopIfTrue="1" text="" percent="0" bottom="0">
      <formula>AND(ISNUMBER(D69),COUNTIFS('Data - Monthly Metrics'!$A:$A,$B$4-1,'Data - Monthly Metrics'!$B:$B,D$8,'Data - Monthly Metrics'!$C:$C,"North King",'Data - Monthly Metrics'!$D:$D,"Goal - Penetration %")&gt;0,D69&gt;=SUMIFS('Data - Monthly Metrics'!$E:$E,'Data - Monthly Metrics'!$A:$A,$B$4-1,'Data - Monthly Metrics'!$B:$B,D$8,'Data - Monthly Metrics'!$C:$C,"North King",'Data - Monthly Metrics'!$D:$D,"Goal - Penetration %")-0.05)</formula>
    </cfRule>
    <cfRule type="expression" rank="0" priority="162" equalAverage="0" aboveAverage="0" dxfId="1" stopIfTrue="1" text="" percent="0" bottom="0">
      <formula>AND(ISNUMBER(D69),COUNTIFS('Data - Monthly Metrics'!$A:$A,$B$4-1,'Data - Monthly Metrics'!$B:$B,D$8,'Data - Monthly Metrics'!$C:$C,"North King",'Data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Metrics'!$C:$C,"North King",'Data - Monthly Metrics'!$D:$D,"Goal - Penetration %")&gt;0,F69&gt;=SUMIFS('Data - Monthly Metrics'!$E:$E,'Data - Monthly Metrics'!$A:$A,$B$4,'Data - Monthly Metrics'!$B:$B,F$8,'Data - Monthly Metrics'!$C:$C,"North King",'Data - Monthly Metrics'!$D:$D,"Goal - Penetration %"))</formula>
    </cfRule>
    <cfRule type="expression" rank="0" priority="164" equalAverage="0" aboveAverage="0" dxfId="2" stopIfTrue="1" text="" percent="0" bottom="0">
      <formula>AND(ISNUMBER(F69),COUNTIFS('Data - Monthly Metrics'!$A:$A,$B$4,'Data - Monthly Metrics'!$B:$B,F$8,'Data - Monthly Metrics'!$C:$C,"North King",'Data - Monthly Metrics'!$D:$D,"Goal - Penetration %")&gt;0,F69&gt;=SUMIFS('Data - Monthly Metrics'!$E:$E,'Data - Monthly Metrics'!$A:$A,$B$4,'Data - Monthly Metrics'!$B:$B,F$8,'Data - Monthly Metrics'!$C:$C,"North King",'Data - Monthly Metrics'!$D:$D,"Goal - Penetration %")-0.05)</formula>
    </cfRule>
    <cfRule type="expression" rank="0" priority="165" equalAverage="0" aboveAverage="0" dxfId="1" stopIfTrue="1" text="" percent="0" bottom="0">
      <formula>AND(ISNUMBER(F69),COUNTIFS('Data - Monthly Metrics'!$A:$A,$B$4,'Data - Monthly Metrics'!$B:$B,F$8,'Data - Monthly Metrics'!$C:$C,"North King",'Data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Metrics'!$C:$C,"North King",'Data - Monthly Metrics'!$D:$D,"Goal - Penetration %")&gt;0,G69&gt;=SUMIFS('Data - Monthly Metrics'!$E:$E,'Data - Monthly Metrics'!$A:$A,$B$4,'Data - Monthly Metrics'!$B:$B,G$8,'Data - Monthly Metrics'!$C:$C,"North King",'Data - Monthly Metrics'!$D:$D,"Goal - Penetration %"))</formula>
    </cfRule>
    <cfRule type="expression" rank="0" priority="167" equalAverage="0" aboveAverage="0" dxfId="2" stopIfTrue="1" text="" percent="0" bottom="0">
      <formula>AND(ISNUMBER(G69),COUNTIFS('Data - Monthly Metrics'!$A:$A,$B$4,'Data - Monthly Metrics'!$B:$B,G$8,'Data - Monthly Metrics'!$C:$C,"North King",'Data - Monthly Metrics'!$D:$D,"Goal - Penetration %")&gt;0,G69&gt;=SUMIFS('Data - Monthly Metrics'!$E:$E,'Data - Monthly Metrics'!$A:$A,$B$4,'Data - Monthly Metrics'!$B:$B,G$8,'Data - Monthly Metrics'!$C:$C,"North King",'Data - Monthly Metrics'!$D:$D,"Goal - Penetration %")-0.05)</formula>
    </cfRule>
    <cfRule type="expression" rank="0" priority="168" equalAverage="0" aboveAverage="0" dxfId="1" stopIfTrue="1" text="" percent="0" bottom="0">
      <formula>AND(ISNUMBER(G69),COUNTIFS('Data - Monthly Metrics'!$A:$A,$B$4,'Data - Monthly Metrics'!$B:$B,G$8,'Data - Monthly Metrics'!$C:$C,"North King",'Data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Metrics'!$C:$C,"North King",'Data - Monthly Metrics'!$D:$D,"Goal - Penetration %")&gt;0,H69&gt;=SUMIFS('Data - Monthly Metrics'!$E:$E,'Data - Monthly Metrics'!$A:$A,$B$4,'Data - Monthly Metrics'!$B:$B,H$8,'Data - Monthly Metrics'!$C:$C,"North King",'Data - Monthly Metrics'!$D:$D,"Goal - Penetration %"))</formula>
    </cfRule>
    <cfRule type="expression" rank="0" priority="170" equalAverage="0" aboveAverage="0" dxfId="2" stopIfTrue="1" text="" percent="0" bottom="0">
      <formula>AND(ISNUMBER(H69),COUNTIFS('Data - Monthly Metrics'!$A:$A,$B$4,'Data - Monthly Metrics'!$B:$B,H$8,'Data - Monthly Metrics'!$C:$C,"North King",'Data - Monthly Metrics'!$D:$D,"Goal - Penetration %")&gt;0,H69&gt;=SUMIFS('Data - Monthly Metrics'!$E:$E,'Data - Monthly Metrics'!$A:$A,$B$4,'Data - Monthly Metrics'!$B:$B,H$8,'Data - Monthly Metrics'!$C:$C,"North King",'Data - Monthly Metrics'!$D:$D,"Goal - Penetration %")-0.05)</formula>
    </cfRule>
    <cfRule type="expression" rank="0" priority="171" equalAverage="0" aboveAverage="0" dxfId="1" stopIfTrue="1" text="" percent="0" bottom="0">
      <formula>AND(ISNUMBER(H69),COUNTIFS('Data - Monthly Metrics'!$A:$A,$B$4,'Data - Monthly Metrics'!$B:$B,H$8,'Data - Monthly Metrics'!$C:$C,"North King",'Data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Metrics'!$C:$C,"North King",'Data - Monthly Metrics'!$D:$D,"Goal - Penetration %")&gt;0,J69&gt;=SUMIFS('Data - Monthly Metrics'!$E:$E,'Data - Monthly Metrics'!$A:$A,$B$4,'Data - Monthly Metrics'!$B:$B,J$8,'Data - Monthly Metrics'!$C:$C,"North King",'Data - Monthly Metrics'!$D:$D,"Goal - Penetration %"))</formula>
    </cfRule>
    <cfRule type="expression" rank="0" priority="173" equalAverage="0" aboveAverage="0" dxfId="2" stopIfTrue="1" text="" percent="0" bottom="0">
      <formula>AND(ISNUMBER(J69),COUNTIFS('Data - Monthly Metrics'!$A:$A,$B$4,'Data - Monthly Metrics'!$B:$B,J$8,'Data - Monthly Metrics'!$C:$C,"North King",'Data - Monthly Metrics'!$D:$D,"Goal - Penetration %")&gt;0,J69&gt;=SUMIFS('Data - Monthly Metrics'!$E:$E,'Data - Monthly Metrics'!$A:$A,$B$4,'Data - Monthly Metrics'!$B:$B,J$8,'Data - Monthly Metrics'!$C:$C,"North King",'Data - Monthly Metrics'!$D:$D,"Goal - Penetration %")-0.05)</formula>
    </cfRule>
    <cfRule type="expression" rank="0" priority="174" equalAverage="0" aboveAverage="0" dxfId="1" stopIfTrue="1" text="" percent="0" bottom="0">
      <formula>AND(ISNUMBER(J69),COUNTIFS('Data - Monthly Metrics'!$A:$A,$B$4,'Data - Monthly Metrics'!$B:$B,J$8,'Data - Monthly Metrics'!$C:$C,"North King",'Data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Metrics'!$C:$C,"North King",'Data - Monthly Metrics'!$D:$D,"Goal - Penetration %")&gt;0,K69&gt;=SUMIFS('Data - Monthly Metrics'!$E:$E,'Data - Monthly Metrics'!$A:$A,$B$4,'Data - Monthly Metrics'!$B:$B,K$8,'Data - Monthly Metrics'!$C:$C,"North King",'Data - Monthly Metrics'!$D:$D,"Goal - Penetration %"))</formula>
    </cfRule>
    <cfRule type="expression" rank="0" priority="176" equalAverage="0" aboveAverage="0" dxfId="2" stopIfTrue="1" text="" percent="0" bottom="0">
      <formula>AND(ISNUMBER(K69),COUNTIFS('Data - Monthly Metrics'!$A:$A,$B$4,'Data - Monthly Metrics'!$B:$B,K$8,'Data - Monthly Metrics'!$C:$C,"North King",'Data - Monthly Metrics'!$D:$D,"Goal - Penetration %")&gt;0,K69&gt;=SUMIFS('Data - Monthly Metrics'!$E:$E,'Data - Monthly Metrics'!$A:$A,$B$4,'Data - Monthly Metrics'!$B:$B,K$8,'Data - Monthly Metrics'!$C:$C,"North King",'Data - Monthly Metrics'!$D:$D,"Goal - Penetration %")-0.05)</formula>
    </cfRule>
    <cfRule type="expression" rank="0" priority="177" equalAverage="0" aboveAverage="0" dxfId="1" stopIfTrue="1" text="" percent="0" bottom="0">
      <formula>AND(ISNUMBER(K69),COUNTIFS('Data - Monthly Metrics'!$A:$A,$B$4,'Data - Monthly Metrics'!$B:$B,K$8,'Data - Monthly Metrics'!$C:$C,"North King",'Data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Metrics'!$C:$C,"North King",'Data - Monthly Metrics'!$D:$D,"Goal - Penetration %")&gt;0,L69&gt;=SUMIFS('Data - Monthly Metrics'!$E:$E,'Data - Monthly Metrics'!$A:$A,$B$4,'Data - Monthly Metrics'!$B:$B,L$8,'Data - Monthly Metrics'!$C:$C,"North King",'Data - Monthly Metrics'!$D:$D,"Goal - Penetration %"))</formula>
    </cfRule>
    <cfRule type="expression" rank="0" priority="179" equalAverage="0" aboveAverage="0" dxfId="2" stopIfTrue="1" text="" percent="0" bottom="0">
      <formula>AND(ISNUMBER(L69),COUNTIFS('Data - Monthly Metrics'!$A:$A,$B$4,'Data - Monthly Metrics'!$B:$B,L$8,'Data - Monthly Metrics'!$C:$C,"North King",'Data - Monthly Metrics'!$D:$D,"Goal - Penetration %")&gt;0,L69&gt;=SUMIFS('Data - Monthly Metrics'!$E:$E,'Data - Monthly Metrics'!$A:$A,$B$4,'Data - Monthly Metrics'!$B:$B,L$8,'Data - Monthly Metrics'!$C:$C,"North King",'Data - Monthly Metrics'!$D:$D,"Goal - Penetration %")-0.05)</formula>
    </cfRule>
    <cfRule type="expression" rank="0" priority="180" equalAverage="0" aboveAverage="0" dxfId="1" stopIfTrue="1" text="" percent="0" bottom="0">
      <formula>AND(ISNUMBER(L69),COUNTIFS('Data - Monthly Metrics'!$A:$A,$B$4,'Data - Monthly Metrics'!$B:$B,L$8,'Data - Monthly Metrics'!$C:$C,"North King",'Data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Metrics'!$C:$C,"North King",'Data - Monthly Metrics'!$D:$D,"Goal - Penetration %")&gt;0,N69&gt;=SUMIFS('Data - Monthly Metrics'!$E:$E,'Data - Monthly Metrics'!$A:$A,$B$4,'Data - Monthly Metrics'!$B:$B,N$8,'Data - Monthly Metrics'!$C:$C,"North King",'Data - Monthly Metrics'!$D:$D,"Goal - Penetration %"))</formula>
    </cfRule>
    <cfRule type="expression" rank="0" priority="182" equalAverage="0" aboveAverage="0" dxfId="2" stopIfTrue="1" text="" percent="0" bottom="0">
      <formula>AND(ISNUMBER(N69),COUNTIFS('Data - Monthly Metrics'!$A:$A,$B$4,'Data - Monthly Metrics'!$B:$B,N$8,'Data - Monthly Metrics'!$C:$C,"North King",'Data - Monthly Metrics'!$D:$D,"Goal - Penetration %")&gt;0,N69&gt;=SUMIFS('Data - Monthly Metrics'!$E:$E,'Data - Monthly Metrics'!$A:$A,$B$4,'Data - Monthly Metrics'!$B:$B,N$8,'Data - Monthly Metrics'!$C:$C,"North King",'Data - Monthly Metrics'!$D:$D,"Goal - Penetration %")-0.05)</formula>
    </cfRule>
    <cfRule type="expression" rank="0" priority="183" equalAverage="0" aboveAverage="0" dxfId="1" stopIfTrue="1" text="" percent="0" bottom="0">
      <formula>AND(ISNUMBER(N69),COUNTIFS('Data - Monthly Metrics'!$A:$A,$B$4,'Data - Monthly Metrics'!$B:$B,N$8,'Data - Monthly Metrics'!$C:$C,"North King",'Data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Metrics'!$C:$C,"North King",'Data - Monthly Metrics'!$D:$D,"Goal - Penetration %")&gt;0,O69&gt;=SUMIFS('Data - Monthly Metrics'!$E:$E,'Data - Monthly Metrics'!$A:$A,$B$4,'Data - Monthly Metrics'!$B:$B,O$8,'Data - Monthly Metrics'!$C:$C,"North King",'Data - Monthly Metrics'!$D:$D,"Goal - Penetration %"))</formula>
    </cfRule>
    <cfRule type="expression" rank="0" priority="185" equalAverage="0" aboveAverage="0" dxfId="2" stopIfTrue="1" text="" percent="0" bottom="0">
      <formula>AND(ISNUMBER(O69),COUNTIFS('Data - Monthly Metrics'!$A:$A,$B$4,'Data - Monthly Metrics'!$B:$B,O$8,'Data - Monthly Metrics'!$C:$C,"North King",'Data - Monthly Metrics'!$D:$D,"Goal - Penetration %")&gt;0,O69&gt;=SUMIFS('Data - Monthly Metrics'!$E:$E,'Data - Monthly Metrics'!$A:$A,$B$4,'Data - Monthly Metrics'!$B:$B,O$8,'Data - Monthly Metrics'!$C:$C,"North King",'Data - Monthly Metrics'!$D:$D,"Goal - Penetration %")-0.05)</formula>
    </cfRule>
    <cfRule type="expression" rank="0" priority="186" equalAverage="0" aboveAverage="0" dxfId="1" stopIfTrue="1" text="" percent="0" bottom="0">
      <formula>AND(ISNUMBER(O69),COUNTIFS('Data - Monthly Metrics'!$A:$A,$B$4,'Data - Monthly Metrics'!$B:$B,O$8,'Data - Monthly Metrics'!$C:$C,"North King",'Data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Metrics'!$C:$C,"North King",'Data - Monthly Metrics'!$D:$D,"Goal - Penetration %")&gt;0,P69&gt;=SUMIFS('Data - Monthly Metrics'!$E:$E,'Data - Monthly Metrics'!$A:$A,$B$4,'Data - Monthly Metrics'!$B:$B,P$8,'Data - Monthly Metrics'!$C:$C,"North King",'Data - Monthly Metrics'!$D:$D,"Goal - Penetration %"))</formula>
    </cfRule>
    <cfRule type="expression" rank="0" priority="188" equalAverage="0" aboveAverage="0" dxfId="2" stopIfTrue="1" text="" percent="0" bottom="0">
      <formula>AND(ISNUMBER(P69),COUNTIFS('Data - Monthly Metrics'!$A:$A,$B$4,'Data - Monthly Metrics'!$B:$B,P$8,'Data - Monthly Metrics'!$C:$C,"North King",'Data - Monthly Metrics'!$D:$D,"Goal - Penetration %")&gt;0,P69&gt;=SUMIFS('Data - Monthly Metrics'!$E:$E,'Data - Monthly Metrics'!$A:$A,$B$4,'Data - Monthly Metrics'!$B:$B,P$8,'Data - Monthly Metrics'!$C:$C,"North King",'Data - Monthly Metrics'!$D:$D,"Goal - Penetration %")-0.05)</formula>
    </cfRule>
    <cfRule type="expression" rank="0" priority="189" equalAverage="0" aboveAverage="0" dxfId="1" stopIfTrue="1" text="" percent="0" bottom="0">
      <formula>AND(ISNUMBER(P69),COUNTIFS('Data - Monthly Metrics'!$A:$A,$B$4,'Data - Monthly Metrics'!$B:$B,P$8,'Data - Monthly Metrics'!$C:$C,"North King",'Data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Metrics'!$C:$C,"North King",'Data - Monthly Metrics'!$D:$D,"Goal - Penetration %")&gt;0,B70&gt;=SUMIFS('Data - Monthly Metrics'!$E:$E,'Data - Monthly Metrics'!$A:$A,$B$4-1,'Data - Monthly Metrics'!$B:$B,B$8,'Data - Monthly Metrics'!$C:$C,"North King",'Data - Monthly Metrics'!$D:$D,"Goal - Penetration %"))</formula>
    </cfRule>
    <cfRule type="expression" rank="0" priority="191" equalAverage="0" aboveAverage="0" dxfId="2" stopIfTrue="1" text="" percent="0" bottom="0">
      <formula>AND(ISNUMBER(B70),COUNTIFS('Data - Monthly Metrics'!$A:$A,$B$4-1,'Data - Monthly Metrics'!$B:$B,B$8,'Data - Monthly Metrics'!$C:$C,"North King",'Data - Monthly Metrics'!$D:$D,"Goal - Penetration %")&gt;0,B70&gt;=SUMIFS('Data - Monthly Metrics'!$E:$E,'Data - Monthly Metrics'!$A:$A,$B$4-1,'Data - Monthly Metrics'!$B:$B,B$8,'Data - Monthly Metrics'!$C:$C,"North King",'Data - Monthly Metrics'!$D:$D,"Goal - Penetration %")-0.05)</formula>
    </cfRule>
    <cfRule type="expression" rank="0" priority="192" equalAverage="0" aboveAverage="0" dxfId="1" stopIfTrue="1" text="" percent="0" bottom="0">
      <formula>AND(ISNUMBER(B70),COUNTIFS('Data - Monthly Metrics'!$A:$A,$B$4-1,'Data - Monthly Metrics'!$B:$B,B$8,'Data - Monthly Metrics'!$C:$C,"North King",'Data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Metrics'!$C:$C,"North King",'Data - Monthly Metrics'!$D:$D,"Goal - Penetration %")&gt;0,C70&gt;=SUMIFS('Data - Monthly Metrics'!$E:$E,'Data - Monthly Metrics'!$A:$A,$B$4-1,'Data - Monthly Metrics'!$B:$B,C$8,'Data - Monthly Metrics'!$C:$C,"North King",'Data - Monthly Metrics'!$D:$D,"Goal - Penetration %"))</formula>
    </cfRule>
    <cfRule type="expression" rank="0" priority="194" equalAverage="0" aboveAverage="0" dxfId="2" stopIfTrue="1" text="" percent="0" bottom="0">
      <formula>AND(ISNUMBER(C70),COUNTIFS('Data - Monthly Metrics'!$A:$A,$B$4-1,'Data - Monthly Metrics'!$B:$B,C$8,'Data - Monthly Metrics'!$C:$C,"North King",'Data - Monthly Metrics'!$D:$D,"Goal - Penetration %")&gt;0,C70&gt;=SUMIFS('Data - Monthly Metrics'!$E:$E,'Data - Monthly Metrics'!$A:$A,$B$4-1,'Data - Monthly Metrics'!$B:$B,C$8,'Data - Monthly Metrics'!$C:$C,"North King",'Data - Monthly Metrics'!$D:$D,"Goal - Penetration %")-0.05)</formula>
    </cfRule>
    <cfRule type="expression" rank="0" priority="195" equalAverage="0" aboveAverage="0" dxfId="1" stopIfTrue="1" text="" percent="0" bottom="0">
      <formula>AND(ISNUMBER(C70),COUNTIFS('Data - Monthly Metrics'!$A:$A,$B$4-1,'Data - Monthly Metrics'!$B:$B,C$8,'Data - Monthly Metrics'!$C:$C,"North King",'Data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Metrics'!$C:$C,"North King",'Data - Monthly Metrics'!$D:$D,"Goal - Penetration %")&gt;0,D70&gt;=SUMIFS('Data - Monthly Metrics'!$E:$E,'Data - Monthly Metrics'!$A:$A,$B$4-1,'Data - Monthly Metrics'!$B:$B,D$8,'Data - Monthly Metrics'!$C:$C,"North King",'Data - Monthly Metrics'!$D:$D,"Goal - Penetration %"))</formula>
    </cfRule>
    <cfRule type="expression" rank="0" priority="197" equalAverage="0" aboveAverage="0" dxfId="2" stopIfTrue="1" text="" percent="0" bottom="0">
      <formula>AND(ISNUMBER(D70),COUNTIFS('Data - Monthly Metrics'!$A:$A,$B$4-1,'Data - Monthly Metrics'!$B:$B,D$8,'Data - Monthly Metrics'!$C:$C,"North King",'Data - Monthly Metrics'!$D:$D,"Goal - Penetration %")&gt;0,D70&gt;=SUMIFS('Data - Monthly Metrics'!$E:$E,'Data - Monthly Metrics'!$A:$A,$B$4-1,'Data - Monthly Metrics'!$B:$B,D$8,'Data - Monthly Metrics'!$C:$C,"North King",'Data - Monthly Metrics'!$D:$D,"Goal - Penetration %")-0.05)</formula>
    </cfRule>
    <cfRule type="expression" rank="0" priority="198" equalAverage="0" aboveAverage="0" dxfId="1" stopIfTrue="1" text="" percent="0" bottom="0">
      <formula>AND(ISNUMBER(D70),COUNTIFS('Data - Monthly Metrics'!$A:$A,$B$4-1,'Data - Monthly Metrics'!$B:$B,D$8,'Data - Monthly Metrics'!$C:$C,"North King",'Data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Metrics'!$C:$C,"North King",'Data - Monthly Metrics'!$D:$D,"Goal - Penetration %")&gt;0,F70&gt;=SUMIFS('Data - Monthly Metrics'!$E:$E,'Data - Monthly Metrics'!$A:$A,$B$4,'Data - Monthly Metrics'!$B:$B,F$8,'Data - Monthly Metrics'!$C:$C,"North King",'Data - Monthly Metrics'!$D:$D,"Goal - Penetration %"))</formula>
    </cfRule>
    <cfRule type="expression" rank="0" priority="200" equalAverage="0" aboveAverage="0" dxfId="2" stopIfTrue="1" text="" percent="0" bottom="0">
      <formula>AND(ISNUMBER(F70),COUNTIFS('Data - Monthly Metrics'!$A:$A,$B$4,'Data - Monthly Metrics'!$B:$B,F$8,'Data - Monthly Metrics'!$C:$C,"North King",'Data - Monthly Metrics'!$D:$D,"Goal - Penetration %")&gt;0,F70&gt;=SUMIFS('Data - Monthly Metrics'!$E:$E,'Data - Monthly Metrics'!$A:$A,$B$4,'Data - Monthly Metrics'!$B:$B,F$8,'Data - Monthly Metrics'!$C:$C,"North King",'Data - Monthly Metrics'!$D:$D,"Goal - Penetration %")-0.05)</formula>
    </cfRule>
    <cfRule type="expression" rank="0" priority="201" equalAverage="0" aboveAverage="0" dxfId="1" stopIfTrue="1" text="" percent="0" bottom="0">
      <formula>AND(ISNUMBER(F70),COUNTIFS('Data - Monthly Metrics'!$A:$A,$B$4,'Data - Monthly Metrics'!$B:$B,F$8,'Data - Monthly Metrics'!$C:$C,"North King",'Data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Metrics'!$C:$C,"North King",'Data - Monthly Metrics'!$D:$D,"Goal - Penetration %")&gt;0,G70&gt;=SUMIFS('Data - Monthly Metrics'!$E:$E,'Data - Monthly Metrics'!$A:$A,$B$4,'Data - Monthly Metrics'!$B:$B,G$8,'Data - Monthly Metrics'!$C:$C,"North King",'Data - Monthly Metrics'!$D:$D,"Goal - Penetration %"))</formula>
    </cfRule>
    <cfRule type="expression" rank="0" priority="203" equalAverage="0" aboveAverage="0" dxfId="2" stopIfTrue="1" text="" percent="0" bottom="0">
      <formula>AND(ISNUMBER(G70),COUNTIFS('Data - Monthly Metrics'!$A:$A,$B$4,'Data - Monthly Metrics'!$B:$B,G$8,'Data - Monthly Metrics'!$C:$C,"North King",'Data - Monthly Metrics'!$D:$D,"Goal - Penetration %")&gt;0,G70&gt;=SUMIFS('Data - Monthly Metrics'!$E:$E,'Data - Monthly Metrics'!$A:$A,$B$4,'Data - Monthly Metrics'!$B:$B,G$8,'Data - Monthly Metrics'!$C:$C,"North King",'Data - Monthly Metrics'!$D:$D,"Goal - Penetration %")-0.05)</formula>
    </cfRule>
    <cfRule type="expression" rank="0" priority="204" equalAverage="0" aboveAverage="0" dxfId="1" stopIfTrue="1" text="" percent="0" bottom="0">
      <formula>AND(ISNUMBER(G70),COUNTIFS('Data - Monthly Metrics'!$A:$A,$B$4,'Data - Monthly Metrics'!$B:$B,G$8,'Data - Monthly Metrics'!$C:$C,"North King",'Data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Metrics'!$C:$C,"North King",'Data - Monthly Metrics'!$D:$D,"Goal - Penetration %")&gt;0,H70&gt;=SUMIFS('Data - Monthly Metrics'!$E:$E,'Data - Monthly Metrics'!$A:$A,$B$4,'Data - Monthly Metrics'!$B:$B,H$8,'Data - Monthly Metrics'!$C:$C,"North King",'Data - Monthly Metrics'!$D:$D,"Goal - Penetration %"))</formula>
    </cfRule>
    <cfRule type="expression" rank="0" priority="206" equalAverage="0" aboveAverage="0" dxfId="2" stopIfTrue="1" text="" percent="0" bottom="0">
      <formula>AND(ISNUMBER(H70),COUNTIFS('Data - Monthly Metrics'!$A:$A,$B$4,'Data - Monthly Metrics'!$B:$B,H$8,'Data - Monthly Metrics'!$C:$C,"North King",'Data - Monthly Metrics'!$D:$D,"Goal - Penetration %")&gt;0,H70&gt;=SUMIFS('Data - Monthly Metrics'!$E:$E,'Data - Monthly Metrics'!$A:$A,$B$4,'Data - Monthly Metrics'!$B:$B,H$8,'Data - Monthly Metrics'!$C:$C,"North King",'Data - Monthly Metrics'!$D:$D,"Goal - Penetration %")-0.05)</formula>
    </cfRule>
    <cfRule type="expression" rank="0" priority="207" equalAverage="0" aboveAverage="0" dxfId="1" stopIfTrue="1" text="" percent="0" bottom="0">
      <formula>AND(ISNUMBER(H70),COUNTIFS('Data - Monthly Metrics'!$A:$A,$B$4,'Data - Monthly Metrics'!$B:$B,H$8,'Data - Monthly Metrics'!$C:$C,"North King",'Data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Metrics'!$C:$C,"North King",'Data - Monthly Metrics'!$D:$D,"Goal - Penetration %")&gt;0,J70&gt;=SUMIFS('Data - Monthly Metrics'!$E:$E,'Data - Monthly Metrics'!$A:$A,$B$4,'Data - Monthly Metrics'!$B:$B,J$8,'Data - Monthly Metrics'!$C:$C,"North King",'Data - Monthly Metrics'!$D:$D,"Goal - Penetration %"))</formula>
    </cfRule>
    <cfRule type="expression" rank="0" priority="209" equalAverage="0" aboveAverage="0" dxfId="2" stopIfTrue="1" text="" percent="0" bottom="0">
      <formula>AND(ISNUMBER(J70),COUNTIFS('Data - Monthly Metrics'!$A:$A,$B$4,'Data - Monthly Metrics'!$B:$B,J$8,'Data - Monthly Metrics'!$C:$C,"North King",'Data - Monthly Metrics'!$D:$D,"Goal - Penetration %")&gt;0,J70&gt;=SUMIFS('Data - Monthly Metrics'!$E:$E,'Data - Monthly Metrics'!$A:$A,$B$4,'Data - Monthly Metrics'!$B:$B,J$8,'Data - Monthly Metrics'!$C:$C,"North King",'Data - Monthly Metrics'!$D:$D,"Goal - Penetration %")-0.05)</formula>
    </cfRule>
    <cfRule type="expression" rank="0" priority="210" equalAverage="0" aboveAverage="0" dxfId="1" stopIfTrue="1" text="" percent="0" bottom="0">
      <formula>AND(ISNUMBER(J70),COUNTIFS('Data - Monthly Metrics'!$A:$A,$B$4,'Data - Monthly Metrics'!$B:$B,J$8,'Data - Monthly Metrics'!$C:$C,"North King",'Data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Metrics'!$C:$C,"North King",'Data - Monthly Metrics'!$D:$D,"Goal - Penetration %")&gt;0,K70&gt;=SUMIFS('Data - Monthly Metrics'!$E:$E,'Data - Monthly Metrics'!$A:$A,$B$4,'Data - Monthly Metrics'!$B:$B,K$8,'Data - Monthly Metrics'!$C:$C,"North King",'Data - Monthly Metrics'!$D:$D,"Goal - Penetration %"))</formula>
    </cfRule>
    <cfRule type="expression" rank="0" priority="212" equalAverage="0" aboveAverage="0" dxfId="2" stopIfTrue="1" text="" percent="0" bottom="0">
      <formula>AND(ISNUMBER(K70),COUNTIFS('Data - Monthly Metrics'!$A:$A,$B$4,'Data - Monthly Metrics'!$B:$B,K$8,'Data - Monthly Metrics'!$C:$C,"North King",'Data - Monthly Metrics'!$D:$D,"Goal - Penetration %")&gt;0,K70&gt;=SUMIFS('Data - Monthly Metrics'!$E:$E,'Data - Monthly Metrics'!$A:$A,$B$4,'Data - Monthly Metrics'!$B:$B,K$8,'Data - Monthly Metrics'!$C:$C,"North King",'Data - Monthly Metrics'!$D:$D,"Goal - Penetration %")-0.05)</formula>
    </cfRule>
    <cfRule type="expression" rank="0" priority="213" equalAverage="0" aboveAverage="0" dxfId="1" stopIfTrue="1" text="" percent="0" bottom="0">
      <formula>AND(ISNUMBER(K70),COUNTIFS('Data - Monthly Metrics'!$A:$A,$B$4,'Data - Monthly Metrics'!$B:$B,K$8,'Data - Monthly Metrics'!$C:$C,"North King",'Data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Metrics'!$C:$C,"North King",'Data - Monthly Metrics'!$D:$D,"Goal - Penetration %")&gt;0,L70&gt;=SUMIFS('Data - Monthly Metrics'!$E:$E,'Data - Monthly Metrics'!$A:$A,$B$4,'Data - Monthly Metrics'!$B:$B,L$8,'Data - Monthly Metrics'!$C:$C,"North King",'Data - Monthly Metrics'!$D:$D,"Goal - Penetration %"))</formula>
    </cfRule>
    <cfRule type="expression" rank="0" priority="215" equalAverage="0" aboveAverage="0" dxfId="2" stopIfTrue="1" text="" percent="0" bottom="0">
      <formula>AND(ISNUMBER(L70),COUNTIFS('Data - Monthly Metrics'!$A:$A,$B$4,'Data - Monthly Metrics'!$B:$B,L$8,'Data - Monthly Metrics'!$C:$C,"North King",'Data - Monthly Metrics'!$D:$D,"Goal - Penetration %")&gt;0,L70&gt;=SUMIFS('Data - Monthly Metrics'!$E:$E,'Data - Monthly Metrics'!$A:$A,$B$4,'Data - Monthly Metrics'!$B:$B,L$8,'Data - Monthly Metrics'!$C:$C,"North King",'Data - Monthly Metrics'!$D:$D,"Goal - Penetration %")-0.05)</formula>
    </cfRule>
    <cfRule type="expression" rank="0" priority="216" equalAverage="0" aboveAverage="0" dxfId="1" stopIfTrue="1" text="" percent="0" bottom="0">
      <formula>AND(ISNUMBER(L70),COUNTIFS('Data - Monthly Metrics'!$A:$A,$B$4,'Data - Monthly Metrics'!$B:$B,L$8,'Data - Monthly Metrics'!$C:$C,"North King",'Data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Metrics'!$C:$C,"North King",'Data - Monthly Metrics'!$D:$D,"Goal - Penetration %")&gt;0,N70&gt;=SUMIFS('Data - Monthly Metrics'!$E:$E,'Data - Monthly Metrics'!$A:$A,$B$4,'Data - Monthly Metrics'!$B:$B,N$8,'Data - Monthly Metrics'!$C:$C,"North King",'Data - Monthly Metrics'!$D:$D,"Goal - Penetration %"))</formula>
    </cfRule>
    <cfRule type="expression" rank="0" priority="218" equalAverage="0" aboveAverage="0" dxfId="2" stopIfTrue="1" text="" percent="0" bottom="0">
      <formula>AND(ISNUMBER(N70),COUNTIFS('Data - Monthly Metrics'!$A:$A,$B$4,'Data - Monthly Metrics'!$B:$B,N$8,'Data - Monthly Metrics'!$C:$C,"North King",'Data - Monthly Metrics'!$D:$D,"Goal - Penetration %")&gt;0,N70&gt;=SUMIFS('Data - Monthly Metrics'!$E:$E,'Data - Monthly Metrics'!$A:$A,$B$4,'Data - Monthly Metrics'!$B:$B,N$8,'Data - Monthly Metrics'!$C:$C,"North King",'Data - Monthly Metrics'!$D:$D,"Goal - Penetration %")-0.05)</formula>
    </cfRule>
    <cfRule type="expression" rank="0" priority="219" equalAverage="0" aboveAverage="0" dxfId="1" stopIfTrue="1" text="" percent="0" bottom="0">
      <formula>AND(ISNUMBER(N70),COUNTIFS('Data - Monthly Metrics'!$A:$A,$B$4,'Data - Monthly Metrics'!$B:$B,N$8,'Data - Monthly Metrics'!$C:$C,"North King",'Data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Metrics'!$C:$C,"North King",'Data - Monthly Metrics'!$D:$D,"Goal - Penetration %")&gt;0,O70&gt;=SUMIFS('Data - Monthly Metrics'!$E:$E,'Data - Monthly Metrics'!$A:$A,$B$4,'Data - Monthly Metrics'!$B:$B,O$8,'Data - Monthly Metrics'!$C:$C,"North King",'Data - Monthly Metrics'!$D:$D,"Goal - Penetration %"))</formula>
    </cfRule>
    <cfRule type="expression" rank="0" priority="221" equalAverage="0" aboveAverage="0" dxfId="2" stopIfTrue="1" text="" percent="0" bottom="0">
      <formula>AND(ISNUMBER(O70),COUNTIFS('Data - Monthly Metrics'!$A:$A,$B$4,'Data - Monthly Metrics'!$B:$B,O$8,'Data - Monthly Metrics'!$C:$C,"North King",'Data - Monthly Metrics'!$D:$D,"Goal - Penetration %")&gt;0,O70&gt;=SUMIFS('Data - Monthly Metrics'!$E:$E,'Data - Monthly Metrics'!$A:$A,$B$4,'Data - Monthly Metrics'!$B:$B,O$8,'Data - Monthly Metrics'!$C:$C,"North King",'Data - Monthly Metrics'!$D:$D,"Goal - Penetration %")-0.05)</formula>
    </cfRule>
    <cfRule type="expression" rank="0" priority="222" equalAverage="0" aboveAverage="0" dxfId="1" stopIfTrue="1" text="" percent="0" bottom="0">
      <formula>AND(ISNUMBER(O70),COUNTIFS('Data - Monthly Metrics'!$A:$A,$B$4,'Data - Monthly Metrics'!$B:$B,O$8,'Data - Monthly Metrics'!$C:$C,"North King",'Data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Metrics'!$C:$C,"North King",'Data - Monthly Metrics'!$D:$D,"Goal - Penetration %")&gt;0,P70&gt;=SUMIFS('Data - Monthly Metrics'!$E:$E,'Data - Monthly Metrics'!$A:$A,$B$4,'Data - Monthly Metrics'!$B:$B,P$8,'Data - Monthly Metrics'!$C:$C,"North King",'Data - Monthly Metrics'!$D:$D,"Goal - Penetration %"))</formula>
    </cfRule>
    <cfRule type="expression" rank="0" priority="224" equalAverage="0" aboveAverage="0" dxfId="2" stopIfTrue="1" text="" percent="0" bottom="0">
      <formula>AND(ISNUMBER(P70),COUNTIFS('Data - Monthly Metrics'!$A:$A,$B$4,'Data - Monthly Metrics'!$B:$B,P$8,'Data - Monthly Metrics'!$C:$C,"North King",'Data - Monthly Metrics'!$D:$D,"Goal - Penetration %")&gt;0,P70&gt;=SUMIFS('Data - Monthly Metrics'!$E:$E,'Data - Monthly Metrics'!$A:$A,$B$4,'Data - Monthly Metrics'!$B:$B,P$8,'Data - Monthly Metrics'!$C:$C,"North King",'Data - Monthly Metrics'!$D:$D,"Goal - Penetration %")-0.05)</formula>
    </cfRule>
    <cfRule type="expression" rank="0" priority="225" equalAverage="0" aboveAverage="0" dxfId="1" stopIfTrue="1" text="" percent="0" bottom="0">
      <formula>AND(ISNUMBER(P70),COUNTIFS('Data - Monthly Metrics'!$A:$A,$B$4,'Data - Monthly Metrics'!$B:$B,P$8,'Data - Monthly Metrics'!$C:$C,"North King",'Data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Metrics'!$C:$C,"North King",'Data - Monthly Metrics'!$D:$D,"Goal - Penetration %")&gt;0,B105&gt;=SUMIFS('Data - Monthly Metrics'!$E:$E,'Data - Monthly Metrics'!$A:$A,$B$4-1,'Data - Monthly Metrics'!$B:$B,B$8,'Data - Monthly Metrics'!$C:$C,"North King",'Data - Monthly Metrics'!$D:$D,"Goal - Penetration %"))</formula>
    </cfRule>
    <cfRule type="expression" rank="0" priority="227" equalAverage="0" aboveAverage="0" dxfId="2" stopIfTrue="1" text="" percent="0" bottom="0">
      <formula>AND(ISNUMBER(B105),COUNTIFS('Data - Monthly Metrics'!$A:$A,$B$4-1,'Data - Monthly Metrics'!$B:$B,B$8,'Data - Monthly Metrics'!$C:$C,"North King",'Data - Monthly Metrics'!$D:$D,"Goal - Penetration %")&gt;0,B105&gt;=SUMIFS('Data - Monthly Metrics'!$E:$E,'Data - Monthly Metrics'!$A:$A,$B$4-1,'Data - Monthly Metrics'!$B:$B,B$8,'Data - Monthly Metrics'!$C:$C,"North King",'Data - Monthly Metrics'!$D:$D,"Goal - Penetration %")-0.05)</formula>
    </cfRule>
    <cfRule type="expression" rank="0" priority="228" equalAverage="0" aboveAverage="0" dxfId="1" stopIfTrue="1" text="" percent="0" bottom="0">
      <formula>AND(ISNUMBER(B105),COUNTIFS('Data - Monthly Metrics'!$A:$A,$B$4-1,'Data - Monthly Metrics'!$B:$B,B$8,'Data - Monthly Metrics'!$C:$C,"North King",'Data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Metrics'!$C:$C,"North King",'Data - Monthly Metrics'!$D:$D,"Goal - Penetration %")&gt;0,C105&gt;=SUMIFS('Data - Monthly Metrics'!$E:$E,'Data - Monthly Metrics'!$A:$A,$B$4-1,'Data - Monthly Metrics'!$B:$B,C$8,'Data - Monthly Metrics'!$C:$C,"North King",'Data - Monthly Metrics'!$D:$D,"Goal - Penetration %"))</formula>
    </cfRule>
    <cfRule type="expression" rank="0" priority="230" equalAverage="0" aboveAverage="0" dxfId="2" stopIfTrue="1" text="" percent="0" bottom="0">
      <formula>AND(ISNUMBER(C105),COUNTIFS('Data - Monthly Metrics'!$A:$A,$B$4-1,'Data - Monthly Metrics'!$B:$B,C$8,'Data - Monthly Metrics'!$C:$C,"North King",'Data - Monthly Metrics'!$D:$D,"Goal - Penetration %")&gt;0,C105&gt;=SUMIFS('Data - Monthly Metrics'!$E:$E,'Data - Monthly Metrics'!$A:$A,$B$4-1,'Data - Monthly Metrics'!$B:$B,C$8,'Data - Monthly Metrics'!$C:$C,"North King",'Data - Monthly Metrics'!$D:$D,"Goal - Penetration %")-0.05)</formula>
    </cfRule>
    <cfRule type="expression" rank="0" priority="231" equalAverage="0" aboveAverage="0" dxfId="1" stopIfTrue="1" text="" percent="0" bottom="0">
      <formula>AND(ISNUMBER(C105),COUNTIFS('Data - Monthly Metrics'!$A:$A,$B$4-1,'Data - Monthly Metrics'!$B:$B,C$8,'Data - Monthly Metrics'!$C:$C,"North King",'Data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Metrics'!$C:$C,"North King",'Data - Monthly Metrics'!$D:$D,"Goal - Penetration %")&gt;0,D105&gt;=SUMIFS('Data - Monthly Metrics'!$E:$E,'Data - Monthly Metrics'!$A:$A,$B$4-1,'Data - Monthly Metrics'!$B:$B,D$8,'Data - Monthly Metrics'!$C:$C,"North King",'Data - Monthly Metrics'!$D:$D,"Goal - Penetration %"))</formula>
    </cfRule>
    <cfRule type="expression" rank="0" priority="233" equalAverage="0" aboveAverage="0" dxfId="2" stopIfTrue="1" text="" percent="0" bottom="0">
      <formula>AND(ISNUMBER(D105),COUNTIFS('Data - Monthly Metrics'!$A:$A,$B$4-1,'Data - Monthly Metrics'!$B:$B,D$8,'Data - Monthly Metrics'!$C:$C,"North King",'Data - Monthly Metrics'!$D:$D,"Goal - Penetration %")&gt;0,D105&gt;=SUMIFS('Data - Monthly Metrics'!$E:$E,'Data - Monthly Metrics'!$A:$A,$B$4-1,'Data - Monthly Metrics'!$B:$B,D$8,'Data - Monthly Metrics'!$C:$C,"North King",'Data - Monthly Metrics'!$D:$D,"Goal - Penetration %")-0.05)</formula>
    </cfRule>
    <cfRule type="expression" rank="0" priority="234" equalAverage="0" aboveAverage="0" dxfId="1" stopIfTrue="1" text="" percent="0" bottom="0">
      <formula>AND(ISNUMBER(D105),COUNTIFS('Data - Monthly Metrics'!$A:$A,$B$4-1,'Data - Monthly Metrics'!$B:$B,D$8,'Data - Monthly Metrics'!$C:$C,"North King",'Data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Metrics'!$C:$C,"North King",'Data - Monthly Metrics'!$D:$D,"Goal - Penetration %")&gt;0,F105&gt;=SUMIFS('Data - Monthly Metrics'!$E:$E,'Data - Monthly Metrics'!$A:$A,$B$4,'Data - Monthly Metrics'!$B:$B,F$8,'Data - Monthly Metrics'!$C:$C,"North King",'Data - Monthly Metrics'!$D:$D,"Goal - Penetration %"))</formula>
    </cfRule>
    <cfRule type="expression" rank="0" priority="236" equalAverage="0" aboveAverage="0" dxfId="2" stopIfTrue="1" text="" percent="0" bottom="0">
      <formula>AND(ISNUMBER(F105),COUNTIFS('Data - Monthly Metrics'!$A:$A,$B$4,'Data - Monthly Metrics'!$B:$B,F$8,'Data - Monthly Metrics'!$C:$C,"North King",'Data - Monthly Metrics'!$D:$D,"Goal - Penetration %")&gt;0,F105&gt;=SUMIFS('Data - Monthly Metrics'!$E:$E,'Data - Monthly Metrics'!$A:$A,$B$4,'Data - Monthly Metrics'!$B:$B,F$8,'Data - Monthly Metrics'!$C:$C,"North King",'Data - Monthly Metrics'!$D:$D,"Goal - Penetration %")-0.05)</formula>
    </cfRule>
    <cfRule type="expression" rank="0" priority="237" equalAverage="0" aboveAverage="0" dxfId="1" stopIfTrue="1" text="" percent="0" bottom="0">
      <formula>AND(ISNUMBER(F105),COUNTIFS('Data - Monthly Metrics'!$A:$A,$B$4,'Data - Monthly Metrics'!$B:$B,F$8,'Data - Monthly Metrics'!$C:$C,"North King",'Data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Metrics'!$C:$C,"North King",'Data - Monthly Metrics'!$D:$D,"Goal - Penetration %")&gt;0,G105&gt;=SUMIFS('Data - Monthly Metrics'!$E:$E,'Data - Monthly Metrics'!$A:$A,$B$4,'Data - Monthly Metrics'!$B:$B,G$8,'Data - Monthly Metrics'!$C:$C,"North King",'Data - Monthly Metrics'!$D:$D,"Goal - Penetration %"))</formula>
    </cfRule>
    <cfRule type="expression" rank="0" priority="239" equalAverage="0" aboveAverage="0" dxfId="2" stopIfTrue="1" text="" percent="0" bottom="0">
      <formula>AND(ISNUMBER(G105),COUNTIFS('Data - Monthly Metrics'!$A:$A,$B$4,'Data - Monthly Metrics'!$B:$B,G$8,'Data - Monthly Metrics'!$C:$C,"North King",'Data - Monthly Metrics'!$D:$D,"Goal - Penetration %")&gt;0,G105&gt;=SUMIFS('Data - Monthly Metrics'!$E:$E,'Data - Monthly Metrics'!$A:$A,$B$4,'Data - Monthly Metrics'!$B:$B,G$8,'Data - Monthly Metrics'!$C:$C,"North King",'Data - Monthly Metrics'!$D:$D,"Goal - Penetration %")-0.05)</formula>
    </cfRule>
    <cfRule type="expression" rank="0" priority="240" equalAverage="0" aboveAverage="0" dxfId="1" stopIfTrue="1" text="" percent="0" bottom="0">
      <formula>AND(ISNUMBER(G105),COUNTIFS('Data - Monthly Metrics'!$A:$A,$B$4,'Data - Monthly Metrics'!$B:$B,G$8,'Data - Monthly Metrics'!$C:$C,"North King",'Data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Metrics'!$C:$C,"North King",'Data - Monthly Metrics'!$D:$D,"Goal - Penetration %")&gt;0,H105&gt;=SUMIFS('Data - Monthly Metrics'!$E:$E,'Data - Monthly Metrics'!$A:$A,$B$4,'Data - Monthly Metrics'!$B:$B,H$8,'Data - Monthly Metrics'!$C:$C,"North King",'Data - Monthly Metrics'!$D:$D,"Goal - Penetration %"))</formula>
    </cfRule>
    <cfRule type="expression" rank="0" priority="242" equalAverage="0" aboveAverage="0" dxfId="2" stopIfTrue="1" text="" percent="0" bottom="0">
      <formula>AND(ISNUMBER(H105),COUNTIFS('Data - Monthly Metrics'!$A:$A,$B$4,'Data - Monthly Metrics'!$B:$B,H$8,'Data - Monthly Metrics'!$C:$C,"North King",'Data - Monthly Metrics'!$D:$D,"Goal - Penetration %")&gt;0,H105&gt;=SUMIFS('Data - Monthly Metrics'!$E:$E,'Data - Monthly Metrics'!$A:$A,$B$4,'Data - Monthly Metrics'!$B:$B,H$8,'Data - Monthly Metrics'!$C:$C,"North King",'Data - Monthly Metrics'!$D:$D,"Goal - Penetration %")-0.05)</formula>
    </cfRule>
    <cfRule type="expression" rank="0" priority="243" equalAverage="0" aboveAverage="0" dxfId="1" stopIfTrue="1" text="" percent="0" bottom="0">
      <formula>AND(ISNUMBER(H105),COUNTIFS('Data - Monthly Metrics'!$A:$A,$B$4,'Data - Monthly Metrics'!$B:$B,H$8,'Data - Monthly Metrics'!$C:$C,"North King",'Data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Metrics'!$C:$C,"North King",'Data - Monthly Metrics'!$D:$D,"Goal - Penetration %")&gt;0,J105&gt;=SUMIFS('Data - Monthly Metrics'!$E:$E,'Data - Monthly Metrics'!$A:$A,$B$4,'Data - Monthly Metrics'!$B:$B,J$8,'Data - Monthly Metrics'!$C:$C,"North King",'Data - Monthly Metrics'!$D:$D,"Goal - Penetration %"))</formula>
    </cfRule>
    <cfRule type="expression" rank="0" priority="245" equalAverage="0" aboveAverage="0" dxfId="2" stopIfTrue="1" text="" percent="0" bottom="0">
      <formula>AND(ISNUMBER(J105),COUNTIFS('Data - Monthly Metrics'!$A:$A,$B$4,'Data - Monthly Metrics'!$B:$B,J$8,'Data - Monthly Metrics'!$C:$C,"North King",'Data - Monthly Metrics'!$D:$D,"Goal - Penetration %")&gt;0,J105&gt;=SUMIFS('Data - Monthly Metrics'!$E:$E,'Data - Monthly Metrics'!$A:$A,$B$4,'Data - Monthly Metrics'!$B:$B,J$8,'Data - Monthly Metrics'!$C:$C,"North King",'Data - Monthly Metrics'!$D:$D,"Goal - Penetration %")-0.05)</formula>
    </cfRule>
    <cfRule type="expression" rank="0" priority="246" equalAverage="0" aboveAverage="0" dxfId="1" stopIfTrue="1" text="" percent="0" bottom="0">
      <formula>AND(ISNUMBER(J105),COUNTIFS('Data - Monthly Metrics'!$A:$A,$B$4,'Data - Monthly Metrics'!$B:$B,J$8,'Data - Monthly Metrics'!$C:$C,"North King",'Data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Metrics'!$C:$C,"North King",'Data - Monthly Metrics'!$D:$D,"Goal - Penetration %")&gt;0,K105&gt;=SUMIFS('Data - Monthly Metrics'!$E:$E,'Data - Monthly Metrics'!$A:$A,$B$4,'Data - Monthly Metrics'!$B:$B,K$8,'Data - Monthly Metrics'!$C:$C,"North King",'Data - Monthly Metrics'!$D:$D,"Goal - Penetration %"))</formula>
    </cfRule>
    <cfRule type="expression" rank="0" priority="248" equalAverage="0" aboveAverage="0" dxfId="2" stopIfTrue="1" text="" percent="0" bottom="0">
      <formula>AND(ISNUMBER(K105),COUNTIFS('Data - Monthly Metrics'!$A:$A,$B$4,'Data - Monthly Metrics'!$B:$B,K$8,'Data - Monthly Metrics'!$C:$C,"North King",'Data - Monthly Metrics'!$D:$D,"Goal - Penetration %")&gt;0,K105&gt;=SUMIFS('Data - Monthly Metrics'!$E:$E,'Data - Monthly Metrics'!$A:$A,$B$4,'Data - Monthly Metrics'!$B:$B,K$8,'Data - Monthly Metrics'!$C:$C,"North King",'Data - Monthly Metrics'!$D:$D,"Goal - Penetration %")-0.05)</formula>
    </cfRule>
    <cfRule type="expression" rank="0" priority="249" equalAverage="0" aboveAverage="0" dxfId="1" stopIfTrue="1" text="" percent="0" bottom="0">
      <formula>AND(ISNUMBER(K105),COUNTIFS('Data - Monthly Metrics'!$A:$A,$B$4,'Data - Monthly Metrics'!$B:$B,K$8,'Data - Monthly Metrics'!$C:$C,"North King",'Data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Metrics'!$C:$C,"North King",'Data - Monthly Metrics'!$D:$D,"Goal - Penetration %")&gt;0,L105&gt;=SUMIFS('Data - Monthly Metrics'!$E:$E,'Data - Monthly Metrics'!$A:$A,$B$4,'Data - Monthly Metrics'!$B:$B,L$8,'Data - Monthly Metrics'!$C:$C,"North King",'Data - Monthly Metrics'!$D:$D,"Goal - Penetration %"))</formula>
    </cfRule>
    <cfRule type="expression" rank="0" priority="251" equalAverage="0" aboveAverage="0" dxfId="2" stopIfTrue="1" text="" percent="0" bottom="0">
      <formula>AND(ISNUMBER(L105),COUNTIFS('Data - Monthly Metrics'!$A:$A,$B$4,'Data - Monthly Metrics'!$B:$B,L$8,'Data - Monthly Metrics'!$C:$C,"North King",'Data - Monthly Metrics'!$D:$D,"Goal - Penetration %")&gt;0,L105&gt;=SUMIFS('Data - Monthly Metrics'!$E:$E,'Data - Monthly Metrics'!$A:$A,$B$4,'Data - Monthly Metrics'!$B:$B,L$8,'Data - Monthly Metrics'!$C:$C,"North King",'Data - Monthly Metrics'!$D:$D,"Goal - Penetration %")-0.05)</formula>
    </cfRule>
    <cfRule type="expression" rank="0" priority="252" equalAverage="0" aboveAverage="0" dxfId="1" stopIfTrue="1" text="" percent="0" bottom="0">
      <formula>AND(ISNUMBER(L105),COUNTIFS('Data - Monthly Metrics'!$A:$A,$B$4,'Data - Monthly Metrics'!$B:$B,L$8,'Data - Monthly Metrics'!$C:$C,"North King",'Data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Metrics'!$C:$C,"North King",'Data - Monthly Metrics'!$D:$D,"Goal - Penetration %")&gt;0,N105&gt;=SUMIFS('Data - Monthly Metrics'!$E:$E,'Data - Monthly Metrics'!$A:$A,$B$4,'Data - Monthly Metrics'!$B:$B,N$8,'Data - Monthly Metrics'!$C:$C,"North King",'Data - Monthly Metrics'!$D:$D,"Goal - Penetration %"))</formula>
    </cfRule>
    <cfRule type="expression" rank="0" priority="254" equalAverage="0" aboveAverage="0" dxfId="2" stopIfTrue="1" text="" percent="0" bottom="0">
      <formula>AND(ISNUMBER(N105),COUNTIFS('Data - Monthly Metrics'!$A:$A,$B$4,'Data - Monthly Metrics'!$B:$B,N$8,'Data - Monthly Metrics'!$C:$C,"North King",'Data - Monthly Metrics'!$D:$D,"Goal - Penetration %")&gt;0,N105&gt;=SUMIFS('Data - Monthly Metrics'!$E:$E,'Data - Monthly Metrics'!$A:$A,$B$4,'Data - Monthly Metrics'!$B:$B,N$8,'Data - Monthly Metrics'!$C:$C,"North King",'Data - Monthly Metrics'!$D:$D,"Goal - Penetration %")-0.05)</formula>
    </cfRule>
    <cfRule type="expression" rank="0" priority="255" equalAverage="0" aboveAverage="0" dxfId="1" stopIfTrue="1" text="" percent="0" bottom="0">
      <formula>AND(ISNUMBER(N105),COUNTIFS('Data - Monthly Metrics'!$A:$A,$B$4,'Data - Monthly Metrics'!$B:$B,N$8,'Data - Monthly Metrics'!$C:$C,"North King",'Data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Metrics'!$C:$C,"North King",'Data - Monthly Metrics'!$D:$D,"Goal - Penetration %")&gt;0,O105&gt;=SUMIFS('Data - Monthly Metrics'!$E:$E,'Data - Monthly Metrics'!$A:$A,$B$4,'Data - Monthly Metrics'!$B:$B,O$8,'Data - Monthly Metrics'!$C:$C,"North King",'Data - Monthly Metrics'!$D:$D,"Goal - Penetration %"))</formula>
    </cfRule>
    <cfRule type="expression" rank="0" priority="257" equalAverage="0" aboveAverage="0" dxfId="2" stopIfTrue="1" text="" percent="0" bottom="0">
      <formula>AND(ISNUMBER(O105),COUNTIFS('Data - Monthly Metrics'!$A:$A,$B$4,'Data - Monthly Metrics'!$B:$B,O$8,'Data - Monthly Metrics'!$C:$C,"North King",'Data - Monthly Metrics'!$D:$D,"Goal - Penetration %")&gt;0,O105&gt;=SUMIFS('Data - Monthly Metrics'!$E:$E,'Data - Monthly Metrics'!$A:$A,$B$4,'Data - Monthly Metrics'!$B:$B,O$8,'Data - Monthly Metrics'!$C:$C,"North King",'Data - Monthly Metrics'!$D:$D,"Goal - Penetration %")-0.05)</formula>
    </cfRule>
    <cfRule type="expression" rank="0" priority="258" equalAverage="0" aboveAverage="0" dxfId="1" stopIfTrue="1" text="" percent="0" bottom="0">
      <formula>AND(ISNUMBER(O105),COUNTIFS('Data - Monthly Metrics'!$A:$A,$B$4,'Data - Monthly Metrics'!$B:$B,O$8,'Data - Monthly Metrics'!$C:$C,"North King",'Data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Metrics'!$C:$C,"North King",'Data - Monthly Metrics'!$D:$D,"Goal - Penetration %")&gt;0,P105&gt;=SUMIFS('Data - Monthly Metrics'!$E:$E,'Data - Monthly Metrics'!$A:$A,$B$4,'Data - Monthly Metrics'!$B:$B,P$8,'Data - Monthly Metrics'!$C:$C,"North King",'Data - Monthly Metrics'!$D:$D,"Goal - Penetration %"))</formula>
    </cfRule>
    <cfRule type="expression" rank="0" priority="260" equalAverage="0" aboveAverage="0" dxfId="2" stopIfTrue="1" text="" percent="0" bottom="0">
      <formula>AND(ISNUMBER(P105),COUNTIFS('Data - Monthly Metrics'!$A:$A,$B$4,'Data - Monthly Metrics'!$B:$B,P$8,'Data - Monthly Metrics'!$C:$C,"North King",'Data - Monthly Metrics'!$D:$D,"Goal - Penetration %")&gt;0,P105&gt;=SUMIFS('Data - Monthly Metrics'!$E:$E,'Data - Monthly Metrics'!$A:$A,$B$4,'Data - Monthly Metrics'!$B:$B,P$8,'Data - Monthly Metrics'!$C:$C,"North King",'Data - Monthly Metrics'!$D:$D,"Goal - Penetration %")-0.05)</formula>
    </cfRule>
    <cfRule type="expression" rank="0" priority="261" equalAverage="0" aboveAverage="0" dxfId="1" stopIfTrue="1" text="" percent="0" bottom="0">
      <formula>AND(ISNUMBER(P105),COUNTIFS('Data - Monthly Metrics'!$A:$A,$B$4,'Data - Monthly Metrics'!$B:$B,P$8,'Data - Monthly Metrics'!$C:$C,"North King",'Data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Metrics'!$C:$C,"North King",'Data - Monthly Metrics'!$D:$D,"Goal - Penetration %")&gt;0,B106&gt;=SUMIFS('Data - Monthly Metrics'!$E:$E,'Data - Monthly Metrics'!$A:$A,$B$4-1,'Data - Monthly Metrics'!$B:$B,B$8,'Data - Monthly Metrics'!$C:$C,"North King",'Data - Monthly Metrics'!$D:$D,"Goal - Penetration %"))</formula>
    </cfRule>
    <cfRule type="expression" rank="0" priority="263" equalAverage="0" aboveAverage="0" dxfId="2" stopIfTrue="1" text="" percent="0" bottom="0">
      <formula>AND(ISNUMBER(B106),COUNTIFS('Data - Monthly Metrics'!$A:$A,$B$4-1,'Data - Monthly Metrics'!$B:$B,B$8,'Data - Monthly Metrics'!$C:$C,"North King",'Data - Monthly Metrics'!$D:$D,"Goal - Penetration %")&gt;0,B106&gt;=SUMIFS('Data - Monthly Metrics'!$E:$E,'Data - Monthly Metrics'!$A:$A,$B$4-1,'Data - Monthly Metrics'!$B:$B,B$8,'Data - Monthly Metrics'!$C:$C,"North King",'Data - Monthly Metrics'!$D:$D,"Goal - Penetration %")-0.05)</formula>
    </cfRule>
    <cfRule type="expression" rank="0" priority="264" equalAverage="0" aboveAverage="0" dxfId="1" stopIfTrue="1" text="" percent="0" bottom="0">
      <formula>AND(ISNUMBER(B106),COUNTIFS('Data - Monthly Metrics'!$A:$A,$B$4-1,'Data - Monthly Metrics'!$B:$B,B$8,'Data - Monthly Metrics'!$C:$C,"North King",'Data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Metrics'!$C:$C,"North King",'Data - Monthly Metrics'!$D:$D,"Goal - Penetration %")&gt;0,C106&gt;=SUMIFS('Data - Monthly Metrics'!$E:$E,'Data - Monthly Metrics'!$A:$A,$B$4-1,'Data - Monthly Metrics'!$B:$B,C$8,'Data - Monthly Metrics'!$C:$C,"North King",'Data - Monthly Metrics'!$D:$D,"Goal - Penetration %"))</formula>
    </cfRule>
    <cfRule type="expression" rank="0" priority="266" equalAverage="0" aboveAverage="0" dxfId="2" stopIfTrue="1" text="" percent="0" bottom="0">
      <formula>AND(ISNUMBER(C106),COUNTIFS('Data - Monthly Metrics'!$A:$A,$B$4-1,'Data - Monthly Metrics'!$B:$B,C$8,'Data - Monthly Metrics'!$C:$C,"North King",'Data - Monthly Metrics'!$D:$D,"Goal - Penetration %")&gt;0,C106&gt;=SUMIFS('Data - Monthly Metrics'!$E:$E,'Data - Monthly Metrics'!$A:$A,$B$4-1,'Data - Monthly Metrics'!$B:$B,C$8,'Data - Monthly Metrics'!$C:$C,"North King",'Data - Monthly Metrics'!$D:$D,"Goal - Penetration %")-0.05)</formula>
    </cfRule>
    <cfRule type="expression" rank="0" priority="267" equalAverage="0" aboveAverage="0" dxfId="1" stopIfTrue="1" text="" percent="0" bottom="0">
      <formula>AND(ISNUMBER(C106),COUNTIFS('Data - Monthly Metrics'!$A:$A,$B$4-1,'Data - Monthly Metrics'!$B:$B,C$8,'Data - Monthly Metrics'!$C:$C,"North King",'Data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Metrics'!$C:$C,"North King",'Data - Monthly Metrics'!$D:$D,"Goal - Penetration %")&gt;0,D106&gt;=SUMIFS('Data - Monthly Metrics'!$E:$E,'Data - Monthly Metrics'!$A:$A,$B$4-1,'Data - Monthly Metrics'!$B:$B,D$8,'Data - Monthly Metrics'!$C:$C,"North King",'Data - Monthly Metrics'!$D:$D,"Goal - Penetration %"))</formula>
    </cfRule>
    <cfRule type="expression" rank="0" priority="269" equalAverage="0" aboveAverage="0" dxfId="2" stopIfTrue="1" text="" percent="0" bottom="0">
      <formula>AND(ISNUMBER(D106),COUNTIFS('Data - Monthly Metrics'!$A:$A,$B$4-1,'Data - Monthly Metrics'!$B:$B,D$8,'Data - Monthly Metrics'!$C:$C,"North King",'Data - Monthly Metrics'!$D:$D,"Goal - Penetration %")&gt;0,D106&gt;=SUMIFS('Data - Monthly Metrics'!$E:$E,'Data - Monthly Metrics'!$A:$A,$B$4-1,'Data - Monthly Metrics'!$B:$B,D$8,'Data - Monthly Metrics'!$C:$C,"North King",'Data - Monthly Metrics'!$D:$D,"Goal - Penetration %")-0.05)</formula>
    </cfRule>
    <cfRule type="expression" rank="0" priority="270" equalAverage="0" aboveAverage="0" dxfId="1" stopIfTrue="1" text="" percent="0" bottom="0">
      <formula>AND(ISNUMBER(D106),COUNTIFS('Data - Monthly Metrics'!$A:$A,$B$4-1,'Data - Monthly Metrics'!$B:$B,D$8,'Data - Monthly Metrics'!$C:$C,"North King",'Data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Metrics'!$C:$C,"North King",'Data - Monthly Metrics'!$D:$D,"Goal - Penetration %")&gt;0,F106&gt;=SUMIFS('Data - Monthly Metrics'!$E:$E,'Data - Monthly Metrics'!$A:$A,$B$4,'Data - Monthly Metrics'!$B:$B,F$8,'Data - Monthly Metrics'!$C:$C,"North King",'Data - Monthly Metrics'!$D:$D,"Goal - Penetration %"))</formula>
    </cfRule>
    <cfRule type="expression" rank="0" priority="272" equalAverage="0" aboveAverage="0" dxfId="2" stopIfTrue="1" text="" percent="0" bottom="0">
      <formula>AND(ISNUMBER(F106),COUNTIFS('Data - Monthly Metrics'!$A:$A,$B$4,'Data - Monthly Metrics'!$B:$B,F$8,'Data - Monthly Metrics'!$C:$C,"North King",'Data - Monthly Metrics'!$D:$D,"Goal - Penetration %")&gt;0,F106&gt;=SUMIFS('Data - Monthly Metrics'!$E:$E,'Data - Monthly Metrics'!$A:$A,$B$4,'Data - Monthly Metrics'!$B:$B,F$8,'Data - Monthly Metrics'!$C:$C,"North King",'Data - Monthly Metrics'!$D:$D,"Goal - Penetration %")-0.05)</formula>
    </cfRule>
    <cfRule type="expression" rank="0" priority="273" equalAverage="0" aboveAverage="0" dxfId="1" stopIfTrue="1" text="" percent="0" bottom="0">
      <formula>AND(ISNUMBER(F106),COUNTIFS('Data - Monthly Metrics'!$A:$A,$B$4,'Data - Monthly Metrics'!$B:$B,F$8,'Data - Monthly Metrics'!$C:$C,"North King",'Data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Metrics'!$C:$C,"North King",'Data - Monthly Metrics'!$D:$D,"Goal - Penetration %")&gt;0,G106&gt;=SUMIFS('Data - Monthly Metrics'!$E:$E,'Data - Monthly Metrics'!$A:$A,$B$4,'Data - Monthly Metrics'!$B:$B,G$8,'Data - Monthly Metrics'!$C:$C,"North King",'Data - Monthly Metrics'!$D:$D,"Goal - Penetration %"))</formula>
    </cfRule>
    <cfRule type="expression" rank="0" priority="275" equalAverage="0" aboveAverage="0" dxfId="2" stopIfTrue="1" text="" percent="0" bottom="0">
      <formula>AND(ISNUMBER(G106),COUNTIFS('Data - Monthly Metrics'!$A:$A,$B$4,'Data - Monthly Metrics'!$B:$B,G$8,'Data - Monthly Metrics'!$C:$C,"North King",'Data - Monthly Metrics'!$D:$D,"Goal - Penetration %")&gt;0,G106&gt;=SUMIFS('Data - Monthly Metrics'!$E:$E,'Data - Monthly Metrics'!$A:$A,$B$4,'Data - Monthly Metrics'!$B:$B,G$8,'Data - Monthly Metrics'!$C:$C,"North King",'Data - Monthly Metrics'!$D:$D,"Goal - Penetration %")-0.05)</formula>
    </cfRule>
    <cfRule type="expression" rank="0" priority="276" equalAverage="0" aboveAverage="0" dxfId="1" stopIfTrue="1" text="" percent="0" bottom="0">
      <formula>AND(ISNUMBER(G106),COUNTIFS('Data - Monthly Metrics'!$A:$A,$B$4,'Data - Monthly Metrics'!$B:$B,G$8,'Data - Monthly Metrics'!$C:$C,"North King",'Data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Metrics'!$C:$C,"North King",'Data - Monthly Metrics'!$D:$D,"Goal - Penetration %")&gt;0,H106&gt;=SUMIFS('Data - Monthly Metrics'!$E:$E,'Data - Monthly Metrics'!$A:$A,$B$4,'Data - Monthly Metrics'!$B:$B,H$8,'Data - Monthly Metrics'!$C:$C,"North King",'Data - Monthly Metrics'!$D:$D,"Goal - Penetration %"))</formula>
    </cfRule>
    <cfRule type="expression" rank="0" priority="278" equalAverage="0" aboveAverage="0" dxfId="2" stopIfTrue="1" text="" percent="0" bottom="0">
      <formula>AND(ISNUMBER(H106),COUNTIFS('Data - Monthly Metrics'!$A:$A,$B$4,'Data - Monthly Metrics'!$B:$B,H$8,'Data - Monthly Metrics'!$C:$C,"North King",'Data - Monthly Metrics'!$D:$D,"Goal - Penetration %")&gt;0,H106&gt;=SUMIFS('Data - Monthly Metrics'!$E:$E,'Data - Monthly Metrics'!$A:$A,$B$4,'Data - Monthly Metrics'!$B:$B,H$8,'Data - Monthly Metrics'!$C:$C,"North King",'Data - Monthly Metrics'!$D:$D,"Goal - Penetration %")-0.05)</formula>
    </cfRule>
    <cfRule type="expression" rank="0" priority="279" equalAverage="0" aboveAverage="0" dxfId="1" stopIfTrue="1" text="" percent="0" bottom="0">
      <formula>AND(ISNUMBER(H106),COUNTIFS('Data - Monthly Metrics'!$A:$A,$B$4,'Data - Monthly Metrics'!$B:$B,H$8,'Data - Monthly Metrics'!$C:$C,"North King",'Data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Metrics'!$C:$C,"North King",'Data - Monthly Metrics'!$D:$D,"Goal - Penetration %")&gt;0,J106&gt;=SUMIFS('Data - Monthly Metrics'!$E:$E,'Data - Monthly Metrics'!$A:$A,$B$4,'Data - Monthly Metrics'!$B:$B,J$8,'Data - Monthly Metrics'!$C:$C,"North King",'Data - Monthly Metrics'!$D:$D,"Goal - Penetration %"))</formula>
    </cfRule>
    <cfRule type="expression" rank="0" priority="281" equalAverage="0" aboveAverage="0" dxfId="2" stopIfTrue="1" text="" percent="0" bottom="0">
      <formula>AND(ISNUMBER(J106),COUNTIFS('Data - Monthly Metrics'!$A:$A,$B$4,'Data - Monthly Metrics'!$B:$B,J$8,'Data - Monthly Metrics'!$C:$C,"North King",'Data - Monthly Metrics'!$D:$D,"Goal - Penetration %")&gt;0,J106&gt;=SUMIFS('Data - Monthly Metrics'!$E:$E,'Data - Monthly Metrics'!$A:$A,$B$4,'Data - Monthly Metrics'!$B:$B,J$8,'Data - Monthly Metrics'!$C:$C,"North King",'Data - Monthly Metrics'!$D:$D,"Goal - Penetration %")-0.05)</formula>
    </cfRule>
    <cfRule type="expression" rank="0" priority="282" equalAverage="0" aboveAverage="0" dxfId="1" stopIfTrue="1" text="" percent="0" bottom="0">
      <formula>AND(ISNUMBER(J106),COUNTIFS('Data - Monthly Metrics'!$A:$A,$B$4,'Data - Monthly Metrics'!$B:$B,J$8,'Data - Monthly Metrics'!$C:$C,"North King",'Data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Metrics'!$C:$C,"North King",'Data - Monthly Metrics'!$D:$D,"Goal - Penetration %")&gt;0,K106&gt;=SUMIFS('Data - Monthly Metrics'!$E:$E,'Data - Monthly Metrics'!$A:$A,$B$4,'Data - Monthly Metrics'!$B:$B,K$8,'Data - Monthly Metrics'!$C:$C,"North King",'Data - Monthly Metrics'!$D:$D,"Goal - Penetration %"))</formula>
    </cfRule>
    <cfRule type="expression" rank="0" priority="284" equalAverage="0" aboveAverage="0" dxfId="2" stopIfTrue="1" text="" percent="0" bottom="0">
      <formula>AND(ISNUMBER(K106),COUNTIFS('Data - Monthly Metrics'!$A:$A,$B$4,'Data - Monthly Metrics'!$B:$B,K$8,'Data - Monthly Metrics'!$C:$C,"North King",'Data - Monthly Metrics'!$D:$D,"Goal - Penetration %")&gt;0,K106&gt;=SUMIFS('Data - Monthly Metrics'!$E:$E,'Data - Monthly Metrics'!$A:$A,$B$4,'Data - Monthly Metrics'!$B:$B,K$8,'Data - Monthly Metrics'!$C:$C,"North King",'Data - Monthly Metrics'!$D:$D,"Goal - Penetration %")-0.05)</formula>
    </cfRule>
    <cfRule type="expression" rank="0" priority="285" equalAverage="0" aboveAverage="0" dxfId="1" stopIfTrue="1" text="" percent="0" bottom="0">
      <formula>AND(ISNUMBER(K106),COUNTIFS('Data - Monthly Metrics'!$A:$A,$B$4,'Data - Monthly Metrics'!$B:$B,K$8,'Data - Monthly Metrics'!$C:$C,"North King",'Data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Metrics'!$C:$C,"North King",'Data - Monthly Metrics'!$D:$D,"Goal - Penetration %")&gt;0,L106&gt;=SUMIFS('Data - Monthly Metrics'!$E:$E,'Data - Monthly Metrics'!$A:$A,$B$4,'Data - Monthly Metrics'!$B:$B,L$8,'Data - Monthly Metrics'!$C:$C,"North King",'Data - Monthly Metrics'!$D:$D,"Goal - Penetration %"))</formula>
    </cfRule>
    <cfRule type="expression" rank="0" priority="287" equalAverage="0" aboveAverage="0" dxfId="2" stopIfTrue="1" text="" percent="0" bottom="0">
      <formula>AND(ISNUMBER(L106),COUNTIFS('Data - Monthly Metrics'!$A:$A,$B$4,'Data - Monthly Metrics'!$B:$B,L$8,'Data - Monthly Metrics'!$C:$C,"North King",'Data - Monthly Metrics'!$D:$D,"Goal - Penetration %")&gt;0,L106&gt;=SUMIFS('Data - Monthly Metrics'!$E:$E,'Data - Monthly Metrics'!$A:$A,$B$4,'Data - Monthly Metrics'!$B:$B,L$8,'Data - Monthly Metrics'!$C:$C,"North King",'Data - Monthly Metrics'!$D:$D,"Goal - Penetration %")-0.05)</formula>
    </cfRule>
    <cfRule type="expression" rank="0" priority="288" equalAverage="0" aboveAverage="0" dxfId="1" stopIfTrue="1" text="" percent="0" bottom="0">
      <formula>AND(ISNUMBER(L106),COUNTIFS('Data - Monthly Metrics'!$A:$A,$B$4,'Data - Monthly Metrics'!$B:$B,L$8,'Data - Monthly Metrics'!$C:$C,"North King",'Data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Metrics'!$C:$C,"North King",'Data - Monthly Metrics'!$D:$D,"Goal - Penetration %")&gt;0,N106&gt;=SUMIFS('Data - Monthly Metrics'!$E:$E,'Data - Monthly Metrics'!$A:$A,$B$4,'Data - Monthly Metrics'!$B:$B,N$8,'Data - Monthly Metrics'!$C:$C,"North King",'Data - Monthly Metrics'!$D:$D,"Goal - Penetration %"))</formula>
    </cfRule>
    <cfRule type="expression" rank="0" priority="290" equalAverage="0" aboveAverage="0" dxfId="2" stopIfTrue="1" text="" percent="0" bottom="0">
      <formula>AND(ISNUMBER(N106),COUNTIFS('Data - Monthly Metrics'!$A:$A,$B$4,'Data - Monthly Metrics'!$B:$B,N$8,'Data - Monthly Metrics'!$C:$C,"North King",'Data - Monthly Metrics'!$D:$D,"Goal - Penetration %")&gt;0,N106&gt;=SUMIFS('Data - Monthly Metrics'!$E:$E,'Data - Monthly Metrics'!$A:$A,$B$4,'Data - Monthly Metrics'!$B:$B,N$8,'Data - Monthly Metrics'!$C:$C,"North King",'Data - Monthly Metrics'!$D:$D,"Goal - Penetration %")-0.05)</formula>
    </cfRule>
    <cfRule type="expression" rank="0" priority="291" equalAverage="0" aboveAverage="0" dxfId="1" stopIfTrue="1" text="" percent="0" bottom="0">
      <formula>AND(ISNUMBER(N106),COUNTIFS('Data - Monthly Metrics'!$A:$A,$B$4,'Data - Monthly Metrics'!$B:$B,N$8,'Data - Monthly Metrics'!$C:$C,"North King",'Data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Metrics'!$C:$C,"North King",'Data - Monthly Metrics'!$D:$D,"Goal - Penetration %")&gt;0,O106&gt;=SUMIFS('Data - Monthly Metrics'!$E:$E,'Data - Monthly Metrics'!$A:$A,$B$4,'Data - Monthly Metrics'!$B:$B,O$8,'Data - Monthly Metrics'!$C:$C,"North King",'Data - Monthly Metrics'!$D:$D,"Goal - Penetration %"))</formula>
    </cfRule>
    <cfRule type="expression" rank="0" priority="293" equalAverage="0" aboveAverage="0" dxfId="2" stopIfTrue="1" text="" percent="0" bottom="0">
      <formula>AND(ISNUMBER(O106),COUNTIFS('Data - Monthly Metrics'!$A:$A,$B$4,'Data - Monthly Metrics'!$B:$B,O$8,'Data - Monthly Metrics'!$C:$C,"North King",'Data - Monthly Metrics'!$D:$D,"Goal - Penetration %")&gt;0,O106&gt;=SUMIFS('Data - Monthly Metrics'!$E:$E,'Data - Monthly Metrics'!$A:$A,$B$4,'Data - Monthly Metrics'!$B:$B,O$8,'Data - Monthly Metrics'!$C:$C,"North King",'Data - Monthly Metrics'!$D:$D,"Goal - Penetration %")-0.05)</formula>
    </cfRule>
    <cfRule type="expression" rank="0" priority="294" equalAverage="0" aboveAverage="0" dxfId="1" stopIfTrue="1" text="" percent="0" bottom="0">
      <formula>AND(ISNUMBER(O106),COUNTIFS('Data - Monthly Metrics'!$A:$A,$B$4,'Data - Monthly Metrics'!$B:$B,O$8,'Data - Monthly Metrics'!$C:$C,"North King",'Data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Metrics'!$C:$C,"North King",'Data - Monthly Metrics'!$D:$D,"Goal - Penetration %")&gt;0,P106&gt;=SUMIFS('Data - Monthly Metrics'!$E:$E,'Data - Monthly Metrics'!$A:$A,$B$4,'Data - Monthly Metrics'!$B:$B,P$8,'Data - Monthly Metrics'!$C:$C,"North King",'Data - Monthly Metrics'!$D:$D,"Goal - Penetration %"))</formula>
    </cfRule>
    <cfRule type="expression" rank="0" priority="296" equalAverage="0" aboveAverage="0" dxfId="2" stopIfTrue="1" text="" percent="0" bottom="0">
      <formula>AND(ISNUMBER(P106),COUNTIFS('Data - Monthly Metrics'!$A:$A,$B$4,'Data - Monthly Metrics'!$B:$B,P$8,'Data - Monthly Metrics'!$C:$C,"North King",'Data - Monthly Metrics'!$D:$D,"Goal - Penetration %")&gt;0,P106&gt;=SUMIFS('Data - Monthly Metrics'!$E:$E,'Data - Monthly Metrics'!$A:$A,$B$4,'Data - Monthly Metrics'!$B:$B,P$8,'Data - Monthly Metrics'!$C:$C,"North King",'Data - Monthly Metrics'!$D:$D,"Goal - Penetration %")-0.05)</formula>
    </cfRule>
    <cfRule type="expression" rank="0" priority="297" equalAverage="0" aboveAverage="0" dxfId="1" stopIfTrue="1" text="" percent="0" bottom="0">
      <formula>AND(ISNUMBER(P106),COUNTIFS('Data - Monthly Metrics'!$A:$A,$B$4,'Data - Monthly Metrics'!$B:$B,P$8,'Data - Monthly Metrics'!$C:$C,"North King",'Data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Metrics'!$C:$C,"North King",'Data - Monthly Metrics'!$D:$D,"Goal - Penetration %")&gt;0,B107&gt;=SUMIFS('Data - Monthly Metrics'!$E:$E,'Data - Monthly Metrics'!$A:$A,$B$4-1,'Data - Monthly Metrics'!$B:$B,B$8,'Data - Monthly Metrics'!$C:$C,"North King",'Data - Monthly Metrics'!$D:$D,"Goal - Penetration %"))</formula>
    </cfRule>
    <cfRule type="expression" rank="0" priority="299" equalAverage="0" aboveAverage="0" dxfId="2" stopIfTrue="1" text="" percent="0" bottom="0">
      <formula>AND(ISNUMBER(B107),COUNTIFS('Data - Monthly Metrics'!$A:$A,$B$4-1,'Data - Monthly Metrics'!$B:$B,B$8,'Data - Monthly Metrics'!$C:$C,"North King",'Data - Monthly Metrics'!$D:$D,"Goal - Penetration %")&gt;0,B107&gt;=SUMIFS('Data - Monthly Metrics'!$E:$E,'Data - Monthly Metrics'!$A:$A,$B$4-1,'Data - Monthly Metrics'!$B:$B,B$8,'Data - Monthly Metrics'!$C:$C,"North King",'Data - Monthly Metrics'!$D:$D,"Goal - Penetration %")-0.05)</formula>
    </cfRule>
    <cfRule type="expression" rank="0" priority="300" equalAverage="0" aboveAverage="0" dxfId="1" stopIfTrue="1" text="" percent="0" bottom="0">
      <formula>AND(ISNUMBER(B107),COUNTIFS('Data - Monthly Metrics'!$A:$A,$B$4-1,'Data - Monthly Metrics'!$B:$B,B$8,'Data - Monthly Metrics'!$C:$C,"North King",'Data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Metrics'!$C:$C,"North King",'Data - Monthly Metrics'!$D:$D,"Goal - Penetration %")&gt;0,C107&gt;=SUMIFS('Data - Monthly Metrics'!$E:$E,'Data - Monthly Metrics'!$A:$A,$B$4-1,'Data - Monthly Metrics'!$B:$B,C$8,'Data - Monthly Metrics'!$C:$C,"North King",'Data - Monthly Metrics'!$D:$D,"Goal - Penetration %"))</formula>
    </cfRule>
    <cfRule type="expression" rank="0" priority="302" equalAverage="0" aboveAverage="0" dxfId="2" stopIfTrue="1" text="" percent="0" bottom="0">
      <formula>AND(ISNUMBER(C107),COUNTIFS('Data - Monthly Metrics'!$A:$A,$B$4-1,'Data - Monthly Metrics'!$B:$B,C$8,'Data - Monthly Metrics'!$C:$C,"North King",'Data - Monthly Metrics'!$D:$D,"Goal - Penetration %")&gt;0,C107&gt;=SUMIFS('Data - Monthly Metrics'!$E:$E,'Data - Monthly Metrics'!$A:$A,$B$4-1,'Data - Monthly Metrics'!$B:$B,C$8,'Data - Monthly Metrics'!$C:$C,"North King",'Data - Monthly Metrics'!$D:$D,"Goal - Penetration %")-0.05)</formula>
    </cfRule>
    <cfRule type="expression" rank="0" priority="303" equalAverage="0" aboveAverage="0" dxfId="1" stopIfTrue="1" text="" percent="0" bottom="0">
      <formula>AND(ISNUMBER(C107),COUNTIFS('Data - Monthly Metrics'!$A:$A,$B$4-1,'Data - Monthly Metrics'!$B:$B,C$8,'Data - Monthly Metrics'!$C:$C,"North King",'Data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Metrics'!$C:$C,"North King",'Data - Monthly Metrics'!$D:$D,"Goal - Penetration %")&gt;0,D107&gt;=SUMIFS('Data - Monthly Metrics'!$E:$E,'Data - Monthly Metrics'!$A:$A,$B$4-1,'Data - Monthly Metrics'!$B:$B,D$8,'Data - Monthly Metrics'!$C:$C,"North King",'Data - Monthly Metrics'!$D:$D,"Goal - Penetration %"))</formula>
    </cfRule>
    <cfRule type="expression" rank="0" priority="305" equalAverage="0" aboveAverage="0" dxfId="2" stopIfTrue="1" text="" percent="0" bottom="0">
      <formula>AND(ISNUMBER(D107),COUNTIFS('Data - Monthly Metrics'!$A:$A,$B$4-1,'Data - Monthly Metrics'!$B:$B,D$8,'Data - Monthly Metrics'!$C:$C,"North King",'Data - Monthly Metrics'!$D:$D,"Goal - Penetration %")&gt;0,D107&gt;=SUMIFS('Data - Monthly Metrics'!$E:$E,'Data - Monthly Metrics'!$A:$A,$B$4-1,'Data - Monthly Metrics'!$B:$B,D$8,'Data - Monthly Metrics'!$C:$C,"North King",'Data - Monthly Metrics'!$D:$D,"Goal - Penetration %")-0.05)</formula>
    </cfRule>
    <cfRule type="expression" rank="0" priority="306" equalAverage="0" aboveAverage="0" dxfId="1" stopIfTrue="1" text="" percent="0" bottom="0">
      <formula>AND(ISNUMBER(D107),COUNTIFS('Data - Monthly Metrics'!$A:$A,$B$4-1,'Data - Monthly Metrics'!$B:$B,D$8,'Data - Monthly Metrics'!$C:$C,"North King",'Data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Metrics'!$C:$C,"North King",'Data - Monthly Metrics'!$D:$D,"Goal - Penetration %")&gt;0,F107&gt;=SUMIFS('Data - Monthly Metrics'!$E:$E,'Data - Monthly Metrics'!$A:$A,$B$4,'Data - Monthly Metrics'!$B:$B,F$8,'Data - Monthly Metrics'!$C:$C,"North King",'Data - Monthly Metrics'!$D:$D,"Goal - Penetration %"))</formula>
    </cfRule>
    <cfRule type="expression" rank="0" priority="308" equalAverage="0" aboveAverage="0" dxfId="2" stopIfTrue="1" text="" percent="0" bottom="0">
      <formula>AND(ISNUMBER(F107),COUNTIFS('Data - Monthly Metrics'!$A:$A,$B$4,'Data - Monthly Metrics'!$B:$B,F$8,'Data - Monthly Metrics'!$C:$C,"North King",'Data - Monthly Metrics'!$D:$D,"Goal - Penetration %")&gt;0,F107&gt;=SUMIFS('Data - Monthly Metrics'!$E:$E,'Data - Monthly Metrics'!$A:$A,$B$4,'Data - Monthly Metrics'!$B:$B,F$8,'Data - Monthly Metrics'!$C:$C,"North King",'Data - Monthly Metrics'!$D:$D,"Goal - Penetration %")-0.05)</formula>
    </cfRule>
    <cfRule type="expression" rank="0" priority="309" equalAverage="0" aboveAverage="0" dxfId="1" stopIfTrue="1" text="" percent="0" bottom="0">
      <formula>AND(ISNUMBER(F107),COUNTIFS('Data - Monthly Metrics'!$A:$A,$B$4,'Data - Monthly Metrics'!$B:$B,F$8,'Data - Monthly Metrics'!$C:$C,"North King",'Data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Metrics'!$C:$C,"North King",'Data - Monthly Metrics'!$D:$D,"Goal - Penetration %")&gt;0,G107&gt;=SUMIFS('Data - Monthly Metrics'!$E:$E,'Data - Monthly Metrics'!$A:$A,$B$4,'Data - Monthly Metrics'!$B:$B,G$8,'Data - Monthly Metrics'!$C:$C,"North King",'Data - Monthly Metrics'!$D:$D,"Goal - Penetration %"))</formula>
    </cfRule>
    <cfRule type="expression" rank="0" priority="311" equalAverage="0" aboveAverage="0" dxfId="2" stopIfTrue="1" text="" percent="0" bottom="0">
      <formula>AND(ISNUMBER(G107),COUNTIFS('Data - Monthly Metrics'!$A:$A,$B$4,'Data - Monthly Metrics'!$B:$B,G$8,'Data - Monthly Metrics'!$C:$C,"North King",'Data - Monthly Metrics'!$D:$D,"Goal - Penetration %")&gt;0,G107&gt;=SUMIFS('Data - Monthly Metrics'!$E:$E,'Data - Monthly Metrics'!$A:$A,$B$4,'Data - Monthly Metrics'!$B:$B,G$8,'Data - Monthly Metrics'!$C:$C,"North King",'Data - Monthly Metrics'!$D:$D,"Goal - Penetration %")-0.05)</formula>
    </cfRule>
    <cfRule type="expression" rank="0" priority="312" equalAverage="0" aboveAverage="0" dxfId="1" stopIfTrue="1" text="" percent="0" bottom="0">
      <formula>AND(ISNUMBER(G107),COUNTIFS('Data - Monthly Metrics'!$A:$A,$B$4,'Data - Monthly Metrics'!$B:$B,G$8,'Data - Monthly Metrics'!$C:$C,"North King",'Data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Metrics'!$C:$C,"North King",'Data - Monthly Metrics'!$D:$D,"Goal - Penetration %")&gt;0,H107&gt;=SUMIFS('Data - Monthly Metrics'!$E:$E,'Data - Monthly Metrics'!$A:$A,$B$4,'Data - Monthly Metrics'!$B:$B,H$8,'Data - Monthly Metrics'!$C:$C,"North King",'Data - Monthly Metrics'!$D:$D,"Goal - Penetration %"))</formula>
    </cfRule>
    <cfRule type="expression" rank="0" priority="314" equalAverage="0" aboveAverage="0" dxfId="2" stopIfTrue="1" text="" percent="0" bottom="0">
      <formula>AND(ISNUMBER(H107),COUNTIFS('Data - Monthly Metrics'!$A:$A,$B$4,'Data - Monthly Metrics'!$B:$B,H$8,'Data - Monthly Metrics'!$C:$C,"North King",'Data - Monthly Metrics'!$D:$D,"Goal - Penetration %")&gt;0,H107&gt;=SUMIFS('Data - Monthly Metrics'!$E:$E,'Data - Monthly Metrics'!$A:$A,$B$4,'Data - Monthly Metrics'!$B:$B,H$8,'Data - Monthly Metrics'!$C:$C,"North King",'Data - Monthly Metrics'!$D:$D,"Goal - Penetration %")-0.05)</formula>
    </cfRule>
    <cfRule type="expression" rank="0" priority="315" equalAverage="0" aboveAverage="0" dxfId="1" stopIfTrue="1" text="" percent="0" bottom="0">
      <formula>AND(ISNUMBER(H107),COUNTIFS('Data - Monthly Metrics'!$A:$A,$B$4,'Data - Monthly Metrics'!$B:$B,H$8,'Data - Monthly Metrics'!$C:$C,"North King",'Data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Metrics'!$C:$C,"North King",'Data - Monthly Metrics'!$D:$D,"Goal - Penetration %")&gt;0,J107&gt;=SUMIFS('Data - Monthly Metrics'!$E:$E,'Data - Monthly Metrics'!$A:$A,$B$4,'Data - Monthly Metrics'!$B:$B,J$8,'Data - Monthly Metrics'!$C:$C,"North King",'Data - Monthly Metrics'!$D:$D,"Goal - Penetration %"))</formula>
    </cfRule>
    <cfRule type="expression" rank="0" priority="317" equalAverage="0" aboveAverage="0" dxfId="2" stopIfTrue="1" text="" percent="0" bottom="0">
      <formula>AND(ISNUMBER(J107),COUNTIFS('Data - Monthly Metrics'!$A:$A,$B$4,'Data - Monthly Metrics'!$B:$B,J$8,'Data - Monthly Metrics'!$C:$C,"North King",'Data - Monthly Metrics'!$D:$D,"Goal - Penetration %")&gt;0,J107&gt;=SUMIFS('Data - Monthly Metrics'!$E:$E,'Data - Monthly Metrics'!$A:$A,$B$4,'Data - Monthly Metrics'!$B:$B,J$8,'Data - Monthly Metrics'!$C:$C,"North King",'Data - Monthly Metrics'!$D:$D,"Goal - Penetration %")-0.05)</formula>
    </cfRule>
    <cfRule type="expression" rank="0" priority="318" equalAverage="0" aboveAverage="0" dxfId="1" stopIfTrue="1" text="" percent="0" bottom="0">
      <formula>AND(ISNUMBER(J107),COUNTIFS('Data - Monthly Metrics'!$A:$A,$B$4,'Data - Monthly Metrics'!$B:$B,J$8,'Data - Monthly Metrics'!$C:$C,"North King",'Data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Metrics'!$C:$C,"North King",'Data - Monthly Metrics'!$D:$D,"Goal - Penetration %")&gt;0,K107&gt;=SUMIFS('Data - Monthly Metrics'!$E:$E,'Data - Monthly Metrics'!$A:$A,$B$4,'Data - Monthly Metrics'!$B:$B,K$8,'Data - Monthly Metrics'!$C:$C,"North King",'Data - Monthly Metrics'!$D:$D,"Goal - Penetration %"))</formula>
    </cfRule>
    <cfRule type="expression" rank="0" priority="320" equalAverage="0" aboveAverage="0" dxfId="2" stopIfTrue="1" text="" percent="0" bottom="0">
      <formula>AND(ISNUMBER(K107),COUNTIFS('Data - Monthly Metrics'!$A:$A,$B$4,'Data - Monthly Metrics'!$B:$B,K$8,'Data - Monthly Metrics'!$C:$C,"North King",'Data - Monthly Metrics'!$D:$D,"Goal - Penetration %")&gt;0,K107&gt;=SUMIFS('Data - Monthly Metrics'!$E:$E,'Data - Monthly Metrics'!$A:$A,$B$4,'Data - Monthly Metrics'!$B:$B,K$8,'Data - Monthly Metrics'!$C:$C,"North King",'Data - Monthly Metrics'!$D:$D,"Goal - Penetration %")-0.05)</formula>
    </cfRule>
    <cfRule type="expression" rank="0" priority="321" equalAverage="0" aboveAverage="0" dxfId="1" stopIfTrue="1" text="" percent="0" bottom="0">
      <formula>AND(ISNUMBER(K107),COUNTIFS('Data - Monthly Metrics'!$A:$A,$B$4,'Data - Monthly Metrics'!$B:$B,K$8,'Data - Monthly Metrics'!$C:$C,"North King",'Data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Metrics'!$C:$C,"North King",'Data - Monthly Metrics'!$D:$D,"Goal - Penetration %")&gt;0,L107&gt;=SUMIFS('Data - Monthly Metrics'!$E:$E,'Data - Monthly Metrics'!$A:$A,$B$4,'Data - Monthly Metrics'!$B:$B,L$8,'Data - Monthly Metrics'!$C:$C,"North King",'Data - Monthly Metrics'!$D:$D,"Goal - Penetration %"))</formula>
    </cfRule>
    <cfRule type="expression" rank="0" priority="323" equalAverage="0" aboveAverage="0" dxfId="2" stopIfTrue="1" text="" percent="0" bottom="0">
      <formula>AND(ISNUMBER(L107),COUNTIFS('Data - Monthly Metrics'!$A:$A,$B$4,'Data - Monthly Metrics'!$B:$B,L$8,'Data - Monthly Metrics'!$C:$C,"North King",'Data - Monthly Metrics'!$D:$D,"Goal - Penetration %")&gt;0,L107&gt;=SUMIFS('Data - Monthly Metrics'!$E:$E,'Data - Monthly Metrics'!$A:$A,$B$4,'Data - Monthly Metrics'!$B:$B,L$8,'Data - Monthly Metrics'!$C:$C,"North King",'Data - Monthly Metrics'!$D:$D,"Goal - Penetration %")-0.05)</formula>
    </cfRule>
    <cfRule type="expression" rank="0" priority="324" equalAverage="0" aboveAverage="0" dxfId="1" stopIfTrue="1" text="" percent="0" bottom="0">
      <formula>AND(ISNUMBER(L107),COUNTIFS('Data - Monthly Metrics'!$A:$A,$B$4,'Data - Monthly Metrics'!$B:$B,L$8,'Data - Monthly Metrics'!$C:$C,"North King",'Data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Metrics'!$C:$C,"North King",'Data - Monthly Metrics'!$D:$D,"Goal - Penetration %")&gt;0,N107&gt;=SUMIFS('Data - Monthly Metrics'!$E:$E,'Data - Monthly Metrics'!$A:$A,$B$4,'Data - Monthly Metrics'!$B:$B,N$8,'Data - Monthly Metrics'!$C:$C,"North King",'Data - Monthly Metrics'!$D:$D,"Goal - Penetration %"))</formula>
    </cfRule>
    <cfRule type="expression" rank="0" priority="326" equalAverage="0" aboveAverage="0" dxfId="2" stopIfTrue="1" text="" percent="0" bottom="0">
      <formula>AND(ISNUMBER(N107),COUNTIFS('Data - Monthly Metrics'!$A:$A,$B$4,'Data - Monthly Metrics'!$B:$B,N$8,'Data - Monthly Metrics'!$C:$C,"North King",'Data - Monthly Metrics'!$D:$D,"Goal - Penetration %")&gt;0,N107&gt;=SUMIFS('Data - Monthly Metrics'!$E:$E,'Data - Monthly Metrics'!$A:$A,$B$4,'Data - Monthly Metrics'!$B:$B,N$8,'Data - Monthly Metrics'!$C:$C,"North King",'Data - Monthly Metrics'!$D:$D,"Goal - Penetration %")-0.05)</formula>
    </cfRule>
    <cfRule type="expression" rank="0" priority="327" equalAverage="0" aboveAverage="0" dxfId="1" stopIfTrue="1" text="" percent="0" bottom="0">
      <formula>AND(ISNUMBER(N107),COUNTIFS('Data - Monthly Metrics'!$A:$A,$B$4,'Data - Monthly Metrics'!$B:$B,N$8,'Data - Monthly Metrics'!$C:$C,"North King",'Data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Metrics'!$C:$C,"North King",'Data - Monthly Metrics'!$D:$D,"Goal - Penetration %")&gt;0,O107&gt;=SUMIFS('Data - Monthly Metrics'!$E:$E,'Data - Monthly Metrics'!$A:$A,$B$4,'Data - Monthly Metrics'!$B:$B,O$8,'Data - Monthly Metrics'!$C:$C,"North King",'Data - Monthly Metrics'!$D:$D,"Goal - Penetration %"))</formula>
    </cfRule>
    <cfRule type="expression" rank="0" priority="329" equalAverage="0" aboveAverage="0" dxfId="2" stopIfTrue="1" text="" percent="0" bottom="0">
      <formula>AND(ISNUMBER(O107),COUNTIFS('Data - Monthly Metrics'!$A:$A,$B$4,'Data - Monthly Metrics'!$B:$B,O$8,'Data - Monthly Metrics'!$C:$C,"North King",'Data - Monthly Metrics'!$D:$D,"Goal - Penetration %")&gt;0,O107&gt;=SUMIFS('Data - Monthly Metrics'!$E:$E,'Data - Monthly Metrics'!$A:$A,$B$4,'Data - Monthly Metrics'!$B:$B,O$8,'Data - Monthly Metrics'!$C:$C,"North King",'Data - Monthly Metrics'!$D:$D,"Goal - Penetration %")-0.05)</formula>
    </cfRule>
    <cfRule type="expression" rank="0" priority="330" equalAverage="0" aboveAverage="0" dxfId="1" stopIfTrue="1" text="" percent="0" bottom="0">
      <formula>AND(ISNUMBER(O107),COUNTIFS('Data - Monthly Metrics'!$A:$A,$B$4,'Data - Monthly Metrics'!$B:$B,O$8,'Data - Monthly Metrics'!$C:$C,"North King",'Data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Metrics'!$C:$C,"North King",'Data - Monthly Metrics'!$D:$D,"Goal - Penetration %")&gt;0,P107&gt;=SUMIFS('Data - Monthly Metrics'!$E:$E,'Data - Monthly Metrics'!$A:$A,$B$4,'Data - Monthly Metrics'!$B:$B,P$8,'Data - Monthly Metrics'!$C:$C,"North King",'Data - Monthly Metrics'!$D:$D,"Goal - Penetration %"))</formula>
    </cfRule>
    <cfRule type="expression" rank="0" priority="332" equalAverage="0" aboveAverage="0" dxfId="2" stopIfTrue="1" text="" percent="0" bottom="0">
      <formula>AND(ISNUMBER(P107),COUNTIFS('Data - Monthly Metrics'!$A:$A,$B$4,'Data - Monthly Metrics'!$B:$B,P$8,'Data - Monthly Metrics'!$C:$C,"North King",'Data - Monthly Metrics'!$D:$D,"Goal - Penetration %")&gt;0,P107&gt;=SUMIFS('Data - Monthly Metrics'!$E:$E,'Data - Monthly Metrics'!$A:$A,$B$4,'Data - Monthly Metrics'!$B:$B,P$8,'Data - Monthly Metrics'!$C:$C,"North King",'Data - Monthly Metrics'!$D:$D,"Goal - Penetration %")-0.05)</formula>
    </cfRule>
    <cfRule type="expression" rank="0" priority="333" equalAverage="0" aboveAverage="0" dxfId="1" stopIfTrue="1" text="" percent="0" bottom="0">
      <formula>AND(ISNUMBER(P107),COUNTIFS('Data - Monthly Metrics'!$A:$A,$B$4,'Data - Monthly Metrics'!$B:$B,P$8,'Data - Monthly Metrics'!$C:$C,"North King",'Data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Metrics'!$C:$C,"North King",'Data - Monthly Metrics'!$D:$D,"Goal - Retention %")&gt;0,B19&gt;=SUMIFS('Data - Monthly Metrics'!$E:$E,'Data - Monthly Metrics'!$A:$A,$B$4-1,'Data - Monthly Metrics'!$B:$B,B$8,'Data - Monthly Metrics'!$C:$C,"North King",'Data - Monthly Metrics'!$D:$D,"Goal - Retention %"))</formula>
    </cfRule>
    <cfRule type="expression" rank="0" priority="335" equalAverage="0" aboveAverage="0" dxfId="2" stopIfTrue="1" text="" percent="0" bottom="0">
      <formula>AND(ISNUMBER(B19),COUNTIFS('Data - Monthly Metrics'!$A:$A,$B$4-1,'Data - Monthly Metrics'!$B:$B,B$8,'Data - Monthly Metrics'!$C:$C,"North King",'Data - Monthly Metrics'!$D:$D,"Goal - Retention %")&gt;0,B19&gt;=SUMIFS('Data - Monthly Metrics'!$E:$E,'Data - Monthly Metrics'!$A:$A,$B$4-1,'Data - Monthly Metrics'!$B:$B,B$8,'Data - Monthly Metrics'!$C:$C,"North King",'Data - Monthly Metrics'!$D:$D,"Goal - Retention %")-0.05)</formula>
    </cfRule>
    <cfRule type="expression" rank="0" priority="336" equalAverage="0" aboveAverage="0" dxfId="1" stopIfTrue="1" text="" percent="0" bottom="0">
      <formula>AND(ISNUMBER(B19),COUNTIFS('Data - Monthly Metrics'!$A:$A,$B$4-1,'Data - Monthly Metrics'!$B:$B,B$8,'Data - Monthly Metrics'!$C:$C,"North King",'Data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Metrics'!$C:$C,"North King",'Data - Monthly Metrics'!$D:$D,"Goal - Retention %")&gt;0,C19&gt;=SUMIFS('Data - Monthly Metrics'!$E:$E,'Data - Monthly Metrics'!$A:$A,$B$4-1,'Data - Monthly Metrics'!$B:$B,C$8,'Data - Monthly Metrics'!$C:$C,"North King",'Data - Monthly Metrics'!$D:$D,"Goal - Retention %"))</formula>
    </cfRule>
    <cfRule type="expression" rank="0" priority="338" equalAverage="0" aboveAverage="0" dxfId="2" stopIfTrue="1" text="" percent="0" bottom="0">
      <formula>AND(ISNUMBER(C19),COUNTIFS('Data - Monthly Metrics'!$A:$A,$B$4-1,'Data - Monthly Metrics'!$B:$B,C$8,'Data - Monthly Metrics'!$C:$C,"North King",'Data - Monthly Metrics'!$D:$D,"Goal - Retention %")&gt;0,C19&gt;=SUMIFS('Data - Monthly Metrics'!$E:$E,'Data - Monthly Metrics'!$A:$A,$B$4-1,'Data - Monthly Metrics'!$B:$B,C$8,'Data - Monthly Metrics'!$C:$C,"North King",'Data - Monthly Metrics'!$D:$D,"Goal - Retention %")-0.05)</formula>
    </cfRule>
    <cfRule type="expression" rank="0" priority="339" equalAverage="0" aboveAverage="0" dxfId="1" stopIfTrue="1" text="" percent="0" bottom="0">
      <formula>AND(ISNUMBER(C19),COUNTIFS('Data - Monthly Metrics'!$A:$A,$B$4-1,'Data - Monthly Metrics'!$B:$B,C$8,'Data - Monthly Metrics'!$C:$C,"North King",'Data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Metrics'!$C:$C,"North King",'Data - Monthly Metrics'!$D:$D,"Goal - Retention %")&gt;0,D19&gt;=SUMIFS('Data - Monthly Metrics'!$E:$E,'Data - Monthly Metrics'!$A:$A,$B$4-1,'Data - Monthly Metrics'!$B:$B,D$8,'Data - Monthly Metrics'!$C:$C,"North King",'Data - Monthly Metrics'!$D:$D,"Goal - Retention %"))</formula>
    </cfRule>
    <cfRule type="expression" rank="0" priority="341" equalAverage="0" aboveAverage="0" dxfId="2" stopIfTrue="1" text="" percent="0" bottom="0">
      <formula>AND(ISNUMBER(D19),COUNTIFS('Data - Monthly Metrics'!$A:$A,$B$4-1,'Data - Monthly Metrics'!$B:$B,D$8,'Data - Monthly Metrics'!$C:$C,"North King",'Data - Monthly Metrics'!$D:$D,"Goal - Retention %")&gt;0,D19&gt;=SUMIFS('Data - Monthly Metrics'!$E:$E,'Data - Monthly Metrics'!$A:$A,$B$4-1,'Data - Monthly Metrics'!$B:$B,D$8,'Data - Monthly Metrics'!$C:$C,"North King",'Data - Monthly Metrics'!$D:$D,"Goal - Retention %")-0.05)</formula>
    </cfRule>
    <cfRule type="expression" rank="0" priority="342" equalAverage="0" aboveAverage="0" dxfId="1" stopIfTrue="1" text="" percent="0" bottom="0">
      <formula>AND(ISNUMBER(D19),COUNTIFS('Data - Monthly Metrics'!$A:$A,$B$4-1,'Data - Monthly Metrics'!$B:$B,D$8,'Data - Monthly Metrics'!$C:$C,"North King",'Data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Metrics'!$C:$C,"North King",'Data - Monthly Metrics'!$D:$D,"Goal - Retention %")&gt;0,F19&gt;=SUMIFS('Data - Monthly Metrics'!$E:$E,'Data - Monthly Metrics'!$A:$A,$B$4,'Data - Monthly Metrics'!$B:$B,F$8,'Data - Monthly Metrics'!$C:$C,"North King",'Data - Monthly Metrics'!$D:$D,"Goal - Retention %"))</formula>
    </cfRule>
    <cfRule type="expression" rank="0" priority="344" equalAverage="0" aboveAverage="0" dxfId="2" stopIfTrue="1" text="" percent="0" bottom="0">
      <formula>AND(ISNUMBER(F19),COUNTIFS('Data - Monthly Metrics'!$A:$A,$B$4,'Data - Monthly Metrics'!$B:$B,F$8,'Data - Monthly Metrics'!$C:$C,"North King",'Data - Monthly Metrics'!$D:$D,"Goal - Retention %")&gt;0,F19&gt;=SUMIFS('Data - Monthly Metrics'!$E:$E,'Data - Monthly Metrics'!$A:$A,$B$4,'Data - Monthly Metrics'!$B:$B,F$8,'Data - Monthly Metrics'!$C:$C,"North King",'Data - Monthly Metrics'!$D:$D,"Goal - Retention %")-0.05)</formula>
    </cfRule>
    <cfRule type="expression" rank="0" priority="345" equalAverage="0" aboveAverage="0" dxfId="1" stopIfTrue="1" text="" percent="0" bottom="0">
      <formula>AND(ISNUMBER(F19),COUNTIFS('Data - Monthly Metrics'!$A:$A,$B$4,'Data - Monthly Metrics'!$B:$B,F$8,'Data - Monthly Metrics'!$C:$C,"North King",'Data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Metrics'!$C:$C,"North King",'Data - Monthly Metrics'!$D:$D,"Goal - Retention %")&gt;0,G19&gt;=SUMIFS('Data - Monthly Metrics'!$E:$E,'Data - Monthly Metrics'!$A:$A,$B$4,'Data - Monthly Metrics'!$B:$B,G$8,'Data - Monthly Metrics'!$C:$C,"North King",'Data - Monthly Metrics'!$D:$D,"Goal - Retention %"))</formula>
    </cfRule>
    <cfRule type="expression" rank="0" priority="347" equalAverage="0" aboveAverage="0" dxfId="2" stopIfTrue="1" text="" percent="0" bottom="0">
      <formula>AND(ISNUMBER(G19),COUNTIFS('Data - Monthly Metrics'!$A:$A,$B$4,'Data - Monthly Metrics'!$B:$B,G$8,'Data - Monthly Metrics'!$C:$C,"North King",'Data - Monthly Metrics'!$D:$D,"Goal - Retention %")&gt;0,G19&gt;=SUMIFS('Data - Monthly Metrics'!$E:$E,'Data - Monthly Metrics'!$A:$A,$B$4,'Data - Monthly Metrics'!$B:$B,G$8,'Data - Monthly Metrics'!$C:$C,"North King",'Data - Monthly Metrics'!$D:$D,"Goal - Retention %")-0.05)</formula>
    </cfRule>
    <cfRule type="expression" rank="0" priority="348" equalAverage="0" aboveAverage="0" dxfId="1" stopIfTrue="1" text="" percent="0" bottom="0">
      <formula>AND(ISNUMBER(G19),COUNTIFS('Data - Monthly Metrics'!$A:$A,$B$4,'Data - Monthly Metrics'!$B:$B,G$8,'Data - Monthly Metrics'!$C:$C,"North King",'Data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Metrics'!$C:$C,"North King",'Data - Monthly Metrics'!$D:$D,"Goal - Retention %")&gt;0,H19&gt;=SUMIFS('Data - Monthly Metrics'!$E:$E,'Data - Monthly Metrics'!$A:$A,$B$4,'Data - Monthly Metrics'!$B:$B,H$8,'Data - Monthly Metrics'!$C:$C,"North King",'Data - Monthly Metrics'!$D:$D,"Goal - Retention %"))</formula>
    </cfRule>
    <cfRule type="expression" rank="0" priority="350" equalAverage="0" aboveAverage="0" dxfId="2" stopIfTrue="1" text="" percent="0" bottom="0">
      <formula>AND(ISNUMBER(H19),COUNTIFS('Data - Monthly Metrics'!$A:$A,$B$4,'Data - Monthly Metrics'!$B:$B,H$8,'Data - Monthly Metrics'!$C:$C,"North King",'Data - Monthly Metrics'!$D:$D,"Goal - Retention %")&gt;0,H19&gt;=SUMIFS('Data - Monthly Metrics'!$E:$E,'Data - Monthly Metrics'!$A:$A,$B$4,'Data - Monthly Metrics'!$B:$B,H$8,'Data - Monthly Metrics'!$C:$C,"North King",'Data - Monthly Metrics'!$D:$D,"Goal - Retention %")-0.05)</formula>
    </cfRule>
    <cfRule type="expression" rank="0" priority="351" equalAverage="0" aboveAverage="0" dxfId="1" stopIfTrue="1" text="" percent="0" bottom="0">
      <formula>AND(ISNUMBER(H19),COUNTIFS('Data - Monthly Metrics'!$A:$A,$B$4,'Data - Monthly Metrics'!$B:$B,H$8,'Data - Monthly Metrics'!$C:$C,"North King",'Data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Metrics'!$C:$C,"North King",'Data - Monthly Metrics'!$D:$D,"Goal - Retention %")&gt;0,J19&gt;=SUMIFS('Data - Monthly Metrics'!$E:$E,'Data - Monthly Metrics'!$A:$A,$B$4,'Data - Monthly Metrics'!$B:$B,J$8,'Data - Monthly Metrics'!$C:$C,"North King",'Data - Monthly Metrics'!$D:$D,"Goal - Retention %"))</formula>
    </cfRule>
    <cfRule type="expression" rank="0" priority="353" equalAverage="0" aboveAverage="0" dxfId="2" stopIfTrue="1" text="" percent="0" bottom="0">
      <formula>AND(ISNUMBER(J19),COUNTIFS('Data - Monthly Metrics'!$A:$A,$B$4,'Data - Monthly Metrics'!$B:$B,J$8,'Data - Monthly Metrics'!$C:$C,"North King",'Data - Monthly Metrics'!$D:$D,"Goal - Retention %")&gt;0,J19&gt;=SUMIFS('Data - Monthly Metrics'!$E:$E,'Data - Monthly Metrics'!$A:$A,$B$4,'Data - Monthly Metrics'!$B:$B,J$8,'Data - Monthly Metrics'!$C:$C,"North King",'Data - Monthly Metrics'!$D:$D,"Goal - Retention %")-0.05)</formula>
    </cfRule>
    <cfRule type="expression" rank="0" priority="354" equalAverage="0" aboveAverage="0" dxfId="1" stopIfTrue="1" text="" percent="0" bottom="0">
      <formula>AND(ISNUMBER(J19),COUNTIFS('Data - Monthly Metrics'!$A:$A,$B$4,'Data - Monthly Metrics'!$B:$B,J$8,'Data - Monthly Metrics'!$C:$C,"North King",'Data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Metrics'!$C:$C,"North King",'Data - Monthly Metrics'!$D:$D,"Goal - Retention %")&gt;0,K19&gt;=SUMIFS('Data - Monthly Metrics'!$E:$E,'Data - Monthly Metrics'!$A:$A,$B$4,'Data - Monthly Metrics'!$B:$B,K$8,'Data - Monthly Metrics'!$C:$C,"North King",'Data - Monthly Metrics'!$D:$D,"Goal - Retention %"))</formula>
    </cfRule>
    <cfRule type="expression" rank="0" priority="356" equalAverage="0" aboveAverage="0" dxfId="2" stopIfTrue="1" text="" percent="0" bottom="0">
      <formula>AND(ISNUMBER(K19),COUNTIFS('Data - Monthly Metrics'!$A:$A,$B$4,'Data - Monthly Metrics'!$B:$B,K$8,'Data - Monthly Metrics'!$C:$C,"North King",'Data - Monthly Metrics'!$D:$D,"Goal - Retention %")&gt;0,K19&gt;=SUMIFS('Data - Monthly Metrics'!$E:$E,'Data - Monthly Metrics'!$A:$A,$B$4,'Data - Monthly Metrics'!$B:$B,K$8,'Data - Monthly Metrics'!$C:$C,"North King",'Data - Monthly Metrics'!$D:$D,"Goal - Retention %")-0.05)</formula>
    </cfRule>
    <cfRule type="expression" rank="0" priority="357" equalAverage="0" aboveAverage="0" dxfId="1" stopIfTrue="1" text="" percent="0" bottom="0">
      <formula>AND(ISNUMBER(K19),COUNTIFS('Data - Monthly Metrics'!$A:$A,$B$4,'Data - Monthly Metrics'!$B:$B,K$8,'Data - Monthly Metrics'!$C:$C,"North King",'Data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Metrics'!$C:$C,"North King",'Data - Monthly Metrics'!$D:$D,"Goal - Retention %")&gt;0,L19&gt;=SUMIFS('Data - Monthly Metrics'!$E:$E,'Data - Monthly Metrics'!$A:$A,$B$4,'Data - Monthly Metrics'!$B:$B,L$8,'Data - Monthly Metrics'!$C:$C,"North King",'Data - Monthly Metrics'!$D:$D,"Goal - Retention %"))</formula>
    </cfRule>
    <cfRule type="expression" rank="0" priority="359" equalAverage="0" aboveAverage="0" dxfId="2" stopIfTrue="1" text="" percent="0" bottom="0">
      <formula>AND(ISNUMBER(L19),COUNTIFS('Data - Monthly Metrics'!$A:$A,$B$4,'Data - Monthly Metrics'!$B:$B,L$8,'Data - Monthly Metrics'!$C:$C,"North King",'Data - Monthly Metrics'!$D:$D,"Goal - Retention %")&gt;0,L19&gt;=SUMIFS('Data - Monthly Metrics'!$E:$E,'Data - Monthly Metrics'!$A:$A,$B$4,'Data - Monthly Metrics'!$B:$B,L$8,'Data - Monthly Metrics'!$C:$C,"North King",'Data - Monthly Metrics'!$D:$D,"Goal - Retention %")-0.05)</formula>
    </cfRule>
    <cfRule type="expression" rank="0" priority="360" equalAverage="0" aboveAverage="0" dxfId="1" stopIfTrue="1" text="" percent="0" bottom="0">
      <formula>AND(ISNUMBER(L19),COUNTIFS('Data - Monthly Metrics'!$A:$A,$B$4,'Data - Monthly Metrics'!$B:$B,L$8,'Data - Monthly Metrics'!$C:$C,"North King",'Data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Metrics'!$C:$C,"North King",'Data - Monthly Metrics'!$D:$D,"Goal - Retention %")&gt;0,N19&gt;=SUMIFS('Data - Monthly Metrics'!$E:$E,'Data - Monthly Metrics'!$A:$A,$B$4,'Data - Monthly Metrics'!$B:$B,N$8,'Data - Monthly Metrics'!$C:$C,"North King",'Data - Monthly Metrics'!$D:$D,"Goal - Retention %"))</formula>
    </cfRule>
    <cfRule type="expression" rank="0" priority="362" equalAverage="0" aboveAverage="0" dxfId="2" stopIfTrue="1" text="" percent="0" bottom="0">
      <formula>AND(ISNUMBER(N19),COUNTIFS('Data - Monthly Metrics'!$A:$A,$B$4,'Data - Monthly Metrics'!$B:$B,N$8,'Data - Monthly Metrics'!$C:$C,"North King",'Data - Monthly Metrics'!$D:$D,"Goal - Retention %")&gt;0,N19&gt;=SUMIFS('Data - Monthly Metrics'!$E:$E,'Data - Monthly Metrics'!$A:$A,$B$4,'Data - Monthly Metrics'!$B:$B,N$8,'Data - Monthly Metrics'!$C:$C,"North King",'Data - Monthly Metrics'!$D:$D,"Goal - Retention %")-0.05)</formula>
    </cfRule>
    <cfRule type="expression" rank="0" priority="363" equalAverage="0" aboveAverage="0" dxfId="1" stopIfTrue="1" text="" percent="0" bottom="0">
      <formula>AND(ISNUMBER(N19),COUNTIFS('Data - Monthly Metrics'!$A:$A,$B$4,'Data - Monthly Metrics'!$B:$B,N$8,'Data - Monthly Metrics'!$C:$C,"North King",'Data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Metrics'!$C:$C,"North King",'Data - Monthly Metrics'!$D:$D,"Goal - Retention %")&gt;0,O19&gt;=SUMIFS('Data - Monthly Metrics'!$E:$E,'Data - Monthly Metrics'!$A:$A,$B$4,'Data - Monthly Metrics'!$B:$B,O$8,'Data - Monthly Metrics'!$C:$C,"North King",'Data - Monthly Metrics'!$D:$D,"Goal - Retention %"))</formula>
    </cfRule>
    <cfRule type="expression" rank="0" priority="365" equalAverage="0" aboveAverage="0" dxfId="2" stopIfTrue="1" text="" percent="0" bottom="0">
      <formula>AND(ISNUMBER(O19),COUNTIFS('Data - Monthly Metrics'!$A:$A,$B$4,'Data - Monthly Metrics'!$B:$B,O$8,'Data - Monthly Metrics'!$C:$C,"North King",'Data - Monthly Metrics'!$D:$D,"Goal - Retention %")&gt;0,O19&gt;=SUMIFS('Data - Monthly Metrics'!$E:$E,'Data - Monthly Metrics'!$A:$A,$B$4,'Data - Monthly Metrics'!$B:$B,O$8,'Data - Monthly Metrics'!$C:$C,"North King",'Data - Monthly Metrics'!$D:$D,"Goal - Retention %")-0.05)</formula>
    </cfRule>
    <cfRule type="expression" rank="0" priority="366" equalAverage="0" aboveAverage="0" dxfId="1" stopIfTrue="1" text="" percent="0" bottom="0">
      <formula>AND(ISNUMBER(O19),COUNTIFS('Data - Monthly Metrics'!$A:$A,$B$4,'Data - Monthly Metrics'!$B:$B,O$8,'Data - Monthly Metrics'!$C:$C,"North King",'Data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Metrics'!$C:$C,"North King",'Data - Monthly Metrics'!$D:$D,"Goal - Retention %")&gt;0,P19&gt;=SUMIFS('Data - Monthly Metrics'!$E:$E,'Data - Monthly Metrics'!$A:$A,$B$4,'Data - Monthly Metrics'!$B:$B,P$8,'Data - Monthly Metrics'!$C:$C,"North King",'Data - Monthly Metrics'!$D:$D,"Goal - Retention %"))</formula>
    </cfRule>
    <cfRule type="expression" rank="0" priority="368" equalAverage="0" aboveAverage="0" dxfId="2" stopIfTrue="1" text="" percent="0" bottom="0">
      <formula>AND(ISNUMBER(P19),COUNTIFS('Data - Monthly Metrics'!$A:$A,$B$4,'Data - Monthly Metrics'!$B:$B,P$8,'Data - Monthly Metrics'!$C:$C,"North King",'Data - Monthly Metrics'!$D:$D,"Goal - Retention %")&gt;0,P19&gt;=SUMIFS('Data - Monthly Metrics'!$E:$E,'Data - Monthly Metrics'!$A:$A,$B$4,'Data - Monthly Metrics'!$B:$B,P$8,'Data - Monthly Metrics'!$C:$C,"North King",'Data - Monthly Metrics'!$D:$D,"Goal - Retention %")-0.05)</formula>
    </cfRule>
    <cfRule type="expression" rank="0" priority="369" equalAverage="0" aboveAverage="0" dxfId="1" stopIfTrue="1" text="" percent="0" bottom="0">
      <formula>AND(ISNUMBER(P19),COUNTIFS('Data - Monthly Metrics'!$A:$A,$B$4,'Data - Monthly Metrics'!$B:$B,P$8,'Data - Monthly Metrics'!$C:$C,"North King",'Data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Metrics'!$C:$C,"North King",'Data - Monthly Metrics'!$D:$D,"Goal - Retention %")&gt;0,B28&gt;=SUMIFS('Data - Monthly Metrics'!$E:$E,'Data - Monthly Metrics'!$A:$A,$B$4-1,'Data - Monthly Metrics'!$B:$B,B$8,'Data - Monthly Metrics'!$C:$C,"North King",'Data - Monthly Metrics'!$D:$D,"Goal - Retention %"))</formula>
    </cfRule>
    <cfRule type="expression" rank="0" priority="371" equalAverage="0" aboveAverage="0" dxfId="2" stopIfTrue="1" text="" percent="0" bottom="0">
      <formula>AND(ISNUMBER(B28),COUNTIFS('Data - Monthly Metrics'!$A:$A,$B$4-1,'Data - Monthly Metrics'!$B:$B,B$8,'Data - Monthly Metrics'!$C:$C,"North King",'Data - Monthly Metrics'!$D:$D,"Goal - Retention %")&gt;0,B28&gt;=SUMIFS('Data - Monthly Metrics'!$E:$E,'Data - Monthly Metrics'!$A:$A,$B$4-1,'Data - Monthly Metrics'!$B:$B,B$8,'Data - Monthly Metrics'!$C:$C,"North King",'Data - Monthly Metrics'!$D:$D,"Goal - Retention %")-0.05)</formula>
    </cfRule>
    <cfRule type="expression" rank="0" priority="372" equalAverage="0" aboveAverage="0" dxfId="1" stopIfTrue="1" text="" percent="0" bottom="0">
      <formula>AND(ISNUMBER(B28),COUNTIFS('Data - Monthly Metrics'!$A:$A,$B$4-1,'Data - Monthly Metrics'!$B:$B,B$8,'Data - Monthly Metrics'!$C:$C,"North King",'Data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Metrics'!$C:$C,"North King",'Data - Monthly Metrics'!$D:$D,"Goal - Retention %")&gt;0,C28&gt;=SUMIFS('Data - Monthly Metrics'!$E:$E,'Data - Monthly Metrics'!$A:$A,$B$4-1,'Data - Monthly Metrics'!$B:$B,C$8,'Data - Monthly Metrics'!$C:$C,"North King",'Data - Monthly Metrics'!$D:$D,"Goal - Retention %"))</formula>
    </cfRule>
    <cfRule type="expression" rank="0" priority="374" equalAverage="0" aboveAverage="0" dxfId="2" stopIfTrue="1" text="" percent="0" bottom="0">
      <formula>AND(ISNUMBER(C28),COUNTIFS('Data - Monthly Metrics'!$A:$A,$B$4-1,'Data - Monthly Metrics'!$B:$B,C$8,'Data - Monthly Metrics'!$C:$C,"North King",'Data - Monthly Metrics'!$D:$D,"Goal - Retention %")&gt;0,C28&gt;=SUMIFS('Data - Monthly Metrics'!$E:$E,'Data - Monthly Metrics'!$A:$A,$B$4-1,'Data - Monthly Metrics'!$B:$B,C$8,'Data - Monthly Metrics'!$C:$C,"North King",'Data - Monthly Metrics'!$D:$D,"Goal - Retention %")-0.05)</formula>
    </cfRule>
    <cfRule type="expression" rank="0" priority="375" equalAverage="0" aboveAverage="0" dxfId="1" stopIfTrue="1" text="" percent="0" bottom="0">
      <formula>AND(ISNUMBER(C28),COUNTIFS('Data - Monthly Metrics'!$A:$A,$B$4-1,'Data - Monthly Metrics'!$B:$B,C$8,'Data - Monthly Metrics'!$C:$C,"North King",'Data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Metrics'!$C:$C,"North King",'Data - Monthly Metrics'!$D:$D,"Goal - Retention %")&gt;0,D28&gt;=SUMIFS('Data - Monthly Metrics'!$E:$E,'Data - Monthly Metrics'!$A:$A,$B$4-1,'Data - Monthly Metrics'!$B:$B,D$8,'Data - Monthly Metrics'!$C:$C,"North King",'Data - Monthly Metrics'!$D:$D,"Goal - Retention %"))</formula>
    </cfRule>
    <cfRule type="expression" rank="0" priority="377" equalAverage="0" aboveAverage="0" dxfId="2" stopIfTrue="1" text="" percent="0" bottom="0">
      <formula>AND(ISNUMBER(D28),COUNTIFS('Data - Monthly Metrics'!$A:$A,$B$4-1,'Data - Monthly Metrics'!$B:$B,D$8,'Data - Monthly Metrics'!$C:$C,"North King",'Data - Monthly Metrics'!$D:$D,"Goal - Retention %")&gt;0,D28&gt;=SUMIFS('Data - Monthly Metrics'!$E:$E,'Data - Monthly Metrics'!$A:$A,$B$4-1,'Data - Monthly Metrics'!$B:$B,D$8,'Data - Monthly Metrics'!$C:$C,"North King",'Data - Monthly Metrics'!$D:$D,"Goal - Retention %")-0.05)</formula>
    </cfRule>
    <cfRule type="expression" rank="0" priority="378" equalAverage="0" aboveAverage="0" dxfId="1" stopIfTrue="1" text="" percent="0" bottom="0">
      <formula>AND(ISNUMBER(D28),COUNTIFS('Data - Monthly Metrics'!$A:$A,$B$4-1,'Data - Monthly Metrics'!$B:$B,D$8,'Data - Monthly Metrics'!$C:$C,"North King",'Data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Metrics'!$C:$C,"North King",'Data - Monthly Metrics'!$D:$D,"Goal - Retention %")&gt;0,F28&gt;=SUMIFS('Data - Monthly Metrics'!$E:$E,'Data - Monthly Metrics'!$A:$A,$B$4,'Data - Monthly Metrics'!$B:$B,F$8,'Data - Monthly Metrics'!$C:$C,"North King",'Data - Monthly Metrics'!$D:$D,"Goal - Retention %"))</formula>
    </cfRule>
    <cfRule type="expression" rank="0" priority="380" equalAverage="0" aboveAverage="0" dxfId="2" stopIfTrue="1" text="" percent="0" bottom="0">
      <formula>AND(ISNUMBER(F28),COUNTIFS('Data - Monthly Metrics'!$A:$A,$B$4,'Data - Monthly Metrics'!$B:$B,F$8,'Data - Monthly Metrics'!$C:$C,"North King",'Data - Monthly Metrics'!$D:$D,"Goal - Retention %")&gt;0,F28&gt;=SUMIFS('Data - Monthly Metrics'!$E:$E,'Data - Monthly Metrics'!$A:$A,$B$4,'Data - Monthly Metrics'!$B:$B,F$8,'Data - Monthly Metrics'!$C:$C,"North King",'Data - Monthly Metrics'!$D:$D,"Goal - Retention %")-0.05)</formula>
    </cfRule>
    <cfRule type="expression" rank="0" priority="381" equalAverage="0" aboveAverage="0" dxfId="1" stopIfTrue="1" text="" percent="0" bottom="0">
      <formula>AND(ISNUMBER(F28),COUNTIFS('Data - Monthly Metrics'!$A:$A,$B$4,'Data - Monthly Metrics'!$B:$B,F$8,'Data - Monthly Metrics'!$C:$C,"North King",'Data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Metrics'!$C:$C,"North King",'Data - Monthly Metrics'!$D:$D,"Goal - Retention %")&gt;0,G28&gt;=SUMIFS('Data - Monthly Metrics'!$E:$E,'Data - Monthly Metrics'!$A:$A,$B$4,'Data - Monthly Metrics'!$B:$B,G$8,'Data - Monthly Metrics'!$C:$C,"North King",'Data - Monthly Metrics'!$D:$D,"Goal - Retention %"))</formula>
    </cfRule>
    <cfRule type="expression" rank="0" priority="383" equalAverage="0" aboveAverage="0" dxfId="2" stopIfTrue="1" text="" percent="0" bottom="0">
      <formula>AND(ISNUMBER(G28),COUNTIFS('Data - Monthly Metrics'!$A:$A,$B$4,'Data - Monthly Metrics'!$B:$B,G$8,'Data - Monthly Metrics'!$C:$C,"North King",'Data - Monthly Metrics'!$D:$D,"Goal - Retention %")&gt;0,G28&gt;=SUMIFS('Data - Monthly Metrics'!$E:$E,'Data - Monthly Metrics'!$A:$A,$B$4,'Data - Monthly Metrics'!$B:$B,G$8,'Data - Monthly Metrics'!$C:$C,"North King",'Data - Monthly Metrics'!$D:$D,"Goal - Retention %")-0.05)</formula>
    </cfRule>
    <cfRule type="expression" rank="0" priority="384" equalAverage="0" aboveAverage="0" dxfId="1" stopIfTrue="1" text="" percent="0" bottom="0">
      <formula>AND(ISNUMBER(G28),COUNTIFS('Data - Monthly Metrics'!$A:$A,$B$4,'Data - Monthly Metrics'!$B:$B,G$8,'Data - Monthly Metrics'!$C:$C,"North King",'Data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Metrics'!$C:$C,"North King",'Data - Monthly Metrics'!$D:$D,"Goal - Retention %")&gt;0,H28&gt;=SUMIFS('Data - Monthly Metrics'!$E:$E,'Data - Monthly Metrics'!$A:$A,$B$4,'Data - Monthly Metrics'!$B:$B,H$8,'Data - Monthly Metrics'!$C:$C,"North King",'Data - Monthly Metrics'!$D:$D,"Goal - Retention %"))</formula>
    </cfRule>
    <cfRule type="expression" rank="0" priority="386" equalAverage="0" aboveAverage="0" dxfId="2" stopIfTrue="1" text="" percent="0" bottom="0">
      <formula>AND(ISNUMBER(H28),COUNTIFS('Data - Monthly Metrics'!$A:$A,$B$4,'Data - Monthly Metrics'!$B:$B,H$8,'Data - Monthly Metrics'!$C:$C,"North King",'Data - Monthly Metrics'!$D:$D,"Goal - Retention %")&gt;0,H28&gt;=SUMIFS('Data - Monthly Metrics'!$E:$E,'Data - Monthly Metrics'!$A:$A,$B$4,'Data - Monthly Metrics'!$B:$B,H$8,'Data - Monthly Metrics'!$C:$C,"North King",'Data - Monthly Metrics'!$D:$D,"Goal - Retention %")-0.05)</formula>
    </cfRule>
    <cfRule type="expression" rank="0" priority="387" equalAverage="0" aboveAverage="0" dxfId="1" stopIfTrue="1" text="" percent="0" bottom="0">
      <formula>AND(ISNUMBER(H28),COUNTIFS('Data - Monthly Metrics'!$A:$A,$B$4,'Data - Monthly Metrics'!$B:$B,H$8,'Data - Monthly Metrics'!$C:$C,"North King",'Data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Metrics'!$C:$C,"North King",'Data - Monthly Metrics'!$D:$D,"Goal - Retention %")&gt;0,J28&gt;=SUMIFS('Data - Monthly Metrics'!$E:$E,'Data - Monthly Metrics'!$A:$A,$B$4,'Data - Monthly Metrics'!$B:$B,J$8,'Data - Monthly Metrics'!$C:$C,"North King",'Data - Monthly Metrics'!$D:$D,"Goal - Retention %"))</formula>
    </cfRule>
    <cfRule type="expression" rank="0" priority="389" equalAverage="0" aboveAverage="0" dxfId="2" stopIfTrue="1" text="" percent="0" bottom="0">
      <formula>AND(ISNUMBER(J28),COUNTIFS('Data - Monthly Metrics'!$A:$A,$B$4,'Data - Monthly Metrics'!$B:$B,J$8,'Data - Monthly Metrics'!$C:$C,"North King",'Data - Monthly Metrics'!$D:$D,"Goal - Retention %")&gt;0,J28&gt;=SUMIFS('Data - Monthly Metrics'!$E:$E,'Data - Monthly Metrics'!$A:$A,$B$4,'Data - Monthly Metrics'!$B:$B,J$8,'Data - Monthly Metrics'!$C:$C,"North King",'Data - Monthly Metrics'!$D:$D,"Goal - Retention %")-0.05)</formula>
    </cfRule>
    <cfRule type="expression" rank="0" priority="390" equalAverage="0" aboveAverage="0" dxfId="1" stopIfTrue="1" text="" percent="0" bottom="0">
      <formula>AND(ISNUMBER(J28),COUNTIFS('Data - Monthly Metrics'!$A:$A,$B$4,'Data - Monthly Metrics'!$B:$B,J$8,'Data - Monthly Metrics'!$C:$C,"North King",'Data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Metrics'!$C:$C,"North King",'Data - Monthly Metrics'!$D:$D,"Goal - Retention %")&gt;0,K28&gt;=SUMIFS('Data - Monthly Metrics'!$E:$E,'Data - Monthly Metrics'!$A:$A,$B$4,'Data - Monthly Metrics'!$B:$B,K$8,'Data - Monthly Metrics'!$C:$C,"North King",'Data - Monthly Metrics'!$D:$D,"Goal - Retention %"))</formula>
    </cfRule>
    <cfRule type="expression" rank="0" priority="392" equalAverage="0" aboveAverage="0" dxfId="2" stopIfTrue="1" text="" percent="0" bottom="0">
      <formula>AND(ISNUMBER(K28),COUNTIFS('Data - Monthly Metrics'!$A:$A,$B$4,'Data - Monthly Metrics'!$B:$B,K$8,'Data - Monthly Metrics'!$C:$C,"North King",'Data - Monthly Metrics'!$D:$D,"Goal - Retention %")&gt;0,K28&gt;=SUMIFS('Data - Monthly Metrics'!$E:$E,'Data - Monthly Metrics'!$A:$A,$B$4,'Data - Monthly Metrics'!$B:$B,K$8,'Data - Monthly Metrics'!$C:$C,"North King",'Data - Monthly Metrics'!$D:$D,"Goal - Retention %")-0.05)</formula>
    </cfRule>
    <cfRule type="expression" rank="0" priority="393" equalAverage="0" aboveAverage="0" dxfId="1" stopIfTrue="1" text="" percent="0" bottom="0">
      <formula>AND(ISNUMBER(K28),COUNTIFS('Data - Monthly Metrics'!$A:$A,$B$4,'Data - Monthly Metrics'!$B:$B,K$8,'Data - Monthly Metrics'!$C:$C,"North King",'Data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Metrics'!$C:$C,"North King",'Data - Monthly Metrics'!$D:$D,"Goal - Retention %")&gt;0,L28&gt;=SUMIFS('Data - Monthly Metrics'!$E:$E,'Data - Monthly Metrics'!$A:$A,$B$4,'Data - Monthly Metrics'!$B:$B,L$8,'Data - Monthly Metrics'!$C:$C,"North King",'Data - Monthly Metrics'!$D:$D,"Goal - Retention %"))</formula>
    </cfRule>
    <cfRule type="expression" rank="0" priority="395" equalAverage="0" aboveAverage="0" dxfId="2" stopIfTrue="1" text="" percent="0" bottom="0">
      <formula>AND(ISNUMBER(L28),COUNTIFS('Data - Monthly Metrics'!$A:$A,$B$4,'Data - Monthly Metrics'!$B:$B,L$8,'Data - Monthly Metrics'!$C:$C,"North King",'Data - Monthly Metrics'!$D:$D,"Goal - Retention %")&gt;0,L28&gt;=SUMIFS('Data - Monthly Metrics'!$E:$E,'Data - Monthly Metrics'!$A:$A,$B$4,'Data - Monthly Metrics'!$B:$B,L$8,'Data - Monthly Metrics'!$C:$C,"North King",'Data - Monthly Metrics'!$D:$D,"Goal - Retention %")-0.05)</formula>
    </cfRule>
    <cfRule type="expression" rank="0" priority="396" equalAverage="0" aboveAverage="0" dxfId="1" stopIfTrue="1" text="" percent="0" bottom="0">
      <formula>AND(ISNUMBER(L28),COUNTIFS('Data - Monthly Metrics'!$A:$A,$B$4,'Data - Monthly Metrics'!$B:$B,L$8,'Data - Monthly Metrics'!$C:$C,"North King",'Data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Metrics'!$C:$C,"North King",'Data - Monthly Metrics'!$D:$D,"Goal - Retention %")&gt;0,N28&gt;=SUMIFS('Data - Monthly Metrics'!$E:$E,'Data - Monthly Metrics'!$A:$A,$B$4,'Data - Monthly Metrics'!$B:$B,N$8,'Data - Monthly Metrics'!$C:$C,"North King",'Data - Monthly Metrics'!$D:$D,"Goal - Retention %"))</formula>
    </cfRule>
    <cfRule type="expression" rank="0" priority="398" equalAverage="0" aboveAverage="0" dxfId="2" stopIfTrue="1" text="" percent="0" bottom="0">
      <formula>AND(ISNUMBER(N28),COUNTIFS('Data - Monthly Metrics'!$A:$A,$B$4,'Data - Monthly Metrics'!$B:$B,N$8,'Data - Monthly Metrics'!$C:$C,"North King",'Data - Monthly Metrics'!$D:$D,"Goal - Retention %")&gt;0,N28&gt;=SUMIFS('Data - Monthly Metrics'!$E:$E,'Data - Monthly Metrics'!$A:$A,$B$4,'Data - Monthly Metrics'!$B:$B,N$8,'Data - Monthly Metrics'!$C:$C,"North King",'Data - Monthly Metrics'!$D:$D,"Goal - Retention %")-0.05)</formula>
    </cfRule>
    <cfRule type="expression" rank="0" priority="399" equalAverage="0" aboveAverage="0" dxfId="1" stopIfTrue="1" text="" percent="0" bottom="0">
      <formula>AND(ISNUMBER(N28),COUNTIFS('Data - Monthly Metrics'!$A:$A,$B$4,'Data - Monthly Metrics'!$B:$B,N$8,'Data - Monthly Metrics'!$C:$C,"North King",'Data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Metrics'!$C:$C,"North King",'Data - Monthly Metrics'!$D:$D,"Goal - Retention %")&gt;0,O28&gt;=SUMIFS('Data - Monthly Metrics'!$E:$E,'Data - Monthly Metrics'!$A:$A,$B$4,'Data - Monthly Metrics'!$B:$B,O$8,'Data - Monthly Metrics'!$C:$C,"North King",'Data - Monthly Metrics'!$D:$D,"Goal - Retention %"))</formula>
    </cfRule>
    <cfRule type="expression" rank="0" priority="401" equalAverage="0" aboveAverage="0" dxfId="2" stopIfTrue="1" text="" percent="0" bottom="0">
      <formula>AND(ISNUMBER(O28),COUNTIFS('Data - Monthly Metrics'!$A:$A,$B$4,'Data - Monthly Metrics'!$B:$B,O$8,'Data - Monthly Metrics'!$C:$C,"North King",'Data - Monthly Metrics'!$D:$D,"Goal - Retention %")&gt;0,O28&gt;=SUMIFS('Data - Monthly Metrics'!$E:$E,'Data - Monthly Metrics'!$A:$A,$B$4,'Data - Monthly Metrics'!$B:$B,O$8,'Data - Monthly Metrics'!$C:$C,"North King",'Data - Monthly Metrics'!$D:$D,"Goal - Retention %")-0.05)</formula>
    </cfRule>
    <cfRule type="expression" rank="0" priority="402" equalAverage="0" aboveAverage="0" dxfId="1" stopIfTrue="1" text="" percent="0" bottom="0">
      <formula>AND(ISNUMBER(O28),COUNTIFS('Data - Monthly Metrics'!$A:$A,$B$4,'Data - Monthly Metrics'!$B:$B,O$8,'Data - Monthly Metrics'!$C:$C,"North King",'Data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Metrics'!$C:$C,"North King",'Data - Monthly Metrics'!$D:$D,"Goal - Retention %")&gt;0,P28&gt;=SUMIFS('Data - Monthly Metrics'!$E:$E,'Data - Monthly Metrics'!$A:$A,$B$4,'Data - Monthly Metrics'!$B:$B,P$8,'Data - Monthly Metrics'!$C:$C,"North King",'Data - Monthly Metrics'!$D:$D,"Goal - Retention %"))</formula>
    </cfRule>
    <cfRule type="expression" rank="0" priority="404" equalAverage="0" aboveAverage="0" dxfId="2" stopIfTrue="1" text="" percent="0" bottom="0">
      <formula>AND(ISNUMBER(P28),COUNTIFS('Data - Monthly Metrics'!$A:$A,$B$4,'Data - Monthly Metrics'!$B:$B,P$8,'Data - Monthly Metrics'!$C:$C,"North King",'Data - Monthly Metrics'!$D:$D,"Goal - Retention %")&gt;0,P28&gt;=SUMIFS('Data - Monthly Metrics'!$E:$E,'Data - Monthly Metrics'!$A:$A,$B$4,'Data - Monthly Metrics'!$B:$B,P$8,'Data - Monthly Metrics'!$C:$C,"North King",'Data - Monthly Metrics'!$D:$D,"Goal - Retention %")-0.05)</formula>
    </cfRule>
    <cfRule type="expression" rank="0" priority="405" equalAverage="0" aboveAverage="0" dxfId="1" stopIfTrue="1" text="" percent="0" bottom="0">
      <formula>AND(ISNUMBER(P28),COUNTIFS('Data - Monthly Metrics'!$A:$A,$B$4,'Data - Monthly Metrics'!$B:$B,P$8,'Data - Monthly Metrics'!$C:$C,"North King",'Data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Metrics'!$C:$C,"North King",'Data - Monthly Metrics'!$D:$D,"Goal - Penetration %")&gt;0,B29&gt;=SUMIFS('Data - Monthly Metrics'!$E:$E,'Data - Monthly Metrics'!$A:$A,$B$4-1,'Data - Monthly Metrics'!$B:$B,B$8,'Data - Monthly Metrics'!$C:$C,"North King",'Data - Monthly Metrics'!$D:$D,"Goal - Penetration %"))</formula>
    </cfRule>
    <cfRule type="expression" rank="0" priority="407" equalAverage="0" aboveAverage="0" dxfId="2" stopIfTrue="1" text="" percent="0" bottom="0">
      <formula>AND(ISNUMBER(B29),COUNTIFS('Data - Monthly Metrics'!$A:$A,$B$4-1,'Data - Monthly Metrics'!$B:$B,B$8,'Data - Monthly Metrics'!$C:$C,"North King",'Data - Monthly Metrics'!$D:$D,"Goal - Penetration %")&gt;0,B29&gt;=SUMIFS('Data - Monthly Metrics'!$E:$E,'Data - Monthly Metrics'!$A:$A,$B$4-1,'Data - Monthly Metrics'!$B:$B,B$8,'Data - Monthly Metrics'!$C:$C,"North King",'Data - Monthly Metrics'!$D:$D,"Goal - Penetration %")-0.05)</formula>
    </cfRule>
    <cfRule type="expression" rank="0" priority="408" equalAverage="0" aboveAverage="0" dxfId="1" stopIfTrue="1" text="" percent="0" bottom="0">
      <formula>AND(ISNUMBER(B29),COUNTIFS('Data - Monthly Metrics'!$A:$A,$B$4-1,'Data - Monthly Metrics'!$B:$B,B$8,'Data - Monthly Metrics'!$C:$C,"North King",'Data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Metrics'!$C:$C,"North King",'Data - Monthly Metrics'!$D:$D,"Goal - Penetration %")&gt;0,C29&gt;=SUMIFS('Data - Monthly Metrics'!$E:$E,'Data - Monthly Metrics'!$A:$A,$B$4-1,'Data - Monthly Metrics'!$B:$B,C$8,'Data - Monthly Metrics'!$C:$C,"North King",'Data - Monthly Metrics'!$D:$D,"Goal - Penetration %"))</formula>
    </cfRule>
    <cfRule type="expression" rank="0" priority="410" equalAverage="0" aboveAverage="0" dxfId="2" stopIfTrue="1" text="" percent="0" bottom="0">
      <formula>AND(ISNUMBER(C29),COUNTIFS('Data - Monthly Metrics'!$A:$A,$B$4-1,'Data - Monthly Metrics'!$B:$B,C$8,'Data - Monthly Metrics'!$C:$C,"North King",'Data - Monthly Metrics'!$D:$D,"Goal - Penetration %")&gt;0,C29&gt;=SUMIFS('Data - Monthly Metrics'!$E:$E,'Data - Monthly Metrics'!$A:$A,$B$4-1,'Data - Monthly Metrics'!$B:$B,C$8,'Data - Monthly Metrics'!$C:$C,"North King",'Data - Monthly Metrics'!$D:$D,"Goal - Penetration %")-0.05)</formula>
    </cfRule>
    <cfRule type="expression" rank="0" priority="411" equalAverage="0" aboveAverage="0" dxfId="1" stopIfTrue="1" text="" percent="0" bottom="0">
      <formula>AND(ISNUMBER(C29),COUNTIFS('Data - Monthly Metrics'!$A:$A,$B$4-1,'Data - Monthly Metrics'!$B:$B,C$8,'Data - Monthly Metrics'!$C:$C,"North King",'Data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Metrics'!$C:$C,"North King",'Data - Monthly Metrics'!$D:$D,"Goal - Penetration %")&gt;0,D29&gt;=SUMIFS('Data - Monthly Metrics'!$E:$E,'Data - Monthly Metrics'!$A:$A,$B$4-1,'Data - Monthly Metrics'!$B:$B,D$8,'Data - Monthly Metrics'!$C:$C,"North King",'Data - Monthly Metrics'!$D:$D,"Goal - Penetration %"))</formula>
    </cfRule>
    <cfRule type="expression" rank="0" priority="413" equalAverage="0" aboveAverage="0" dxfId="2" stopIfTrue="1" text="" percent="0" bottom="0">
      <formula>AND(ISNUMBER(D29),COUNTIFS('Data - Monthly Metrics'!$A:$A,$B$4-1,'Data - Monthly Metrics'!$B:$B,D$8,'Data - Monthly Metrics'!$C:$C,"North King",'Data - Monthly Metrics'!$D:$D,"Goal - Penetration %")&gt;0,D29&gt;=SUMIFS('Data - Monthly Metrics'!$E:$E,'Data - Monthly Metrics'!$A:$A,$B$4-1,'Data - Monthly Metrics'!$B:$B,D$8,'Data - Monthly Metrics'!$C:$C,"North King",'Data - Monthly Metrics'!$D:$D,"Goal - Penetration %")-0.05)</formula>
    </cfRule>
    <cfRule type="expression" rank="0" priority="414" equalAverage="0" aboveAverage="0" dxfId="1" stopIfTrue="1" text="" percent="0" bottom="0">
      <formula>AND(ISNUMBER(D29),COUNTIFS('Data - Monthly Metrics'!$A:$A,$B$4-1,'Data - Monthly Metrics'!$B:$B,D$8,'Data - Monthly Metrics'!$C:$C,"North King",'Data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Metrics'!$C:$C,"North King",'Data - Monthly Metrics'!$D:$D,"Goal - Penetration %")&gt;0,F29&gt;=SUMIFS('Data - Monthly Metrics'!$E:$E,'Data - Monthly Metrics'!$A:$A,$B$4,'Data - Monthly Metrics'!$B:$B,F$8,'Data - Monthly Metrics'!$C:$C,"North King",'Data - Monthly Metrics'!$D:$D,"Goal - Penetration %"))</formula>
    </cfRule>
    <cfRule type="expression" rank="0" priority="416" equalAverage="0" aboveAverage="0" dxfId="2" stopIfTrue="1" text="" percent="0" bottom="0">
      <formula>AND(ISNUMBER(F29),COUNTIFS('Data - Monthly Metrics'!$A:$A,$B$4,'Data - Monthly Metrics'!$B:$B,F$8,'Data - Monthly Metrics'!$C:$C,"North King",'Data - Monthly Metrics'!$D:$D,"Goal - Penetration %")&gt;0,F29&gt;=SUMIFS('Data - Monthly Metrics'!$E:$E,'Data - Monthly Metrics'!$A:$A,$B$4,'Data - Monthly Metrics'!$B:$B,F$8,'Data - Monthly Metrics'!$C:$C,"North King",'Data - Monthly Metrics'!$D:$D,"Goal - Penetration %")-0.05)</formula>
    </cfRule>
    <cfRule type="expression" rank="0" priority="417" equalAverage="0" aboveAverage="0" dxfId="1" stopIfTrue="1" text="" percent="0" bottom="0">
      <formula>AND(ISNUMBER(F29),COUNTIFS('Data - Monthly Metrics'!$A:$A,$B$4,'Data - Monthly Metrics'!$B:$B,F$8,'Data - Monthly Metrics'!$C:$C,"North King",'Data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Metrics'!$C:$C,"North King",'Data - Monthly Metrics'!$D:$D,"Goal - Penetration %")&gt;0,G29&gt;=SUMIFS('Data - Monthly Metrics'!$E:$E,'Data - Monthly Metrics'!$A:$A,$B$4,'Data - Monthly Metrics'!$B:$B,G$8,'Data - Monthly Metrics'!$C:$C,"North King",'Data - Monthly Metrics'!$D:$D,"Goal - Penetration %"))</formula>
    </cfRule>
    <cfRule type="expression" rank="0" priority="419" equalAverage="0" aboveAverage="0" dxfId="2" stopIfTrue="1" text="" percent="0" bottom="0">
      <formula>AND(ISNUMBER(G29),COUNTIFS('Data - Monthly Metrics'!$A:$A,$B$4,'Data - Monthly Metrics'!$B:$B,G$8,'Data - Monthly Metrics'!$C:$C,"North King",'Data - Monthly Metrics'!$D:$D,"Goal - Penetration %")&gt;0,G29&gt;=SUMIFS('Data - Monthly Metrics'!$E:$E,'Data - Monthly Metrics'!$A:$A,$B$4,'Data - Monthly Metrics'!$B:$B,G$8,'Data - Monthly Metrics'!$C:$C,"North King",'Data - Monthly Metrics'!$D:$D,"Goal - Penetration %")-0.05)</formula>
    </cfRule>
    <cfRule type="expression" rank="0" priority="420" equalAverage="0" aboveAverage="0" dxfId="1" stopIfTrue="1" text="" percent="0" bottom="0">
      <formula>AND(ISNUMBER(G29),COUNTIFS('Data - Monthly Metrics'!$A:$A,$B$4,'Data - Monthly Metrics'!$B:$B,G$8,'Data - Monthly Metrics'!$C:$C,"North King",'Data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Metrics'!$C:$C,"North King",'Data - Monthly Metrics'!$D:$D,"Goal - Penetration %")&gt;0,H29&gt;=SUMIFS('Data - Monthly Metrics'!$E:$E,'Data - Monthly Metrics'!$A:$A,$B$4,'Data - Monthly Metrics'!$B:$B,H$8,'Data - Monthly Metrics'!$C:$C,"North King",'Data - Monthly Metrics'!$D:$D,"Goal - Penetration %"))</formula>
    </cfRule>
    <cfRule type="expression" rank="0" priority="422" equalAverage="0" aboveAverage="0" dxfId="2" stopIfTrue="1" text="" percent="0" bottom="0">
      <formula>AND(ISNUMBER(H29),COUNTIFS('Data - Monthly Metrics'!$A:$A,$B$4,'Data - Monthly Metrics'!$B:$B,H$8,'Data - Monthly Metrics'!$C:$C,"North King",'Data - Monthly Metrics'!$D:$D,"Goal - Penetration %")&gt;0,H29&gt;=SUMIFS('Data - Monthly Metrics'!$E:$E,'Data - Monthly Metrics'!$A:$A,$B$4,'Data - Monthly Metrics'!$B:$B,H$8,'Data - Monthly Metrics'!$C:$C,"North King",'Data - Monthly Metrics'!$D:$D,"Goal - Penetration %")-0.05)</formula>
    </cfRule>
    <cfRule type="expression" rank="0" priority="423" equalAverage="0" aboveAverage="0" dxfId="1" stopIfTrue="1" text="" percent="0" bottom="0">
      <formula>AND(ISNUMBER(H29),COUNTIFS('Data - Monthly Metrics'!$A:$A,$B$4,'Data - Monthly Metrics'!$B:$B,H$8,'Data - Monthly Metrics'!$C:$C,"North King",'Data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Metrics'!$C:$C,"North King",'Data - Monthly Metrics'!$D:$D,"Goal - Penetration %")&gt;0,J29&gt;=SUMIFS('Data - Monthly Metrics'!$E:$E,'Data - Monthly Metrics'!$A:$A,$B$4,'Data - Monthly Metrics'!$B:$B,J$8,'Data - Monthly Metrics'!$C:$C,"North King",'Data - Monthly Metrics'!$D:$D,"Goal - Penetration %"))</formula>
    </cfRule>
    <cfRule type="expression" rank="0" priority="425" equalAverage="0" aboveAverage="0" dxfId="2" stopIfTrue="1" text="" percent="0" bottom="0">
      <formula>AND(ISNUMBER(J29),COUNTIFS('Data - Monthly Metrics'!$A:$A,$B$4,'Data - Monthly Metrics'!$B:$B,J$8,'Data - Monthly Metrics'!$C:$C,"North King",'Data - Monthly Metrics'!$D:$D,"Goal - Penetration %")&gt;0,J29&gt;=SUMIFS('Data - Monthly Metrics'!$E:$E,'Data - Monthly Metrics'!$A:$A,$B$4,'Data - Monthly Metrics'!$B:$B,J$8,'Data - Monthly Metrics'!$C:$C,"North King",'Data - Monthly Metrics'!$D:$D,"Goal - Penetration %")-0.05)</formula>
    </cfRule>
    <cfRule type="expression" rank="0" priority="426" equalAverage="0" aboveAverage="0" dxfId="1" stopIfTrue="1" text="" percent="0" bottom="0">
      <formula>AND(ISNUMBER(J29),COUNTIFS('Data - Monthly Metrics'!$A:$A,$B$4,'Data - Monthly Metrics'!$B:$B,J$8,'Data - Monthly Metrics'!$C:$C,"North King",'Data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Metrics'!$C:$C,"North King",'Data - Monthly Metrics'!$D:$D,"Goal - Penetration %")&gt;0,K29&gt;=SUMIFS('Data - Monthly Metrics'!$E:$E,'Data - Monthly Metrics'!$A:$A,$B$4,'Data - Monthly Metrics'!$B:$B,K$8,'Data - Monthly Metrics'!$C:$C,"North King",'Data - Monthly Metrics'!$D:$D,"Goal - Penetration %"))</formula>
    </cfRule>
    <cfRule type="expression" rank="0" priority="428" equalAverage="0" aboveAverage="0" dxfId="2" stopIfTrue="1" text="" percent="0" bottom="0">
      <formula>AND(ISNUMBER(K29),COUNTIFS('Data - Monthly Metrics'!$A:$A,$B$4,'Data - Monthly Metrics'!$B:$B,K$8,'Data - Monthly Metrics'!$C:$C,"North King",'Data - Monthly Metrics'!$D:$D,"Goal - Penetration %")&gt;0,K29&gt;=SUMIFS('Data - Monthly Metrics'!$E:$E,'Data - Monthly Metrics'!$A:$A,$B$4,'Data - Monthly Metrics'!$B:$B,K$8,'Data - Monthly Metrics'!$C:$C,"North King",'Data - Monthly Metrics'!$D:$D,"Goal - Penetration %")-0.05)</formula>
    </cfRule>
    <cfRule type="expression" rank="0" priority="429" equalAverage="0" aboveAverage="0" dxfId="1" stopIfTrue="1" text="" percent="0" bottom="0">
      <formula>AND(ISNUMBER(K29),COUNTIFS('Data - Monthly Metrics'!$A:$A,$B$4,'Data - Monthly Metrics'!$B:$B,K$8,'Data - Monthly Metrics'!$C:$C,"North King",'Data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Metrics'!$C:$C,"North King",'Data - Monthly Metrics'!$D:$D,"Goal - Penetration %")&gt;0,L29&gt;=SUMIFS('Data - Monthly Metrics'!$E:$E,'Data - Monthly Metrics'!$A:$A,$B$4,'Data - Monthly Metrics'!$B:$B,L$8,'Data - Monthly Metrics'!$C:$C,"North King",'Data - Monthly Metrics'!$D:$D,"Goal - Penetration %"))</formula>
    </cfRule>
    <cfRule type="expression" rank="0" priority="431" equalAverage="0" aboveAverage="0" dxfId="2" stopIfTrue="1" text="" percent="0" bottom="0">
      <formula>AND(ISNUMBER(L29),COUNTIFS('Data - Monthly Metrics'!$A:$A,$B$4,'Data - Monthly Metrics'!$B:$B,L$8,'Data - Monthly Metrics'!$C:$C,"North King",'Data - Monthly Metrics'!$D:$D,"Goal - Penetration %")&gt;0,L29&gt;=SUMIFS('Data - Monthly Metrics'!$E:$E,'Data - Monthly Metrics'!$A:$A,$B$4,'Data - Monthly Metrics'!$B:$B,L$8,'Data - Monthly Metrics'!$C:$C,"North King",'Data - Monthly Metrics'!$D:$D,"Goal - Penetration %")-0.05)</formula>
    </cfRule>
    <cfRule type="expression" rank="0" priority="432" equalAverage="0" aboveAverage="0" dxfId="1" stopIfTrue="1" text="" percent="0" bottom="0">
      <formula>AND(ISNUMBER(L29),COUNTIFS('Data - Monthly Metrics'!$A:$A,$B$4,'Data - Monthly Metrics'!$B:$B,L$8,'Data - Monthly Metrics'!$C:$C,"North King",'Data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Metrics'!$C:$C,"North King",'Data - Monthly Metrics'!$D:$D,"Goal - Penetration %")&gt;0,N29&gt;=SUMIFS('Data - Monthly Metrics'!$E:$E,'Data - Monthly Metrics'!$A:$A,$B$4,'Data - Monthly Metrics'!$B:$B,N$8,'Data - Monthly Metrics'!$C:$C,"North King",'Data - Monthly Metrics'!$D:$D,"Goal - Penetration %"))</formula>
    </cfRule>
    <cfRule type="expression" rank="0" priority="434" equalAverage="0" aboveAverage="0" dxfId="2" stopIfTrue="1" text="" percent="0" bottom="0">
      <formula>AND(ISNUMBER(N29),COUNTIFS('Data - Monthly Metrics'!$A:$A,$B$4,'Data - Monthly Metrics'!$B:$B,N$8,'Data - Monthly Metrics'!$C:$C,"North King",'Data - Monthly Metrics'!$D:$D,"Goal - Penetration %")&gt;0,N29&gt;=SUMIFS('Data - Monthly Metrics'!$E:$E,'Data - Monthly Metrics'!$A:$A,$B$4,'Data - Monthly Metrics'!$B:$B,N$8,'Data - Monthly Metrics'!$C:$C,"North King",'Data - Monthly Metrics'!$D:$D,"Goal - Penetration %")-0.05)</formula>
    </cfRule>
    <cfRule type="expression" rank="0" priority="435" equalAverage="0" aboveAverage="0" dxfId="1" stopIfTrue="1" text="" percent="0" bottom="0">
      <formula>AND(ISNUMBER(N29),COUNTIFS('Data - Monthly Metrics'!$A:$A,$B$4,'Data - Monthly Metrics'!$B:$B,N$8,'Data - Monthly Metrics'!$C:$C,"North King",'Data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Metrics'!$C:$C,"North King",'Data - Monthly Metrics'!$D:$D,"Goal - Penetration %")&gt;0,O29&gt;=SUMIFS('Data - Monthly Metrics'!$E:$E,'Data - Monthly Metrics'!$A:$A,$B$4,'Data - Monthly Metrics'!$B:$B,O$8,'Data - Monthly Metrics'!$C:$C,"North King",'Data - Monthly Metrics'!$D:$D,"Goal - Penetration %"))</formula>
    </cfRule>
    <cfRule type="expression" rank="0" priority="437" equalAverage="0" aboveAverage="0" dxfId="2" stopIfTrue="1" text="" percent="0" bottom="0">
      <formula>AND(ISNUMBER(O29),COUNTIFS('Data - Monthly Metrics'!$A:$A,$B$4,'Data - Monthly Metrics'!$B:$B,O$8,'Data - Monthly Metrics'!$C:$C,"North King",'Data - Monthly Metrics'!$D:$D,"Goal - Penetration %")&gt;0,O29&gt;=SUMIFS('Data - Monthly Metrics'!$E:$E,'Data - Monthly Metrics'!$A:$A,$B$4,'Data - Monthly Metrics'!$B:$B,O$8,'Data - Monthly Metrics'!$C:$C,"North King",'Data - Monthly Metrics'!$D:$D,"Goal - Penetration %")-0.05)</formula>
    </cfRule>
    <cfRule type="expression" rank="0" priority="438" equalAverage="0" aboveAverage="0" dxfId="1" stopIfTrue="1" text="" percent="0" bottom="0">
      <formula>AND(ISNUMBER(O29),COUNTIFS('Data - Monthly Metrics'!$A:$A,$B$4,'Data - Monthly Metrics'!$B:$B,O$8,'Data - Monthly Metrics'!$C:$C,"North King",'Data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Metrics'!$C:$C,"North King",'Data - Monthly Metrics'!$D:$D,"Goal - Penetration %")&gt;0,P29&gt;=SUMIFS('Data - Monthly Metrics'!$E:$E,'Data - Monthly Metrics'!$A:$A,$B$4,'Data - Monthly Metrics'!$B:$B,P$8,'Data - Monthly Metrics'!$C:$C,"North King",'Data - Monthly Metrics'!$D:$D,"Goal - Penetration %"))</formula>
    </cfRule>
    <cfRule type="expression" rank="0" priority="440" equalAverage="0" aboveAverage="0" dxfId="2" stopIfTrue="1" text="" percent="0" bottom="0">
      <formula>AND(ISNUMBER(P29),COUNTIFS('Data - Monthly Metrics'!$A:$A,$B$4,'Data - Monthly Metrics'!$B:$B,P$8,'Data - Monthly Metrics'!$C:$C,"North King",'Data - Monthly Metrics'!$D:$D,"Goal - Penetration %")&gt;0,P29&gt;=SUMIFS('Data - Monthly Metrics'!$E:$E,'Data - Monthly Metrics'!$A:$A,$B$4,'Data - Monthly Metrics'!$B:$B,P$8,'Data - Monthly Metrics'!$C:$C,"North King",'Data - Monthly Metrics'!$D:$D,"Goal - Penetration %")-0.05)</formula>
    </cfRule>
    <cfRule type="expression" rank="0" priority="441" equalAverage="0" aboveAverage="0" dxfId="1" stopIfTrue="1" text="" percent="0" bottom="0">
      <formula>AND(ISNUMBER(P29),COUNTIFS('Data - Monthly Metrics'!$A:$A,$B$4,'Data - Monthly Metrics'!$B:$B,P$8,'Data - Monthly Metrics'!$C:$C,"North King",'Data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Metrics'!$C:$C,"North King",'Data - Monthly Metrics'!$D:$D,"Goal - Penetration %")&gt;0,B30&gt;=SUMIFS('Data - Monthly Metrics'!$E:$E,'Data - Monthly Metrics'!$A:$A,$B$4-1,'Data - Monthly Metrics'!$B:$B,B$8,'Data - Monthly Metrics'!$C:$C,"North King",'Data - Monthly Metrics'!$D:$D,"Goal - Penetration %"))</formula>
    </cfRule>
    <cfRule type="expression" rank="0" priority="443" equalAverage="0" aboveAverage="0" dxfId="2" stopIfTrue="1" text="" percent="0" bottom="0">
      <formula>AND(ISNUMBER(B30),COUNTIFS('Data - Monthly Metrics'!$A:$A,$B$4-1,'Data - Monthly Metrics'!$B:$B,B$8,'Data - Monthly Metrics'!$C:$C,"North King",'Data - Monthly Metrics'!$D:$D,"Goal - Penetration %")&gt;0,B30&gt;=SUMIFS('Data - Monthly Metrics'!$E:$E,'Data - Monthly Metrics'!$A:$A,$B$4-1,'Data - Monthly Metrics'!$B:$B,B$8,'Data - Monthly Metrics'!$C:$C,"North King",'Data - Monthly Metrics'!$D:$D,"Goal - Penetration %")-0.05)</formula>
    </cfRule>
    <cfRule type="expression" rank="0" priority="444" equalAverage="0" aboveAverage="0" dxfId="1" stopIfTrue="1" text="" percent="0" bottom="0">
      <formula>AND(ISNUMBER(B30),COUNTIFS('Data - Monthly Metrics'!$A:$A,$B$4-1,'Data - Monthly Metrics'!$B:$B,B$8,'Data - Monthly Metrics'!$C:$C,"North King",'Data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Metrics'!$C:$C,"North King",'Data - Monthly Metrics'!$D:$D,"Goal - Penetration %")&gt;0,C30&gt;=SUMIFS('Data - Monthly Metrics'!$E:$E,'Data - Monthly Metrics'!$A:$A,$B$4-1,'Data - Monthly Metrics'!$B:$B,C$8,'Data - Monthly Metrics'!$C:$C,"North King",'Data - Monthly Metrics'!$D:$D,"Goal - Penetration %"))</formula>
    </cfRule>
    <cfRule type="expression" rank="0" priority="446" equalAverage="0" aboveAverage="0" dxfId="2" stopIfTrue="1" text="" percent="0" bottom="0">
      <formula>AND(ISNUMBER(C30),COUNTIFS('Data - Monthly Metrics'!$A:$A,$B$4-1,'Data - Monthly Metrics'!$B:$B,C$8,'Data - Monthly Metrics'!$C:$C,"North King",'Data - Monthly Metrics'!$D:$D,"Goal - Penetration %")&gt;0,C30&gt;=SUMIFS('Data - Monthly Metrics'!$E:$E,'Data - Monthly Metrics'!$A:$A,$B$4-1,'Data - Monthly Metrics'!$B:$B,C$8,'Data - Monthly Metrics'!$C:$C,"North King",'Data - Monthly Metrics'!$D:$D,"Goal - Penetration %")-0.05)</formula>
    </cfRule>
    <cfRule type="expression" rank="0" priority="447" equalAverage="0" aboveAverage="0" dxfId="1" stopIfTrue="1" text="" percent="0" bottom="0">
      <formula>AND(ISNUMBER(C30),COUNTIFS('Data - Monthly Metrics'!$A:$A,$B$4-1,'Data - Monthly Metrics'!$B:$B,C$8,'Data - Monthly Metrics'!$C:$C,"North King",'Data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Metrics'!$C:$C,"North King",'Data - Monthly Metrics'!$D:$D,"Goal - Penetration %")&gt;0,D30&gt;=SUMIFS('Data - Monthly Metrics'!$E:$E,'Data - Monthly Metrics'!$A:$A,$B$4-1,'Data - Monthly Metrics'!$B:$B,D$8,'Data - Monthly Metrics'!$C:$C,"North King",'Data - Monthly Metrics'!$D:$D,"Goal - Penetration %"))</formula>
    </cfRule>
    <cfRule type="expression" rank="0" priority="449" equalAverage="0" aboveAverage="0" dxfId="2" stopIfTrue="1" text="" percent="0" bottom="0">
      <formula>AND(ISNUMBER(D30),COUNTIFS('Data - Monthly Metrics'!$A:$A,$B$4-1,'Data - Monthly Metrics'!$B:$B,D$8,'Data - Monthly Metrics'!$C:$C,"North King",'Data - Monthly Metrics'!$D:$D,"Goal - Penetration %")&gt;0,D30&gt;=SUMIFS('Data - Monthly Metrics'!$E:$E,'Data - Monthly Metrics'!$A:$A,$B$4-1,'Data - Monthly Metrics'!$B:$B,D$8,'Data - Monthly Metrics'!$C:$C,"North King",'Data - Monthly Metrics'!$D:$D,"Goal - Penetration %")-0.05)</formula>
    </cfRule>
    <cfRule type="expression" rank="0" priority="450" equalAverage="0" aboveAverage="0" dxfId="1" stopIfTrue="1" text="" percent="0" bottom="0">
      <formula>AND(ISNUMBER(D30),COUNTIFS('Data - Monthly Metrics'!$A:$A,$B$4-1,'Data - Monthly Metrics'!$B:$B,D$8,'Data - Monthly Metrics'!$C:$C,"North King",'Data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Metrics'!$C:$C,"North King",'Data - Monthly Metrics'!$D:$D,"Goal - Penetration %")&gt;0,F30&gt;=SUMIFS('Data - Monthly Metrics'!$E:$E,'Data - Monthly Metrics'!$A:$A,$B$4,'Data - Monthly Metrics'!$B:$B,F$8,'Data - Monthly Metrics'!$C:$C,"North King",'Data - Monthly Metrics'!$D:$D,"Goal - Penetration %"))</formula>
    </cfRule>
    <cfRule type="expression" rank="0" priority="452" equalAverage="0" aboveAverage="0" dxfId="2" stopIfTrue="1" text="" percent="0" bottom="0">
      <formula>AND(ISNUMBER(F30),COUNTIFS('Data - Monthly Metrics'!$A:$A,$B$4,'Data - Monthly Metrics'!$B:$B,F$8,'Data - Monthly Metrics'!$C:$C,"North King",'Data - Monthly Metrics'!$D:$D,"Goal - Penetration %")&gt;0,F30&gt;=SUMIFS('Data - Monthly Metrics'!$E:$E,'Data - Monthly Metrics'!$A:$A,$B$4,'Data - Monthly Metrics'!$B:$B,F$8,'Data - Monthly Metrics'!$C:$C,"North King",'Data - Monthly Metrics'!$D:$D,"Goal - Penetration %")-0.05)</formula>
    </cfRule>
    <cfRule type="expression" rank="0" priority="453" equalAverage="0" aboveAverage="0" dxfId="1" stopIfTrue="1" text="" percent="0" bottom="0">
      <formula>AND(ISNUMBER(F30),COUNTIFS('Data - Monthly Metrics'!$A:$A,$B$4,'Data - Monthly Metrics'!$B:$B,F$8,'Data - Monthly Metrics'!$C:$C,"North King",'Data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Metrics'!$C:$C,"North King",'Data - Monthly Metrics'!$D:$D,"Goal - Penetration %")&gt;0,G30&gt;=SUMIFS('Data - Monthly Metrics'!$E:$E,'Data - Monthly Metrics'!$A:$A,$B$4,'Data - Monthly Metrics'!$B:$B,G$8,'Data - Monthly Metrics'!$C:$C,"North King",'Data - Monthly Metrics'!$D:$D,"Goal - Penetration %"))</formula>
    </cfRule>
    <cfRule type="expression" rank="0" priority="455" equalAverage="0" aboveAverage="0" dxfId="2" stopIfTrue="1" text="" percent="0" bottom="0">
      <formula>AND(ISNUMBER(G30),COUNTIFS('Data - Monthly Metrics'!$A:$A,$B$4,'Data - Monthly Metrics'!$B:$B,G$8,'Data - Monthly Metrics'!$C:$C,"North King",'Data - Monthly Metrics'!$D:$D,"Goal - Penetration %")&gt;0,G30&gt;=SUMIFS('Data - Monthly Metrics'!$E:$E,'Data - Monthly Metrics'!$A:$A,$B$4,'Data - Monthly Metrics'!$B:$B,G$8,'Data - Monthly Metrics'!$C:$C,"North King",'Data - Monthly Metrics'!$D:$D,"Goal - Penetration %")-0.05)</formula>
    </cfRule>
    <cfRule type="expression" rank="0" priority="456" equalAverage="0" aboveAverage="0" dxfId="1" stopIfTrue="1" text="" percent="0" bottom="0">
      <formula>AND(ISNUMBER(G30),COUNTIFS('Data - Monthly Metrics'!$A:$A,$B$4,'Data - Monthly Metrics'!$B:$B,G$8,'Data - Monthly Metrics'!$C:$C,"North King",'Data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Metrics'!$C:$C,"North King",'Data - Monthly Metrics'!$D:$D,"Goal - Penetration %")&gt;0,H30&gt;=SUMIFS('Data - Monthly Metrics'!$E:$E,'Data - Monthly Metrics'!$A:$A,$B$4,'Data - Monthly Metrics'!$B:$B,H$8,'Data - Monthly Metrics'!$C:$C,"North King",'Data - Monthly Metrics'!$D:$D,"Goal - Penetration %"))</formula>
    </cfRule>
    <cfRule type="expression" rank="0" priority="458" equalAverage="0" aboveAverage="0" dxfId="2" stopIfTrue="1" text="" percent="0" bottom="0">
      <formula>AND(ISNUMBER(H30),COUNTIFS('Data - Monthly Metrics'!$A:$A,$B$4,'Data - Monthly Metrics'!$B:$B,H$8,'Data - Monthly Metrics'!$C:$C,"North King",'Data - Monthly Metrics'!$D:$D,"Goal - Penetration %")&gt;0,H30&gt;=SUMIFS('Data - Monthly Metrics'!$E:$E,'Data - Monthly Metrics'!$A:$A,$B$4,'Data - Monthly Metrics'!$B:$B,H$8,'Data - Monthly Metrics'!$C:$C,"North King",'Data - Monthly Metrics'!$D:$D,"Goal - Penetration %")-0.05)</formula>
    </cfRule>
    <cfRule type="expression" rank="0" priority="459" equalAverage="0" aboveAverage="0" dxfId="1" stopIfTrue="1" text="" percent="0" bottom="0">
      <formula>AND(ISNUMBER(H30),COUNTIFS('Data - Monthly Metrics'!$A:$A,$B$4,'Data - Monthly Metrics'!$B:$B,H$8,'Data - Monthly Metrics'!$C:$C,"North King",'Data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Metrics'!$C:$C,"North King",'Data - Monthly Metrics'!$D:$D,"Goal - Penetration %")&gt;0,J30&gt;=SUMIFS('Data - Monthly Metrics'!$E:$E,'Data - Monthly Metrics'!$A:$A,$B$4,'Data - Monthly Metrics'!$B:$B,J$8,'Data - Monthly Metrics'!$C:$C,"North King",'Data - Monthly Metrics'!$D:$D,"Goal - Penetration %"))</formula>
    </cfRule>
    <cfRule type="expression" rank="0" priority="461" equalAverage="0" aboveAverage="0" dxfId="2" stopIfTrue="1" text="" percent="0" bottom="0">
      <formula>AND(ISNUMBER(J30),COUNTIFS('Data - Monthly Metrics'!$A:$A,$B$4,'Data - Monthly Metrics'!$B:$B,J$8,'Data - Monthly Metrics'!$C:$C,"North King",'Data - Monthly Metrics'!$D:$D,"Goal - Penetration %")&gt;0,J30&gt;=SUMIFS('Data - Monthly Metrics'!$E:$E,'Data - Monthly Metrics'!$A:$A,$B$4,'Data - Monthly Metrics'!$B:$B,J$8,'Data - Monthly Metrics'!$C:$C,"North King",'Data - Monthly Metrics'!$D:$D,"Goal - Penetration %")-0.05)</formula>
    </cfRule>
    <cfRule type="expression" rank="0" priority="462" equalAverage="0" aboveAverage="0" dxfId="1" stopIfTrue="1" text="" percent="0" bottom="0">
      <formula>AND(ISNUMBER(J30),COUNTIFS('Data - Monthly Metrics'!$A:$A,$B$4,'Data - Monthly Metrics'!$B:$B,J$8,'Data - Monthly Metrics'!$C:$C,"North King",'Data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Metrics'!$C:$C,"North King",'Data - Monthly Metrics'!$D:$D,"Goal - Penetration %")&gt;0,K30&gt;=SUMIFS('Data - Monthly Metrics'!$E:$E,'Data - Monthly Metrics'!$A:$A,$B$4,'Data - Monthly Metrics'!$B:$B,K$8,'Data - Monthly Metrics'!$C:$C,"North King",'Data - Monthly Metrics'!$D:$D,"Goal - Penetration %"))</formula>
    </cfRule>
    <cfRule type="expression" rank="0" priority="464" equalAverage="0" aboveAverage="0" dxfId="2" stopIfTrue="1" text="" percent="0" bottom="0">
      <formula>AND(ISNUMBER(K30),COUNTIFS('Data - Monthly Metrics'!$A:$A,$B$4,'Data - Monthly Metrics'!$B:$B,K$8,'Data - Monthly Metrics'!$C:$C,"North King",'Data - Monthly Metrics'!$D:$D,"Goal - Penetration %")&gt;0,K30&gt;=SUMIFS('Data - Monthly Metrics'!$E:$E,'Data - Monthly Metrics'!$A:$A,$B$4,'Data - Monthly Metrics'!$B:$B,K$8,'Data - Monthly Metrics'!$C:$C,"North King",'Data - Monthly Metrics'!$D:$D,"Goal - Penetration %")-0.05)</formula>
    </cfRule>
    <cfRule type="expression" rank="0" priority="465" equalAverage="0" aboveAverage="0" dxfId="1" stopIfTrue="1" text="" percent="0" bottom="0">
      <formula>AND(ISNUMBER(K30),COUNTIFS('Data - Monthly Metrics'!$A:$A,$B$4,'Data - Monthly Metrics'!$B:$B,K$8,'Data - Monthly Metrics'!$C:$C,"North King",'Data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Metrics'!$C:$C,"North King",'Data - Monthly Metrics'!$D:$D,"Goal - Penetration %")&gt;0,L30&gt;=SUMIFS('Data - Monthly Metrics'!$E:$E,'Data - Monthly Metrics'!$A:$A,$B$4,'Data - Monthly Metrics'!$B:$B,L$8,'Data - Monthly Metrics'!$C:$C,"North King",'Data - Monthly Metrics'!$D:$D,"Goal - Penetration %"))</formula>
    </cfRule>
    <cfRule type="expression" rank="0" priority="467" equalAverage="0" aboveAverage="0" dxfId="2" stopIfTrue="1" text="" percent="0" bottom="0">
      <formula>AND(ISNUMBER(L30),COUNTIFS('Data - Monthly Metrics'!$A:$A,$B$4,'Data - Monthly Metrics'!$B:$B,L$8,'Data - Monthly Metrics'!$C:$C,"North King",'Data - Monthly Metrics'!$D:$D,"Goal - Penetration %")&gt;0,L30&gt;=SUMIFS('Data - Monthly Metrics'!$E:$E,'Data - Monthly Metrics'!$A:$A,$B$4,'Data - Monthly Metrics'!$B:$B,L$8,'Data - Monthly Metrics'!$C:$C,"North King",'Data - Monthly Metrics'!$D:$D,"Goal - Penetration %")-0.05)</formula>
    </cfRule>
    <cfRule type="expression" rank="0" priority="468" equalAverage="0" aboveAverage="0" dxfId="1" stopIfTrue="1" text="" percent="0" bottom="0">
      <formula>AND(ISNUMBER(L30),COUNTIFS('Data - Monthly Metrics'!$A:$A,$B$4,'Data - Monthly Metrics'!$B:$B,L$8,'Data - Monthly Metrics'!$C:$C,"North King",'Data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Metrics'!$C:$C,"North King",'Data - Monthly Metrics'!$D:$D,"Goal - Penetration %")&gt;0,N30&gt;=SUMIFS('Data - Monthly Metrics'!$E:$E,'Data - Monthly Metrics'!$A:$A,$B$4,'Data - Monthly Metrics'!$B:$B,N$8,'Data - Monthly Metrics'!$C:$C,"North King",'Data - Monthly Metrics'!$D:$D,"Goal - Penetration %"))</formula>
    </cfRule>
    <cfRule type="expression" rank="0" priority="470" equalAverage="0" aboveAverage="0" dxfId="2" stopIfTrue="1" text="" percent="0" bottom="0">
      <formula>AND(ISNUMBER(N30),COUNTIFS('Data - Monthly Metrics'!$A:$A,$B$4,'Data - Monthly Metrics'!$B:$B,N$8,'Data - Monthly Metrics'!$C:$C,"North King",'Data - Monthly Metrics'!$D:$D,"Goal - Penetration %")&gt;0,N30&gt;=SUMIFS('Data - Monthly Metrics'!$E:$E,'Data - Monthly Metrics'!$A:$A,$B$4,'Data - Monthly Metrics'!$B:$B,N$8,'Data - Monthly Metrics'!$C:$C,"North King",'Data - Monthly Metrics'!$D:$D,"Goal - Penetration %")-0.05)</formula>
    </cfRule>
    <cfRule type="expression" rank="0" priority="471" equalAverage="0" aboveAverage="0" dxfId="1" stopIfTrue="1" text="" percent="0" bottom="0">
      <formula>AND(ISNUMBER(N30),COUNTIFS('Data - Monthly Metrics'!$A:$A,$B$4,'Data - Monthly Metrics'!$B:$B,N$8,'Data - Monthly Metrics'!$C:$C,"North King",'Data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Metrics'!$C:$C,"North King",'Data - Monthly Metrics'!$D:$D,"Goal - Penetration %")&gt;0,O30&gt;=SUMIFS('Data - Monthly Metrics'!$E:$E,'Data - Monthly Metrics'!$A:$A,$B$4,'Data - Monthly Metrics'!$B:$B,O$8,'Data - Monthly Metrics'!$C:$C,"North King",'Data - Monthly Metrics'!$D:$D,"Goal - Penetration %"))</formula>
    </cfRule>
    <cfRule type="expression" rank="0" priority="473" equalAverage="0" aboveAverage="0" dxfId="2" stopIfTrue="1" text="" percent="0" bottom="0">
      <formula>AND(ISNUMBER(O30),COUNTIFS('Data - Monthly Metrics'!$A:$A,$B$4,'Data - Monthly Metrics'!$B:$B,O$8,'Data - Monthly Metrics'!$C:$C,"North King",'Data - Monthly Metrics'!$D:$D,"Goal - Penetration %")&gt;0,O30&gt;=SUMIFS('Data - Monthly Metrics'!$E:$E,'Data - Monthly Metrics'!$A:$A,$B$4,'Data - Monthly Metrics'!$B:$B,O$8,'Data - Monthly Metrics'!$C:$C,"North King",'Data - Monthly Metrics'!$D:$D,"Goal - Penetration %")-0.05)</formula>
    </cfRule>
    <cfRule type="expression" rank="0" priority="474" equalAverage="0" aboveAverage="0" dxfId="1" stopIfTrue="1" text="" percent="0" bottom="0">
      <formula>AND(ISNUMBER(O30),COUNTIFS('Data - Monthly Metrics'!$A:$A,$B$4,'Data - Monthly Metrics'!$B:$B,O$8,'Data - Monthly Metrics'!$C:$C,"North King",'Data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Metrics'!$C:$C,"North King",'Data - Monthly Metrics'!$D:$D,"Goal - Penetration %")&gt;0,P30&gt;=SUMIFS('Data - Monthly Metrics'!$E:$E,'Data - Monthly Metrics'!$A:$A,$B$4,'Data - Monthly Metrics'!$B:$B,P$8,'Data - Monthly Metrics'!$C:$C,"North King",'Data - Monthly Metrics'!$D:$D,"Goal - Penetration %"))</formula>
    </cfRule>
    <cfRule type="expression" rank="0" priority="476" equalAverage="0" aboveAverage="0" dxfId="2" stopIfTrue="1" text="" percent="0" bottom="0">
      <formula>AND(ISNUMBER(P30),COUNTIFS('Data - Monthly Metrics'!$A:$A,$B$4,'Data - Monthly Metrics'!$B:$B,P$8,'Data - Monthly Metrics'!$C:$C,"North King",'Data - Monthly Metrics'!$D:$D,"Goal - Penetration %")&gt;0,P30&gt;=SUMIFS('Data - Monthly Metrics'!$E:$E,'Data - Monthly Metrics'!$A:$A,$B$4,'Data - Monthly Metrics'!$B:$B,P$8,'Data - Monthly Metrics'!$C:$C,"North King",'Data - Monthly Metrics'!$D:$D,"Goal - Penetration %")-0.05)</formula>
    </cfRule>
    <cfRule type="expression" rank="0" priority="477" equalAverage="0" aboveAverage="0" dxfId="1" stopIfTrue="1" text="" percent="0" bottom="0">
      <formula>AND(ISNUMBER(P30),COUNTIFS('Data - Monthly Metrics'!$A:$A,$B$4,'Data - Monthly Metrics'!$B:$B,P$8,'Data - Monthly Metrics'!$C:$C,"North King",'Data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Metrics'!$C:$C,"North King",'Data - Monthly Metrics'!$D:$D,"Goal - Penetration %")&gt;0,B31&gt;=SUMIFS('Data - Monthly Metrics'!$E:$E,'Data - Monthly Metrics'!$A:$A,$B$4-1,'Data - Monthly Metrics'!$B:$B,B$8,'Data - Monthly Metrics'!$C:$C,"North King",'Data - Monthly Metrics'!$D:$D,"Goal - Penetration %"))</formula>
    </cfRule>
    <cfRule type="expression" rank="0" priority="479" equalAverage="0" aboveAverage="0" dxfId="2" stopIfTrue="1" text="" percent="0" bottom="0">
      <formula>AND(ISNUMBER(B31),COUNTIFS('Data - Monthly Metrics'!$A:$A,$B$4-1,'Data - Monthly Metrics'!$B:$B,B$8,'Data - Monthly Metrics'!$C:$C,"North King",'Data - Monthly Metrics'!$D:$D,"Goal - Penetration %")&gt;0,B31&gt;=SUMIFS('Data - Monthly Metrics'!$E:$E,'Data - Monthly Metrics'!$A:$A,$B$4-1,'Data - Monthly Metrics'!$B:$B,B$8,'Data - Monthly Metrics'!$C:$C,"North King",'Data - Monthly Metrics'!$D:$D,"Goal - Penetration %")-0.05)</formula>
    </cfRule>
    <cfRule type="expression" rank="0" priority="480" equalAverage="0" aboveAverage="0" dxfId="1" stopIfTrue="1" text="" percent="0" bottom="0">
      <formula>AND(ISNUMBER(B31),COUNTIFS('Data - Monthly Metrics'!$A:$A,$B$4-1,'Data - Monthly Metrics'!$B:$B,B$8,'Data - Monthly Metrics'!$C:$C,"North King",'Data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Metrics'!$C:$C,"North King",'Data - Monthly Metrics'!$D:$D,"Goal - Penetration %")&gt;0,C31&gt;=SUMIFS('Data - Monthly Metrics'!$E:$E,'Data - Monthly Metrics'!$A:$A,$B$4-1,'Data - Monthly Metrics'!$B:$B,C$8,'Data - Monthly Metrics'!$C:$C,"North King",'Data - Monthly Metrics'!$D:$D,"Goal - Penetration %"))</formula>
    </cfRule>
    <cfRule type="expression" rank="0" priority="482" equalAverage="0" aboveAverage="0" dxfId="2" stopIfTrue="1" text="" percent="0" bottom="0">
      <formula>AND(ISNUMBER(C31),COUNTIFS('Data - Monthly Metrics'!$A:$A,$B$4-1,'Data - Monthly Metrics'!$B:$B,C$8,'Data - Monthly Metrics'!$C:$C,"North King",'Data - Monthly Metrics'!$D:$D,"Goal - Penetration %")&gt;0,C31&gt;=SUMIFS('Data - Monthly Metrics'!$E:$E,'Data - Monthly Metrics'!$A:$A,$B$4-1,'Data - Monthly Metrics'!$B:$B,C$8,'Data - Monthly Metrics'!$C:$C,"North King",'Data - Monthly Metrics'!$D:$D,"Goal - Penetration %")-0.05)</formula>
    </cfRule>
    <cfRule type="expression" rank="0" priority="483" equalAverage="0" aboveAverage="0" dxfId="1" stopIfTrue="1" text="" percent="0" bottom="0">
      <formula>AND(ISNUMBER(C31),COUNTIFS('Data - Monthly Metrics'!$A:$A,$B$4-1,'Data - Monthly Metrics'!$B:$B,C$8,'Data - Monthly Metrics'!$C:$C,"North King",'Data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Metrics'!$C:$C,"North King",'Data - Monthly Metrics'!$D:$D,"Goal - Penetration %")&gt;0,D31&gt;=SUMIFS('Data - Monthly Metrics'!$E:$E,'Data - Monthly Metrics'!$A:$A,$B$4-1,'Data - Monthly Metrics'!$B:$B,D$8,'Data - Monthly Metrics'!$C:$C,"North King",'Data - Monthly Metrics'!$D:$D,"Goal - Penetration %"))</formula>
    </cfRule>
    <cfRule type="expression" rank="0" priority="485" equalAverage="0" aboveAverage="0" dxfId="2" stopIfTrue="1" text="" percent="0" bottom="0">
      <formula>AND(ISNUMBER(D31),COUNTIFS('Data - Monthly Metrics'!$A:$A,$B$4-1,'Data - Monthly Metrics'!$B:$B,D$8,'Data - Monthly Metrics'!$C:$C,"North King",'Data - Monthly Metrics'!$D:$D,"Goal - Penetration %")&gt;0,D31&gt;=SUMIFS('Data - Monthly Metrics'!$E:$E,'Data - Monthly Metrics'!$A:$A,$B$4-1,'Data - Monthly Metrics'!$B:$B,D$8,'Data - Monthly Metrics'!$C:$C,"North King",'Data - Monthly Metrics'!$D:$D,"Goal - Penetration %")-0.05)</formula>
    </cfRule>
    <cfRule type="expression" rank="0" priority="486" equalAverage="0" aboveAverage="0" dxfId="1" stopIfTrue="1" text="" percent="0" bottom="0">
      <formula>AND(ISNUMBER(D31),COUNTIFS('Data - Monthly Metrics'!$A:$A,$B$4-1,'Data - Monthly Metrics'!$B:$B,D$8,'Data - Monthly Metrics'!$C:$C,"North King",'Data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Metrics'!$C:$C,"North King",'Data - Monthly Metrics'!$D:$D,"Goal - Penetration %")&gt;0,F31&gt;=SUMIFS('Data - Monthly Metrics'!$E:$E,'Data - Monthly Metrics'!$A:$A,$B$4,'Data - Monthly Metrics'!$B:$B,F$8,'Data - Monthly Metrics'!$C:$C,"North King",'Data - Monthly Metrics'!$D:$D,"Goal - Penetration %"))</formula>
    </cfRule>
    <cfRule type="expression" rank="0" priority="488" equalAverage="0" aboveAverage="0" dxfId="2" stopIfTrue="1" text="" percent="0" bottom="0">
      <formula>AND(ISNUMBER(F31),COUNTIFS('Data - Monthly Metrics'!$A:$A,$B$4,'Data - Monthly Metrics'!$B:$B,F$8,'Data - Monthly Metrics'!$C:$C,"North King",'Data - Monthly Metrics'!$D:$D,"Goal - Penetration %")&gt;0,F31&gt;=SUMIFS('Data - Monthly Metrics'!$E:$E,'Data - Monthly Metrics'!$A:$A,$B$4,'Data - Monthly Metrics'!$B:$B,F$8,'Data - Monthly Metrics'!$C:$C,"North King",'Data - Monthly Metrics'!$D:$D,"Goal - Penetration %")-0.05)</formula>
    </cfRule>
    <cfRule type="expression" rank="0" priority="489" equalAverage="0" aboveAverage="0" dxfId="1" stopIfTrue="1" text="" percent="0" bottom="0">
      <formula>AND(ISNUMBER(F31),COUNTIFS('Data - Monthly Metrics'!$A:$A,$B$4,'Data - Monthly Metrics'!$B:$B,F$8,'Data - Monthly Metrics'!$C:$C,"North King",'Data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Metrics'!$C:$C,"North King",'Data - Monthly Metrics'!$D:$D,"Goal - Penetration %")&gt;0,G31&gt;=SUMIFS('Data - Monthly Metrics'!$E:$E,'Data - Monthly Metrics'!$A:$A,$B$4,'Data - Monthly Metrics'!$B:$B,G$8,'Data - Monthly Metrics'!$C:$C,"North King",'Data - Monthly Metrics'!$D:$D,"Goal - Penetration %"))</formula>
    </cfRule>
    <cfRule type="expression" rank="0" priority="491" equalAverage="0" aboveAverage="0" dxfId="2" stopIfTrue="1" text="" percent="0" bottom="0">
      <formula>AND(ISNUMBER(G31),COUNTIFS('Data - Monthly Metrics'!$A:$A,$B$4,'Data - Monthly Metrics'!$B:$B,G$8,'Data - Monthly Metrics'!$C:$C,"North King",'Data - Monthly Metrics'!$D:$D,"Goal - Penetration %")&gt;0,G31&gt;=SUMIFS('Data - Monthly Metrics'!$E:$E,'Data - Monthly Metrics'!$A:$A,$B$4,'Data - Monthly Metrics'!$B:$B,G$8,'Data - Monthly Metrics'!$C:$C,"North King",'Data - Monthly Metrics'!$D:$D,"Goal - Penetration %")-0.05)</formula>
    </cfRule>
    <cfRule type="expression" rank="0" priority="492" equalAverage="0" aboveAverage="0" dxfId="1" stopIfTrue="1" text="" percent="0" bottom="0">
      <formula>AND(ISNUMBER(G31),COUNTIFS('Data - Monthly Metrics'!$A:$A,$B$4,'Data - Monthly Metrics'!$B:$B,G$8,'Data - Monthly Metrics'!$C:$C,"North King",'Data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Metrics'!$C:$C,"North King",'Data - Monthly Metrics'!$D:$D,"Goal - Penetration %")&gt;0,H31&gt;=SUMIFS('Data - Monthly Metrics'!$E:$E,'Data - Monthly Metrics'!$A:$A,$B$4,'Data - Monthly Metrics'!$B:$B,H$8,'Data - Monthly Metrics'!$C:$C,"North King",'Data - Monthly Metrics'!$D:$D,"Goal - Penetration %"))</formula>
    </cfRule>
    <cfRule type="expression" rank="0" priority="494" equalAverage="0" aboveAverage="0" dxfId="2" stopIfTrue="1" text="" percent="0" bottom="0">
      <formula>AND(ISNUMBER(H31),COUNTIFS('Data - Monthly Metrics'!$A:$A,$B$4,'Data - Monthly Metrics'!$B:$B,H$8,'Data - Monthly Metrics'!$C:$C,"North King",'Data - Monthly Metrics'!$D:$D,"Goal - Penetration %")&gt;0,H31&gt;=SUMIFS('Data - Monthly Metrics'!$E:$E,'Data - Monthly Metrics'!$A:$A,$B$4,'Data - Monthly Metrics'!$B:$B,H$8,'Data - Monthly Metrics'!$C:$C,"North King",'Data - Monthly Metrics'!$D:$D,"Goal - Penetration %")-0.05)</formula>
    </cfRule>
    <cfRule type="expression" rank="0" priority="495" equalAverage="0" aboveAverage="0" dxfId="1" stopIfTrue="1" text="" percent="0" bottom="0">
      <formula>AND(ISNUMBER(H31),COUNTIFS('Data - Monthly Metrics'!$A:$A,$B$4,'Data - Monthly Metrics'!$B:$B,H$8,'Data - Monthly Metrics'!$C:$C,"North King",'Data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Metrics'!$C:$C,"North King",'Data - Monthly Metrics'!$D:$D,"Goal - Penetration %")&gt;0,J31&gt;=SUMIFS('Data - Monthly Metrics'!$E:$E,'Data - Monthly Metrics'!$A:$A,$B$4,'Data - Monthly Metrics'!$B:$B,J$8,'Data - Monthly Metrics'!$C:$C,"North King",'Data - Monthly Metrics'!$D:$D,"Goal - Penetration %"))</formula>
    </cfRule>
    <cfRule type="expression" rank="0" priority="497" equalAverage="0" aboveAverage="0" dxfId="2" stopIfTrue="1" text="" percent="0" bottom="0">
      <formula>AND(ISNUMBER(J31),COUNTIFS('Data - Monthly Metrics'!$A:$A,$B$4,'Data - Monthly Metrics'!$B:$B,J$8,'Data - Monthly Metrics'!$C:$C,"North King",'Data - Monthly Metrics'!$D:$D,"Goal - Penetration %")&gt;0,J31&gt;=SUMIFS('Data - Monthly Metrics'!$E:$E,'Data - Monthly Metrics'!$A:$A,$B$4,'Data - Monthly Metrics'!$B:$B,J$8,'Data - Monthly Metrics'!$C:$C,"North King",'Data - Monthly Metrics'!$D:$D,"Goal - Penetration %")-0.05)</formula>
    </cfRule>
    <cfRule type="expression" rank="0" priority="498" equalAverage="0" aboveAverage="0" dxfId="1" stopIfTrue="1" text="" percent="0" bottom="0">
      <formula>AND(ISNUMBER(J31),COUNTIFS('Data - Monthly Metrics'!$A:$A,$B$4,'Data - Monthly Metrics'!$B:$B,J$8,'Data - Monthly Metrics'!$C:$C,"North King",'Data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Metrics'!$C:$C,"North King",'Data - Monthly Metrics'!$D:$D,"Goal - Penetration %")&gt;0,K31&gt;=SUMIFS('Data - Monthly Metrics'!$E:$E,'Data - Monthly Metrics'!$A:$A,$B$4,'Data - Monthly Metrics'!$B:$B,K$8,'Data - Monthly Metrics'!$C:$C,"North King",'Data - Monthly Metrics'!$D:$D,"Goal - Penetration %"))</formula>
    </cfRule>
    <cfRule type="expression" rank="0" priority="500" equalAverage="0" aboveAverage="0" dxfId="2" stopIfTrue="1" text="" percent="0" bottom="0">
      <formula>AND(ISNUMBER(K31),COUNTIFS('Data - Monthly Metrics'!$A:$A,$B$4,'Data - Monthly Metrics'!$B:$B,K$8,'Data - Monthly Metrics'!$C:$C,"North King",'Data - Monthly Metrics'!$D:$D,"Goal - Penetration %")&gt;0,K31&gt;=SUMIFS('Data - Monthly Metrics'!$E:$E,'Data - Monthly Metrics'!$A:$A,$B$4,'Data - Monthly Metrics'!$B:$B,K$8,'Data - Monthly Metrics'!$C:$C,"North King",'Data - Monthly Metrics'!$D:$D,"Goal - Penetration %")-0.05)</formula>
    </cfRule>
    <cfRule type="expression" rank="0" priority="501" equalAverage="0" aboveAverage="0" dxfId="1" stopIfTrue="1" text="" percent="0" bottom="0">
      <formula>AND(ISNUMBER(K31),COUNTIFS('Data - Monthly Metrics'!$A:$A,$B$4,'Data - Monthly Metrics'!$B:$B,K$8,'Data - Monthly Metrics'!$C:$C,"North King",'Data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Metrics'!$C:$C,"North King",'Data - Monthly Metrics'!$D:$D,"Goal - Penetration %")&gt;0,L31&gt;=SUMIFS('Data - Monthly Metrics'!$E:$E,'Data - Monthly Metrics'!$A:$A,$B$4,'Data - Monthly Metrics'!$B:$B,L$8,'Data - Monthly Metrics'!$C:$C,"North King",'Data - Monthly Metrics'!$D:$D,"Goal - Penetration %"))</formula>
    </cfRule>
    <cfRule type="expression" rank="0" priority="503" equalAverage="0" aboveAverage="0" dxfId="2" stopIfTrue="1" text="" percent="0" bottom="0">
      <formula>AND(ISNUMBER(L31),COUNTIFS('Data - Monthly Metrics'!$A:$A,$B$4,'Data - Monthly Metrics'!$B:$B,L$8,'Data - Monthly Metrics'!$C:$C,"North King",'Data - Monthly Metrics'!$D:$D,"Goal - Penetration %")&gt;0,L31&gt;=SUMIFS('Data - Monthly Metrics'!$E:$E,'Data - Monthly Metrics'!$A:$A,$B$4,'Data - Monthly Metrics'!$B:$B,L$8,'Data - Monthly Metrics'!$C:$C,"North King",'Data - Monthly Metrics'!$D:$D,"Goal - Penetration %")-0.05)</formula>
    </cfRule>
    <cfRule type="expression" rank="0" priority="504" equalAverage="0" aboveAverage="0" dxfId="1" stopIfTrue="1" text="" percent="0" bottom="0">
      <formula>AND(ISNUMBER(L31),COUNTIFS('Data - Monthly Metrics'!$A:$A,$B$4,'Data - Monthly Metrics'!$B:$B,L$8,'Data - Monthly Metrics'!$C:$C,"North King",'Data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Metrics'!$C:$C,"North King",'Data - Monthly Metrics'!$D:$D,"Goal - Penetration %")&gt;0,N31&gt;=SUMIFS('Data - Monthly Metrics'!$E:$E,'Data - Monthly Metrics'!$A:$A,$B$4,'Data - Monthly Metrics'!$B:$B,N$8,'Data - Monthly Metrics'!$C:$C,"North King",'Data - Monthly Metrics'!$D:$D,"Goal - Penetration %"))</formula>
    </cfRule>
    <cfRule type="expression" rank="0" priority="506" equalAverage="0" aboveAverage="0" dxfId="2" stopIfTrue="1" text="" percent="0" bottom="0">
      <formula>AND(ISNUMBER(N31),COUNTIFS('Data - Monthly Metrics'!$A:$A,$B$4,'Data - Monthly Metrics'!$B:$B,N$8,'Data - Monthly Metrics'!$C:$C,"North King",'Data - Monthly Metrics'!$D:$D,"Goal - Penetration %")&gt;0,N31&gt;=SUMIFS('Data - Monthly Metrics'!$E:$E,'Data - Monthly Metrics'!$A:$A,$B$4,'Data - Monthly Metrics'!$B:$B,N$8,'Data - Monthly Metrics'!$C:$C,"North King",'Data - Monthly Metrics'!$D:$D,"Goal - Penetration %")-0.05)</formula>
    </cfRule>
    <cfRule type="expression" rank="0" priority="507" equalAverage="0" aboveAverage="0" dxfId="1" stopIfTrue="1" text="" percent="0" bottom="0">
      <formula>AND(ISNUMBER(N31),COUNTIFS('Data - Monthly Metrics'!$A:$A,$B$4,'Data - Monthly Metrics'!$B:$B,N$8,'Data - Monthly Metrics'!$C:$C,"North King",'Data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Metrics'!$C:$C,"North King",'Data - Monthly Metrics'!$D:$D,"Goal - Penetration %")&gt;0,O31&gt;=SUMIFS('Data - Monthly Metrics'!$E:$E,'Data - Monthly Metrics'!$A:$A,$B$4,'Data - Monthly Metrics'!$B:$B,O$8,'Data - Monthly Metrics'!$C:$C,"North King",'Data - Monthly Metrics'!$D:$D,"Goal - Penetration %"))</formula>
    </cfRule>
    <cfRule type="expression" rank="0" priority="509" equalAverage="0" aboveAverage="0" dxfId="2" stopIfTrue="1" text="" percent="0" bottom="0">
      <formula>AND(ISNUMBER(O31),COUNTIFS('Data - Monthly Metrics'!$A:$A,$B$4,'Data - Monthly Metrics'!$B:$B,O$8,'Data - Monthly Metrics'!$C:$C,"North King",'Data - Monthly Metrics'!$D:$D,"Goal - Penetration %")&gt;0,O31&gt;=SUMIFS('Data - Monthly Metrics'!$E:$E,'Data - Monthly Metrics'!$A:$A,$B$4,'Data - Monthly Metrics'!$B:$B,O$8,'Data - Monthly Metrics'!$C:$C,"North King",'Data - Monthly Metrics'!$D:$D,"Goal - Penetration %")-0.05)</formula>
    </cfRule>
    <cfRule type="expression" rank="0" priority="510" equalAverage="0" aboveAverage="0" dxfId="1" stopIfTrue="1" text="" percent="0" bottom="0">
      <formula>AND(ISNUMBER(O31),COUNTIFS('Data - Monthly Metrics'!$A:$A,$B$4,'Data - Monthly Metrics'!$B:$B,O$8,'Data - Monthly Metrics'!$C:$C,"North King",'Data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Metrics'!$C:$C,"North King",'Data - Monthly Metrics'!$D:$D,"Goal - Penetration %")&gt;0,P31&gt;=SUMIFS('Data - Monthly Metrics'!$E:$E,'Data - Monthly Metrics'!$A:$A,$B$4,'Data - Monthly Metrics'!$B:$B,P$8,'Data - Monthly Metrics'!$C:$C,"North King",'Data - Monthly Metrics'!$D:$D,"Goal - Penetration %"))</formula>
    </cfRule>
    <cfRule type="expression" rank="0" priority="512" equalAverage="0" aboveAverage="0" dxfId="2" stopIfTrue="1" text="" percent="0" bottom="0">
      <formula>AND(ISNUMBER(P31),COUNTIFS('Data - Monthly Metrics'!$A:$A,$B$4,'Data - Monthly Metrics'!$B:$B,P$8,'Data - Monthly Metrics'!$C:$C,"North King",'Data - Monthly Metrics'!$D:$D,"Goal - Penetration %")&gt;0,P31&gt;=SUMIFS('Data - Monthly Metrics'!$E:$E,'Data - Monthly Metrics'!$A:$A,$B$4,'Data - Monthly Metrics'!$B:$B,P$8,'Data - Monthly Metrics'!$C:$C,"North King",'Data - Monthly Metrics'!$D:$D,"Goal - Penetration %")-0.05)</formula>
    </cfRule>
    <cfRule type="expression" rank="0" priority="513" equalAverage="0" aboveAverage="0" dxfId="1" stopIfTrue="1" text="" percent="0" bottom="0">
      <formula>AND(ISNUMBER(P31),COUNTIFS('Data - Monthly Metrics'!$A:$A,$B$4,'Data - Monthly Metrics'!$B:$B,P$8,'Data - Monthly Metrics'!$C:$C,"North King",'Data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Pierce</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Metrics'!C:C,"Pierce",'Data - Monthly Metrics'!D:D,"New Sales Revenue - BOB/Promo ($)")=0,"-",SUMIFS('Data - Monthly Metrics'!E:E,'Data - Monthly Metrics'!A:A,$B$4-1,'Data - Monthly Metrics'!B:B,"Oct",'Data - Monthly Metrics'!C:C,"Pierce",'Data - Monthly Metrics'!D:D,"New Sales Revenue - BOB/Promo ($)"))</f>
        <v/>
      </c>
      <c r="C10" s="91">
        <f>IF(COUNTIFS('Data - Monthly Metrics'!A:A,$B$4-1,'Data - Monthly Metrics'!B:B,"Nov",'Data - Monthly Metrics'!C:C,"Pierce",'Data - Monthly Metrics'!D:D,"New Sales Revenue - BOB/Promo ($)")=0,"-",SUMIFS('Data - Monthly Metrics'!E:E,'Data - Monthly Metrics'!A:A,$B$4-1,'Data - Monthly Metrics'!B:B,"Nov",'Data - Monthly Metrics'!C:C,"Pierce",'Data - Monthly Metrics'!D:D,"New Sales Revenue - BOB/Promo ($)"))</f>
        <v/>
      </c>
      <c r="D10" s="91">
        <f>IF(COUNTIFS('Data - Monthly Metrics'!A:A,$B$4-1,'Data - Monthly Metrics'!B:B,"Dec",'Data - Monthly Metrics'!C:C,"Pierce",'Data - Monthly Metrics'!D:D,"New Sales Revenue - BOB/Promo ($)")=0,"-",SUMIFS('Data - Monthly Metrics'!E:E,'Data - Monthly Metrics'!A:A,$B$4-1,'Data - Monthly Metrics'!B:B,"Dec",'Data - Monthly Metrics'!C:C,"Pierce",'Data - Monthly Metrics'!D:D,"New Sales Revenue - BOB/Promo ($)"))</f>
        <v/>
      </c>
      <c r="E10" s="101">
        <f>SUM(B10,C10,D10)</f>
        <v/>
      </c>
      <c r="F10" s="91">
        <f>IF(COUNTIFS('Data - Monthly Metrics'!A:A,$B$4,'Data - Monthly Metrics'!B:B,"Jan",'Data - Monthly Metrics'!C:C,"Pierce",'Data - Monthly Metrics'!D:D,"New Sales Revenue - BOB/Promo ($)")=0,"-",SUMIFS('Data - Monthly Metrics'!E:E,'Data - Monthly Metrics'!A:A,$B$4,'Data - Monthly Metrics'!B:B,"Jan",'Data - Monthly Metrics'!C:C,"Pierce",'Data - Monthly Metrics'!D:D,"New Sales Revenue - BOB/Promo ($)"))</f>
        <v/>
      </c>
      <c r="G10" s="91">
        <f>IF(COUNTIFS('Data - Monthly Metrics'!A:A,$B$4,'Data - Monthly Metrics'!B:B,"Feb",'Data - Monthly Metrics'!C:C,"Pierce",'Data - Monthly Metrics'!D:D,"New Sales Revenue - BOB/Promo ($)")=0,"-",SUMIFS('Data - Monthly Metrics'!E:E,'Data - Monthly Metrics'!A:A,$B$4,'Data - Monthly Metrics'!B:B,"Feb",'Data - Monthly Metrics'!C:C,"Pierce",'Data - Monthly Metrics'!D:D,"New Sales Revenue - BOB/Promo ($)"))</f>
        <v/>
      </c>
      <c r="H10" s="91">
        <f>IF(COUNTIFS('Data - Monthly Metrics'!A:A,$B$4,'Data - Monthly Metrics'!B:B,"Mar",'Data - Monthly Metrics'!C:C,"Pierce",'Data - Monthly Metrics'!D:D,"New Sales Revenue - BOB/Promo ($)")=0,"-",SUMIFS('Data - Monthly Metrics'!E:E,'Data - Monthly Metrics'!A:A,$B$4,'Data - Monthly Metrics'!B:B,"Mar",'Data - Monthly Metrics'!C:C,"Pierce",'Data - Monthly Metrics'!D:D,"New Sales Revenue - BOB/Promo ($)"))</f>
        <v/>
      </c>
      <c r="I10" s="101">
        <f>SUM(F10,G10,H10)</f>
        <v/>
      </c>
      <c r="J10" s="91">
        <f>IF(COUNTIFS('Data - Monthly Metrics'!A:A,$B$4,'Data - Monthly Metrics'!B:B,"Apr",'Data - Monthly Metrics'!C:C,"Pierce",'Data - Monthly Metrics'!D:D,"New Sales Revenue - BOB/Promo ($)")=0,"-",SUMIFS('Data - Monthly Metrics'!E:E,'Data - Monthly Metrics'!A:A,$B$4,'Data - Monthly Metrics'!B:B,"Apr",'Data - Monthly Metrics'!C:C,"Pierce",'Data - Monthly Metrics'!D:D,"New Sales Revenue - BOB/Promo ($)"))</f>
        <v/>
      </c>
      <c r="K10" s="91">
        <f>IF(COUNTIFS('Data - Monthly Metrics'!A:A,$B$4,'Data - Monthly Metrics'!B:B,"May",'Data - Monthly Metrics'!C:C,"Pierce",'Data - Monthly Metrics'!D:D,"New Sales Revenue - BOB/Promo ($)")=0,"-",SUMIFS('Data - Monthly Metrics'!E:E,'Data - Monthly Metrics'!A:A,$B$4,'Data - Monthly Metrics'!B:B,"May",'Data - Monthly Metrics'!C:C,"Pierce",'Data - Monthly Metrics'!D:D,"New Sales Revenue - BOB/Promo ($)"))</f>
        <v/>
      </c>
      <c r="L10" s="91">
        <f>IF(COUNTIFS('Data - Monthly Metrics'!A:A,$B$4,'Data - Monthly Metrics'!B:B,"Jun",'Data - Monthly Metrics'!C:C,"Pierce",'Data - Monthly Metrics'!D:D,"New Sales Revenue - BOB/Promo ($)")=0,"-",SUMIFS('Data - Monthly Metrics'!E:E,'Data - Monthly Metrics'!A:A,$B$4,'Data - Monthly Metrics'!B:B,"Jun",'Data - Monthly Metrics'!C:C,"Pierce",'Data - Monthly Metrics'!D:D,"New Sales Revenue - BOB/Promo ($)"))</f>
        <v/>
      </c>
      <c r="M10" s="101">
        <f>SUM(J10,K10,L10)</f>
        <v/>
      </c>
      <c r="N10" s="91">
        <f>IF(COUNTIFS('Data - Monthly Metrics'!A:A,$B$4,'Data - Monthly Metrics'!B:B,"Jul",'Data - Monthly Metrics'!C:C,"Pierce",'Data - Monthly Metrics'!D:D,"New Sales Revenue - BOB/Promo ($)")=0,"-",SUMIFS('Data - Monthly Metrics'!E:E,'Data - Monthly Metrics'!A:A,$B$4,'Data - Monthly Metrics'!B:B,"Jul",'Data - Monthly Metrics'!C:C,"Pierce",'Data - Monthly Metrics'!D:D,"New Sales Revenue - BOB/Promo ($)"))</f>
        <v/>
      </c>
      <c r="O10" s="91">
        <f>IF(COUNTIFS('Data - Monthly Metrics'!A:A,$B$4,'Data - Monthly Metrics'!B:B,"Aug",'Data - Monthly Metrics'!C:C,"Pierce",'Data - Monthly Metrics'!D:D,"New Sales Revenue - BOB/Promo ($)")=0,"-",SUMIFS('Data - Monthly Metrics'!E:E,'Data - Monthly Metrics'!A:A,$B$4,'Data - Monthly Metrics'!B:B,"Aug",'Data - Monthly Metrics'!C:C,"Pierce",'Data - Monthly Metrics'!D:D,"New Sales Revenue - BOB/Promo ($)"))</f>
        <v/>
      </c>
      <c r="P10" s="91">
        <f>IF(COUNTIFS('Data - Monthly Metrics'!A:A,$B$4,'Data - Monthly Metrics'!B:B,"Sep",'Data - Monthly Metrics'!C:C,"Pierce",'Data - Monthly Metrics'!D:D,"New Sales Revenue - BOB/Promo ($)")=0,"-",SUMIFS('Data - Monthly Metrics'!E:E,'Data - Monthly Metrics'!A:A,$B$4,'Data - Monthly Metrics'!B:B,"Sep",'Data - Monthly Metrics'!C:C,"Pierce",'Data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Metrics'!C:C,"Pierce",'Data - Monthly Metrics'!D:D,"New Members - BOB (#)")=0,"-",SUMIFS('Data - Monthly Metrics'!E:E,'Data - Monthly Metrics'!A:A,$B$4-1,'Data - Monthly Metrics'!B:B,"Oct",'Data - Monthly Metrics'!C:C,"Pierce",'Data - Monthly Metrics'!D:D,"New Members - BOB (#)"))</f>
        <v/>
      </c>
      <c r="C11" s="93">
        <f>IF(COUNTIFS('Data - Monthly Metrics'!A:A,$B$4-1,'Data - Monthly Metrics'!B:B,"Nov",'Data - Monthly Metrics'!C:C,"Pierce",'Data - Monthly Metrics'!D:D,"New Members - BOB (#)")=0,"-",SUMIFS('Data - Monthly Metrics'!E:E,'Data - Monthly Metrics'!A:A,$B$4-1,'Data - Monthly Metrics'!B:B,"Nov",'Data - Monthly Metrics'!C:C,"Pierce",'Data - Monthly Metrics'!D:D,"New Members - BOB (#)"))</f>
        <v/>
      </c>
      <c r="D11" s="93">
        <f>IF(COUNTIFS('Data - Monthly Metrics'!A:A,$B$4-1,'Data - Monthly Metrics'!B:B,"Dec",'Data - Monthly Metrics'!C:C,"Pierce",'Data - Monthly Metrics'!D:D,"New Members - BOB (#)")=0,"-",SUMIFS('Data - Monthly Metrics'!E:E,'Data - Monthly Metrics'!A:A,$B$4-1,'Data - Monthly Metrics'!B:B,"Dec",'Data - Monthly Metrics'!C:C,"Pierce",'Data - Monthly Metrics'!D:D,"New Members - BOB (#)"))</f>
        <v/>
      </c>
      <c r="E11" s="103">
        <f>SUM(B11,C11,D11)</f>
        <v/>
      </c>
      <c r="F11" s="93">
        <f>IF(COUNTIFS('Data - Monthly Metrics'!A:A,$B$4,'Data - Monthly Metrics'!B:B,"Jan",'Data - Monthly Metrics'!C:C,"Pierce",'Data - Monthly Metrics'!D:D,"New Members - BOB (#)")=0,"-",SUMIFS('Data - Monthly Metrics'!E:E,'Data - Monthly Metrics'!A:A,$B$4,'Data - Monthly Metrics'!B:B,"Jan",'Data - Monthly Metrics'!C:C,"Pierce",'Data - Monthly Metrics'!D:D,"New Members - BOB (#)"))</f>
        <v/>
      </c>
      <c r="G11" s="93">
        <f>IF(COUNTIFS('Data - Monthly Metrics'!A:A,$B$4,'Data - Monthly Metrics'!B:B,"Feb",'Data - Monthly Metrics'!C:C,"Pierce",'Data - Monthly Metrics'!D:D,"New Members - BOB (#)")=0,"-",SUMIFS('Data - Monthly Metrics'!E:E,'Data - Monthly Metrics'!A:A,$B$4,'Data - Monthly Metrics'!B:B,"Feb",'Data - Monthly Metrics'!C:C,"Pierce",'Data - Monthly Metrics'!D:D,"New Members - BOB (#)"))</f>
        <v/>
      </c>
      <c r="H11" s="93">
        <f>IF(COUNTIFS('Data - Monthly Metrics'!A:A,$B$4,'Data - Monthly Metrics'!B:B,"Mar",'Data - Monthly Metrics'!C:C,"Pierce",'Data - Monthly Metrics'!D:D,"New Members - BOB (#)")=0,"-",SUMIFS('Data - Monthly Metrics'!E:E,'Data - Monthly Metrics'!A:A,$B$4,'Data - Monthly Metrics'!B:B,"Mar",'Data - Monthly Metrics'!C:C,"Pierce",'Data - Monthly Metrics'!D:D,"New Members - BOB (#)"))</f>
        <v/>
      </c>
      <c r="I11" s="103">
        <f>SUM(F11,G11,H11)</f>
        <v/>
      </c>
      <c r="J11" s="93">
        <f>IF(COUNTIFS('Data - Monthly Metrics'!A:A,$B$4,'Data - Monthly Metrics'!B:B,"Apr",'Data - Monthly Metrics'!C:C,"Pierce",'Data - Monthly Metrics'!D:D,"New Members - BOB (#)")=0,"-",SUMIFS('Data - Monthly Metrics'!E:E,'Data - Monthly Metrics'!A:A,$B$4,'Data - Monthly Metrics'!B:B,"Apr",'Data - Monthly Metrics'!C:C,"Pierce",'Data - Monthly Metrics'!D:D,"New Members - BOB (#)"))</f>
        <v/>
      </c>
      <c r="K11" s="93">
        <f>IF(COUNTIFS('Data - Monthly Metrics'!A:A,$B$4,'Data - Monthly Metrics'!B:B,"May",'Data - Monthly Metrics'!C:C,"Pierce",'Data - Monthly Metrics'!D:D,"New Members - BOB (#)")=0,"-",SUMIFS('Data - Monthly Metrics'!E:E,'Data - Monthly Metrics'!A:A,$B$4,'Data - Monthly Metrics'!B:B,"May",'Data - Monthly Metrics'!C:C,"Pierce",'Data - Monthly Metrics'!D:D,"New Members - BOB (#)"))</f>
        <v/>
      </c>
      <c r="L11" s="93">
        <f>IF(COUNTIFS('Data - Monthly Metrics'!A:A,$B$4,'Data - Monthly Metrics'!B:B,"Jun",'Data - Monthly Metrics'!C:C,"Pierce",'Data - Monthly Metrics'!D:D,"New Members - BOB (#)")=0,"-",SUMIFS('Data - Monthly Metrics'!E:E,'Data - Monthly Metrics'!A:A,$B$4,'Data - Monthly Metrics'!B:B,"Jun",'Data - Monthly Metrics'!C:C,"Pierce",'Data - Monthly Metrics'!D:D,"New Members - BOB (#)"))</f>
        <v/>
      </c>
      <c r="M11" s="103">
        <f>SUM(J11,K11,L11)</f>
        <v/>
      </c>
      <c r="N11" s="93">
        <f>IF(COUNTIFS('Data - Monthly Metrics'!A:A,$B$4,'Data - Monthly Metrics'!B:B,"Jul",'Data - Monthly Metrics'!C:C,"Pierce",'Data - Monthly Metrics'!D:D,"New Members - BOB (#)")=0,"-",SUMIFS('Data - Monthly Metrics'!E:E,'Data - Monthly Metrics'!A:A,$B$4,'Data - Monthly Metrics'!B:B,"Jul",'Data - Monthly Metrics'!C:C,"Pierce",'Data - Monthly Metrics'!D:D,"New Members - BOB (#)"))</f>
        <v/>
      </c>
      <c r="O11" s="93">
        <f>IF(COUNTIFS('Data - Monthly Metrics'!A:A,$B$4,'Data - Monthly Metrics'!B:B,"Aug",'Data - Monthly Metrics'!C:C,"Pierce",'Data - Monthly Metrics'!D:D,"New Members - BOB (#)")=0,"-",SUMIFS('Data - Monthly Metrics'!E:E,'Data - Monthly Metrics'!A:A,$B$4,'Data - Monthly Metrics'!B:B,"Aug",'Data - Monthly Metrics'!C:C,"Pierce",'Data - Monthly Metrics'!D:D,"New Members - BOB (#)"))</f>
        <v/>
      </c>
      <c r="P11" s="93">
        <f>IF(COUNTIFS('Data - Monthly Metrics'!A:A,$B$4,'Data - Monthly Metrics'!B:B,"Sep",'Data - Monthly Metrics'!C:C,"Pierce",'Data - Monthly Metrics'!D:D,"New Members - BOB (#)")=0,"-",SUMIFS('Data - Monthly Metrics'!E:E,'Data - Monthly Metrics'!A:A,$B$4,'Data - Monthly Metrics'!B:B,"Sep",'Data - Monthly Metrics'!C:C,"Pierce",'Data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Metrics'!C:C,"Pierce",'Data - Monthly Metrics'!D:D,"New Sales - Comped ($)")=0,"-",SUMIFS('Data - Monthly Metrics'!E:E,'Data - Monthly Metrics'!A:A,$B$4-1,'Data - Monthly Metrics'!B:B,"Oct",'Data - Monthly Metrics'!C:C,"Pierce",'Data - Monthly Metrics'!D:D,"New Sales - Comped ($)"))</f>
        <v/>
      </c>
      <c r="C12" s="91">
        <f>IF(COUNTIFS('Data - Monthly Metrics'!A:A,$B$4-1,'Data - Monthly Metrics'!B:B,"Nov",'Data - Monthly Metrics'!C:C,"Pierce",'Data - Monthly Metrics'!D:D,"New Sales - Comped ($)")=0,"-",SUMIFS('Data - Monthly Metrics'!E:E,'Data - Monthly Metrics'!A:A,$B$4-1,'Data - Monthly Metrics'!B:B,"Nov",'Data - Monthly Metrics'!C:C,"Pierce",'Data - Monthly Metrics'!D:D,"New Sales - Comped ($)"))</f>
        <v/>
      </c>
      <c r="D12" s="91">
        <f>IF(COUNTIFS('Data - Monthly Metrics'!A:A,$B$4-1,'Data - Monthly Metrics'!B:B,"Dec",'Data - Monthly Metrics'!C:C,"Pierce",'Data - Monthly Metrics'!D:D,"New Sales - Comped ($)")=0,"-",SUMIFS('Data - Monthly Metrics'!E:E,'Data - Monthly Metrics'!A:A,$B$4-1,'Data - Monthly Metrics'!B:B,"Dec",'Data - Monthly Metrics'!C:C,"Pierce",'Data - Monthly Metrics'!D:D,"New Sales - Comped ($)"))</f>
        <v/>
      </c>
      <c r="E12" s="101">
        <f>SUM(B12,C12,D12)</f>
        <v/>
      </c>
      <c r="F12" s="91">
        <f>IF(COUNTIFS('Data - Monthly Metrics'!A:A,$B$4,'Data - Monthly Metrics'!B:B,"Jan",'Data - Monthly Metrics'!C:C,"Pierce",'Data - Monthly Metrics'!D:D,"New Sales - Comped ($)")=0,"-",SUMIFS('Data - Monthly Metrics'!E:E,'Data - Monthly Metrics'!A:A,$B$4,'Data - Monthly Metrics'!B:B,"Jan",'Data - Monthly Metrics'!C:C,"Pierce",'Data - Monthly Metrics'!D:D,"New Sales - Comped ($)"))</f>
        <v/>
      </c>
      <c r="G12" s="91">
        <f>IF(COUNTIFS('Data - Monthly Metrics'!A:A,$B$4,'Data - Monthly Metrics'!B:B,"Feb",'Data - Monthly Metrics'!C:C,"Pierce",'Data - Monthly Metrics'!D:D,"New Sales - Comped ($)")=0,"-",SUMIFS('Data - Monthly Metrics'!E:E,'Data - Monthly Metrics'!A:A,$B$4,'Data - Monthly Metrics'!B:B,"Feb",'Data - Monthly Metrics'!C:C,"Pierce",'Data - Monthly Metrics'!D:D,"New Sales - Comped ($)"))</f>
        <v/>
      </c>
      <c r="H12" s="91">
        <f>IF(COUNTIFS('Data - Monthly Metrics'!A:A,$B$4,'Data - Monthly Metrics'!B:B,"Mar",'Data - Monthly Metrics'!C:C,"Pierce",'Data - Monthly Metrics'!D:D,"New Sales - Comped ($)")=0,"-",SUMIFS('Data - Monthly Metrics'!E:E,'Data - Monthly Metrics'!A:A,$B$4,'Data - Monthly Metrics'!B:B,"Mar",'Data - Monthly Metrics'!C:C,"Pierce",'Data - Monthly Metrics'!D:D,"New Sales - Comped ($)"))</f>
        <v/>
      </c>
      <c r="I12" s="101">
        <f>SUM(F12,G12,H12)</f>
        <v/>
      </c>
      <c r="J12" s="91">
        <f>IF(COUNTIFS('Data - Monthly Metrics'!A:A,$B$4,'Data - Monthly Metrics'!B:B,"Apr",'Data - Monthly Metrics'!C:C,"Pierce",'Data - Monthly Metrics'!D:D,"New Sales - Comped ($)")=0,"-",SUMIFS('Data - Monthly Metrics'!E:E,'Data - Monthly Metrics'!A:A,$B$4,'Data - Monthly Metrics'!B:B,"Apr",'Data - Monthly Metrics'!C:C,"Pierce",'Data - Monthly Metrics'!D:D,"New Sales - Comped ($)"))</f>
        <v/>
      </c>
      <c r="K12" s="91">
        <f>IF(COUNTIFS('Data - Monthly Metrics'!A:A,$B$4,'Data - Monthly Metrics'!B:B,"May",'Data - Monthly Metrics'!C:C,"Pierce",'Data - Monthly Metrics'!D:D,"New Sales - Comped ($)")=0,"-",SUMIFS('Data - Monthly Metrics'!E:E,'Data - Monthly Metrics'!A:A,$B$4,'Data - Monthly Metrics'!B:B,"May",'Data - Monthly Metrics'!C:C,"Pierce",'Data - Monthly Metrics'!D:D,"New Sales - Comped ($)"))</f>
        <v/>
      </c>
      <c r="L12" s="91">
        <f>IF(COUNTIFS('Data - Monthly Metrics'!A:A,$B$4,'Data - Monthly Metrics'!B:B,"Jun",'Data - Monthly Metrics'!C:C,"Pierce",'Data - Monthly Metrics'!D:D,"New Sales - Comped ($)")=0,"-",SUMIFS('Data - Monthly Metrics'!E:E,'Data - Monthly Metrics'!A:A,$B$4,'Data - Monthly Metrics'!B:B,"Jun",'Data - Monthly Metrics'!C:C,"Pierce",'Data - Monthly Metrics'!D:D,"New Sales - Comped ($)"))</f>
        <v/>
      </c>
      <c r="M12" s="101">
        <f>SUM(J12,K12,L12)</f>
        <v/>
      </c>
      <c r="N12" s="91">
        <f>IF(COUNTIFS('Data - Monthly Metrics'!A:A,$B$4,'Data - Monthly Metrics'!B:B,"Jul",'Data - Monthly Metrics'!C:C,"Pierce",'Data - Monthly Metrics'!D:D,"New Sales - Comped ($)")=0,"-",SUMIFS('Data - Monthly Metrics'!E:E,'Data - Monthly Metrics'!A:A,$B$4,'Data - Monthly Metrics'!B:B,"Jul",'Data - Monthly Metrics'!C:C,"Pierce",'Data - Monthly Metrics'!D:D,"New Sales - Comped ($)"))</f>
        <v/>
      </c>
      <c r="O12" s="91">
        <f>IF(COUNTIFS('Data - Monthly Metrics'!A:A,$B$4,'Data - Monthly Metrics'!B:B,"Aug",'Data - Monthly Metrics'!C:C,"Pierce",'Data - Monthly Metrics'!D:D,"New Sales - Comped ($)")=0,"-",SUMIFS('Data - Monthly Metrics'!E:E,'Data - Monthly Metrics'!A:A,$B$4,'Data - Monthly Metrics'!B:B,"Aug",'Data - Monthly Metrics'!C:C,"Pierce",'Data - Monthly Metrics'!D:D,"New Sales - Comped ($)"))</f>
        <v/>
      </c>
      <c r="P12" s="91">
        <f>IF(COUNTIFS('Data - Monthly Metrics'!A:A,$B$4,'Data - Monthly Metrics'!B:B,"Sep",'Data - Monthly Metrics'!C:C,"Pierce",'Data - Monthly Metrics'!D:D,"New Sales - Comped ($)")=0,"-",SUMIFS('Data - Monthly Metrics'!E:E,'Data - Monthly Metrics'!A:A,$B$4,'Data - Monthly Metrics'!B:B,"Sep",'Data - Monthly Metrics'!C:C,"Pierce",'Data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Metrics'!C:C,"Pierce",'Data - Monthly Metrics'!D:D,"Revenue Up for Renewal - Target ($)")+SUMIFS('Data - Monthly Metrics'!E:E,'Data - Monthly Metrics'!A:A,$B$4-1,'Data - Monthly Metrics'!B:B,"Oct",'Data - Monthly Metrics'!C:C,"Pierce",'Data - Monthly Metrics'!D:D,"Revenue Up for Renewal - Non-Target ($)")</f>
        <v/>
      </c>
      <c r="C22" s="110">
        <f>SUMIFS('Data - Monthly Metrics'!E:E,'Data - Monthly Metrics'!A:A,$B$4-1,'Data - Monthly Metrics'!B:B,"Nov",'Data - Monthly Metrics'!C:C,"Pierce",'Data - Monthly Metrics'!D:D,"Revenue Up for Renewal - Target ($)")+SUMIFS('Data - Monthly Metrics'!E:E,'Data - Monthly Metrics'!A:A,$B$4-1,'Data - Monthly Metrics'!B:B,"Nov",'Data - Monthly Metrics'!C:C,"Pierce",'Data - Monthly Metrics'!D:D,"Revenue Up for Renewal - Non-Target ($)")</f>
        <v/>
      </c>
      <c r="D22" s="110">
        <f>SUMIFS('Data - Monthly Metrics'!E:E,'Data - Monthly Metrics'!A:A,$B$4-1,'Data - Monthly Metrics'!B:B,"Dec",'Data - Monthly Metrics'!C:C,"Pierce",'Data - Monthly Metrics'!D:D,"Revenue Up for Renewal - Target ($)")+SUMIFS('Data - Monthly Metrics'!E:E,'Data - Monthly Metrics'!A:A,$B$4-1,'Data - Monthly Metrics'!B:B,"Dec",'Data - Monthly Metrics'!C:C,"Pierce",'Data - Monthly Metrics'!D:D,"Revenue Up for Renewal - Non-Target ($)")</f>
        <v/>
      </c>
      <c r="E22" s="111">
        <f>SUM(B22,C22,D22)</f>
        <v/>
      </c>
      <c r="F22" s="110">
        <f>SUMIFS('Data - Monthly Metrics'!E:E,'Data - Monthly Metrics'!A:A,$B$4,'Data - Monthly Metrics'!B:B,"Jan",'Data - Monthly Metrics'!C:C,"Pierce",'Data - Monthly Metrics'!D:D,"Revenue Up for Renewal - Target ($)")+SUMIFS('Data - Monthly Metrics'!E:E,'Data - Monthly Metrics'!A:A,$B$4,'Data - Monthly Metrics'!B:B,"Jan",'Data - Monthly Metrics'!C:C,"Pierce",'Data - Monthly Metrics'!D:D,"Revenue Up for Renewal - Non-Target ($)")</f>
        <v/>
      </c>
      <c r="G22" s="110">
        <f>SUMIFS('Data - Monthly Metrics'!E:E,'Data - Monthly Metrics'!A:A,$B$4,'Data - Monthly Metrics'!B:B,"Feb",'Data - Monthly Metrics'!C:C,"Pierce",'Data - Monthly Metrics'!D:D,"Revenue Up for Renewal - Target ($)")+SUMIFS('Data - Monthly Metrics'!E:E,'Data - Monthly Metrics'!A:A,$B$4,'Data - Monthly Metrics'!B:B,"Feb",'Data - Monthly Metrics'!C:C,"Pierce",'Data - Monthly Metrics'!D:D,"Revenue Up for Renewal - Non-Target ($)")</f>
        <v/>
      </c>
      <c r="H22" s="110">
        <f>SUMIFS('Data - Monthly Metrics'!E:E,'Data - Monthly Metrics'!A:A,$B$4,'Data - Monthly Metrics'!B:B,"Mar",'Data - Monthly Metrics'!C:C,"Pierce",'Data - Monthly Metrics'!D:D,"Revenue Up for Renewal - Target ($)")+SUMIFS('Data - Monthly Metrics'!E:E,'Data - Monthly Metrics'!A:A,$B$4,'Data - Monthly Metrics'!B:B,"Mar",'Data - Monthly Metrics'!C:C,"Pierce",'Data - Monthly Metrics'!D:D,"Revenue Up for Renewal - Non-Target ($)")</f>
        <v/>
      </c>
      <c r="I22" s="111">
        <f>SUM(F22,G22,H22)</f>
        <v/>
      </c>
      <c r="J22" s="110">
        <f>SUMIFS('Data - Monthly Metrics'!E:E,'Data - Monthly Metrics'!A:A,$B$4,'Data - Monthly Metrics'!B:B,"Apr",'Data - Monthly Metrics'!C:C,"Pierce",'Data - Monthly Metrics'!D:D,"Revenue Up for Renewal - Target ($)")+SUMIFS('Data - Monthly Metrics'!E:E,'Data - Monthly Metrics'!A:A,$B$4,'Data - Monthly Metrics'!B:B,"Apr",'Data - Monthly Metrics'!C:C,"Pierce",'Data - Monthly Metrics'!D:D,"Revenue Up for Renewal - Non-Target ($)")</f>
        <v/>
      </c>
      <c r="K22" s="110">
        <f>SUMIFS('Data - Monthly Metrics'!E:E,'Data - Monthly Metrics'!A:A,$B$4,'Data - Monthly Metrics'!B:B,"May",'Data - Monthly Metrics'!C:C,"Pierce",'Data - Monthly Metrics'!D:D,"Revenue Up for Renewal - Target ($)")+SUMIFS('Data - Monthly Metrics'!E:E,'Data - Monthly Metrics'!A:A,$B$4,'Data - Monthly Metrics'!B:B,"May",'Data - Monthly Metrics'!C:C,"Pierce",'Data - Monthly Metrics'!D:D,"Revenue Up for Renewal - Non-Target ($)")</f>
        <v/>
      </c>
      <c r="L22" s="110">
        <f>SUMIFS('Data - Monthly Metrics'!E:E,'Data - Monthly Metrics'!A:A,$B$4,'Data - Monthly Metrics'!B:B,"Jun",'Data - Monthly Metrics'!C:C,"Pierce",'Data - Monthly Metrics'!D:D,"Revenue Up for Renewal - Target ($)")+SUMIFS('Data - Monthly Metrics'!E:E,'Data - Monthly Metrics'!A:A,$B$4,'Data - Monthly Metrics'!B:B,"Jun",'Data - Monthly Metrics'!C:C,"Pierce",'Data - Monthly Metrics'!D:D,"Revenue Up for Renewal - Non-Target ($)")</f>
        <v/>
      </c>
      <c r="M22" s="111">
        <f>SUM(J22,K22,L22)</f>
        <v/>
      </c>
      <c r="N22" s="110">
        <f>SUMIFS('Data - Monthly Metrics'!E:E,'Data - Monthly Metrics'!A:A,$B$4,'Data - Monthly Metrics'!B:B,"Jul",'Data - Monthly Metrics'!C:C,"Pierce",'Data - Monthly Metrics'!D:D,"Revenue Up for Renewal - Target ($)")+SUMIFS('Data - Monthly Metrics'!E:E,'Data - Monthly Metrics'!A:A,$B$4,'Data - Monthly Metrics'!B:B,"Jul",'Data - Monthly Metrics'!C:C,"Pierce",'Data - Monthly Metrics'!D:D,"Revenue Up for Renewal - Non-Target ($)")</f>
        <v/>
      </c>
      <c r="O22" s="110">
        <f>SUMIFS('Data - Monthly Metrics'!E:E,'Data - Monthly Metrics'!A:A,$B$4,'Data - Monthly Metrics'!B:B,"Aug",'Data - Monthly Metrics'!C:C,"Pierce",'Data - Monthly Metrics'!D:D,"Revenue Up for Renewal - Target ($)")+SUMIFS('Data - Monthly Metrics'!E:E,'Data - Monthly Metrics'!A:A,$B$4,'Data - Monthly Metrics'!B:B,"Aug",'Data - Monthly Metrics'!C:C,"Pierce",'Data - Monthly Metrics'!D:D,"Revenue Up for Renewal - Non-Target ($)")</f>
        <v/>
      </c>
      <c r="P22" s="110">
        <f>SUMIFS('Data - Monthly Metrics'!E:E,'Data - Monthly Metrics'!A:A,$B$4,'Data - Monthly Metrics'!B:B,"Sep",'Data - Monthly Metrics'!C:C,"Pierce",'Data - Monthly Metrics'!D:D,"Revenue Up for Renewal - Target ($)")+SUMIFS('Data - Monthly Metrics'!E:E,'Data - Monthly Metrics'!A:A,$B$4,'Data - Monthly Metrics'!B:B,"Sep",'Data - Monthly Metrics'!C:C,"Pierce",'Data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Metrics'!C:C,"Pierce",'Data - Monthly Metrics'!D:D,"Revenue Retained - Target ($)")+SUMIFS('Data - Monthly Metrics'!E:E,'Data - Monthly Metrics'!A:A,$B$4-1,'Data - Monthly Metrics'!B:B,"Oct",'Data - Monthly Metrics'!C:C,"Pierce",'Data - Monthly Metrics'!D:D,"Revenue Retained - Non-Target ($)")</f>
        <v/>
      </c>
      <c r="C23" s="112">
        <f>SUMIFS('Data - Monthly Metrics'!E:E,'Data - Monthly Metrics'!A:A,$B$4-1,'Data - Monthly Metrics'!B:B,"Nov",'Data - Monthly Metrics'!C:C,"Pierce",'Data - Monthly Metrics'!D:D,"Revenue Retained - Target ($)")+SUMIFS('Data - Monthly Metrics'!E:E,'Data - Monthly Metrics'!A:A,$B$4-1,'Data - Monthly Metrics'!B:B,"Nov",'Data - Monthly Metrics'!C:C,"Pierce",'Data - Monthly Metrics'!D:D,"Revenue Retained - Non-Target ($)")</f>
        <v/>
      </c>
      <c r="D23" s="112">
        <f>SUMIFS('Data - Monthly Metrics'!E:E,'Data - Monthly Metrics'!A:A,$B$4-1,'Data - Monthly Metrics'!B:B,"Dec",'Data - Monthly Metrics'!C:C,"Pierce",'Data - Monthly Metrics'!D:D,"Revenue Retained - Target ($)")+SUMIFS('Data - Monthly Metrics'!E:E,'Data - Monthly Metrics'!A:A,$B$4-1,'Data - Monthly Metrics'!B:B,"Dec",'Data - Monthly Metrics'!C:C,"Pierce",'Data - Monthly Metrics'!D:D,"Revenue Retained - Non-Target ($)")</f>
        <v/>
      </c>
      <c r="E23" s="111">
        <f>SUM(B23,C23,D23)</f>
        <v/>
      </c>
      <c r="F23" s="112">
        <f>SUMIFS('Data - Monthly Metrics'!E:E,'Data - Monthly Metrics'!A:A,$B$4,'Data - Monthly Metrics'!B:B,"Jan",'Data - Monthly Metrics'!C:C,"Pierce",'Data - Monthly Metrics'!D:D,"Revenue Retained - Target ($)")+SUMIFS('Data - Monthly Metrics'!E:E,'Data - Monthly Metrics'!A:A,$B$4,'Data - Monthly Metrics'!B:B,"Jan",'Data - Monthly Metrics'!C:C,"Pierce",'Data - Monthly Metrics'!D:D,"Revenue Retained - Non-Target ($)")</f>
        <v/>
      </c>
      <c r="G23" s="112">
        <f>SUMIFS('Data - Monthly Metrics'!E:E,'Data - Monthly Metrics'!A:A,$B$4,'Data - Monthly Metrics'!B:B,"Feb",'Data - Monthly Metrics'!C:C,"Pierce",'Data - Monthly Metrics'!D:D,"Revenue Retained - Target ($)")+SUMIFS('Data - Monthly Metrics'!E:E,'Data - Monthly Metrics'!A:A,$B$4,'Data - Monthly Metrics'!B:B,"Feb",'Data - Monthly Metrics'!C:C,"Pierce",'Data - Monthly Metrics'!D:D,"Revenue Retained - Non-Target ($)")</f>
        <v/>
      </c>
      <c r="H23" s="112">
        <f>SUMIFS('Data - Monthly Metrics'!E:E,'Data - Monthly Metrics'!A:A,$B$4,'Data - Monthly Metrics'!B:B,"Mar",'Data - Monthly Metrics'!C:C,"Pierce",'Data - Monthly Metrics'!D:D,"Revenue Retained - Target ($)")+SUMIFS('Data - Monthly Metrics'!E:E,'Data - Monthly Metrics'!A:A,$B$4,'Data - Monthly Metrics'!B:B,"Mar",'Data - Monthly Metrics'!C:C,"Pierce",'Data - Monthly Metrics'!D:D,"Revenue Retained - Non-Target ($)")</f>
        <v/>
      </c>
      <c r="I23" s="111">
        <f>SUM(F23,G23,H23)</f>
        <v/>
      </c>
      <c r="J23" s="112">
        <f>SUMIFS('Data - Monthly Metrics'!E:E,'Data - Monthly Metrics'!A:A,$B$4,'Data - Monthly Metrics'!B:B,"Apr",'Data - Monthly Metrics'!C:C,"Pierce",'Data - Monthly Metrics'!D:D,"Revenue Retained - Target ($)")+SUMIFS('Data - Monthly Metrics'!E:E,'Data - Monthly Metrics'!A:A,$B$4,'Data - Monthly Metrics'!B:B,"Apr",'Data - Monthly Metrics'!C:C,"Pierce",'Data - Monthly Metrics'!D:D,"Revenue Retained - Non-Target ($)")</f>
        <v/>
      </c>
      <c r="K23" s="112">
        <f>SUMIFS('Data - Monthly Metrics'!E:E,'Data - Monthly Metrics'!A:A,$B$4,'Data - Monthly Metrics'!B:B,"May",'Data - Monthly Metrics'!C:C,"Pierce",'Data - Monthly Metrics'!D:D,"Revenue Retained - Target ($)")+SUMIFS('Data - Monthly Metrics'!E:E,'Data - Monthly Metrics'!A:A,$B$4,'Data - Monthly Metrics'!B:B,"May",'Data - Monthly Metrics'!C:C,"Pierce",'Data - Monthly Metrics'!D:D,"Revenue Retained - Non-Target ($)")</f>
        <v/>
      </c>
      <c r="L23" s="112">
        <f>SUMIFS('Data - Monthly Metrics'!E:E,'Data - Monthly Metrics'!A:A,$B$4,'Data - Monthly Metrics'!B:B,"Jun",'Data - Monthly Metrics'!C:C,"Pierce",'Data - Monthly Metrics'!D:D,"Revenue Retained - Target ($)")+SUMIFS('Data - Monthly Metrics'!E:E,'Data - Monthly Metrics'!A:A,$B$4,'Data - Monthly Metrics'!B:B,"Jun",'Data - Monthly Metrics'!C:C,"Pierce",'Data - Monthly Metrics'!D:D,"Revenue Retained - Non-Target ($)")</f>
        <v/>
      </c>
      <c r="M23" s="111">
        <f>SUM(J23,K23,L23)</f>
        <v/>
      </c>
      <c r="N23" s="112">
        <f>SUMIFS('Data - Monthly Metrics'!E:E,'Data - Monthly Metrics'!A:A,$B$4,'Data - Monthly Metrics'!B:B,"Jul",'Data - Monthly Metrics'!C:C,"Pierce",'Data - Monthly Metrics'!D:D,"Revenue Retained - Target ($)")+SUMIFS('Data - Monthly Metrics'!E:E,'Data - Monthly Metrics'!A:A,$B$4,'Data - Monthly Metrics'!B:B,"Jul",'Data - Monthly Metrics'!C:C,"Pierce",'Data - Monthly Metrics'!D:D,"Revenue Retained - Non-Target ($)")</f>
        <v/>
      </c>
      <c r="O23" s="112">
        <f>SUMIFS('Data - Monthly Metrics'!E:E,'Data - Monthly Metrics'!A:A,$B$4,'Data - Monthly Metrics'!B:B,"Aug",'Data - Monthly Metrics'!C:C,"Pierce",'Data - Monthly Metrics'!D:D,"Revenue Retained - Target ($)")+SUMIFS('Data - Monthly Metrics'!E:E,'Data - Monthly Metrics'!A:A,$B$4,'Data - Monthly Metrics'!B:B,"Aug",'Data - Monthly Metrics'!C:C,"Pierce",'Data - Monthly Metrics'!D:D,"Revenue Retained - Non-Target ($)")</f>
        <v/>
      </c>
      <c r="P23" s="112">
        <f>SUMIFS('Data - Monthly Metrics'!E:E,'Data - Monthly Metrics'!A:A,$B$4,'Data - Monthly Metrics'!B:B,"Sep",'Data - Monthly Metrics'!C:C,"Pierce",'Data - Monthly Metrics'!D:D,"Revenue Retained - Target ($)")+SUMIFS('Data - Monthly Metrics'!E:E,'Data - Monthly Metrics'!A:A,$B$4,'Data - Monthly Metrics'!B:B,"Sep",'Data - Monthly Metrics'!C:C,"Pierce",'Data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Metrics'!C:C,"Pierce",'Data - Monthly Metrics'!D:D,"Retention - Comped ($)")</f>
        <v/>
      </c>
      <c r="C24" s="112">
        <f>SUMIFS('Data - Monthly Metrics'!E:E,'Data - Monthly Metrics'!A:A,$B$4-1,'Data - Monthly Metrics'!B:B,"Nov",'Data - Monthly Metrics'!C:C,"Pierce",'Data - Monthly Metrics'!D:D,"Retention - Comped ($)")</f>
        <v/>
      </c>
      <c r="D24" s="112">
        <f>SUMIFS('Data - Monthly Metrics'!E:E,'Data - Monthly Metrics'!A:A,$B$4-1,'Data - Monthly Metrics'!B:B,"Dec",'Data - Monthly Metrics'!C:C,"Pierce",'Data - Monthly Metrics'!D:D,"Retention - Comped ($)")</f>
        <v/>
      </c>
      <c r="E24" s="111">
        <f>SUM(B24,C24,D24)</f>
        <v/>
      </c>
      <c r="F24" s="112">
        <f>SUMIFS('Data - Monthly Metrics'!E:E,'Data - Monthly Metrics'!A:A,$B$4,'Data - Monthly Metrics'!B:B,"Jan",'Data - Monthly Metrics'!C:C,"Pierce",'Data - Monthly Metrics'!D:D,"Retention - Comped ($)")</f>
        <v/>
      </c>
      <c r="G24" s="112">
        <f>SUMIFS('Data - Monthly Metrics'!E:E,'Data - Monthly Metrics'!A:A,$B$4,'Data - Monthly Metrics'!B:B,"Feb",'Data - Monthly Metrics'!C:C,"Pierce",'Data - Monthly Metrics'!D:D,"Retention - Comped ($)")</f>
        <v/>
      </c>
      <c r="H24" s="112">
        <f>SUMIFS('Data - Monthly Metrics'!E:E,'Data - Monthly Metrics'!A:A,$B$4,'Data - Monthly Metrics'!B:B,"Mar",'Data - Monthly Metrics'!C:C,"Pierce",'Data - Monthly Metrics'!D:D,"Retention - Comped ($)")</f>
        <v/>
      </c>
      <c r="I24" s="111">
        <f>SUM(F24,G24,H24)</f>
        <v/>
      </c>
      <c r="J24" s="112">
        <f>SUMIFS('Data - Monthly Metrics'!E:E,'Data - Monthly Metrics'!A:A,$B$4,'Data - Monthly Metrics'!B:B,"Apr",'Data - Monthly Metrics'!C:C,"Pierce",'Data - Monthly Metrics'!D:D,"Retention - Comped ($)")</f>
        <v/>
      </c>
      <c r="K24" s="112">
        <f>SUMIFS('Data - Monthly Metrics'!E:E,'Data - Monthly Metrics'!A:A,$B$4,'Data - Monthly Metrics'!B:B,"May",'Data - Monthly Metrics'!C:C,"Pierce",'Data - Monthly Metrics'!D:D,"Retention - Comped ($)")</f>
        <v/>
      </c>
      <c r="L24" s="112">
        <f>SUMIFS('Data - Monthly Metrics'!E:E,'Data - Monthly Metrics'!A:A,$B$4,'Data - Monthly Metrics'!B:B,"Jun",'Data - Monthly Metrics'!C:C,"Pierce",'Data - Monthly Metrics'!D:D,"Retention - Comped ($)")</f>
        <v/>
      </c>
      <c r="M24" s="111">
        <f>SUM(J24,K24,L24)</f>
        <v/>
      </c>
      <c r="N24" s="112">
        <f>SUMIFS('Data - Monthly Metrics'!E:E,'Data - Monthly Metrics'!A:A,$B$4,'Data - Monthly Metrics'!B:B,"Jul",'Data - Monthly Metrics'!C:C,"Pierce",'Data - Monthly Metrics'!D:D,"Retention - Comped ($)")</f>
        <v/>
      </c>
      <c r="O24" s="112">
        <f>SUMIFS('Data - Monthly Metrics'!E:E,'Data - Monthly Metrics'!A:A,$B$4,'Data - Monthly Metrics'!B:B,"Aug",'Data - Monthly Metrics'!C:C,"Pierce",'Data - Monthly Metrics'!D:D,"Retention - Comped ($)")</f>
        <v/>
      </c>
      <c r="P24" s="112">
        <f>SUMIFS('Data - Monthly Metrics'!E:E,'Data - Monthly Metrics'!A:A,$B$4,'Data - Monthly Metrics'!B:B,"Sep",'Data - Monthly Metrics'!C:C,"Pierce",'Data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Metrics'!C:C,"Pierce",'Data - Monthly Metrics'!D:D,"Retention - Comped (#)")</f>
        <v/>
      </c>
      <c r="C25" s="113">
        <f>SUMIFS('Data - Monthly Metrics'!E:E,'Data - Monthly Metrics'!A:A,$B$4-1,'Data - Monthly Metrics'!B:B,"Nov",'Data - Monthly Metrics'!C:C,"Pierce",'Data - Monthly Metrics'!D:D,"Retention - Comped (#)")</f>
        <v/>
      </c>
      <c r="D25" s="113">
        <f>SUMIFS('Data - Monthly Metrics'!E:E,'Data - Monthly Metrics'!A:A,$B$4-1,'Data - Monthly Metrics'!B:B,"Dec",'Data - Monthly Metrics'!C:C,"Pierce",'Data - Monthly Metrics'!D:D,"Retention - Comped (#)")</f>
        <v/>
      </c>
      <c r="E25" s="114">
        <f>SUM(B25,C25,D25)</f>
        <v/>
      </c>
      <c r="F25" s="113">
        <f>SUMIFS('Data - Monthly Metrics'!E:E,'Data - Monthly Metrics'!A:A,$B$4,'Data - Monthly Metrics'!B:B,"Jan",'Data - Monthly Metrics'!C:C,"Pierce",'Data - Monthly Metrics'!D:D,"Retention - Comped (#)")</f>
        <v/>
      </c>
      <c r="G25" s="113">
        <f>SUMIFS('Data - Monthly Metrics'!E:E,'Data - Monthly Metrics'!A:A,$B$4,'Data - Monthly Metrics'!B:B,"Feb",'Data - Monthly Metrics'!C:C,"Pierce",'Data - Monthly Metrics'!D:D,"Retention - Comped (#)")</f>
        <v/>
      </c>
      <c r="H25" s="113">
        <f>SUMIFS('Data - Monthly Metrics'!E:E,'Data - Monthly Metrics'!A:A,$B$4,'Data - Monthly Metrics'!B:B,"Mar",'Data - Monthly Metrics'!C:C,"Pierce",'Data - Monthly Metrics'!D:D,"Retention - Comped (#)")</f>
        <v/>
      </c>
      <c r="I25" s="114">
        <f>SUM(F25,G25,H25)</f>
        <v/>
      </c>
      <c r="J25" s="113">
        <f>SUMIFS('Data - Monthly Metrics'!E:E,'Data - Monthly Metrics'!A:A,$B$4,'Data - Monthly Metrics'!B:B,"Apr",'Data - Monthly Metrics'!C:C,"Pierce",'Data - Monthly Metrics'!D:D,"Retention - Comped (#)")</f>
        <v/>
      </c>
      <c r="K25" s="113">
        <f>SUMIFS('Data - Monthly Metrics'!E:E,'Data - Monthly Metrics'!A:A,$B$4,'Data - Monthly Metrics'!B:B,"May",'Data - Monthly Metrics'!C:C,"Pierce",'Data - Monthly Metrics'!D:D,"Retention - Comped (#)")</f>
        <v/>
      </c>
      <c r="L25" s="113">
        <f>SUMIFS('Data - Monthly Metrics'!E:E,'Data - Monthly Metrics'!A:A,$B$4,'Data - Monthly Metrics'!B:B,"Jun",'Data - Monthly Metrics'!C:C,"Pierce",'Data - Monthly Metrics'!D:D,"Retention - Comped (#)")</f>
        <v/>
      </c>
      <c r="M25" s="114">
        <f>SUM(J25,K25,L25)</f>
        <v/>
      </c>
      <c r="N25" s="113">
        <f>SUMIFS('Data - Monthly Metrics'!E:E,'Data - Monthly Metrics'!A:A,$B$4,'Data - Monthly Metrics'!B:B,"Jul",'Data - Monthly Metrics'!C:C,"Pierce",'Data - Monthly Metrics'!D:D,"Retention - Comped (#)")</f>
        <v/>
      </c>
      <c r="O25" s="113">
        <f>SUMIFS('Data - Monthly Metrics'!E:E,'Data - Monthly Metrics'!A:A,$B$4,'Data - Monthly Metrics'!B:B,"Aug",'Data - Monthly Metrics'!C:C,"Pierce",'Data - Monthly Metrics'!D:D,"Retention - Comped (#)")</f>
        <v/>
      </c>
      <c r="P25" s="113">
        <f>SUMIFS('Data - Monthly Metrics'!E:E,'Data - Monthly Metrics'!A:A,$B$4,'Data - Monthly Metrics'!B:B,"Sep",'Data - Monthly Metrics'!C:C,"Pierce",'Data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Metrics'!C:C,"Pierce",'Data - Monthly Metrics'!D:D,"Retention - BOB ($)")</f>
        <v/>
      </c>
      <c r="C26" s="112">
        <f>SUMIFS('Data - Monthly Metrics'!E:E,'Data - Monthly Metrics'!A:A,$B$4-1,'Data - Monthly Metrics'!B:B,"Nov",'Data - Monthly Metrics'!C:C,"Pierce",'Data - Monthly Metrics'!D:D,"Retention - BOB ($)")</f>
        <v/>
      </c>
      <c r="D26" s="112">
        <f>SUMIFS('Data - Monthly Metrics'!E:E,'Data - Monthly Metrics'!A:A,$B$4-1,'Data - Monthly Metrics'!B:B,"Dec",'Data - Monthly Metrics'!C:C,"Pierce",'Data - Monthly Metrics'!D:D,"Retention - BOB ($)")</f>
        <v/>
      </c>
      <c r="E26" s="111">
        <f>SUM(B26,C26,D26)</f>
        <v/>
      </c>
      <c r="F26" s="112">
        <f>SUMIFS('Data - Monthly Metrics'!E:E,'Data - Monthly Metrics'!A:A,$B$4,'Data - Monthly Metrics'!B:B,"Jan",'Data - Monthly Metrics'!C:C,"Pierce",'Data - Monthly Metrics'!D:D,"Retention - BOB ($)")</f>
        <v/>
      </c>
      <c r="G26" s="112">
        <f>SUMIFS('Data - Monthly Metrics'!E:E,'Data - Monthly Metrics'!A:A,$B$4,'Data - Monthly Metrics'!B:B,"Feb",'Data - Monthly Metrics'!C:C,"Pierce",'Data - Monthly Metrics'!D:D,"Retention - BOB ($)")</f>
        <v/>
      </c>
      <c r="H26" s="112">
        <f>SUMIFS('Data - Monthly Metrics'!E:E,'Data - Monthly Metrics'!A:A,$B$4,'Data - Monthly Metrics'!B:B,"Mar",'Data - Monthly Metrics'!C:C,"Pierce",'Data - Monthly Metrics'!D:D,"Retention - BOB ($)")</f>
        <v/>
      </c>
      <c r="I26" s="111">
        <f>SUM(F26,G26,H26)</f>
        <v/>
      </c>
      <c r="J26" s="112">
        <f>SUMIFS('Data - Monthly Metrics'!E:E,'Data - Monthly Metrics'!A:A,$B$4,'Data - Monthly Metrics'!B:B,"Apr",'Data - Monthly Metrics'!C:C,"Pierce",'Data - Monthly Metrics'!D:D,"Retention - BOB ($)")</f>
        <v/>
      </c>
      <c r="K26" s="112">
        <f>SUMIFS('Data - Monthly Metrics'!E:E,'Data - Monthly Metrics'!A:A,$B$4,'Data - Monthly Metrics'!B:B,"May",'Data - Monthly Metrics'!C:C,"Pierce",'Data - Monthly Metrics'!D:D,"Retention - BOB ($)")</f>
        <v/>
      </c>
      <c r="L26" s="112">
        <f>SUMIFS('Data - Monthly Metrics'!E:E,'Data - Monthly Metrics'!A:A,$B$4,'Data - Monthly Metrics'!B:B,"Jun",'Data - Monthly Metrics'!C:C,"Pierce",'Data - Monthly Metrics'!D:D,"Retention - BOB ($)")</f>
        <v/>
      </c>
      <c r="M26" s="111">
        <f>SUM(J26,K26,L26)</f>
        <v/>
      </c>
      <c r="N26" s="112">
        <f>SUMIFS('Data - Monthly Metrics'!E:E,'Data - Monthly Metrics'!A:A,$B$4,'Data - Monthly Metrics'!B:B,"Jul",'Data - Monthly Metrics'!C:C,"Pierce",'Data - Monthly Metrics'!D:D,"Retention - BOB ($)")</f>
        <v/>
      </c>
      <c r="O26" s="112">
        <f>SUMIFS('Data - Monthly Metrics'!E:E,'Data - Monthly Metrics'!A:A,$B$4,'Data - Monthly Metrics'!B:B,"Aug",'Data - Monthly Metrics'!C:C,"Pierce",'Data - Monthly Metrics'!D:D,"Retention - BOB ($)")</f>
        <v/>
      </c>
      <c r="P26" s="112">
        <f>SUMIFS('Data - Monthly Metrics'!E:E,'Data - Monthly Metrics'!A:A,$B$4,'Data - Monthly Metrics'!B:B,"Sep",'Data - Monthly Metrics'!C:C,"Pierce",'Data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Metrics'!C:C,"Pierce",'Data - Monthly Metrics'!D:D,"Retention - BOB (#)")</f>
        <v/>
      </c>
      <c r="C27" s="113">
        <f>SUMIFS('Data - Monthly Metrics'!E:E,'Data - Monthly Metrics'!A:A,$B$4-1,'Data - Monthly Metrics'!B:B,"Nov",'Data - Monthly Metrics'!C:C,"Pierce",'Data - Monthly Metrics'!D:D,"Retention - BOB (#)")</f>
        <v/>
      </c>
      <c r="D27" s="113">
        <f>SUMIFS('Data - Monthly Metrics'!E:E,'Data - Monthly Metrics'!A:A,$B$4-1,'Data - Monthly Metrics'!B:B,"Dec",'Data - Monthly Metrics'!C:C,"Pierce",'Data - Monthly Metrics'!D:D,"Retention - BOB (#)")</f>
        <v/>
      </c>
      <c r="E27" s="114">
        <f>SUM(B27,C27,D27)</f>
        <v/>
      </c>
      <c r="F27" s="113">
        <f>SUMIFS('Data - Monthly Metrics'!E:E,'Data - Monthly Metrics'!A:A,$B$4,'Data - Monthly Metrics'!B:B,"Jan",'Data - Monthly Metrics'!C:C,"Pierce",'Data - Monthly Metrics'!D:D,"Retention - BOB (#)")</f>
        <v/>
      </c>
      <c r="G27" s="113">
        <f>SUMIFS('Data - Monthly Metrics'!E:E,'Data - Monthly Metrics'!A:A,$B$4,'Data - Monthly Metrics'!B:B,"Feb",'Data - Monthly Metrics'!C:C,"Pierce",'Data - Monthly Metrics'!D:D,"Retention - BOB (#)")</f>
        <v/>
      </c>
      <c r="H27" s="113">
        <f>SUMIFS('Data - Monthly Metrics'!E:E,'Data - Monthly Metrics'!A:A,$B$4,'Data - Monthly Metrics'!B:B,"Mar",'Data - Monthly Metrics'!C:C,"Pierce",'Data - Monthly Metrics'!D:D,"Retention - BOB (#)")</f>
        <v/>
      </c>
      <c r="I27" s="114">
        <f>SUM(F27,G27,H27)</f>
        <v/>
      </c>
      <c r="J27" s="113">
        <f>SUMIFS('Data - Monthly Metrics'!E:E,'Data - Monthly Metrics'!A:A,$B$4,'Data - Monthly Metrics'!B:B,"Apr",'Data - Monthly Metrics'!C:C,"Pierce",'Data - Monthly Metrics'!D:D,"Retention - BOB (#)")</f>
        <v/>
      </c>
      <c r="K27" s="113">
        <f>SUMIFS('Data - Monthly Metrics'!E:E,'Data - Monthly Metrics'!A:A,$B$4,'Data - Monthly Metrics'!B:B,"May",'Data - Monthly Metrics'!C:C,"Pierce",'Data - Monthly Metrics'!D:D,"Retention - BOB (#)")</f>
        <v/>
      </c>
      <c r="L27" s="113">
        <f>SUMIFS('Data - Monthly Metrics'!E:E,'Data - Monthly Metrics'!A:A,$B$4,'Data - Monthly Metrics'!B:B,"Jun",'Data - Monthly Metrics'!C:C,"Pierce",'Data - Monthly Metrics'!D:D,"Retention - BOB (#)")</f>
        <v/>
      </c>
      <c r="M27" s="114">
        <f>SUM(J27,K27,L27)</f>
        <v/>
      </c>
      <c r="N27" s="113">
        <f>SUMIFS('Data - Monthly Metrics'!E:E,'Data - Monthly Metrics'!A:A,$B$4,'Data - Monthly Metrics'!B:B,"Jul",'Data - Monthly Metrics'!C:C,"Pierce",'Data - Monthly Metrics'!D:D,"Retention - BOB (#)")</f>
        <v/>
      </c>
      <c r="O27" s="113">
        <f>SUMIFS('Data - Monthly Metrics'!E:E,'Data - Monthly Metrics'!A:A,$B$4,'Data - Monthly Metrics'!B:B,"Aug",'Data - Monthly Metrics'!C:C,"Pierce",'Data - Monthly Metrics'!D:D,"Retention - BOB (#)")</f>
        <v/>
      </c>
      <c r="P27" s="113">
        <f>SUMIFS('Data - Monthly Metrics'!E:E,'Data - Monthly Metrics'!A:A,$B$4,'Data - Monthly Metrics'!B:B,"Sep",'Data - Monthly Metrics'!C:C,"Pierce",'Data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Metrics'!C:C,"Pierce",'Data - Monthly Metrics'!D:D,"Revenue Up for Renewal - Target ($)")+SUMIFS('Data - Monthly Metrics'!E:E,'Data - Monthly Metrics'!A:A,$B$4-1,'Data - Monthly Metrics'!B:B,"Oct",'Data - Monthly Metrics'!C:C,"Pierce",'Data - Monthly Metrics'!D:D,"Revenue Up for Renewal - Non-Target ($)"))=0,"-",(SUMIFS('Data - Monthly Metrics'!E:E,'Data - Monthly Metrics'!A:A,$B$4-1,'Data - Monthly Metrics'!B:B,"Oct",'Data - Monthly Metrics'!C:C,"Pierce",'Data - Monthly Metrics'!D:D,"Revenue Retained - Target ($)")+SUMIFS('Data - Monthly Metrics'!E:E,'Data - Monthly Metrics'!A:A,$B$4-1,'Data - Monthly Metrics'!B:B,"Oct",'Data - Monthly Metrics'!C:C,"Pierce",'Data - Monthly Metrics'!D:D,"Revenue Retained - Non-Target ($)"))/(SUMIFS('Data - Monthly Metrics'!E:E,'Data - Monthly Metrics'!A:A,$B$4-1,'Data - Monthly Metrics'!B:B,"Oct",'Data - Monthly Metrics'!C:C,"Pierce",'Data - Monthly Metrics'!D:D,"Revenue Up for Renewal - Target ($)")+SUMIFS('Data - Monthly Metrics'!E:E,'Data - Monthly Metrics'!A:A,$B$4-1,'Data - Monthly Metrics'!B:B,"Oct",'Data - Monthly Metrics'!C:C,"Pierce",'Data - Monthly Metrics'!D:D,"Revenue Up for Renewal - Non-Target ($)")))</f>
        <v/>
      </c>
      <c r="C28" s="115">
        <f>IF((SUMIFS('Data - Monthly Metrics'!E:E,'Data - Monthly Metrics'!A:A,$B$4-1,'Data - Monthly Metrics'!B:B,"Nov",'Data - Monthly Metrics'!C:C,"Pierce",'Data - Monthly Metrics'!D:D,"Revenue Up for Renewal - Target ($)")+SUMIFS('Data - Monthly Metrics'!E:E,'Data - Monthly Metrics'!A:A,$B$4-1,'Data - Monthly Metrics'!B:B,"Nov",'Data - Monthly Metrics'!C:C,"Pierce",'Data - Monthly Metrics'!D:D,"Revenue Up for Renewal - Non-Target ($)"))=0,"-",(SUMIFS('Data - Monthly Metrics'!E:E,'Data - Monthly Metrics'!A:A,$B$4-1,'Data - Monthly Metrics'!B:B,"Nov",'Data - Monthly Metrics'!C:C,"Pierce",'Data - Monthly Metrics'!D:D,"Revenue Retained - Target ($)")+SUMIFS('Data - Monthly Metrics'!E:E,'Data - Monthly Metrics'!A:A,$B$4-1,'Data - Monthly Metrics'!B:B,"Nov",'Data - Monthly Metrics'!C:C,"Pierce",'Data - Monthly Metrics'!D:D,"Revenue Retained - Non-Target ($)"))/(SUMIFS('Data - Monthly Metrics'!E:E,'Data - Monthly Metrics'!A:A,$B$4-1,'Data - Monthly Metrics'!B:B,"Nov",'Data - Monthly Metrics'!C:C,"Pierce",'Data - Monthly Metrics'!D:D,"Revenue Up for Renewal - Target ($)")+SUMIFS('Data - Monthly Metrics'!E:E,'Data - Monthly Metrics'!A:A,$B$4-1,'Data - Monthly Metrics'!B:B,"Nov",'Data - Monthly Metrics'!C:C,"Pierce",'Data - Monthly Metrics'!D:D,"Revenue Up for Renewal - Non-Target ($)")))</f>
        <v/>
      </c>
      <c r="D28" s="115">
        <f>IF((SUMIFS('Data - Monthly Metrics'!E:E,'Data - Monthly Metrics'!A:A,$B$4-1,'Data - Monthly Metrics'!B:B,"Dec",'Data - Monthly Metrics'!C:C,"Pierce",'Data - Monthly Metrics'!D:D,"Revenue Up for Renewal - Target ($)")+SUMIFS('Data - Monthly Metrics'!E:E,'Data - Monthly Metrics'!A:A,$B$4-1,'Data - Monthly Metrics'!B:B,"Dec",'Data - Monthly Metrics'!C:C,"Pierce",'Data - Monthly Metrics'!D:D,"Revenue Up for Renewal - Non-Target ($)"))=0,"-",(SUMIFS('Data - Monthly Metrics'!E:E,'Data - Monthly Metrics'!A:A,$B$4-1,'Data - Monthly Metrics'!B:B,"Dec",'Data - Monthly Metrics'!C:C,"Pierce",'Data - Monthly Metrics'!D:D,"Revenue Retained - Target ($)")+SUMIFS('Data - Monthly Metrics'!E:E,'Data - Monthly Metrics'!A:A,$B$4-1,'Data - Monthly Metrics'!B:B,"Dec",'Data - Monthly Metrics'!C:C,"Pierce",'Data - Monthly Metrics'!D:D,"Revenue Retained - Non-Target ($)"))/(SUMIFS('Data - Monthly Metrics'!E:E,'Data - Monthly Metrics'!A:A,$B$4-1,'Data - Monthly Metrics'!B:B,"Dec",'Data - Monthly Metrics'!C:C,"Pierce",'Data - Monthly Metrics'!D:D,"Revenue Up for Renewal - Target ($)")+SUMIFS('Data - Monthly Metrics'!E:E,'Data - Monthly Metrics'!A:A,$B$4-1,'Data - Monthly Metrics'!B:B,"Dec",'Data - Monthly Metrics'!C:C,"Pierce",'Data - Monthly Metrics'!D:D,"Revenue Up for Renewal - Non-Target ($)")))</f>
        <v/>
      </c>
      <c r="E28" s="116">
        <f>IF(E22=0,0,E23/E22)</f>
        <v/>
      </c>
      <c r="F28" s="115">
        <f>IF((SUMIFS('Data - Monthly Metrics'!E:E,'Data - Monthly Metrics'!A:A,$B$4,'Data - Monthly Metrics'!B:B,"Jan",'Data - Monthly Metrics'!C:C,"Pierce",'Data - Monthly Metrics'!D:D,"Revenue Up for Renewal - Target ($)")+SUMIFS('Data - Monthly Metrics'!E:E,'Data - Monthly Metrics'!A:A,$B$4,'Data - Monthly Metrics'!B:B,"Jan",'Data - Monthly Metrics'!C:C,"Pierce",'Data - Monthly Metrics'!D:D,"Revenue Up for Renewal - Non-Target ($)"))=0,"-",(SUMIFS('Data - Monthly Metrics'!E:E,'Data - Monthly Metrics'!A:A,$B$4,'Data - Monthly Metrics'!B:B,"Jan",'Data - Monthly Metrics'!C:C,"Pierce",'Data - Monthly Metrics'!D:D,"Revenue Retained - Target ($)")+SUMIFS('Data - Monthly Metrics'!E:E,'Data - Monthly Metrics'!A:A,$B$4,'Data - Monthly Metrics'!B:B,"Jan",'Data - Monthly Metrics'!C:C,"Pierce",'Data - Monthly Metrics'!D:D,"Revenue Retained - Non-Target ($)"))/(SUMIFS('Data - Monthly Metrics'!E:E,'Data - Monthly Metrics'!A:A,$B$4,'Data - Monthly Metrics'!B:B,"Jan",'Data - Monthly Metrics'!C:C,"Pierce",'Data - Monthly Metrics'!D:D,"Revenue Up for Renewal - Target ($)")+SUMIFS('Data - Monthly Metrics'!E:E,'Data - Monthly Metrics'!A:A,$B$4,'Data - Monthly Metrics'!B:B,"Jan",'Data - Monthly Metrics'!C:C,"Pierce",'Data - Monthly Metrics'!D:D,"Revenue Up for Renewal - Non-Target ($)")))</f>
        <v/>
      </c>
      <c r="G28" s="115">
        <f>IF((SUMIFS('Data - Monthly Metrics'!E:E,'Data - Monthly Metrics'!A:A,$B$4,'Data - Monthly Metrics'!B:B,"Feb",'Data - Monthly Metrics'!C:C,"Pierce",'Data - Monthly Metrics'!D:D,"Revenue Up for Renewal - Target ($)")+SUMIFS('Data - Monthly Metrics'!E:E,'Data - Monthly Metrics'!A:A,$B$4,'Data - Monthly Metrics'!B:B,"Feb",'Data - Monthly Metrics'!C:C,"Pierce",'Data - Monthly Metrics'!D:D,"Revenue Up for Renewal - Non-Target ($)"))=0,"-",(SUMIFS('Data - Monthly Metrics'!E:E,'Data - Monthly Metrics'!A:A,$B$4,'Data - Monthly Metrics'!B:B,"Feb",'Data - Monthly Metrics'!C:C,"Pierce",'Data - Monthly Metrics'!D:D,"Revenue Retained - Target ($)")+SUMIFS('Data - Monthly Metrics'!E:E,'Data - Monthly Metrics'!A:A,$B$4,'Data - Monthly Metrics'!B:B,"Feb",'Data - Monthly Metrics'!C:C,"Pierce",'Data - Monthly Metrics'!D:D,"Revenue Retained - Non-Target ($)"))/(SUMIFS('Data - Monthly Metrics'!E:E,'Data - Monthly Metrics'!A:A,$B$4,'Data - Monthly Metrics'!B:B,"Feb",'Data - Monthly Metrics'!C:C,"Pierce",'Data - Monthly Metrics'!D:D,"Revenue Up for Renewal - Target ($)")+SUMIFS('Data - Monthly Metrics'!E:E,'Data - Monthly Metrics'!A:A,$B$4,'Data - Monthly Metrics'!B:B,"Feb",'Data - Monthly Metrics'!C:C,"Pierce",'Data - Monthly Metrics'!D:D,"Revenue Up for Renewal - Non-Target ($)")))</f>
        <v/>
      </c>
      <c r="H28" s="115">
        <f>IF((SUMIFS('Data - Monthly Metrics'!E:E,'Data - Monthly Metrics'!A:A,$B$4,'Data - Monthly Metrics'!B:B,"Mar",'Data - Monthly Metrics'!C:C,"Pierce",'Data - Monthly Metrics'!D:D,"Revenue Up for Renewal - Target ($)")+SUMIFS('Data - Monthly Metrics'!E:E,'Data - Monthly Metrics'!A:A,$B$4,'Data - Monthly Metrics'!B:B,"Mar",'Data - Monthly Metrics'!C:C,"Pierce",'Data - Monthly Metrics'!D:D,"Revenue Up for Renewal - Non-Target ($)"))=0,"-",(SUMIFS('Data - Monthly Metrics'!E:E,'Data - Monthly Metrics'!A:A,$B$4,'Data - Monthly Metrics'!B:B,"Mar",'Data - Monthly Metrics'!C:C,"Pierce",'Data - Monthly Metrics'!D:D,"Revenue Retained - Target ($)")+SUMIFS('Data - Monthly Metrics'!E:E,'Data - Monthly Metrics'!A:A,$B$4,'Data - Monthly Metrics'!B:B,"Mar",'Data - Monthly Metrics'!C:C,"Pierce",'Data - Monthly Metrics'!D:D,"Revenue Retained - Non-Target ($)"))/(SUMIFS('Data - Monthly Metrics'!E:E,'Data - Monthly Metrics'!A:A,$B$4,'Data - Monthly Metrics'!B:B,"Mar",'Data - Monthly Metrics'!C:C,"Pierce",'Data - Monthly Metrics'!D:D,"Revenue Up for Renewal - Target ($)")+SUMIFS('Data - Monthly Metrics'!E:E,'Data - Monthly Metrics'!A:A,$B$4,'Data - Monthly Metrics'!B:B,"Mar",'Data - Monthly Metrics'!C:C,"Pierce",'Data - Monthly Metrics'!D:D,"Revenue Up for Renewal - Non-Target ($)")))</f>
        <v/>
      </c>
      <c r="I28" s="116">
        <f>IF(I22=0,0,I23/I22)</f>
        <v/>
      </c>
      <c r="J28" s="115">
        <f>IF((SUMIFS('Data - Monthly Metrics'!E:E,'Data - Monthly Metrics'!A:A,$B$4,'Data - Monthly Metrics'!B:B,"Apr",'Data - Monthly Metrics'!C:C,"Pierce",'Data - Monthly Metrics'!D:D,"Revenue Up for Renewal - Target ($)")+SUMIFS('Data - Monthly Metrics'!E:E,'Data - Monthly Metrics'!A:A,$B$4,'Data - Monthly Metrics'!B:B,"Apr",'Data - Monthly Metrics'!C:C,"Pierce",'Data - Monthly Metrics'!D:D,"Revenue Up for Renewal - Non-Target ($)"))=0,"-",(SUMIFS('Data - Monthly Metrics'!E:E,'Data - Monthly Metrics'!A:A,$B$4,'Data - Monthly Metrics'!B:B,"Apr",'Data - Monthly Metrics'!C:C,"Pierce",'Data - Monthly Metrics'!D:D,"Revenue Retained - Target ($)")+SUMIFS('Data - Monthly Metrics'!E:E,'Data - Monthly Metrics'!A:A,$B$4,'Data - Monthly Metrics'!B:B,"Apr",'Data - Monthly Metrics'!C:C,"Pierce",'Data - Monthly Metrics'!D:D,"Revenue Retained - Non-Target ($)"))/(SUMIFS('Data - Monthly Metrics'!E:E,'Data - Monthly Metrics'!A:A,$B$4,'Data - Monthly Metrics'!B:B,"Apr",'Data - Monthly Metrics'!C:C,"Pierce",'Data - Monthly Metrics'!D:D,"Revenue Up for Renewal - Target ($)")+SUMIFS('Data - Monthly Metrics'!E:E,'Data - Monthly Metrics'!A:A,$B$4,'Data - Monthly Metrics'!B:B,"Apr",'Data - Monthly Metrics'!C:C,"Pierce",'Data - Monthly Metrics'!D:D,"Revenue Up for Renewal - Non-Target ($)")))</f>
        <v/>
      </c>
      <c r="K28" s="115">
        <f>IF((SUMIFS('Data - Monthly Metrics'!E:E,'Data - Monthly Metrics'!A:A,$B$4,'Data - Monthly Metrics'!B:B,"May",'Data - Monthly Metrics'!C:C,"Pierce",'Data - Monthly Metrics'!D:D,"Revenue Up for Renewal - Target ($)")+SUMIFS('Data - Monthly Metrics'!E:E,'Data - Monthly Metrics'!A:A,$B$4,'Data - Monthly Metrics'!B:B,"May",'Data - Monthly Metrics'!C:C,"Pierce",'Data - Monthly Metrics'!D:D,"Revenue Up for Renewal - Non-Target ($)"))=0,"-",(SUMIFS('Data - Monthly Metrics'!E:E,'Data - Monthly Metrics'!A:A,$B$4,'Data - Monthly Metrics'!B:B,"May",'Data - Monthly Metrics'!C:C,"Pierce",'Data - Monthly Metrics'!D:D,"Revenue Retained - Target ($)")+SUMIFS('Data - Monthly Metrics'!E:E,'Data - Monthly Metrics'!A:A,$B$4,'Data - Monthly Metrics'!B:B,"May",'Data - Monthly Metrics'!C:C,"Pierce",'Data - Monthly Metrics'!D:D,"Revenue Retained - Non-Target ($)"))/(SUMIFS('Data - Monthly Metrics'!E:E,'Data - Monthly Metrics'!A:A,$B$4,'Data - Monthly Metrics'!B:B,"May",'Data - Monthly Metrics'!C:C,"Pierce",'Data - Monthly Metrics'!D:D,"Revenue Up for Renewal - Target ($)")+SUMIFS('Data - Monthly Metrics'!E:E,'Data - Monthly Metrics'!A:A,$B$4,'Data - Monthly Metrics'!B:B,"May",'Data - Monthly Metrics'!C:C,"Pierce",'Data - Monthly Metrics'!D:D,"Revenue Up for Renewal - Non-Target ($)")))</f>
        <v/>
      </c>
      <c r="L28" s="115">
        <f>IF((SUMIFS('Data - Monthly Metrics'!E:E,'Data - Monthly Metrics'!A:A,$B$4,'Data - Monthly Metrics'!B:B,"Jun",'Data - Monthly Metrics'!C:C,"Pierce",'Data - Monthly Metrics'!D:D,"Revenue Up for Renewal - Target ($)")+SUMIFS('Data - Monthly Metrics'!E:E,'Data - Monthly Metrics'!A:A,$B$4,'Data - Monthly Metrics'!B:B,"Jun",'Data - Monthly Metrics'!C:C,"Pierce",'Data - Monthly Metrics'!D:D,"Revenue Up for Renewal - Non-Target ($)"))=0,"-",(SUMIFS('Data - Monthly Metrics'!E:E,'Data - Monthly Metrics'!A:A,$B$4,'Data - Monthly Metrics'!B:B,"Jun",'Data - Monthly Metrics'!C:C,"Pierce",'Data - Monthly Metrics'!D:D,"Revenue Retained - Target ($)")+SUMIFS('Data - Monthly Metrics'!E:E,'Data - Monthly Metrics'!A:A,$B$4,'Data - Monthly Metrics'!B:B,"Jun",'Data - Monthly Metrics'!C:C,"Pierce",'Data - Monthly Metrics'!D:D,"Revenue Retained - Non-Target ($)"))/(SUMIFS('Data - Monthly Metrics'!E:E,'Data - Monthly Metrics'!A:A,$B$4,'Data - Monthly Metrics'!B:B,"Jun",'Data - Monthly Metrics'!C:C,"Pierce",'Data - Monthly Metrics'!D:D,"Revenue Up for Renewal - Target ($)")+SUMIFS('Data - Monthly Metrics'!E:E,'Data - Monthly Metrics'!A:A,$B$4,'Data - Monthly Metrics'!B:B,"Jun",'Data - Monthly Metrics'!C:C,"Pierce",'Data - Monthly Metrics'!D:D,"Revenue Up for Renewal - Non-Target ($)")))</f>
        <v/>
      </c>
      <c r="M28" s="116">
        <f>IF(M22=0,0,M23/M22)</f>
        <v/>
      </c>
      <c r="N28" s="115">
        <f>IF((SUMIFS('Data - Monthly Metrics'!E:E,'Data - Monthly Metrics'!A:A,$B$4,'Data - Monthly Metrics'!B:B,"Jul",'Data - Monthly Metrics'!C:C,"Pierce",'Data - Monthly Metrics'!D:D,"Revenue Up for Renewal - Target ($)")+SUMIFS('Data - Monthly Metrics'!E:E,'Data - Monthly Metrics'!A:A,$B$4,'Data - Monthly Metrics'!B:B,"Jul",'Data - Monthly Metrics'!C:C,"Pierce",'Data - Monthly Metrics'!D:D,"Revenue Up for Renewal - Non-Target ($)"))=0,"-",(SUMIFS('Data - Monthly Metrics'!E:E,'Data - Monthly Metrics'!A:A,$B$4,'Data - Monthly Metrics'!B:B,"Jul",'Data - Monthly Metrics'!C:C,"Pierce",'Data - Monthly Metrics'!D:D,"Revenue Retained - Target ($)")+SUMIFS('Data - Monthly Metrics'!E:E,'Data - Monthly Metrics'!A:A,$B$4,'Data - Monthly Metrics'!B:B,"Jul",'Data - Monthly Metrics'!C:C,"Pierce",'Data - Monthly Metrics'!D:D,"Revenue Retained - Non-Target ($)"))/(SUMIFS('Data - Monthly Metrics'!E:E,'Data - Monthly Metrics'!A:A,$B$4,'Data - Monthly Metrics'!B:B,"Jul",'Data - Monthly Metrics'!C:C,"Pierce",'Data - Monthly Metrics'!D:D,"Revenue Up for Renewal - Target ($)")+SUMIFS('Data - Monthly Metrics'!E:E,'Data - Monthly Metrics'!A:A,$B$4,'Data - Monthly Metrics'!B:B,"Jul",'Data - Monthly Metrics'!C:C,"Pierce",'Data - Monthly Metrics'!D:D,"Revenue Up for Renewal - Non-Target ($)")))</f>
        <v/>
      </c>
      <c r="O28" s="115">
        <f>IF((SUMIFS('Data - Monthly Metrics'!E:E,'Data - Monthly Metrics'!A:A,$B$4,'Data - Monthly Metrics'!B:B,"Aug",'Data - Monthly Metrics'!C:C,"Pierce",'Data - Monthly Metrics'!D:D,"Revenue Up for Renewal - Target ($)")+SUMIFS('Data - Monthly Metrics'!E:E,'Data - Monthly Metrics'!A:A,$B$4,'Data - Monthly Metrics'!B:B,"Aug",'Data - Monthly Metrics'!C:C,"Pierce",'Data - Monthly Metrics'!D:D,"Revenue Up for Renewal - Non-Target ($)"))=0,"-",(SUMIFS('Data - Monthly Metrics'!E:E,'Data - Monthly Metrics'!A:A,$B$4,'Data - Monthly Metrics'!B:B,"Aug",'Data - Monthly Metrics'!C:C,"Pierce",'Data - Monthly Metrics'!D:D,"Revenue Retained - Target ($)")+SUMIFS('Data - Monthly Metrics'!E:E,'Data - Monthly Metrics'!A:A,$B$4,'Data - Monthly Metrics'!B:B,"Aug",'Data - Monthly Metrics'!C:C,"Pierce",'Data - Monthly Metrics'!D:D,"Revenue Retained - Non-Target ($)"))/(SUMIFS('Data - Monthly Metrics'!E:E,'Data - Monthly Metrics'!A:A,$B$4,'Data - Monthly Metrics'!B:B,"Aug",'Data - Monthly Metrics'!C:C,"Pierce",'Data - Monthly Metrics'!D:D,"Revenue Up for Renewal - Target ($)")+SUMIFS('Data - Monthly Metrics'!E:E,'Data - Monthly Metrics'!A:A,$B$4,'Data - Monthly Metrics'!B:B,"Aug",'Data - Monthly Metrics'!C:C,"Pierce",'Data - Monthly Metrics'!D:D,"Revenue Up for Renewal - Non-Target ($)")))</f>
        <v/>
      </c>
      <c r="P28" s="115">
        <f>IF((SUMIFS('Data - Monthly Metrics'!E:E,'Data - Monthly Metrics'!A:A,$B$4,'Data - Monthly Metrics'!B:B,"Sep",'Data - Monthly Metrics'!C:C,"Pierce",'Data - Monthly Metrics'!D:D,"Revenue Up for Renewal - Target ($)")+SUMIFS('Data - Monthly Metrics'!E:E,'Data - Monthly Metrics'!A:A,$B$4,'Data - Monthly Metrics'!B:B,"Sep",'Data - Monthly Metrics'!C:C,"Pierce",'Data - Monthly Metrics'!D:D,"Revenue Up for Renewal - Non-Target ($)"))=0,"-",(SUMIFS('Data - Monthly Metrics'!E:E,'Data - Monthly Metrics'!A:A,$B$4,'Data - Monthly Metrics'!B:B,"Sep",'Data - Monthly Metrics'!C:C,"Pierce",'Data - Monthly Metrics'!D:D,"Revenue Retained - Target ($)")+SUMIFS('Data - Monthly Metrics'!E:E,'Data - Monthly Metrics'!A:A,$B$4,'Data - Monthly Metrics'!B:B,"Sep",'Data - Monthly Metrics'!C:C,"Pierce",'Data - Monthly Metrics'!D:D,"Revenue Retained - Non-Target ($)"))/(SUMIFS('Data - Monthly Metrics'!E:E,'Data - Monthly Metrics'!A:A,$B$4,'Data - Monthly Metrics'!B:B,"Sep",'Data - Monthly Metrics'!C:C,"Pierce",'Data - Monthly Metrics'!D:D,"Revenue Up for Renewal - Target ($)")+SUMIFS('Data - Monthly Metrics'!E:E,'Data - Monthly Metrics'!A:A,$B$4,'Data - Monthly Metrics'!B:B,"Sep",'Data - Monthly Metrics'!C:C,"Pierce",'Data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Metrics'!C:C,"Pierce",'Data - Monthly Metrics'!D:D,"Total Target Locations - Restaurant (#)")+SUMIFS('Data - Monthly Metrics'!E:E,'Data - Monthly Metrics'!A:A,$B$4-1,'Data - Monthly Metrics'!B:B,"Oct",'Data - Monthly Metrics'!C:C,"Pierce",'Data - Monthly Metrics'!D:D,"Non-Target Locations - Restaurant (#)"))=0,"-",(SUMIFS('Data - Monthly Metrics'!E:E,'Data - Monthly Metrics'!A:A,$B$4-1,'Data - Monthly Metrics'!B:B,"Oct",'Data - Monthly Metrics'!C:C,"Pierce",'Data - Monthly Metrics'!D:D,"Target Members - Restaurant (#)")+SUMIFS('Data - Monthly Metrics'!E:E,'Data - Monthly Metrics'!A:A,$B$4-1,'Data - Monthly Metrics'!B:B,"Oct",'Data - Monthly Metrics'!C:C,"Pierce",'Data - Monthly Metrics'!D:D,"Non-Target Members - Restaurant (#)"))/(SUMIFS('Data - Monthly Metrics'!E:E,'Data - Monthly Metrics'!A:A,$B$4-1,'Data - Monthly Metrics'!B:B,"Oct",'Data - Monthly Metrics'!C:C,"Pierce",'Data - Monthly Metrics'!D:D,"Total Target Locations - Restaurant (#)")+SUMIFS('Data - Monthly Metrics'!E:E,'Data - Monthly Metrics'!A:A,$B$4-1,'Data - Monthly Metrics'!B:B,"Oct",'Data - Monthly Metrics'!C:C,"Pierce",'Data - Monthly Metrics'!D:D,"Non-Target Locations - Restaurant (#)")))</f>
        <v/>
      </c>
      <c r="C29" s="115">
        <f>IF((SUMIFS('Data - Monthly Metrics'!E:E,'Data - Monthly Metrics'!A:A,$B$4-1,'Data - Monthly Metrics'!B:B,"Nov",'Data - Monthly Metrics'!C:C,"Pierce",'Data - Monthly Metrics'!D:D,"Total Target Locations - Restaurant (#)")+SUMIFS('Data - Monthly Metrics'!E:E,'Data - Monthly Metrics'!A:A,$B$4-1,'Data - Monthly Metrics'!B:B,"Nov",'Data - Monthly Metrics'!C:C,"Pierce",'Data - Monthly Metrics'!D:D,"Non-Target Locations - Restaurant (#)"))=0,"-",(SUMIFS('Data - Monthly Metrics'!E:E,'Data - Monthly Metrics'!A:A,$B$4-1,'Data - Monthly Metrics'!B:B,"Nov",'Data - Monthly Metrics'!C:C,"Pierce",'Data - Monthly Metrics'!D:D,"Target Members - Restaurant (#)")+SUMIFS('Data - Monthly Metrics'!E:E,'Data - Monthly Metrics'!A:A,$B$4-1,'Data - Monthly Metrics'!B:B,"Nov",'Data - Monthly Metrics'!C:C,"Pierce",'Data - Monthly Metrics'!D:D,"Non-Target Members - Restaurant (#)"))/(SUMIFS('Data - Monthly Metrics'!E:E,'Data - Monthly Metrics'!A:A,$B$4-1,'Data - Monthly Metrics'!B:B,"Nov",'Data - Monthly Metrics'!C:C,"Pierce",'Data - Monthly Metrics'!D:D,"Total Target Locations - Restaurant (#)")+SUMIFS('Data - Monthly Metrics'!E:E,'Data - Monthly Metrics'!A:A,$B$4-1,'Data - Monthly Metrics'!B:B,"Nov",'Data - Monthly Metrics'!C:C,"Pierce",'Data - Monthly Metrics'!D:D,"Non-Target Locations - Restaurant (#)")))</f>
        <v/>
      </c>
      <c r="D29" s="115">
        <f>IF((SUMIFS('Data - Monthly Metrics'!E:E,'Data - Monthly Metrics'!A:A,$B$4-1,'Data - Monthly Metrics'!B:B,"Dec",'Data - Monthly Metrics'!C:C,"Pierce",'Data - Monthly Metrics'!D:D,"Total Target Locations - Restaurant (#)")+SUMIFS('Data - Monthly Metrics'!E:E,'Data - Monthly Metrics'!A:A,$B$4-1,'Data - Monthly Metrics'!B:B,"Dec",'Data - Monthly Metrics'!C:C,"Pierce",'Data - Monthly Metrics'!D:D,"Non-Target Locations - Restaurant (#)"))=0,"-",(SUMIFS('Data - Monthly Metrics'!E:E,'Data - Monthly Metrics'!A:A,$B$4-1,'Data - Monthly Metrics'!B:B,"Dec",'Data - Monthly Metrics'!C:C,"Pierce",'Data - Monthly Metrics'!D:D,"Target Members - Restaurant (#)")+SUMIFS('Data - Monthly Metrics'!E:E,'Data - Monthly Metrics'!A:A,$B$4-1,'Data - Monthly Metrics'!B:B,"Dec",'Data - Monthly Metrics'!C:C,"Pierce",'Data - Monthly Metrics'!D:D,"Non-Target Members - Restaurant (#)"))/(SUMIFS('Data - Monthly Metrics'!E:E,'Data - Monthly Metrics'!A:A,$B$4-1,'Data - Monthly Metrics'!B:B,"Dec",'Data - Monthly Metrics'!C:C,"Pierce",'Data - Monthly Metrics'!D:D,"Total Target Locations - Restaurant (#)")+SUMIFS('Data - Monthly Metrics'!E:E,'Data - Monthly Metrics'!A:A,$B$4-1,'Data - Monthly Metrics'!B:B,"Dec",'Data - Monthly Metrics'!C:C,"Pierce",'Data - Monthly Metrics'!D:D,"Non-Target Locations - Restaurant (#)")))</f>
        <v/>
      </c>
      <c r="E29" s="116">
        <f>IF(ISNUMBER(D29),D29,IF(ISNUMBER(C29),C29,IF(ISNUMBER(B29),B29,"-")))</f>
        <v/>
      </c>
      <c r="F29" s="115">
        <f>IF((SUMIFS('Data - Monthly Metrics'!E:E,'Data - Monthly Metrics'!A:A,$B$4,'Data - Monthly Metrics'!B:B,"Jan",'Data - Monthly Metrics'!C:C,"Pierce",'Data - Monthly Metrics'!D:D,"Total Target Locations - Restaurant (#)")+SUMIFS('Data - Monthly Metrics'!E:E,'Data - Monthly Metrics'!A:A,$B$4,'Data - Monthly Metrics'!B:B,"Jan",'Data - Monthly Metrics'!C:C,"Pierce",'Data - Monthly Metrics'!D:D,"Non-Target Locations - Restaurant (#)"))=0,"-",(SUMIFS('Data - Monthly Metrics'!E:E,'Data - Monthly Metrics'!A:A,$B$4,'Data - Monthly Metrics'!B:B,"Jan",'Data - Monthly Metrics'!C:C,"Pierce",'Data - Monthly Metrics'!D:D,"Target Members - Restaurant (#)")+SUMIFS('Data - Monthly Metrics'!E:E,'Data - Monthly Metrics'!A:A,$B$4,'Data - Monthly Metrics'!B:B,"Jan",'Data - Monthly Metrics'!C:C,"Pierce",'Data - Monthly Metrics'!D:D,"Non-Target Members - Restaurant (#)"))/(SUMIFS('Data - Monthly Metrics'!E:E,'Data - Monthly Metrics'!A:A,$B$4,'Data - Monthly Metrics'!B:B,"Jan",'Data - Monthly Metrics'!C:C,"Pierce",'Data - Monthly Metrics'!D:D,"Total Target Locations - Restaurant (#)")+SUMIFS('Data - Monthly Metrics'!E:E,'Data - Monthly Metrics'!A:A,$B$4,'Data - Monthly Metrics'!B:B,"Jan",'Data - Monthly Metrics'!C:C,"Pierce",'Data - Monthly Metrics'!D:D,"Non-Target Locations - Restaurant (#)")))</f>
        <v/>
      </c>
      <c r="G29" s="115">
        <f>IF((SUMIFS('Data - Monthly Metrics'!E:E,'Data - Monthly Metrics'!A:A,$B$4,'Data - Monthly Metrics'!B:B,"Feb",'Data - Monthly Metrics'!C:C,"Pierce",'Data - Monthly Metrics'!D:D,"Total Target Locations - Restaurant (#)")+SUMIFS('Data - Monthly Metrics'!E:E,'Data - Monthly Metrics'!A:A,$B$4,'Data - Monthly Metrics'!B:B,"Feb",'Data - Monthly Metrics'!C:C,"Pierce",'Data - Monthly Metrics'!D:D,"Non-Target Locations - Restaurant (#)"))=0,"-",(SUMIFS('Data - Monthly Metrics'!E:E,'Data - Monthly Metrics'!A:A,$B$4,'Data - Monthly Metrics'!B:B,"Feb",'Data - Monthly Metrics'!C:C,"Pierce",'Data - Monthly Metrics'!D:D,"Target Members - Restaurant (#)")+SUMIFS('Data - Monthly Metrics'!E:E,'Data - Monthly Metrics'!A:A,$B$4,'Data - Monthly Metrics'!B:B,"Feb",'Data - Monthly Metrics'!C:C,"Pierce",'Data - Monthly Metrics'!D:D,"Non-Target Members - Restaurant (#)"))/(SUMIFS('Data - Monthly Metrics'!E:E,'Data - Monthly Metrics'!A:A,$B$4,'Data - Monthly Metrics'!B:B,"Feb",'Data - Monthly Metrics'!C:C,"Pierce",'Data - Monthly Metrics'!D:D,"Total Target Locations - Restaurant (#)")+SUMIFS('Data - Monthly Metrics'!E:E,'Data - Monthly Metrics'!A:A,$B$4,'Data - Monthly Metrics'!B:B,"Feb",'Data - Monthly Metrics'!C:C,"Pierce",'Data - Monthly Metrics'!D:D,"Non-Target Locations - Restaurant (#)")))</f>
        <v/>
      </c>
      <c r="H29" s="115">
        <f>IF((SUMIFS('Data - Monthly Metrics'!E:E,'Data - Monthly Metrics'!A:A,$B$4,'Data - Monthly Metrics'!B:B,"Mar",'Data - Monthly Metrics'!C:C,"Pierce",'Data - Monthly Metrics'!D:D,"Total Target Locations - Restaurant (#)")+SUMIFS('Data - Monthly Metrics'!E:E,'Data - Monthly Metrics'!A:A,$B$4,'Data - Monthly Metrics'!B:B,"Mar",'Data - Monthly Metrics'!C:C,"Pierce",'Data - Monthly Metrics'!D:D,"Non-Target Locations - Restaurant (#)"))=0,"-",(SUMIFS('Data - Monthly Metrics'!E:E,'Data - Monthly Metrics'!A:A,$B$4,'Data - Monthly Metrics'!B:B,"Mar",'Data - Monthly Metrics'!C:C,"Pierce",'Data - Monthly Metrics'!D:D,"Target Members - Restaurant (#)")+SUMIFS('Data - Monthly Metrics'!E:E,'Data - Monthly Metrics'!A:A,$B$4,'Data - Monthly Metrics'!B:B,"Mar",'Data - Monthly Metrics'!C:C,"Pierce",'Data - Monthly Metrics'!D:D,"Non-Target Members - Restaurant (#)"))/(SUMIFS('Data - Monthly Metrics'!E:E,'Data - Monthly Metrics'!A:A,$B$4,'Data - Monthly Metrics'!B:B,"Mar",'Data - Monthly Metrics'!C:C,"Pierce",'Data - Monthly Metrics'!D:D,"Total Target Locations - Restaurant (#)")+SUMIFS('Data - Monthly Metrics'!E:E,'Data - Monthly Metrics'!A:A,$B$4,'Data - Monthly Metrics'!B:B,"Mar",'Data - Monthly Metrics'!C:C,"Pierce",'Data - Monthly Metrics'!D:D,"Non-Target Locations - Restaurant (#)")))</f>
        <v/>
      </c>
      <c r="I29" s="116">
        <f>IF(ISNUMBER(H29),H29,IF(ISNUMBER(G29),G29,IF(ISNUMBER(F29),F29,"-")))</f>
        <v/>
      </c>
      <c r="J29" s="115">
        <f>IF((SUMIFS('Data - Monthly Metrics'!E:E,'Data - Monthly Metrics'!A:A,$B$4,'Data - Monthly Metrics'!B:B,"Apr",'Data - Monthly Metrics'!C:C,"Pierce",'Data - Monthly Metrics'!D:D,"Total Target Locations - Restaurant (#)")+SUMIFS('Data - Monthly Metrics'!E:E,'Data - Monthly Metrics'!A:A,$B$4,'Data - Monthly Metrics'!B:B,"Apr",'Data - Monthly Metrics'!C:C,"Pierce",'Data - Monthly Metrics'!D:D,"Non-Target Locations - Restaurant (#)"))=0,"-",(SUMIFS('Data - Monthly Metrics'!E:E,'Data - Monthly Metrics'!A:A,$B$4,'Data - Monthly Metrics'!B:B,"Apr",'Data - Monthly Metrics'!C:C,"Pierce",'Data - Monthly Metrics'!D:D,"Target Members - Restaurant (#)")+SUMIFS('Data - Monthly Metrics'!E:E,'Data - Monthly Metrics'!A:A,$B$4,'Data - Monthly Metrics'!B:B,"Apr",'Data - Monthly Metrics'!C:C,"Pierce",'Data - Monthly Metrics'!D:D,"Non-Target Members - Restaurant (#)"))/(SUMIFS('Data - Monthly Metrics'!E:E,'Data - Monthly Metrics'!A:A,$B$4,'Data - Monthly Metrics'!B:B,"Apr",'Data - Monthly Metrics'!C:C,"Pierce",'Data - Monthly Metrics'!D:D,"Total Target Locations - Restaurant (#)")+SUMIFS('Data - Monthly Metrics'!E:E,'Data - Monthly Metrics'!A:A,$B$4,'Data - Monthly Metrics'!B:B,"Apr",'Data - Monthly Metrics'!C:C,"Pierce",'Data - Monthly Metrics'!D:D,"Non-Target Locations - Restaurant (#)")))</f>
        <v/>
      </c>
      <c r="K29" s="115">
        <f>IF((SUMIFS('Data - Monthly Metrics'!E:E,'Data - Monthly Metrics'!A:A,$B$4,'Data - Monthly Metrics'!B:B,"May",'Data - Monthly Metrics'!C:C,"Pierce",'Data - Monthly Metrics'!D:D,"Total Target Locations - Restaurant (#)")+SUMIFS('Data - Monthly Metrics'!E:E,'Data - Monthly Metrics'!A:A,$B$4,'Data - Monthly Metrics'!B:B,"May",'Data - Monthly Metrics'!C:C,"Pierce",'Data - Monthly Metrics'!D:D,"Non-Target Locations - Restaurant (#)"))=0,"-",(SUMIFS('Data - Monthly Metrics'!E:E,'Data - Monthly Metrics'!A:A,$B$4,'Data - Monthly Metrics'!B:B,"May",'Data - Monthly Metrics'!C:C,"Pierce",'Data - Monthly Metrics'!D:D,"Target Members - Restaurant (#)")+SUMIFS('Data - Monthly Metrics'!E:E,'Data - Monthly Metrics'!A:A,$B$4,'Data - Monthly Metrics'!B:B,"May",'Data - Monthly Metrics'!C:C,"Pierce",'Data - Monthly Metrics'!D:D,"Non-Target Members - Restaurant (#)"))/(SUMIFS('Data - Monthly Metrics'!E:E,'Data - Monthly Metrics'!A:A,$B$4,'Data - Monthly Metrics'!B:B,"May",'Data - Monthly Metrics'!C:C,"Pierce",'Data - Monthly Metrics'!D:D,"Total Target Locations - Restaurant (#)")+SUMIFS('Data - Monthly Metrics'!E:E,'Data - Monthly Metrics'!A:A,$B$4,'Data - Monthly Metrics'!B:B,"May",'Data - Monthly Metrics'!C:C,"Pierce",'Data - Monthly Metrics'!D:D,"Non-Target Locations - Restaurant (#)")))</f>
        <v/>
      </c>
      <c r="L29" s="115">
        <f>IF((SUMIFS('Data - Monthly Metrics'!E:E,'Data - Monthly Metrics'!A:A,$B$4,'Data - Monthly Metrics'!B:B,"Jun",'Data - Monthly Metrics'!C:C,"Pierce",'Data - Monthly Metrics'!D:D,"Total Target Locations - Restaurant (#)")+SUMIFS('Data - Monthly Metrics'!E:E,'Data - Monthly Metrics'!A:A,$B$4,'Data - Monthly Metrics'!B:B,"Jun",'Data - Monthly Metrics'!C:C,"Pierce",'Data - Monthly Metrics'!D:D,"Non-Target Locations - Restaurant (#)"))=0,"-",(SUMIFS('Data - Monthly Metrics'!E:E,'Data - Monthly Metrics'!A:A,$B$4,'Data - Monthly Metrics'!B:B,"Jun",'Data - Monthly Metrics'!C:C,"Pierce",'Data - Monthly Metrics'!D:D,"Target Members - Restaurant (#)")+SUMIFS('Data - Monthly Metrics'!E:E,'Data - Monthly Metrics'!A:A,$B$4,'Data - Monthly Metrics'!B:B,"Jun",'Data - Monthly Metrics'!C:C,"Pierce",'Data - Monthly Metrics'!D:D,"Non-Target Members - Restaurant (#)"))/(SUMIFS('Data - Monthly Metrics'!E:E,'Data - Monthly Metrics'!A:A,$B$4,'Data - Monthly Metrics'!B:B,"Jun",'Data - Monthly Metrics'!C:C,"Pierce",'Data - Monthly Metrics'!D:D,"Total Target Locations - Restaurant (#)")+SUMIFS('Data - Monthly Metrics'!E:E,'Data - Monthly Metrics'!A:A,$B$4,'Data - Monthly Metrics'!B:B,"Jun",'Data - Monthly Metrics'!C:C,"Pierce",'Data - Monthly Metrics'!D:D,"Non-Target Locations - Restaurant (#)")))</f>
        <v/>
      </c>
      <c r="M29" s="116">
        <f>IF(ISNUMBER(L29),L29,IF(ISNUMBER(K29),K29,IF(ISNUMBER(J29),J29,"-")))</f>
        <v/>
      </c>
      <c r="N29" s="115">
        <f>IF((SUMIFS('Data - Monthly Metrics'!E:E,'Data - Monthly Metrics'!A:A,$B$4,'Data - Monthly Metrics'!B:B,"Jul",'Data - Monthly Metrics'!C:C,"Pierce",'Data - Monthly Metrics'!D:D,"Total Target Locations - Restaurant (#)")+SUMIFS('Data - Monthly Metrics'!E:E,'Data - Monthly Metrics'!A:A,$B$4,'Data - Monthly Metrics'!B:B,"Jul",'Data - Monthly Metrics'!C:C,"Pierce",'Data - Monthly Metrics'!D:D,"Non-Target Locations - Restaurant (#)"))=0,"-",(SUMIFS('Data - Monthly Metrics'!E:E,'Data - Monthly Metrics'!A:A,$B$4,'Data - Monthly Metrics'!B:B,"Jul",'Data - Monthly Metrics'!C:C,"Pierce",'Data - Monthly Metrics'!D:D,"Target Members - Restaurant (#)")+SUMIFS('Data - Monthly Metrics'!E:E,'Data - Monthly Metrics'!A:A,$B$4,'Data - Monthly Metrics'!B:B,"Jul",'Data - Monthly Metrics'!C:C,"Pierce",'Data - Monthly Metrics'!D:D,"Non-Target Members - Restaurant (#)"))/(SUMIFS('Data - Monthly Metrics'!E:E,'Data - Monthly Metrics'!A:A,$B$4,'Data - Monthly Metrics'!B:B,"Jul",'Data - Monthly Metrics'!C:C,"Pierce",'Data - Monthly Metrics'!D:D,"Total Target Locations - Restaurant (#)")+SUMIFS('Data - Monthly Metrics'!E:E,'Data - Monthly Metrics'!A:A,$B$4,'Data - Monthly Metrics'!B:B,"Jul",'Data - Monthly Metrics'!C:C,"Pierce",'Data - Monthly Metrics'!D:D,"Non-Target Locations - Restaurant (#)")))</f>
        <v/>
      </c>
      <c r="O29" s="115">
        <f>IF((SUMIFS('Data - Monthly Metrics'!E:E,'Data - Monthly Metrics'!A:A,$B$4,'Data - Monthly Metrics'!B:B,"Aug",'Data - Monthly Metrics'!C:C,"Pierce",'Data - Monthly Metrics'!D:D,"Total Target Locations - Restaurant (#)")+SUMIFS('Data - Monthly Metrics'!E:E,'Data - Monthly Metrics'!A:A,$B$4,'Data - Monthly Metrics'!B:B,"Aug",'Data - Monthly Metrics'!C:C,"Pierce",'Data - Monthly Metrics'!D:D,"Non-Target Locations - Restaurant (#)"))=0,"-",(SUMIFS('Data - Monthly Metrics'!E:E,'Data - Monthly Metrics'!A:A,$B$4,'Data - Monthly Metrics'!B:B,"Aug",'Data - Monthly Metrics'!C:C,"Pierce",'Data - Monthly Metrics'!D:D,"Target Members - Restaurant (#)")+SUMIFS('Data - Monthly Metrics'!E:E,'Data - Monthly Metrics'!A:A,$B$4,'Data - Monthly Metrics'!B:B,"Aug",'Data - Monthly Metrics'!C:C,"Pierce",'Data - Monthly Metrics'!D:D,"Non-Target Members - Restaurant (#)"))/(SUMIFS('Data - Monthly Metrics'!E:E,'Data - Monthly Metrics'!A:A,$B$4,'Data - Monthly Metrics'!B:B,"Aug",'Data - Monthly Metrics'!C:C,"Pierce",'Data - Monthly Metrics'!D:D,"Total Target Locations - Restaurant (#)")+SUMIFS('Data - Monthly Metrics'!E:E,'Data - Monthly Metrics'!A:A,$B$4,'Data - Monthly Metrics'!B:B,"Aug",'Data - Monthly Metrics'!C:C,"Pierce",'Data - Monthly Metrics'!D:D,"Non-Target Locations - Restaurant (#)")))</f>
        <v/>
      </c>
      <c r="P29" s="115">
        <f>IF((SUMIFS('Data - Monthly Metrics'!E:E,'Data - Monthly Metrics'!A:A,$B$4,'Data - Monthly Metrics'!B:B,"Sep",'Data - Monthly Metrics'!C:C,"Pierce",'Data - Monthly Metrics'!D:D,"Total Target Locations - Restaurant (#)")+SUMIFS('Data - Monthly Metrics'!E:E,'Data - Monthly Metrics'!A:A,$B$4,'Data - Monthly Metrics'!B:B,"Sep",'Data - Monthly Metrics'!C:C,"Pierce",'Data - Monthly Metrics'!D:D,"Non-Target Locations - Restaurant (#)"))=0,"-",(SUMIFS('Data - Monthly Metrics'!E:E,'Data - Monthly Metrics'!A:A,$B$4,'Data - Monthly Metrics'!B:B,"Sep",'Data - Monthly Metrics'!C:C,"Pierce",'Data - Monthly Metrics'!D:D,"Target Members - Restaurant (#)")+SUMIFS('Data - Monthly Metrics'!E:E,'Data - Monthly Metrics'!A:A,$B$4,'Data - Monthly Metrics'!B:B,"Sep",'Data - Monthly Metrics'!C:C,"Pierce",'Data - Monthly Metrics'!D:D,"Non-Target Members - Restaurant (#)"))/(SUMIFS('Data - Monthly Metrics'!E:E,'Data - Monthly Metrics'!A:A,$B$4,'Data - Monthly Metrics'!B:B,"Sep",'Data - Monthly Metrics'!C:C,"Pierce",'Data - Monthly Metrics'!D:D,"Total Target Locations - Restaurant (#)")+SUMIFS('Data - Monthly Metrics'!E:E,'Data - Monthly Metrics'!A:A,$B$4,'Data - Monthly Metrics'!B:B,"Sep",'Data - Monthly Metrics'!C:C,"Pierce",'Data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Metrics'!C:C,"Pierce",'Data - Monthly Metrics'!D:D,"Total Target Locations - Lodging (#)")+SUMIFS('Data - Monthly Metrics'!E:E,'Data - Monthly Metrics'!A:A,$B$4-1,'Data - Monthly Metrics'!B:B,"Oct",'Data - Monthly Metrics'!C:C,"Pierce",'Data - Monthly Metrics'!D:D,"Non-Target Locations - Lodging (#)"))=0,"-",(SUMIFS('Data - Monthly Metrics'!E:E,'Data - Monthly Metrics'!A:A,$B$4-1,'Data - Monthly Metrics'!B:B,"Oct",'Data - Monthly Metrics'!C:C,"Pierce",'Data - Monthly Metrics'!D:D,"Target Members - Lodging (#)")+SUMIFS('Data - Monthly Metrics'!E:E,'Data - Monthly Metrics'!A:A,$B$4-1,'Data - Monthly Metrics'!B:B,"Oct",'Data - Monthly Metrics'!C:C,"Pierce",'Data - Monthly Metrics'!D:D,"Non-Target Members - Lodging (#)"))/(SUMIFS('Data - Monthly Metrics'!E:E,'Data - Monthly Metrics'!A:A,$B$4-1,'Data - Monthly Metrics'!B:B,"Oct",'Data - Monthly Metrics'!C:C,"Pierce",'Data - Monthly Metrics'!D:D,"Total Target Locations - Lodging (#)")+SUMIFS('Data - Monthly Metrics'!E:E,'Data - Monthly Metrics'!A:A,$B$4-1,'Data - Monthly Metrics'!B:B,"Oct",'Data - Monthly Metrics'!C:C,"Pierce",'Data - Monthly Metrics'!D:D,"Non-Target Locations - Lodging (#)")))</f>
        <v/>
      </c>
      <c r="C30" s="118">
        <f>IF((SUMIFS('Data - Monthly Metrics'!E:E,'Data - Monthly Metrics'!A:A,$B$4-1,'Data - Monthly Metrics'!B:B,"Nov",'Data - Monthly Metrics'!C:C,"Pierce",'Data - Monthly Metrics'!D:D,"Total Target Locations - Lodging (#)")+SUMIFS('Data - Monthly Metrics'!E:E,'Data - Monthly Metrics'!A:A,$B$4-1,'Data - Monthly Metrics'!B:B,"Nov",'Data - Monthly Metrics'!C:C,"Pierce",'Data - Monthly Metrics'!D:D,"Non-Target Locations - Lodging (#)"))=0,"-",(SUMIFS('Data - Monthly Metrics'!E:E,'Data - Monthly Metrics'!A:A,$B$4-1,'Data - Monthly Metrics'!B:B,"Nov",'Data - Monthly Metrics'!C:C,"Pierce",'Data - Monthly Metrics'!D:D,"Target Members - Lodging (#)")+SUMIFS('Data - Monthly Metrics'!E:E,'Data - Monthly Metrics'!A:A,$B$4-1,'Data - Monthly Metrics'!B:B,"Nov",'Data - Monthly Metrics'!C:C,"Pierce",'Data - Monthly Metrics'!D:D,"Non-Target Members - Lodging (#)"))/(SUMIFS('Data - Monthly Metrics'!E:E,'Data - Monthly Metrics'!A:A,$B$4-1,'Data - Monthly Metrics'!B:B,"Nov",'Data - Monthly Metrics'!C:C,"Pierce",'Data - Monthly Metrics'!D:D,"Total Target Locations - Lodging (#)")+SUMIFS('Data - Monthly Metrics'!E:E,'Data - Monthly Metrics'!A:A,$B$4-1,'Data - Monthly Metrics'!B:B,"Nov",'Data - Monthly Metrics'!C:C,"Pierce",'Data - Monthly Metrics'!D:D,"Non-Target Locations - Lodging (#)")))</f>
        <v/>
      </c>
      <c r="D30" s="118">
        <f>IF((SUMIFS('Data - Monthly Metrics'!E:E,'Data - Monthly Metrics'!A:A,$B$4-1,'Data - Monthly Metrics'!B:B,"Dec",'Data - Monthly Metrics'!C:C,"Pierce",'Data - Monthly Metrics'!D:D,"Total Target Locations - Lodging (#)")+SUMIFS('Data - Monthly Metrics'!E:E,'Data - Monthly Metrics'!A:A,$B$4-1,'Data - Monthly Metrics'!B:B,"Dec",'Data - Monthly Metrics'!C:C,"Pierce",'Data - Monthly Metrics'!D:D,"Non-Target Locations - Lodging (#)"))=0,"-",(SUMIFS('Data - Monthly Metrics'!E:E,'Data - Monthly Metrics'!A:A,$B$4-1,'Data - Monthly Metrics'!B:B,"Dec",'Data - Monthly Metrics'!C:C,"Pierce",'Data - Monthly Metrics'!D:D,"Target Members - Lodging (#)")+SUMIFS('Data - Monthly Metrics'!E:E,'Data - Monthly Metrics'!A:A,$B$4-1,'Data - Monthly Metrics'!B:B,"Dec",'Data - Monthly Metrics'!C:C,"Pierce",'Data - Monthly Metrics'!D:D,"Non-Target Members - Lodging (#)"))/(SUMIFS('Data - Monthly Metrics'!E:E,'Data - Monthly Metrics'!A:A,$B$4-1,'Data - Monthly Metrics'!B:B,"Dec",'Data - Monthly Metrics'!C:C,"Pierce",'Data - Monthly Metrics'!D:D,"Total Target Locations - Lodging (#)")+SUMIFS('Data - Monthly Metrics'!E:E,'Data - Monthly Metrics'!A:A,$B$4-1,'Data - Monthly Metrics'!B:B,"Dec",'Data - Monthly Metrics'!C:C,"Pierce",'Data - Monthly Metrics'!D:D,"Non-Target Locations - Lodging (#)")))</f>
        <v/>
      </c>
      <c r="E30" s="116">
        <f>IF(ISNUMBER(D30),D30,IF(ISNUMBER(C30),C30,IF(ISNUMBER(B30),B30,"-")))</f>
        <v/>
      </c>
      <c r="F30" s="118">
        <f>IF((SUMIFS('Data - Monthly Metrics'!E:E,'Data - Monthly Metrics'!A:A,$B$4,'Data - Monthly Metrics'!B:B,"Jan",'Data - Monthly Metrics'!C:C,"Pierce",'Data - Monthly Metrics'!D:D,"Total Target Locations - Lodging (#)")+SUMIFS('Data - Monthly Metrics'!E:E,'Data - Monthly Metrics'!A:A,$B$4,'Data - Monthly Metrics'!B:B,"Jan",'Data - Monthly Metrics'!C:C,"Pierce",'Data - Monthly Metrics'!D:D,"Non-Target Locations - Lodging (#)"))=0,"-",(SUMIFS('Data - Monthly Metrics'!E:E,'Data - Monthly Metrics'!A:A,$B$4,'Data - Monthly Metrics'!B:B,"Jan",'Data - Monthly Metrics'!C:C,"Pierce",'Data - Monthly Metrics'!D:D,"Target Members - Lodging (#)")+SUMIFS('Data - Monthly Metrics'!E:E,'Data - Monthly Metrics'!A:A,$B$4,'Data - Monthly Metrics'!B:B,"Jan",'Data - Monthly Metrics'!C:C,"Pierce",'Data - Monthly Metrics'!D:D,"Non-Target Members - Lodging (#)"))/(SUMIFS('Data - Monthly Metrics'!E:E,'Data - Monthly Metrics'!A:A,$B$4,'Data - Monthly Metrics'!B:B,"Jan",'Data - Monthly Metrics'!C:C,"Pierce",'Data - Monthly Metrics'!D:D,"Total Target Locations - Lodging (#)")+SUMIFS('Data - Monthly Metrics'!E:E,'Data - Monthly Metrics'!A:A,$B$4,'Data - Monthly Metrics'!B:B,"Jan",'Data - Monthly Metrics'!C:C,"Pierce",'Data - Monthly Metrics'!D:D,"Non-Target Locations - Lodging (#)")))</f>
        <v/>
      </c>
      <c r="G30" s="118">
        <f>IF((SUMIFS('Data - Monthly Metrics'!E:E,'Data - Monthly Metrics'!A:A,$B$4,'Data - Monthly Metrics'!B:B,"Feb",'Data - Monthly Metrics'!C:C,"Pierce",'Data - Monthly Metrics'!D:D,"Total Target Locations - Lodging (#)")+SUMIFS('Data - Monthly Metrics'!E:E,'Data - Monthly Metrics'!A:A,$B$4,'Data - Monthly Metrics'!B:B,"Feb",'Data - Monthly Metrics'!C:C,"Pierce",'Data - Monthly Metrics'!D:D,"Non-Target Locations - Lodging (#)"))=0,"-",(SUMIFS('Data - Monthly Metrics'!E:E,'Data - Monthly Metrics'!A:A,$B$4,'Data - Monthly Metrics'!B:B,"Feb",'Data - Monthly Metrics'!C:C,"Pierce",'Data - Monthly Metrics'!D:D,"Target Members - Lodging (#)")+SUMIFS('Data - Monthly Metrics'!E:E,'Data - Monthly Metrics'!A:A,$B$4,'Data - Monthly Metrics'!B:B,"Feb",'Data - Monthly Metrics'!C:C,"Pierce",'Data - Monthly Metrics'!D:D,"Non-Target Members - Lodging (#)"))/(SUMIFS('Data - Monthly Metrics'!E:E,'Data - Monthly Metrics'!A:A,$B$4,'Data - Monthly Metrics'!B:B,"Feb",'Data - Monthly Metrics'!C:C,"Pierce",'Data - Monthly Metrics'!D:D,"Total Target Locations - Lodging (#)")+SUMIFS('Data - Monthly Metrics'!E:E,'Data - Monthly Metrics'!A:A,$B$4,'Data - Monthly Metrics'!B:B,"Feb",'Data - Monthly Metrics'!C:C,"Pierce",'Data - Monthly Metrics'!D:D,"Non-Target Locations - Lodging (#)")))</f>
        <v/>
      </c>
      <c r="H30" s="118">
        <f>IF((SUMIFS('Data - Monthly Metrics'!E:E,'Data - Monthly Metrics'!A:A,$B$4,'Data - Monthly Metrics'!B:B,"Mar",'Data - Monthly Metrics'!C:C,"Pierce",'Data - Monthly Metrics'!D:D,"Total Target Locations - Lodging (#)")+SUMIFS('Data - Monthly Metrics'!E:E,'Data - Monthly Metrics'!A:A,$B$4,'Data - Monthly Metrics'!B:B,"Mar",'Data - Monthly Metrics'!C:C,"Pierce",'Data - Monthly Metrics'!D:D,"Non-Target Locations - Lodging (#)"))=0,"-",(SUMIFS('Data - Monthly Metrics'!E:E,'Data - Monthly Metrics'!A:A,$B$4,'Data - Monthly Metrics'!B:B,"Mar",'Data - Monthly Metrics'!C:C,"Pierce",'Data - Monthly Metrics'!D:D,"Target Members - Lodging (#)")+SUMIFS('Data - Monthly Metrics'!E:E,'Data - Monthly Metrics'!A:A,$B$4,'Data - Monthly Metrics'!B:B,"Mar",'Data - Monthly Metrics'!C:C,"Pierce",'Data - Monthly Metrics'!D:D,"Non-Target Members - Lodging (#)"))/(SUMIFS('Data - Monthly Metrics'!E:E,'Data - Monthly Metrics'!A:A,$B$4,'Data - Monthly Metrics'!B:B,"Mar",'Data - Monthly Metrics'!C:C,"Pierce",'Data - Monthly Metrics'!D:D,"Total Target Locations - Lodging (#)")+SUMIFS('Data - Monthly Metrics'!E:E,'Data - Monthly Metrics'!A:A,$B$4,'Data - Monthly Metrics'!B:B,"Mar",'Data - Monthly Metrics'!C:C,"Pierce",'Data - Monthly Metrics'!D:D,"Non-Target Locations - Lodging (#)")))</f>
        <v/>
      </c>
      <c r="I30" s="116">
        <f>IF(ISNUMBER(H30),H30,IF(ISNUMBER(G30),G30,IF(ISNUMBER(F30),F30,"-")))</f>
        <v/>
      </c>
      <c r="J30" s="118">
        <f>IF((SUMIFS('Data - Monthly Metrics'!E:E,'Data - Monthly Metrics'!A:A,$B$4,'Data - Monthly Metrics'!B:B,"Apr",'Data - Monthly Metrics'!C:C,"Pierce",'Data - Monthly Metrics'!D:D,"Total Target Locations - Lodging (#)")+SUMIFS('Data - Monthly Metrics'!E:E,'Data - Monthly Metrics'!A:A,$B$4,'Data - Monthly Metrics'!B:B,"Apr",'Data - Monthly Metrics'!C:C,"Pierce",'Data - Monthly Metrics'!D:D,"Non-Target Locations - Lodging (#)"))=0,"-",(SUMIFS('Data - Monthly Metrics'!E:E,'Data - Monthly Metrics'!A:A,$B$4,'Data - Monthly Metrics'!B:B,"Apr",'Data - Monthly Metrics'!C:C,"Pierce",'Data - Monthly Metrics'!D:D,"Target Members - Lodging (#)")+SUMIFS('Data - Monthly Metrics'!E:E,'Data - Monthly Metrics'!A:A,$B$4,'Data - Monthly Metrics'!B:B,"Apr",'Data - Monthly Metrics'!C:C,"Pierce",'Data - Monthly Metrics'!D:D,"Non-Target Members - Lodging (#)"))/(SUMIFS('Data - Monthly Metrics'!E:E,'Data - Monthly Metrics'!A:A,$B$4,'Data - Monthly Metrics'!B:B,"Apr",'Data - Monthly Metrics'!C:C,"Pierce",'Data - Monthly Metrics'!D:D,"Total Target Locations - Lodging (#)")+SUMIFS('Data - Monthly Metrics'!E:E,'Data - Monthly Metrics'!A:A,$B$4,'Data - Monthly Metrics'!B:B,"Apr",'Data - Monthly Metrics'!C:C,"Pierce",'Data - Monthly Metrics'!D:D,"Non-Target Locations - Lodging (#)")))</f>
        <v/>
      </c>
      <c r="K30" s="118">
        <f>IF((SUMIFS('Data - Monthly Metrics'!E:E,'Data - Monthly Metrics'!A:A,$B$4,'Data - Monthly Metrics'!B:B,"May",'Data - Monthly Metrics'!C:C,"Pierce",'Data - Monthly Metrics'!D:D,"Total Target Locations - Lodging (#)")+SUMIFS('Data - Monthly Metrics'!E:E,'Data - Monthly Metrics'!A:A,$B$4,'Data - Monthly Metrics'!B:B,"May",'Data - Monthly Metrics'!C:C,"Pierce",'Data - Monthly Metrics'!D:D,"Non-Target Locations - Lodging (#)"))=0,"-",(SUMIFS('Data - Monthly Metrics'!E:E,'Data - Monthly Metrics'!A:A,$B$4,'Data - Monthly Metrics'!B:B,"May",'Data - Monthly Metrics'!C:C,"Pierce",'Data - Monthly Metrics'!D:D,"Target Members - Lodging (#)")+SUMIFS('Data - Monthly Metrics'!E:E,'Data - Monthly Metrics'!A:A,$B$4,'Data - Monthly Metrics'!B:B,"May",'Data - Monthly Metrics'!C:C,"Pierce",'Data - Monthly Metrics'!D:D,"Non-Target Members - Lodging (#)"))/(SUMIFS('Data - Monthly Metrics'!E:E,'Data - Monthly Metrics'!A:A,$B$4,'Data - Monthly Metrics'!B:B,"May",'Data - Monthly Metrics'!C:C,"Pierce",'Data - Monthly Metrics'!D:D,"Total Target Locations - Lodging (#)")+SUMIFS('Data - Monthly Metrics'!E:E,'Data - Monthly Metrics'!A:A,$B$4,'Data - Monthly Metrics'!B:B,"May",'Data - Monthly Metrics'!C:C,"Pierce",'Data - Monthly Metrics'!D:D,"Non-Target Locations - Lodging (#)")))</f>
        <v/>
      </c>
      <c r="L30" s="118">
        <f>IF((SUMIFS('Data - Monthly Metrics'!E:E,'Data - Monthly Metrics'!A:A,$B$4,'Data - Monthly Metrics'!B:B,"Jun",'Data - Monthly Metrics'!C:C,"Pierce",'Data - Monthly Metrics'!D:D,"Total Target Locations - Lodging (#)")+SUMIFS('Data - Monthly Metrics'!E:E,'Data - Monthly Metrics'!A:A,$B$4,'Data - Monthly Metrics'!B:B,"Jun",'Data - Monthly Metrics'!C:C,"Pierce",'Data - Monthly Metrics'!D:D,"Non-Target Locations - Lodging (#)"))=0,"-",(SUMIFS('Data - Monthly Metrics'!E:E,'Data - Monthly Metrics'!A:A,$B$4,'Data - Monthly Metrics'!B:B,"Jun",'Data - Monthly Metrics'!C:C,"Pierce",'Data - Monthly Metrics'!D:D,"Target Members - Lodging (#)")+SUMIFS('Data - Monthly Metrics'!E:E,'Data - Monthly Metrics'!A:A,$B$4,'Data - Monthly Metrics'!B:B,"Jun",'Data - Monthly Metrics'!C:C,"Pierce",'Data - Monthly Metrics'!D:D,"Non-Target Members - Lodging (#)"))/(SUMIFS('Data - Monthly Metrics'!E:E,'Data - Monthly Metrics'!A:A,$B$4,'Data - Monthly Metrics'!B:B,"Jun",'Data - Monthly Metrics'!C:C,"Pierce",'Data - Monthly Metrics'!D:D,"Total Target Locations - Lodging (#)")+SUMIFS('Data - Monthly Metrics'!E:E,'Data - Monthly Metrics'!A:A,$B$4,'Data - Monthly Metrics'!B:B,"Jun",'Data - Monthly Metrics'!C:C,"Pierce",'Data - Monthly Metrics'!D:D,"Non-Target Locations - Lodging (#)")))</f>
        <v/>
      </c>
      <c r="M30" s="116">
        <f>IF(ISNUMBER(L30),L30,IF(ISNUMBER(K30),K30,IF(ISNUMBER(J30),J30,"-")))</f>
        <v/>
      </c>
      <c r="N30" s="118">
        <f>IF((SUMIFS('Data - Monthly Metrics'!E:E,'Data - Monthly Metrics'!A:A,$B$4,'Data - Monthly Metrics'!B:B,"Jul",'Data - Monthly Metrics'!C:C,"Pierce",'Data - Monthly Metrics'!D:D,"Total Target Locations - Lodging (#)")+SUMIFS('Data - Monthly Metrics'!E:E,'Data - Monthly Metrics'!A:A,$B$4,'Data - Monthly Metrics'!B:B,"Jul",'Data - Monthly Metrics'!C:C,"Pierce",'Data - Monthly Metrics'!D:D,"Non-Target Locations - Lodging (#)"))=0,"-",(SUMIFS('Data - Monthly Metrics'!E:E,'Data - Monthly Metrics'!A:A,$B$4,'Data - Monthly Metrics'!B:B,"Jul",'Data - Monthly Metrics'!C:C,"Pierce",'Data - Monthly Metrics'!D:D,"Target Members - Lodging (#)")+SUMIFS('Data - Monthly Metrics'!E:E,'Data - Monthly Metrics'!A:A,$B$4,'Data - Monthly Metrics'!B:B,"Jul",'Data - Monthly Metrics'!C:C,"Pierce",'Data - Monthly Metrics'!D:D,"Non-Target Members - Lodging (#)"))/(SUMIFS('Data - Monthly Metrics'!E:E,'Data - Monthly Metrics'!A:A,$B$4,'Data - Monthly Metrics'!B:B,"Jul",'Data - Monthly Metrics'!C:C,"Pierce",'Data - Monthly Metrics'!D:D,"Total Target Locations - Lodging (#)")+SUMIFS('Data - Monthly Metrics'!E:E,'Data - Monthly Metrics'!A:A,$B$4,'Data - Monthly Metrics'!B:B,"Jul",'Data - Monthly Metrics'!C:C,"Pierce",'Data - Monthly Metrics'!D:D,"Non-Target Locations - Lodging (#)")))</f>
        <v/>
      </c>
      <c r="O30" s="118">
        <f>IF((SUMIFS('Data - Monthly Metrics'!E:E,'Data - Monthly Metrics'!A:A,$B$4,'Data - Monthly Metrics'!B:B,"Aug",'Data - Monthly Metrics'!C:C,"Pierce",'Data - Monthly Metrics'!D:D,"Total Target Locations - Lodging (#)")+SUMIFS('Data - Monthly Metrics'!E:E,'Data - Monthly Metrics'!A:A,$B$4,'Data - Monthly Metrics'!B:B,"Aug",'Data - Monthly Metrics'!C:C,"Pierce",'Data - Monthly Metrics'!D:D,"Non-Target Locations - Lodging (#)"))=0,"-",(SUMIFS('Data - Monthly Metrics'!E:E,'Data - Monthly Metrics'!A:A,$B$4,'Data - Monthly Metrics'!B:B,"Aug",'Data - Monthly Metrics'!C:C,"Pierce",'Data - Monthly Metrics'!D:D,"Target Members - Lodging (#)")+SUMIFS('Data - Monthly Metrics'!E:E,'Data - Monthly Metrics'!A:A,$B$4,'Data - Monthly Metrics'!B:B,"Aug",'Data - Monthly Metrics'!C:C,"Pierce",'Data - Monthly Metrics'!D:D,"Non-Target Members - Lodging (#)"))/(SUMIFS('Data - Monthly Metrics'!E:E,'Data - Monthly Metrics'!A:A,$B$4,'Data - Monthly Metrics'!B:B,"Aug",'Data - Monthly Metrics'!C:C,"Pierce",'Data - Monthly Metrics'!D:D,"Total Target Locations - Lodging (#)")+SUMIFS('Data - Monthly Metrics'!E:E,'Data - Monthly Metrics'!A:A,$B$4,'Data - Monthly Metrics'!B:B,"Aug",'Data - Monthly Metrics'!C:C,"Pierce",'Data - Monthly Metrics'!D:D,"Non-Target Locations - Lodging (#)")))</f>
        <v/>
      </c>
      <c r="P30" s="118">
        <f>IF((SUMIFS('Data - Monthly Metrics'!E:E,'Data - Monthly Metrics'!A:A,$B$4,'Data - Monthly Metrics'!B:B,"Sep",'Data - Monthly Metrics'!C:C,"Pierce",'Data - Monthly Metrics'!D:D,"Total Target Locations - Lodging (#)")+SUMIFS('Data - Monthly Metrics'!E:E,'Data - Monthly Metrics'!A:A,$B$4,'Data - Monthly Metrics'!B:B,"Sep",'Data - Monthly Metrics'!C:C,"Pierce",'Data - Monthly Metrics'!D:D,"Non-Target Locations - Lodging (#)"))=0,"-",(SUMIFS('Data - Monthly Metrics'!E:E,'Data - Monthly Metrics'!A:A,$B$4,'Data - Monthly Metrics'!B:B,"Sep",'Data - Monthly Metrics'!C:C,"Pierce",'Data - Monthly Metrics'!D:D,"Target Members - Lodging (#)")+SUMIFS('Data - Monthly Metrics'!E:E,'Data - Monthly Metrics'!A:A,$B$4,'Data - Monthly Metrics'!B:B,"Sep",'Data - Monthly Metrics'!C:C,"Pierce",'Data - Monthly Metrics'!D:D,"Non-Target Members - Lodging (#)"))/(SUMIFS('Data - Monthly Metrics'!E:E,'Data - Monthly Metrics'!A:A,$B$4,'Data - Monthly Metrics'!B:B,"Sep",'Data - Monthly Metrics'!C:C,"Pierce",'Data - Monthly Metrics'!D:D,"Total Target Locations - Lodging (#)")+SUMIFS('Data - Monthly Metrics'!E:E,'Data - Monthly Metrics'!A:A,$B$4,'Data - Monthly Metrics'!B:B,"Sep",'Data - Monthly Metrics'!C:C,"Pierce",'Data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Metrics'!C:C,"Pierce",'Data - Monthly Metrics'!D:D,"Total Target Locations - Restaurant (#)")+SUMIFS('Data - Monthly Metrics'!E:E,'Data - Monthly Metrics'!A:A,$B$4-1,'Data - Monthly Metrics'!B:B,"Oct",'Data - Monthly Metrics'!C:C,"Pierce",'Data - Monthly Metrics'!D:D,"Total Target Locations - Lodging (#)")+SUMIFS('Data - Monthly Metrics'!E:E,'Data - Monthly Metrics'!A:A,$B$4-1,'Data - Monthly Metrics'!B:B,"Oct",'Data - Monthly Metrics'!C:C,"Pierce",'Data - Monthly Metrics'!D:D,"Non-Target Locations - Restaurant (#)")+SUMIFS('Data - Monthly Metrics'!E:E,'Data - Monthly Metrics'!A:A,$B$4-1,'Data - Monthly Metrics'!B:B,"Oct",'Data - Monthly Metrics'!C:C,"Pierce",'Data - Monthly Metrics'!D:D,"Non-Target Locations - Lodging (#)"))=0,"-",(SUMIFS('Data - Monthly Metrics'!E:E,'Data - Monthly Metrics'!A:A,$B$4-1,'Data - Monthly Metrics'!B:B,"Oct",'Data - Monthly Metrics'!C:C,"Pierce",'Data - Monthly Metrics'!D:D,"Target Members - Restaurant (#)")+SUMIFS('Data - Monthly Metrics'!E:E,'Data - Monthly Metrics'!A:A,$B$4-1,'Data - Monthly Metrics'!B:B,"Oct",'Data - Monthly Metrics'!C:C,"Pierce",'Data - Monthly Metrics'!D:D,"Target Members - Lodging (#)")+SUMIFS('Data - Monthly Metrics'!E:E,'Data - Monthly Metrics'!A:A,$B$4-1,'Data - Monthly Metrics'!B:B,"Oct",'Data - Monthly Metrics'!C:C,"Pierce",'Data - Monthly Metrics'!D:D,"Non-Target Members - Restaurant (#)")+SUMIFS('Data - Monthly Metrics'!E:E,'Data - Monthly Metrics'!A:A,$B$4-1,'Data - Monthly Metrics'!B:B,"Oct",'Data - Monthly Metrics'!C:C,"Pierce",'Data - Monthly Metrics'!D:D,"Non-Target Members - Lodging (#)"))/(SUMIFS('Data - Monthly Metrics'!E:E,'Data - Monthly Metrics'!A:A,$B$4-1,'Data - Monthly Metrics'!B:B,"Oct",'Data - Monthly Metrics'!C:C,"Pierce",'Data - Monthly Metrics'!D:D,"Total Target Locations - Restaurant (#)")+SUMIFS('Data - Monthly Metrics'!E:E,'Data - Monthly Metrics'!A:A,$B$4-1,'Data - Monthly Metrics'!B:B,"Oct",'Data - Monthly Metrics'!C:C,"Pierce",'Data - Monthly Metrics'!D:D,"Total Target Locations - Lodging (#)")+SUMIFS('Data - Monthly Metrics'!E:E,'Data - Monthly Metrics'!A:A,$B$4-1,'Data - Monthly Metrics'!B:B,"Oct",'Data - Monthly Metrics'!C:C,"Pierce",'Data - Monthly Metrics'!D:D,"Non-Target Locations - Restaurant (#)")+SUMIFS('Data - Monthly Metrics'!E:E,'Data - Monthly Metrics'!A:A,$B$4-1,'Data - Monthly Metrics'!B:B,"Oct",'Data - Monthly Metrics'!C:C,"Pierce",'Data - Monthly Metrics'!D:D,"Non-Target Locations - Lodging (#)")))</f>
        <v/>
      </c>
      <c r="C31" s="115">
        <f>IF((SUMIFS('Data - Monthly Metrics'!E:E,'Data - Monthly Metrics'!A:A,$B$4-1,'Data - Monthly Metrics'!B:B,"Nov",'Data - Monthly Metrics'!C:C,"Pierce",'Data - Monthly Metrics'!D:D,"Total Target Locations - Restaurant (#)")+SUMIFS('Data - Monthly Metrics'!E:E,'Data - Monthly Metrics'!A:A,$B$4-1,'Data - Monthly Metrics'!B:B,"Nov",'Data - Monthly Metrics'!C:C,"Pierce",'Data - Monthly Metrics'!D:D,"Total Target Locations - Lodging (#)")+SUMIFS('Data - Monthly Metrics'!E:E,'Data - Monthly Metrics'!A:A,$B$4-1,'Data - Monthly Metrics'!B:B,"Nov",'Data - Monthly Metrics'!C:C,"Pierce",'Data - Monthly Metrics'!D:D,"Non-Target Locations - Restaurant (#)")+SUMIFS('Data - Monthly Metrics'!E:E,'Data - Monthly Metrics'!A:A,$B$4-1,'Data - Monthly Metrics'!B:B,"Nov",'Data - Monthly Metrics'!C:C,"Pierce",'Data - Monthly Metrics'!D:D,"Non-Target Locations - Lodging (#)"))=0,"-",(SUMIFS('Data - Monthly Metrics'!E:E,'Data - Monthly Metrics'!A:A,$B$4-1,'Data - Monthly Metrics'!B:B,"Nov",'Data - Monthly Metrics'!C:C,"Pierce",'Data - Monthly Metrics'!D:D,"Target Members - Restaurant (#)")+SUMIFS('Data - Monthly Metrics'!E:E,'Data - Monthly Metrics'!A:A,$B$4-1,'Data - Monthly Metrics'!B:B,"Nov",'Data - Monthly Metrics'!C:C,"Pierce",'Data - Monthly Metrics'!D:D,"Target Members - Lodging (#)")+SUMIFS('Data - Monthly Metrics'!E:E,'Data - Monthly Metrics'!A:A,$B$4-1,'Data - Monthly Metrics'!B:B,"Nov",'Data - Monthly Metrics'!C:C,"Pierce",'Data - Monthly Metrics'!D:D,"Non-Target Members - Restaurant (#)")+SUMIFS('Data - Monthly Metrics'!E:E,'Data - Monthly Metrics'!A:A,$B$4-1,'Data - Monthly Metrics'!B:B,"Nov",'Data - Monthly Metrics'!C:C,"Pierce",'Data - Monthly Metrics'!D:D,"Non-Target Members - Lodging (#)"))/(SUMIFS('Data - Monthly Metrics'!E:E,'Data - Monthly Metrics'!A:A,$B$4-1,'Data - Monthly Metrics'!B:B,"Nov",'Data - Monthly Metrics'!C:C,"Pierce",'Data - Monthly Metrics'!D:D,"Total Target Locations - Restaurant (#)")+SUMIFS('Data - Monthly Metrics'!E:E,'Data - Monthly Metrics'!A:A,$B$4-1,'Data - Monthly Metrics'!B:B,"Nov",'Data - Monthly Metrics'!C:C,"Pierce",'Data - Monthly Metrics'!D:D,"Total Target Locations - Lodging (#)")+SUMIFS('Data - Monthly Metrics'!E:E,'Data - Monthly Metrics'!A:A,$B$4-1,'Data - Monthly Metrics'!B:B,"Nov",'Data - Monthly Metrics'!C:C,"Pierce",'Data - Monthly Metrics'!D:D,"Non-Target Locations - Restaurant (#)")+SUMIFS('Data - Monthly Metrics'!E:E,'Data - Monthly Metrics'!A:A,$B$4-1,'Data - Monthly Metrics'!B:B,"Nov",'Data - Monthly Metrics'!C:C,"Pierce",'Data - Monthly Metrics'!D:D,"Non-Target Locations - Lodging (#)")))</f>
        <v/>
      </c>
      <c r="D31" s="115">
        <f>IF((SUMIFS('Data - Monthly Metrics'!E:E,'Data - Monthly Metrics'!A:A,$B$4-1,'Data - Monthly Metrics'!B:B,"Dec",'Data - Monthly Metrics'!C:C,"Pierce",'Data - Monthly Metrics'!D:D,"Total Target Locations - Restaurant (#)")+SUMIFS('Data - Monthly Metrics'!E:E,'Data - Monthly Metrics'!A:A,$B$4-1,'Data - Monthly Metrics'!B:B,"Dec",'Data - Monthly Metrics'!C:C,"Pierce",'Data - Monthly Metrics'!D:D,"Total Target Locations - Lodging (#)")+SUMIFS('Data - Monthly Metrics'!E:E,'Data - Monthly Metrics'!A:A,$B$4-1,'Data - Monthly Metrics'!B:B,"Dec",'Data - Monthly Metrics'!C:C,"Pierce",'Data - Monthly Metrics'!D:D,"Non-Target Locations - Restaurant (#)")+SUMIFS('Data - Monthly Metrics'!E:E,'Data - Monthly Metrics'!A:A,$B$4-1,'Data - Monthly Metrics'!B:B,"Dec",'Data - Monthly Metrics'!C:C,"Pierce",'Data - Monthly Metrics'!D:D,"Non-Target Locations - Lodging (#)"))=0,"-",(SUMIFS('Data - Monthly Metrics'!E:E,'Data - Monthly Metrics'!A:A,$B$4-1,'Data - Monthly Metrics'!B:B,"Dec",'Data - Monthly Metrics'!C:C,"Pierce",'Data - Monthly Metrics'!D:D,"Target Members - Restaurant (#)")+SUMIFS('Data - Monthly Metrics'!E:E,'Data - Monthly Metrics'!A:A,$B$4-1,'Data - Monthly Metrics'!B:B,"Dec",'Data - Monthly Metrics'!C:C,"Pierce",'Data - Monthly Metrics'!D:D,"Target Members - Lodging (#)")+SUMIFS('Data - Monthly Metrics'!E:E,'Data - Monthly Metrics'!A:A,$B$4-1,'Data - Monthly Metrics'!B:B,"Dec",'Data - Monthly Metrics'!C:C,"Pierce",'Data - Monthly Metrics'!D:D,"Non-Target Members - Restaurant (#)")+SUMIFS('Data - Monthly Metrics'!E:E,'Data - Monthly Metrics'!A:A,$B$4-1,'Data - Monthly Metrics'!B:B,"Dec",'Data - Monthly Metrics'!C:C,"Pierce",'Data - Monthly Metrics'!D:D,"Non-Target Members - Lodging (#)"))/(SUMIFS('Data - Monthly Metrics'!E:E,'Data - Monthly Metrics'!A:A,$B$4-1,'Data - Monthly Metrics'!B:B,"Dec",'Data - Monthly Metrics'!C:C,"Pierce",'Data - Monthly Metrics'!D:D,"Total Target Locations - Restaurant (#)")+SUMIFS('Data - Monthly Metrics'!E:E,'Data - Monthly Metrics'!A:A,$B$4-1,'Data - Monthly Metrics'!B:B,"Dec",'Data - Monthly Metrics'!C:C,"Pierce",'Data - Monthly Metrics'!D:D,"Total Target Locations - Lodging (#)")+SUMIFS('Data - Monthly Metrics'!E:E,'Data - Monthly Metrics'!A:A,$B$4-1,'Data - Monthly Metrics'!B:B,"Dec",'Data - Monthly Metrics'!C:C,"Pierce",'Data - Monthly Metrics'!D:D,"Non-Target Locations - Restaurant (#)")+SUMIFS('Data - Monthly Metrics'!E:E,'Data - Monthly Metrics'!A:A,$B$4-1,'Data - Monthly Metrics'!B:B,"Dec",'Data - Monthly Metrics'!C:C,"Pierce",'Data - Monthly Metrics'!D:D,"Non-Target Locations - Lodging (#)")))</f>
        <v/>
      </c>
      <c r="E31" s="116">
        <f>IF(ISNUMBER(D31),D31,IF(ISNUMBER(C31),C31,IF(ISNUMBER(B31),B31,"-")))</f>
        <v/>
      </c>
      <c r="F31" s="115">
        <f>IF((SUMIFS('Data - Monthly Metrics'!E:E,'Data - Monthly Metrics'!A:A,$B$4,'Data - Monthly Metrics'!B:B,"Jan",'Data - Monthly Metrics'!C:C,"Pierce",'Data - Monthly Metrics'!D:D,"Total Target Locations - Restaurant (#)")+SUMIFS('Data - Monthly Metrics'!E:E,'Data - Monthly Metrics'!A:A,$B$4,'Data - Monthly Metrics'!B:B,"Jan",'Data - Monthly Metrics'!C:C,"Pierce",'Data - Monthly Metrics'!D:D,"Total Target Locations - Lodging (#)")+SUMIFS('Data - Monthly Metrics'!E:E,'Data - Monthly Metrics'!A:A,$B$4,'Data - Monthly Metrics'!B:B,"Jan",'Data - Monthly Metrics'!C:C,"Pierce",'Data - Monthly Metrics'!D:D,"Non-Target Locations - Restaurant (#)")+SUMIFS('Data - Monthly Metrics'!E:E,'Data - Monthly Metrics'!A:A,$B$4,'Data - Monthly Metrics'!B:B,"Jan",'Data - Monthly Metrics'!C:C,"Pierce",'Data - Monthly Metrics'!D:D,"Non-Target Locations - Lodging (#)"))=0,"-",(SUMIFS('Data - Monthly Metrics'!E:E,'Data - Monthly Metrics'!A:A,$B$4,'Data - Monthly Metrics'!B:B,"Jan",'Data - Monthly Metrics'!C:C,"Pierce",'Data - Monthly Metrics'!D:D,"Target Members - Restaurant (#)")+SUMIFS('Data - Monthly Metrics'!E:E,'Data - Monthly Metrics'!A:A,$B$4,'Data - Monthly Metrics'!B:B,"Jan",'Data - Monthly Metrics'!C:C,"Pierce",'Data - Monthly Metrics'!D:D,"Target Members - Lodging (#)")+SUMIFS('Data - Monthly Metrics'!E:E,'Data - Monthly Metrics'!A:A,$B$4,'Data - Monthly Metrics'!B:B,"Jan",'Data - Monthly Metrics'!C:C,"Pierce",'Data - Monthly Metrics'!D:D,"Non-Target Members - Restaurant (#)")+SUMIFS('Data - Monthly Metrics'!E:E,'Data - Monthly Metrics'!A:A,$B$4,'Data - Monthly Metrics'!B:B,"Jan",'Data - Monthly Metrics'!C:C,"Pierce",'Data - Monthly Metrics'!D:D,"Non-Target Members - Lodging (#)"))/(SUMIFS('Data - Monthly Metrics'!E:E,'Data - Monthly Metrics'!A:A,$B$4,'Data - Monthly Metrics'!B:B,"Jan",'Data - Monthly Metrics'!C:C,"Pierce",'Data - Monthly Metrics'!D:D,"Total Target Locations - Restaurant (#)")+SUMIFS('Data - Monthly Metrics'!E:E,'Data - Monthly Metrics'!A:A,$B$4,'Data - Monthly Metrics'!B:B,"Jan",'Data - Monthly Metrics'!C:C,"Pierce",'Data - Monthly Metrics'!D:D,"Total Target Locations - Lodging (#)")+SUMIFS('Data - Monthly Metrics'!E:E,'Data - Monthly Metrics'!A:A,$B$4,'Data - Monthly Metrics'!B:B,"Jan",'Data - Monthly Metrics'!C:C,"Pierce",'Data - Monthly Metrics'!D:D,"Non-Target Locations - Restaurant (#)")+SUMIFS('Data - Monthly Metrics'!E:E,'Data - Monthly Metrics'!A:A,$B$4,'Data - Monthly Metrics'!B:B,"Jan",'Data - Monthly Metrics'!C:C,"Pierce",'Data - Monthly Metrics'!D:D,"Non-Target Locations - Lodging (#)")))</f>
        <v/>
      </c>
      <c r="G31" s="115">
        <f>IF((SUMIFS('Data - Monthly Metrics'!E:E,'Data - Monthly Metrics'!A:A,$B$4,'Data - Monthly Metrics'!B:B,"Feb",'Data - Monthly Metrics'!C:C,"Pierce",'Data - Monthly Metrics'!D:D,"Total Target Locations - Restaurant (#)")+SUMIFS('Data - Monthly Metrics'!E:E,'Data - Monthly Metrics'!A:A,$B$4,'Data - Monthly Metrics'!B:B,"Feb",'Data - Monthly Metrics'!C:C,"Pierce",'Data - Monthly Metrics'!D:D,"Total Target Locations - Lodging (#)")+SUMIFS('Data - Monthly Metrics'!E:E,'Data - Monthly Metrics'!A:A,$B$4,'Data - Monthly Metrics'!B:B,"Feb",'Data - Monthly Metrics'!C:C,"Pierce",'Data - Monthly Metrics'!D:D,"Non-Target Locations - Restaurant (#)")+SUMIFS('Data - Monthly Metrics'!E:E,'Data - Monthly Metrics'!A:A,$B$4,'Data - Monthly Metrics'!B:B,"Feb",'Data - Monthly Metrics'!C:C,"Pierce",'Data - Monthly Metrics'!D:D,"Non-Target Locations - Lodging (#)"))=0,"-",(SUMIFS('Data - Monthly Metrics'!E:E,'Data - Monthly Metrics'!A:A,$B$4,'Data - Monthly Metrics'!B:B,"Feb",'Data - Monthly Metrics'!C:C,"Pierce",'Data - Monthly Metrics'!D:D,"Target Members - Restaurant (#)")+SUMIFS('Data - Monthly Metrics'!E:E,'Data - Monthly Metrics'!A:A,$B$4,'Data - Monthly Metrics'!B:B,"Feb",'Data - Monthly Metrics'!C:C,"Pierce",'Data - Monthly Metrics'!D:D,"Target Members - Lodging (#)")+SUMIFS('Data - Monthly Metrics'!E:E,'Data - Monthly Metrics'!A:A,$B$4,'Data - Monthly Metrics'!B:B,"Feb",'Data - Monthly Metrics'!C:C,"Pierce",'Data - Monthly Metrics'!D:D,"Non-Target Members - Restaurant (#)")+SUMIFS('Data - Monthly Metrics'!E:E,'Data - Monthly Metrics'!A:A,$B$4,'Data - Monthly Metrics'!B:B,"Feb",'Data - Monthly Metrics'!C:C,"Pierce",'Data - Monthly Metrics'!D:D,"Non-Target Members - Lodging (#)"))/(SUMIFS('Data - Monthly Metrics'!E:E,'Data - Monthly Metrics'!A:A,$B$4,'Data - Monthly Metrics'!B:B,"Feb",'Data - Monthly Metrics'!C:C,"Pierce",'Data - Monthly Metrics'!D:D,"Total Target Locations - Restaurant (#)")+SUMIFS('Data - Monthly Metrics'!E:E,'Data - Monthly Metrics'!A:A,$B$4,'Data - Monthly Metrics'!B:B,"Feb",'Data - Monthly Metrics'!C:C,"Pierce",'Data - Monthly Metrics'!D:D,"Total Target Locations - Lodging (#)")+SUMIFS('Data - Monthly Metrics'!E:E,'Data - Monthly Metrics'!A:A,$B$4,'Data - Monthly Metrics'!B:B,"Feb",'Data - Monthly Metrics'!C:C,"Pierce",'Data - Monthly Metrics'!D:D,"Non-Target Locations - Restaurant (#)")+SUMIFS('Data - Monthly Metrics'!E:E,'Data - Monthly Metrics'!A:A,$B$4,'Data - Monthly Metrics'!B:B,"Feb",'Data - Monthly Metrics'!C:C,"Pierce",'Data - Monthly Metrics'!D:D,"Non-Target Locations - Lodging (#)")))</f>
        <v/>
      </c>
      <c r="H31" s="115">
        <f>IF((SUMIFS('Data - Monthly Metrics'!E:E,'Data - Monthly Metrics'!A:A,$B$4,'Data - Monthly Metrics'!B:B,"Mar",'Data - Monthly Metrics'!C:C,"Pierce",'Data - Monthly Metrics'!D:D,"Total Target Locations - Restaurant (#)")+SUMIFS('Data - Monthly Metrics'!E:E,'Data - Monthly Metrics'!A:A,$B$4,'Data - Monthly Metrics'!B:B,"Mar",'Data - Monthly Metrics'!C:C,"Pierce",'Data - Monthly Metrics'!D:D,"Total Target Locations - Lodging (#)")+SUMIFS('Data - Monthly Metrics'!E:E,'Data - Monthly Metrics'!A:A,$B$4,'Data - Monthly Metrics'!B:B,"Mar",'Data - Monthly Metrics'!C:C,"Pierce",'Data - Monthly Metrics'!D:D,"Non-Target Locations - Restaurant (#)")+SUMIFS('Data - Monthly Metrics'!E:E,'Data - Monthly Metrics'!A:A,$B$4,'Data - Monthly Metrics'!B:B,"Mar",'Data - Monthly Metrics'!C:C,"Pierce",'Data - Monthly Metrics'!D:D,"Non-Target Locations - Lodging (#)"))=0,"-",(SUMIFS('Data - Monthly Metrics'!E:E,'Data - Monthly Metrics'!A:A,$B$4,'Data - Monthly Metrics'!B:B,"Mar",'Data - Monthly Metrics'!C:C,"Pierce",'Data - Monthly Metrics'!D:D,"Target Members - Restaurant (#)")+SUMIFS('Data - Monthly Metrics'!E:E,'Data - Monthly Metrics'!A:A,$B$4,'Data - Monthly Metrics'!B:B,"Mar",'Data - Monthly Metrics'!C:C,"Pierce",'Data - Monthly Metrics'!D:D,"Target Members - Lodging (#)")+SUMIFS('Data - Monthly Metrics'!E:E,'Data - Monthly Metrics'!A:A,$B$4,'Data - Monthly Metrics'!B:B,"Mar",'Data - Monthly Metrics'!C:C,"Pierce",'Data - Monthly Metrics'!D:D,"Non-Target Members - Restaurant (#)")+SUMIFS('Data - Monthly Metrics'!E:E,'Data - Monthly Metrics'!A:A,$B$4,'Data - Monthly Metrics'!B:B,"Mar",'Data - Monthly Metrics'!C:C,"Pierce",'Data - Monthly Metrics'!D:D,"Non-Target Members - Lodging (#)"))/(SUMIFS('Data - Monthly Metrics'!E:E,'Data - Monthly Metrics'!A:A,$B$4,'Data - Monthly Metrics'!B:B,"Mar",'Data - Monthly Metrics'!C:C,"Pierce",'Data - Monthly Metrics'!D:D,"Total Target Locations - Restaurant (#)")+SUMIFS('Data - Monthly Metrics'!E:E,'Data - Monthly Metrics'!A:A,$B$4,'Data - Monthly Metrics'!B:B,"Mar",'Data - Monthly Metrics'!C:C,"Pierce",'Data - Monthly Metrics'!D:D,"Total Target Locations - Lodging (#)")+SUMIFS('Data - Monthly Metrics'!E:E,'Data - Monthly Metrics'!A:A,$B$4,'Data - Monthly Metrics'!B:B,"Mar",'Data - Monthly Metrics'!C:C,"Pierce",'Data - Monthly Metrics'!D:D,"Non-Target Locations - Restaurant (#)")+SUMIFS('Data - Monthly Metrics'!E:E,'Data - Monthly Metrics'!A:A,$B$4,'Data - Monthly Metrics'!B:B,"Mar",'Data - Monthly Metrics'!C:C,"Pierce",'Data - Monthly Metrics'!D:D,"Non-Target Locations - Lodging (#)")))</f>
        <v/>
      </c>
      <c r="I31" s="116">
        <f>IF(ISNUMBER(H31),H31,IF(ISNUMBER(G31),G31,IF(ISNUMBER(F31),F31,"-")))</f>
        <v/>
      </c>
      <c r="J31" s="115">
        <f>IF((SUMIFS('Data - Monthly Metrics'!E:E,'Data - Monthly Metrics'!A:A,$B$4,'Data - Monthly Metrics'!B:B,"Apr",'Data - Monthly Metrics'!C:C,"Pierce",'Data - Monthly Metrics'!D:D,"Total Target Locations - Restaurant (#)")+SUMIFS('Data - Monthly Metrics'!E:E,'Data - Monthly Metrics'!A:A,$B$4,'Data - Monthly Metrics'!B:B,"Apr",'Data - Monthly Metrics'!C:C,"Pierce",'Data - Monthly Metrics'!D:D,"Total Target Locations - Lodging (#)")+SUMIFS('Data - Monthly Metrics'!E:E,'Data - Monthly Metrics'!A:A,$B$4,'Data - Monthly Metrics'!B:B,"Apr",'Data - Monthly Metrics'!C:C,"Pierce",'Data - Monthly Metrics'!D:D,"Non-Target Locations - Restaurant (#)")+SUMIFS('Data - Monthly Metrics'!E:E,'Data - Monthly Metrics'!A:A,$B$4,'Data - Monthly Metrics'!B:B,"Apr",'Data - Monthly Metrics'!C:C,"Pierce",'Data - Monthly Metrics'!D:D,"Non-Target Locations - Lodging (#)"))=0,"-",(SUMIFS('Data - Monthly Metrics'!E:E,'Data - Monthly Metrics'!A:A,$B$4,'Data - Monthly Metrics'!B:B,"Apr",'Data - Monthly Metrics'!C:C,"Pierce",'Data - Monthly Metrics'!D:D,"Target Members - Restaurant (#)")+SUMIFS('Data - Monthly Metrics'!E:E,'Data - Monthly Metrics'!A:A,$B$4,'Data - Monthly Metrics'!B:B,"Apr",'Data - Monthly Metrics'!C:C,"Pierce",'Data - Monthly Metrics'!D:D,"Target Members - Lodging (#)")+SUMIFS('Data - Monthly Metrics'!E:E,'Data - Monthly Metrics'!A:A,$B$4,'Data - Monthly Metrics'!B:B,"Apr",'Data - Monthly Metrics'!C:C,"Pierce",'Data - Monthly Metrics'!D:D,"Non-Target Members - Restaurant (#)")+SUMIFS('Data - Monthly Metrics'!E:E,'Data - Monthly Metrics'!A:A,$B$4,'Data - Monthly Metrics'!B:B,"Apr",'Data - Monthly Metrics'!C:C,"Pierce",'Data - Monthly Metrics'!D:D,"Non-Target Members - Lodging (#)"))/(SUMIFS('Data - Monthly Metrics'!E:E,'Data - Monthly Metrics'!A:A,$B$4,'Data - Monthly Metrics'!B:B,"Apr",'Data - Monthly Metrics'!C:C,"Pierce",'Data - Monthly Metrics'!D:D,"Total Target Locations - Restaurant (#)")+SUMIFS('Data - Monthly Metrics'!E:E,'Data - Monthly Metrics'!A:A,$B$4,'Data - Monthly Metrics'!B:B,"Apr",'Data - Monthly Metrics'!C:C,"Pierce",'Data - Monthly Metrics'!D:D,"Total Target Locations - Lodging (#)")+SUMIFS('Data - Monthly Metrics'!E:E,'Data - Monthly Metrics'!A:A,$B$4,'Data - Monthly Metrics'!B:B,"Apr",'Data - Monthly Metrics'!C:C,"Pierce",'Data - Monthly Metrics'!D:D,"Non-Target Locations - Restaurant (#)")+SUMIFS('Data - Monthly Metrics'!E:E,'Data - Monthly Metrics'!A:A,$B$4,'Data - Monthly Metrics'!B:B,"Apr",'Data - Monthly Metrics'!C:C,"Pierce",'Data - Monthly Metrics'!D:D,"Non-Target Locations - Lodging (#)")))</f>
        <v/>
      </c>
      <c r="K31" s="115">
        <f>IF((SUMIFS('Data - Monthly Metrics'!E:E,'Data - Monthly Metrics'!A:A,$B$4,'Data - Monthly Metrics'!B:B,"May",'Data - Monthly Metrics'!C:C,"Pierce",'Data - Monthly Metrics'!D:D,"Total Target Locations - Restaurant (#)")+SUMIFS('Data - Monthly Metrics'!E:E,'Data - Monthly Metrics'!A:A,$B$4,'Data - Monthly Metrics'!B:B,"May",'Data - Monthly Metrics'!C:C,"Pierce",'Data - Monthly Metrics'!D:D,"Total Target Locations - Lodging (#)")+SUMIFS('Data - Monthly Metrics'!E:E,'Data - Monthly Metrics'!A:A,$B$4,'Data - Monthly Metrics'!B:B,"May",'Data - Monthly Metrics'!C:C,"Pierce",'Data - Monthly Metrics'!D:D,"Non-Target Locations - Restaurant (#)")+SUMIFS('Data - Monthly Metrics'!E:E,'Data - Monthly Metrics'!A:A,$B$4,'Data - Monthly Metrics'!B:B,"May",'Data - Monthly Metrics'!C:C,"Pierce",'Data - Monthly Metrics'!D:D,"Non-Target Locations - Lodging (#)"))=0,"-",(SUMIFS('Data - Monthly Metrics'!E:E,'Data - Monthly Metrics'!A:A,$B$4,'Data - Monthly Metrics'!B:B,"May",'Data - Monthly Metrics'!C:C,"Pierce",'Data - Monthly Metrics'!D:D,"Target Members - Restaurant (#)")+SUMIFS('Data - Monthly Metrics'!E:E,'Data - Monthly Metrics'!A:A,$B$4,'Data - Monthly Metrics'!B:B,"May",'Data - Monthly Metrics'!C:C,"Pierce",'Data - Monthly Metrics'!D:D,"Target Members - Lodging (#)")+SUMIFS('Data - Monthly Metrics'!E:E,'Data - Monthly Metrics'!A:A,$B$4,'Data - Monthly Metrics'!B:B,"May",'Data - Monthly Metrics'!C:C,"Pierce",'Data - Monthly Metrics'!D:D,"Non-Target Members - Restaurant (#)")+SUMIFS('Data - Monthly Metrics'!E:E,'Data - Monthly Metrics'!A:A,$B$4,'Data - Monthly Metrics'!B:B,"May",'Data - Monthly Metrics'!C:C,"Pierce",'Data - Monthly Metrics'!D:D,"Non-Target Members - Lodging (#)"))/(SUMIFS('Data - Monthly Metrics'!E:E,'Data - Monthly Metrics'!A:A,$B$4,'Data - Monthly Metrics'!B:B,"May",'Data - Monthly Metrics'!C:C,"Pierce",'Data - Monthly Metrics'!D:D,"Total Target Locations - Restaurant (#)")+SUMIFS('Data - Monthly Metrics'!E:E,'Data - Monthly Metrics'!A:A,$B$4,'Data - Monthly Metrics'!B:B,"May",'Data - Monthly Metrics'!C:C,"Pierce",'Data - Monthly Metrics'!D:D,"Total Target Locations - Lodging (#)")+SUMIFS('Data - Monthly Metrics'!E:E,'Data - Monthly Metrics'!A:A,$B$4,'Data - Monthly Metrics'!B:B,"May",'Data - Monthly Metrics'!C:C,"Pierce",'Data - Monthly Metrics'!D:D,"Non-Target Locations - Restaurant (#)")+SUMIFS('Data - Monthly Metrics'!E:E,'Data - Monthly Metrics'!A:A,$B$4,'Data - Monthly Metrics'!B:B,"May",'Data - Monthly Metrics'!C:C,"Pierce",'Data - Monthly Metrics'!D:D,"Non-Target Locations - Lodging (#)")))</f>
        <v/>
      </c>
      <c r="L31" s="115">
        <f>IF((SUMIFS('Data - Monthly Metrics'!E:E,'Data - Monthly Metrics'!A:A,$B$4,'Data - Monthly Metrics'!B:B,"Jun",'Data - Monthly Metrics'!C:C,"Pierce",'Data - Monthly Metrics'!D:D,"Total Target Locations - Restaurant (#)")+SUMIFS('Data - Monthly Metrics'!E:E,'Data - Monthly Metrics'!A:A,$B$4,'Data - Monthly Metrics'!B:B,"Jun",'Data - Monthly Metrics'!C:C,"Pierce",'Data - Monthly Metrics'!D:D,"Total Target Locations - Lodging (#)")+SUMIFS('Data - Monthly Metrics'!E:E,'Data - Monthly Metrics'!A:A,$B$4,'Data - Monthly Metrics'!B:B,"Jun",'Data - Monthly Metrics'!C:C,"Pierce",'Data - Monthly Metrics'!D:D,"Non-Target Locations - Restaurant (#)")+SUMIFS('Data - Monthly Metrics'!E:E,'Data - Monthly Metrics'!A:A,$B$4,'Data - Monthly Metrics'!B:B,"Jun",'Data - Monthly Metrics'!C:C,"Pierce",'Data - Monthly Metrics'!D:D,"Non-Target Locations - Lodging (#)"))=0,"-",(SUMIFS('Data - Monthly Metrics'!E:E,'Data - Monthly Metrics'!A:A,$B$4,'Data - Monthly Metrics'!B:B,"Jun",'Data - Monthly Metrics'!C:C,"Pierce",'Data - Monthly Metrics'!D:D,"Target Members - Restaurant (#)")+SUMIFS('Data - Monthly Metrics'!E:E,'Data - Monthly Metrics'!A:A,$B$4,'Data - Monthly Metrics'!B:B,"Jun",'Data - Monthly Metrics'!C:C,"Pierce",'Data - Monthly Metrics'!D:D,"Target Members - Lodging (#)")+SUMIFS('Data - Monthly Metrics'!E:E,'Data - Monthly Metrics'!A:A,$B$4,'Data - Monthly Metrics'!B:B,"Jun",'Data - Monthly Metrics'!C:C,"Pierce",'Data - Monthly Metrics'!D:D,"Non-Target Members - Restaurant (#)")+SUMIFS('Data - Monthly Metrics'!E:E,'Data - Monthly Metrics'!A:A,$B$4,'Data - Monthly Metrics'!B:B,"Jun",'Data - Monthly Metrics'!C:C,"Pierce",'Data - Monthly Metrics'!D:D,"Non-Target Members - Lodging (#)"))/(SUMIFS('Data - Monthly Metrics'!E:E,'Data - Monthly Metrics'!A:A,$B$4,'Data - Monthly Metrics'!B:B,"Jun",'Data - Monthly Metrics'!C:C,"Pierce",'Data - Monthly Metrics'!D:D,"Total Target Locations - Restaurant (#)")+SUMIFS('Data - Monthly Metrics'!E:E,'Data - Monthly Metrics'!A:A,$B$4,'Data - Monthly Metrics'!B:B,"Jun",'Data - Monthly Metrics'!C:C,"Pierce",'Data - Monthly Metrics'!D:D,"Total Target Locations - Lodging (#)")+SUMIFS('Data - Monthly Metrics'!E:E,'Data - Monthly Metrics'!A:A,$B$4,'Data - Monthly Metrics'!B:B,"Jun",'Data - Monthly Metrics'!C:C,"Pierce",'Data - Monthly Metrics'!D:D,"Non-Target Locations - Restaurant (#)")+SUMIFS('Data - Monthly Metrics'!E:E,'Data - Monthly Metrics'!A:A,$B$4,'Data - Monthly Metrics'!B:B,"Jun",'Data - Monthly Metrics'!C:C,"Pierce",'Data - Monthly Metrics'!D:D,"Non-Target Locations - Lodging (#)")))</f>
        <v/>
      </c>
      <c r="M31" s="116">
        <f>IF(ISNUMBER(L31),L31,IF(ISNUMBER(K31),K31,IF(ISNUMBER(J31),J31,"-")))</f>
        <v/>
      </c>
      <c r="N31" s="115">
        <f>IF((SUMIFS('Data - Monthly Metrics'!E:E,'Data - Monthly Metrics'!A:A,$B$4,'Data - Monthly Metrics'!B:B,"Jul",'Data - Monthly Metrics'!C:C,"Pierce",'Data - Monthly Metrics'!D:D,"Total Target Locations - Restaurant (#)")+SUMIFS('Data - Monthly Metrics'!E:E,'Data - Monthly Metrics'!A:A,$B$4,'Data - Monthly Metrics'!B:B,"Jul",'Data - Monthly Metrics'!C:C,"Pierce",'Data - Monthly Metrics'!D:D,"Total Target Locations - Lodging (#)")+SUMIFS('Data - Monthly Metrics'!E:E,'Data - Monthly Metrics'!A:A,$B$4,'Data - Monthly Metrics'!B:B,"Jul",'Data - Monthly Metrics'!C:C,"Pierce",'Data - Monthly Metrics'!D:D,"Non-Target Locations - Restaurant (#)")+SUMIFS('Data - Monthly Metrics'!E:E,'Data - Monthly Metrics'!A:A,$B$4,'Data - Monthly Metrics'!B:B,"Jul",'Data - Monthly Metrics'!C:C,"Pierce",'Data - Monthly Metrics'!D:D,"Non-Target Locations - Lodging (#)"))=0,"-",(SUMIFS('Data - Monthly Metrics'!E:E,'Data - Monthly Metrics'!A:A,$B$4,'Data - Monthly Metrics'!B:B,"Jul",'Data - Monthly Metrics'!C:C,"Pierce",'Data - Monthly Metrics'!D:D,"Target Members - Restaurant (#)")+SUMIFS('Data - Monthly Metrics'!E:E,'Data - Monthly Metrics'!A:A,$B$4,'Data - Monthly Metrics'!B:B,"Jul",'Data - Monthly Metrics'!C:C,"Pierce",'Data - Monthly Metrics'!D:D,"Target Members - Lodging (#)")+SUMIFS('Data - Monthly Metrics'!E:E,'Data - Monthly Metrics'!A:A,$B$4,'Data - Monthly Metrics'!B:B,"Jul",'Data - Monthly Metrics'!C:C,"Pierce",'Data - Monthly Metrics'!D:D,"Non-Target Members - Restaurant (#)")+SUMIFS('Data - Monthly Metrics'!E:E,'Data - Monthly Metrics'!A:A,$B$4,'Data - Monthly Metrics'!B:B,"Jul",'Data - Monthly Metrics'!C:C,"Pierce",'Data - Monthly Metrics'!D:D,"Non-Target Members - Lodging (#)"))/(SUMIFS('Data - Monthly Metrics'!E:E,'Data - Monthly Metrics'!A:A,$B$4,'Data - Monthly Metrics'!B:B,"Jul",'Data - Monthly Metrics'!C:C,"Pierce",'Data - Monthly Metrics'!D:D,"Total Target Locations - Restaurant (#)")+SUMIFS('Data - Monthly Metrics'!E:E,'Data - Monthly Metrics'!A:A,$B$4,'Data - Monthly Metrics'!B:B,"Jul",'Data - Monthly Metrics'!C:C,"Pierce",'Data - Monthly Metrics'!D:D,"Total Target Locations - Lodging (#)")+SUMIFS('Data - Monthly Metrics'!E:E,'Data - Monthly Metrics'!A:A,$B$4,'Data - Monthly Metrics'!B:B,"Jul",'Data - Monthly Metrics'!C:C,"Pierce",'Data - Monthly Metrics'!D:D,"Non-Target Locations - Restaurant (#)")+SUMIFS('Data - Monthly Metrics'!E:E,'Data - Monthly Metrics'!A:A,$B$4,'Data - Monthly Metrics'!B:B,"Jul",'Data - Monthly Metrics'!C:C,"Pierce",'Data - Monthly Metrics'!D:D,"Non-Target Locations - Lodging (#)")))</f>
        <v/>
      </c>
      <c r="O31" s="115">
        <f>IF((SUMIFS('Data - Monthly Metrics'!E:E,'Data - Monthly Metrics'!A:A,$B$4,'Data - Monthly Metrics'!B:B,"Aug",'Data - Monthly Metrics'!C:C,"Pierce",'Data - Monthly Metrics'!D:D,"Total Target Locations - Restaurant (#)")+SUMIFS('Data - Monthly Metrics'!E:E,'Data - Monthly Metrics'!A:A,$B$4,'Data - Monthly Metrics'!B:B,"Aug",'Data - Monthly Metrics'!C:C,"Pierce",'Data - Monthly Metrics'!D:D,"Total Target Locations - Lodging (#)")+SUMIFS('Data - Monthly Metrics'!E:E,'Data - Monthly Metrics'!A:A,$B$4,'Data - Monthly Metrics'!B:B,"Aug",'Data - Monthly Metrics'!C:C,"Pierce",'Data - Monthly Metrics'!D:D,"Non-Target Locations - Restaurant (#)")+SUMIFS('Data - Monthly Metrics'!E:E,'Data - Monthly Metrics'!A:A,$B$4,'Data - Monthly Metrics'!B:B,"Aug",'Data - Monthly Metrics'!C:C,"Pierce",'Data - Monthly Metrics'!D:D,"Non-Target Locations - Lodging (#)"))=0,"-",(SUMIFS('Data - Monthly Metrics'!E:E,'Data - Monthly Metrics'!A:A,$B$4,'Data - Monthly Metrics'!B:B,"Aug",'Data - Monthly Metrics'!C:C,"Pierce",'Data - Monthly Metrics'!D:D,"Target Members - Restaurant (#)")+SUMIFS('Data - Monthly Metrics'!E:E,'Data - Monthly Metrics'!A:A,$B$4,'Data - Monthly Metrics'!B:B,"Aug",'Data - Monthly Metrics'!C:C,"Pierce",'Data - Monthly Metrics'!D:D,"Target Members - Lodging (#)")+SUMIFS('Data - Monthly Metrics'!E:E,'Data - Monthly Metrics'!A:A,$B$4,'Data - Monthly Metrics'!B:B,"Aug",'Data - Monthly Metrics'!C:C,"Pierce",'Data - Monthly Metrics'!D:D,"Non-Target Members - Restaurant (#)")+SUMIFS('Data - Monthly Metrics'!E:E,'Data - Monthly Metrics'!A:A,$B$4,'Data - Monthly Metrics'!B:B,"Aug",'Data - Monthly Metrics'!C:C,"Pierce",'Data - Monthly Metrics'!D:D,"Non-Target Members - Lodging (#)"))/(SUMIFS('Data - Monthly Metrics'!E:E,'Data - Monthly Metrics'!A:A,$B$4,'Data - Monthly Metrics'!B:B,"Aug",'Data - Monthly Metrics'!C:C,"Pierce",'Data - Monthly Metrics'!D:D,"Total Target Locations - Restaurant (#)")+SUMIFS('Data - Monthly Metrics'!E:E,'Data - Monthly Metrics'!A:A,$B$4,'Data - Monthly Metrics'!B:B,"Aug",'Data - Monthly Metrics'!C:C,"Pierce",'Data - Monthly Metrics'!D:D,"Total Target Locations - Lodging (#)")+SUMIFS('Data - Monthly Metrics'!E:E,'Data - Monthly Metrics'!A:A,$B$4,'Data - Monthly Metrics'!B:B,"Aug",'Data - Monthly Metrics'!C:C,"Pierce",'Data - Monthly Metrics'!D:D,"Non-Target Locations - Restaurant (#)")+SUMIFS('Data - Monthly Metrics'!E:E,'Data - Monthly Metrics'!A:A,$B$4,'Data - Monthly Metrics'!B:B,"Aug",'Data - Monthly Metrics'!C:C,"Pierce",'Data - Monthly Metrics'!D:D,"Non-Target Locations - Lodging (#)")))</f>
        <v/>
      </c>
      <c r="P31" s="115">
        <f>IF((SUMIFS('Data - Monthly Metrics'!E:E,'Data - Monthly Metrics'!A:A,$B$4,'Data - Monthly Metrics'!B:B,"Sep",'Data - Monthly Metrics'!C:C,"Pierce",'Data - Monthly Metrics'!D:D,"Total Target Locations - Restaurant (#)")+SUMIFS('Data - Monthly Metrics'!E:E,'Data - Monthly Metrics'!A:A,$B$4,'Data - Monthly Metrics'!B:B,"Sep",'Data - Monthly Metrics'!C:C,"Pierce",'Data - Monthly Metrics'!D:D,"Total Target Locations - Lodging (#)")+SUMIFS('Data - Monthly Metrics'!E:E,'Data - Monthly Metrics'!A:A,$B$4,'Data - Monthly Metrics'!B:B,"Sep",'Data - Monthly Metrics'!C:C,"Pierce",'Data - Monthly Metrics'!D:D,"Non-Target Locations - Restaurant (#)")+SUMIFS('Data - Monthly Metrics'!E:E,'Data - Monthly Metrics'!A:A,$B$4,'Data - Monthly Metrics'!B:B,"Sep",'Data - Monthly Metrics'!C:C,"Pierce",'Data - Monthly Metrics'!D:D,"Non-Target Locations - Lodging (#)"))=0,"-",(SUMIFS('Data - Monthly Metrics'!E:E,'Data - Monthly Metrics'!A:A,$B$4,'Data - Monthly Metrics'!B:B,"Sep",'Data - Monthly Metrics'!C:C,"Pierce",'Data - Monthly Metrics'!D:D,"Target Members - Restaurant (#)")+SUMIFS('Data - Monthly Metrics'!E:E,'Data - Monthly Metrics'!A:A,$B$4,'Data - Monthly Metrics'!B:B,"Sep",'Data - Monthly Metrics'!C:C,"Pierce",'Data - Monthly Metrics'!D:D,"Target Members - Lodging (#)")+SUMIFS('Data - Monthly Metrics'!E:E,'Data - Monthly Metrics'!A:A,$B$4,'Data - Monthly Metrics'!B:B,"Sep",'Data - Monthly Metrics'!C:C,"Pierce",'Data - Monthly Metrics'!D:D,"Non-Target Members - Restaurant (#)")+SUMIFS('Data - Monthly Metrics'!E:E,'Data - Monthly Metrics'!A:A,$B$4,'Data - Monthly Metrics'!B:B,"Sep",'Data - Monthly Metrics'!C:C,"Pierce",'Data - Monthly Metrics'!D:D,"Non-Target Members - Lodging (#)"))/(SUMIFS('Data - Monthly Metrics'!E:E,'Data - Monthly Metrics'!A:A,$B$4,'Data - Monthly Metrics'!B:B,"Sep",'Data - Monthly Metrics'!C:C,"Pierce",'Data - Monthly Metrics'!D:D,"Total Target Locations - Restaurant (#)")+SUMIFS('Data - Monthly Metrics'!E:E,'Data - Monthly Metrics'!A:A,$B$4,'Data - Monthly Metrics'!B:B,"Sep",'Data - Monthly Metrics'!C:C,"Pierce",'Data - Monthly Metrics'!D:D,"Total Target Locations - Lodging (#)")+SUMIFS('Data - Monthly Metrics'!E:E,'Data - Monthly Metrics'!A:A,$B$4,'Data - Monthly Metrics'!B:B,"Sep",'Data - Monthly Metrics'!C:C,"Pierce",'Data - Monthly Metrics'!D:D,"Non-Target Locations - Restaurant (#)")+SUMIFS('Data - Monthly Metrics'!E:E,'Data - Monthly Metrics'!A:A,$B$4,'Data - Monthly Metrics'!B:B,"Sep",'Data - Monthly Metrics'!C:C,"Pierce",'Data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Metrics'!C:C,"Pierce",'Data - Monthly Metrics'!D:D,"Goal - New Sales Revenue ($)")=0,"-",SUMIFS('Data - Monthly Metrics'!E:E,'Data - Monthly Metrics'!A:A,$B$4-1,'Data - Monthly Metrics'!B:B,"Oct",'Data - Monthly Metrics'!C:C,"Pierce",'Data - Monthly Metrics'!D:D,"Goal - New Sales Revenue ($)"))</f>
        <v/>
      </c>
      <c r="C37" s="91">
        <f>IF(COUNTIFS('Data - Monthly Metrics'!A:A,$B$4-1,'Data - Monthly Metrics'!B:B,"Nov",'Data - Monthly Metrics'!C:C,"Pierce",'Data - Monthly Metrics'!D:D,"Goal - New Sales Revenue ($)")=0,"-",SUMIFS('Data - Monthly Metrics'!E:E,'Data - Monthly Metrics'!A:A,$B$4-1,'Data - Monthly Metrics'!B:B,"Nov",'Data - Monthly Metrics'!C:C,"Pierce",'Data - Monthly Metrics'!D:D,"Goal - New Sales Revenue ($)"))</f>
        <v/>
      </c>
      <c r="D37" s="91">
        <f>IF(COUNTIFS('Data - Monthly Metrics'!A:A,$B$4-1,'Data - Monthly Metrics'!B:B,"Dec",'Data - Monthly Metrics'!C:C,"Pierce",'Data - Monthly Metrics'!D:D,"Goal - New Sales Revenue ($)")=0,"-",SUMIFS('Data - Monthly Metrics'!E:E,'Data - Monthly Metrics'!A:A,$B$4-1,'Data - Monthly Metrics'!B:B,"Dec",'Data - Monthly Metrics'!C:C,"Pierce",'Data - Monthly Metrics'!D:D,"Goal - New Sales Revenue ($)"))</f>
        <v/>
      </c>
      <c r="E37" s="101">
        <f>SUM(B37,C37,D37)</f>
        <v/>
      </c>
      <c r="F37" s="91">
        <f>IF(COUNTIFS('Data - Monthly Metrics'!A:A,$B$4,'Data - Monthly Metrics'!B:B,"Jan",'Data - Monthly Metrics'!C:C,"Pierce",'Data - Monthly Metrics'!D:D,"Goal - New Sales Revenue ($)")=0,"-",SUMIFS('Data - Monthly Metrics'!E:E,'Data - Monthly Metrics'!A:A,$B$4,'Data - Monthly Metrics'!B:B,"Jan",'Data - Monthly Metrics'!C:C,"Pierce",'Data - Monthly Metrics'!D:D,"Goal - New Sales Revenue ($)"))</f>
        <v/>
      </c>
      <c r="G37" s="91">
        <f>IF(COUNTIFS('Data - Monthly Metrics'!A:A,$B$4,'Data - Monthly Metrics'!B:B,"Feb",'Data - Monthly Metrics'!C:C,"Pierce",'Data - Monthly Metrics'!D:D,"Goal - New Sales Revenue ($)")=0,"-",SUMIFS('Data - Monthly Metrics'!E:E,'Data - Monthly Metrics'!A:A,$B$4,'Data - Monthly Metrics'!B:B,"Feb",'Data - Monthly Metrics'!C:C,"Pierce",'Data - Monthly Metrics'!D:D,"Goal - New Sales Revenue ($)"))</f>
        <v/>
      </c>
      <c r="H37" s="91">
        <f>IF(COUNTIFS('Data - Monthly Metrics'!A:A,$B$4,'Data - Monthly Metrics'!B:B,"Mar",'Data - Monthly Metrics'!C:C,"Pierce",'Data - Monthly Metrics'!D:D,"Goal - New Sales Revenue ($)")=0,"-",SUMIFS('Data - Monthly Metrics'!E:E,'Data - Monthly Metrics'!A:A,$B$4,'Data - Monthly Metrics'!B:B,"Mar",'Data - Monthly Metrics'!C:C,"Pierce",'Data - Monthly Metrics'!D:D,"Goal - New Sales Revenue ($)"))</f>
        <v/>
      </c>
      <c r="I37" s="101">
        <f>SUM(F37,G37,H37)</f>
        <v/>
      </c>
      <c r="J37" s="91">
        <f>IF(COUNTIFS('Data - Monthly Metrics'!A:A,$B$4,'Data - Monthly Metrics'!B:B,"Apr",'Data - Monthly Metrics'!C:C,"Pierce",'Data - Monthly Metrics'!D:D,"Goal - New Sales Revenue ($)")=0,"-",SUMIFS('Data - Monthly Metrics'!E:E,'Data - Monthly Metrics'!A:A,$B$4,'Data - Monthly Metrics'!B:B,"Apr",'Data - Monthly Metrics'!C:C,"Pierce",'Data - Monthly Metrics'!D:D,"Goal - New Sales Revenue ($)"))</f>
        <v/>
      </c>
      <c r="K37" s="91">
        <f>IF(COUNTIFS('Data - Monthly Metrics'!A:A,$B$4,'Data - Monthly Metrics'!B:B,"May",'Data - Monthly Metrics'!C:C,"Pierce",'Data - Monthly Metrics'!D:D,"Goal - New Sales Revenue ($)")=0,"-",SUMIFS('Data - Monthly Metrics'!E:E,'Data - Monthly Metrics'!A:A,$B$4,'Data - Monthly Metrics'!B:B,"May",'Data - Monthly Metrics'!C:C,"Pierce",'Data - Monthly Metrics'!D:D,"Goal - New Sales Revenue ($)"))</f>
        <v/>
      </c>
      <c r="L37" s="91">
        <f>IF(COUNTIFS('Data - Monthly Metrics'!A:A,$B$4,'Data - Monthly Metrics'!B:B,"Jun",'Data - Monthly Metrics'!C:C,"Pierce",'Data - Monthly Metrics'!D:D,"Goal - New Sales Revenue ($)")=0,"-",SUMIFS('Data - Monthly Metrics'!E:E,'Data - Monthly Metrics'!A:A,$B$4,'Data - Monthly Metrics'!B:B,"Jun",'Data - Monthly Metrics'!C:C,"Pierce",'Data - Monthly Metrics'!D:D,"Goal - New Sales Revenue ($)"))</f>
        <v/>
      </c>
      <c r="M37" s="101">
        <f>SUM(J37,K37,L37)</f>
        <v/>
      </c>
      <c r="N37" s="91">
        <f>IF(COUNTIFS('Data - Monthly Metrics'!A:A,$B$4,'Data - Monthly Metrics'!B:B,"Jul",'Data - Monthly Metrics'!C:C,"Pierce",'Data - Monthly Metrics'!D:D,"Goal - New Sales Revenue ($)")=0,"-",SUMIFS('Data - Monthly Metrics'!E:E,'Data - Monthly Metrics'!A:A,$B$4,'Data - Monthly Metrics'!B:B,"Jul",'Data - Monthly Metrics'!C:C,"Pierce",'Data - Monthly Metrics'!D:D,"Goal - New Sales Revenue ($)"))</f>
        <v/>
      </c>
      <c r="O37" s="91">
        <f>IF(COUNTIFS('Data - Monthly Metrics'!A:A,$B$4,'Data - Monthly Metrics'!B:B,"Aug",'Data - Monthly Metrics'!C:C,"Pierce",'Data - Monthly Metrics'!D:D,"Goal - New Sales Revenue ($)")=0,"-",SUMIFS('Data - Monthly Metrics'!E:E,'Data - Monthly Metrics'!A:A,$B$4,'Data - Monthly Metrics'!B:B,"Aug",'Data - Monthly Metrics'!C:C,"Pierce",'Data - Monthly Metrics'!D:D,"Goal - New Sales Revenue ($)"))</f>
        <v/>
      </c>
      <c r="P37" s="91">
        <f>IF(COUNTIFS('Data - Monthly Metrics'!A:A,$B$4,'Data - Monthly Metrics'!B:B,"Sep",'Data - Monthly Metrics'!C:C,"Pierce",'Data - Monthly Metrics'!D:D,"Goal - New Sales Revenue ($)")=0,"-",SUMIFS('Data - Monthly Metrics'!E:E,'Data - Monthly Metrics'!A:A,$B$4,'Data - Monthly Metrics'!B:B,"Sep",'Data - Monthly Metrics'!C:C,"Pierce",'Data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Metrics'!C:C,"Pierce",'Data - Monthly Metrics'!D:D,"New Sales Revenue - Target ($)")=0,"-",SUMIFS('Data - Monthly Metrics'!E:E,'Data - Monthly Metrics'!A:A,$B$4-1,'Data - Monthly Metrics'!B:B,"Oct",'Data - Monthly Metrics'!C:C,"Pierce",'Data - Monthly Metrics'!D:D,"New Sales Revenue - Target ($)"))</f>
        <v/>
      </c>
      <c r="C38" s="96">
        <f>IF(COUNTIFS('Data - Monthly Metrics'!A:A,$B$4-1,'Data - Monthly Metrics'!B:B,"Nov",'Data - Monthly Metrics'!C:C,"Pierce",'Data - Monthly Metrics'!D:D,"New Sales Revenue - Target ($)")=0,"-",SUMIFS('Data - Monthly Metrics'!E:E,'Data - Monthly Metrics'!A:A,$B$4-1,'Data - Monthly Metrics'!B:B,"Nov",'Data - Monthly Metrics'!C:C,"Pierce",'Data - Monthly Metrics'!D:D,"New Sales Revenue - Target ($)"))</f>
        <v/>
      </c>
      <c r="D38" s="96">
        <f>IF(COUNTIFS('Data - Monthly Metrics'!A:A,$B$4-1,'Data - Monthly Metrics'!B:B,"Dec",'Data - Monthly Metrics'!C:C,"Pierce",'Data - Monthly Metrics'!D:D,"New Sales Revenue - Target ($)")=0,"-",SUMIFS('Data - Monthly Metrics'!E:E,'Data - Monthly Metrics'!A:A,$B$4-1,'Data - Monthly Metrics'!B:B,"Dec",'Data - Monthly Metrics'!C:C,"Pierce",'Data - Monthly Metrics'!D:D,"New Sales Revenue - Target ($)"))</f>
        <v/>
      </c>
      <c r="E38" s="101">
        <f>SUM(B38,C38,D38)</f>
        <v/>
      </c>
      <c r="F38" s="96">
        <f>IF(COUNTIFS('Data - Monthly Metrics'!A:A,$B$4,'Data - Monthly Metrics'!B:B,"Jan",'Data - Monthly Metrics'!C:C,"Pierce",'Data - Monthly Metrics'!D:D,"New Sales Revenue - Target ($)")=0,"-",SUMIFS('Data - Monthly Metrics'!E:E,'Data - Monthly Metrics'!A:A,$B$4,'Data - Monthly Metrics'!B:B,"Jan",'Data - Monthly Metrics'!C:C,"Pierce",'Data - Monthly Metrics'!D:D,"New Sales Revenue - Target ($)"))</f>
        <v/>
      </c>
      <c r="G38" s="96">
        <f>IF(COUNTIFS('Data - Monthly Metrics'!A:A,$B$4,'Data - Monthly Metrics'!B:B,"Feb",'Data - Monthly Metrics'!C:C,"Pierce",'Data - Monthly Metrics'!D:D,"New Sales Revenue - Target ($)")=0,"-",SUMIFS('Data - Monthly Metrics'!E:E,'Data - Monthly Metrics'!A:A,$B$4,'Data - Monthly Metrics'!B:B,"Feb",'Data - Monthly Metrics'!C:C,"Pierce",'Data - Monthly Metrics'!D:D,"New Sales Revenue - Target ($)"))</f>
        <v/>
      </c>
      <c r="H38" s="96">
        <f>IF(COUNTIFS('Data - Monthly Metrics'!A:A,$B$4,'Data - Monthly Metrics'!B:B,"Mar",'Data - Monthly Metrics'!C:C,"Pierce",'Data - Monthly Metrics'!D:D,"New Sales Revenue - Target ($)")=0,"-",SUMIFS('Data - Monthly Metrics'!E:E,'Data - Monthly Metrics'!A:A,$B$4,'Data - Monthly Metrics'!B:B,"Mar",'Data - Monthly Metrics'!C:C,"Pierce",'Data - Monthly Metrics'!D:D,"New Sales Revenue - Target ($)"))</f>
        <v/>
      </c>
      <c r="I38" s="101">
        <f>SUM(F38,G38,H38)</f>
        <v/>
      </c>
      <c r="J38" s="96">
        <f>IF(COUNTIFS('Data - Monthly Metrics'!A:A,$B$4,'Data - Monthly Metrics'!B:B,"Apr",'Data - Monthly Metrics'!C:C,"Pierce",'Data - Monthly Metrics'!D:D,"New Sales Revenue - Target ($)")=0,"-",SUMIFS('Data - Monthly Metrics'!E:E,'Data - Monthly Metrics'!A:A,$B$4,'Data - Monthly Metrics'!B:B,"Apr",'Data - Monthly Metrics'!C:C,"Pierce",'Data - Monthly Metrics'!D:D,"New Sales Revenue - Target ($)"))</f>
        <v/>
      </c>
      <c r="K38" s="96">
        <f>IF(COUNTIFS('Data - Monthly Metrics'!A:A,$B$4,'Data - Monthly Metrics'!B:B,"May",'Data - Monthly Metrics'!C:C,"Pierce",'Data - Monthly Metrics'!D:D,"New Sales Revenue - Target ($)")=0,"-",SUMIFS('Data - Monthly Metrics'!E:E,'Data - Monthly Metrics'!A:A,$B$4,'Data - Monthly Metrics'!B:B,"May",'Data - Monthly Metrics'!C:C,"Pierce",'Data - Monthly Metrics'!D:D,"New Sales Revenue - Target ($)"))</f>
        <v/>
      </c>
      <c r="L38" s="96">
        <f>IF(COUNTIFS('Data - Monthly Metrics'!A:A,$B$4,'Data - Monthly Metrics'!B:B,"Jun",'Data - Monthly Metrics'!C:C,"Pierce",'Data - Monthly Metrics'!D:D,"New Sales Revenue - Target ($)")=0,"-",SUMIFS('Data - Monthly Metrics'!E:E,'Data - Monthly Metrics'!A:A,$B$4,'Data - Monthly Metrics'!B:B,"Jun",'Data - Monthly Metrics'!C:C,"Pierce",'Data - Monthly Metrics'!D:D,"New Sales Revenue - Target ($)"))</f>
        <v/>
      </c>
      <c r="M38" s="101">
        <f>SUM(J38,K38,L38)</f>
        <v/>
      </c>
      <c r="N38" s="96">
        <f>IF(COUNTIFS('Data - Monthly Metrics'!A:A,$B$4,'Data - Monthly Metrics'!B:B,"Jul",'Data - Monthly Metrics'!C:C,"Pierce",'Data - Monthly Metrics'!D:D,"New Sales Revenue - Target ($)")=0,"-",SUMIFS('Data - Monthly Metrics'!E:E,'Data - Monthly Metrics'!A:A,$B$4,'Data - Monthly Metrics'!B:B,"Jul",'Data - Monthly Metrics'!C:C,"Pierce",'Data - Monthly Metrics'!D:D,"New Sales Revenue - Target ($)"))</f>
        <v/>
      </c>
      <c r="O38" s="96">
        <f>IF(COUNTIFS('Data - Monthly Metrics'!A:A,$B$4,'Data - Monthly Metrics'!B:B,"Aug",'Data - Monthly Metrics'!C:C,"Pierce",'Data - Monthly Metrics'!D:D,"New Sales Revenue - Target ($)")=0,"-",SUMIFS('Data - Monthly Metrics'!E:E,'Data - Monthly Metrics'!A:A,$B$4,'Data - Monthly Metrics'!B:B,"Aug",'Data - Monthly Metrics'!C:C,"Pierce",'Data - Monthly Metrics'!D:D,"New Sales Revenue - Target ($)"))</f>
        <v/>
      </c>
      <c r="P38" s="96">
        <f>IF(COUNTIFS('Data - Monthly Metrics'!A:A,$B$4,'Data - Monthly Metrics'!B:B,"Sep",'Data - Monthly Metrics'!C:C,"Pierce",'Data - Monthly Metrics'!D:D,"New Sales Revenue - Target ($)")=0,"-",SUMIFS('Data - Monthly Metrics'!E:E,'Data - Monthly Metrics'!A:A,$B$4,'Data - Monthly Metrics'!B:B,"Sep",'Data - Monthly Metrics'!C:C,"Pierce",'Data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Metrics'!C:C,"Pierce",'Data - Monthly Metrics'!D:D,"Goal - New Members (#)")=0,"-",SUMIFS('Data - Monthly Metrics'!E:E,'Data - Monthly Metrics'!A:A,$B$4-1,'Data - Monthly Metrics'!B:B,"Oct",'Data - Monthly Metrics'!C:C,"Pierce",'Data - Monthly Metrics'!D:D,"Goal - New Members (#)"))</f>
        <v/>
      </c>
      <c r="C41" s="93">
        <f>IF(COUNTIFS('Data - Monthly Metrics'!A:A,$B$4-1,'Data - Monthly Metrics'!B:B,"Nov",'Data - Monthly Metrics'!C:C,"Pierce",'Data - Monthly Metrics'!D:D,"Goal - New Members (#)")=0,"-",SUMIFS('Data - Monthly Metrics'!E:E,'Data - Monthly Metrics'!A:A,$B$4-1,'Data - Monthly Metrics'!B:B,"Nov",'Data - Monthly Metrics'!C:C,"Pierce",'Data - Monthly Metrics'!D:D,"Goal - New Members (#)"))</f>
        <v/>
      </c>
      <c r="D41" s="93">
        <f>IF(COUNTIFS('Data - Monthly Metrics'!A:A,$B$4-1,'Data - Monthly Metrics'!B:B,"Dec",'Data - Monthly Metrics'!C:C,"Pierce",'Data - Monthly Metrics'!D:D,"Goal - New Members (#)")=0,"-",SUMIFS('Data - Monthly Metrics'!E:E,'Data - Monthly Metrics'!A:A,$B$4-1,'Data - Monthly Metrics'!B:B,"Dec",'Data - Monthly Metrics'!C:C,"Pierce",'Data - Monthly Metrics'!D:D,"Goal - New Members (#)"))</f>
        <v/>
      </c>
      <c r="E41" s="103">
        <f>SUM(B41,C41,D41)</f>
        <v/>
      </c>
      <c r="F41" s="93">
        <f>IF(COUNTIFS('Data - Monthly Metrics'!A:A,$B$4,'Data - Monthly Metrics'!B:B,"Jan",'Data - Monthly Metrics'!C:C,"Pierce",'Data - Monthly Metrics'!D:D,"Goal - New Members (#)")=0,"-",SUMIFS('Data - Monthly Metrics'!E:E,'Data - Monthly Metrics'!A:A,$B$4,'Data - Monthly Metrics'!B:B,"Jan",'Data - Monthly Metrics'!C:C,"Pierce",'Data - Monthly Metrics'!D:D,"Goal - New Members (#)"))</f>
        <v/>
      </c>
      <c r="G41" s="93">
        <f>IF(COUNTIFS('Data - Monthly Metrics'!A:A,$B$4,'Data - Monthly Metrics'!B:B,"Feb",'Data - Monthly Metrics'!C:C,"Pierce",'Data - Monthly Metrics'!D:D,"Goal - New Members (#)")=0,"-",SUMIFS('Data - Monthly Metrics'!E:E,'Data - Monthly Metrics'!A:A,$B$4,'Data - Monthly Metrics'!B:B,"Feb",'Data - Monthly Metrics'!C:C,"Pierce",'Data - Monthly Metrics'!D:D,"Goal - New Members (#)"))</f>
        <v/>
      </c>
      <c r="H41" s="93">
        <f>IF(COUNTIFS('Data - Monthly Metrics'!A:A,$B$4,'Data - Monthly Metrics'!B:B,"Mar",'Data - Monthly Metrics'!C:C,"Pierce",'Data - Monthly Metrics'!D:D,"Goal - New Members (#)")=0,"-",SUMIFS('Data - Monthly Metrics'!E:E,'Data - Monthly Metrics'!A:A,$B$4,'Data - Monthly Metrics'!B:B,"Mar",'Data - Monthly Metrics'!C:C,"Pierce",'Data - Monthly Metrics'!D:D,"Goal - New Members (#)"))</f>
        <v/>
      </c>
      <c r="I41" s="103">
        <f>SUM(F41,G41,H41)</f>
        <v/>
      </c>
      <c r="J41" s="93">
        <f>IF(COUNTIFS('Data - Monthly Metrics'!A:A,$B$4,'Data - Monthly Metrics'!B:B,"Apr",'Data - Monthly Metrics'!C:C,"Pierce",'Data - Monthly Metrics'!D:D,"Goal - New Members (#)")=0,"-",SUMIFS('Data - Monthly Metrics'!E:E,'Data - Monthly Metrics'!A:A,$B$4,'Data - Monthly Metrics'!B:B,"Apr",'Data - Monthly Metrics'!C:C,"Pierce",'Data - Monthly Metrics'!D:D,"Goal - New Members (#)"))</f>
        <v/>
      </c>
      <c r="K41" s="93">
        <f>IF(COUNTIFS('Data - Monthly Metrics'!A:A,$B$4,'Data - Monthly Metrics'!B:B,"May",'Data - Monthly Metrics'!C:C,"Pierce",'Data - Monthly Metrics'!D:D,"Goal - New Members (#)")=0,"-",SUMIFS('Data - Monthly Metrics'!E:E,'Data - Monthly Metrics'!A:A,$B$4,'Data - Monthly Metrics'!B:B,"May",'Data - Monthly Metrics'!C:C,"Pierce",'Data - Monthly Metrics'!D:D,"Goal - New Members (#)"))</f>
        <v/>
      </c>
      <c r="L41" s="93">
        <f>IF(COUNTIFS('Data - Monthly Metrics'!A:A,$B$4,'Data - Monthly Metrics'!B:B,"Jun",'Data - Monthly Metrics'!C:C,"Pierce",'Data - Monthly Metrics'!D:D,"Goal - New Members (#)")=0,"-",SUMIFS('Data - Monthly Metrics'!E:E,'Data - Monthly Metrics'!A:A,$B$4,'Data - Monthly Metrics'!B:B,"Jun",'Data - Monthly Metrics'!C:C,"Pierce",'Data - Monthly Metrics'!D:D,"Goal - New Members (#)"))</f>
        <v/>
      </c>
      <c r="M41" s="103">
        <f>SUM(J41,K41,L41)</f>
        <v/>
      </c>
      <c r="N41" s="93">
        <f>IF(COUNTIFS('Data - Monthly Metrics'!A:A,$B$4,'Data - Monthly Metrics'!B:B,"Jul",'Data - Monthly Metrics'!C:C,"Pierce",'Data - Monthly Metrics'!D:D,"Goal - New Members (#)")=0,"-",SUMIFS('Data - Monthly Metrics'!E:E,'Data - Monthly Metrics'!A:A,$B$4,'Data - Monthly Metrics'!B:B,"Jul",'Data - Monthly Metrics'!C:C,"Pierce",'Data - Monthly Metrics'!D:D,"Goal - New Members (#)"))</f>
        <v/>
      </c>
      <c r="O41" s="93">
        <f>IF(COUNTIFS('Data - Monthly Metrics'!A:A,$B$4,'Data - Monthly Metrics'!B:B,"Aug",'Data - Monthly Metrics'!C:C,"Pierce",'Data - Monthly Metrics'!D:D,"Goal - New Members (#)")=0,"-",SUMIFS('Data - Monthly Metrics'!E:E,'Data - Monthly Metrics'!A:A,$B$4,'Data - Monthly Metrics'!B:B,"Aug",'Data - Monthly Metrics'!C:C,"Pierce",'Data - Monthly Metrics'!D:D,"Goal - New Members (#)"))</f>
        <v/>
      </c>
      <c r="P41" s="93">
        <f>IF(COUNTIFS('Data - Monthly Metrics'!A:A,$B$4,'Data - Monthly Metrics'!B:B,"Sep",'Data - Monthly Metrics'!C:C,"Pierce",'Data - Monthly Metrics'!D:D,"Goal - New Members (#)")=0,"-",SUMIFS('Data - Monthly Metrics'!E:E,'Data - Monthly Metrics'!A:A,$B$4,'Data - Monthly Metrics'!B:B,"Sep",'Data - Monthly Metrics'!C:C,"Pierce",'Data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Metrics'!C:C,"Pierce",'Data - Monthly Metrics'!D:D,"New Members - Target (#)")=0,"-",SUMIFS('Data - Monthly Metrics'!E:E,'Data - Monthly Metrics'!A:A,$B$4-1,'Data - Monthly Metrics'!B:B,"Oct",'Data - Monthly Metrics'!C:C,"Pierce",'Data - Monthly Metrics'!D:D,"New Members - Target (#)"))</f>
        <v/>
      </c>
      <c r="C42" s="98">
        <f>IF(COUNTIFS('Data - Monthly Metrics'!A:A,$B$4-1,'Data - Monthly Metrics'!B:B,"Nov",'Data - Monthly Metrics'!C:C,"Pierce",'Data - Monthly Metrics'!D:D,"New Members - Target (#)")=0,"-",SUMIFS('Data - Monthly Metrics'!E:E,'Data - Monthly Metrics'!A:A,$B$4-1,'Data - Monthly Metrics'!B:B,"Nov",'Data - Monthly Metrics'!C:C,"Pierce",'Data - Monthly Metrics'!D:D,"New Members - Target (#)"))</f>
        <v/>
      </c>
      <c r="D42" s="98">
        <f>IF(COUNTIFS('Data - Monthly Metrics'!A:A,$B$4-1,'Data - Monthly Metrics'!B:B,"Dec",'Data - Monthly Metrics'!C:C,"Pierce",'Data - Monthly Metrics'!D:D,"New Members - Target (#)")=0,"-",SUMIFS('Data - Monthly Metrics'!E:E,'Data - Monthly Metrics'!A:A,$B$4-1,'Data - Monthly Metrics'!B:B,"Dec",'Data - Monthly Metrics'!C:C,"Pierce",'Data - Monthly Metrics'!D:D,"New Members - Target (#)"))</f>
        <v/>
      </c>
      <c r="E42" s="103">
        <f>SUM(B42,C42,D42)</f>
        <v/>
      </c>
      <c r="F42" s="98">
        <f>IF(COUNTIFS('Data - Monthly Metrics'!A:A,$B$4,'Data - Monthly Metrics'!B:B,"Jan",'Data - Monthly Metrics'!C:C,"Pierce",'Data - Monthly Metrics'!D:D,"New Members - Target (#)")=0,"-",SUMIFS('Data - Monthly Metrics'!E:E,'Data - Monthly Metrics'!A:A,$B$4,'Data - Monthly Metrics'!B:B,"Jan",'Data - Monthly Metrics'!C:C,"Pierce",'Data - Monthly Metrics'!D:D,"New Members - Target (#)"))</f>
        <v/>
      </c>
      <c r="G42" s="98">
        <f>IF(COUNTIFS('Data - Monthly Metrics'!A:A,$B$4,'Data - Monthly Metrics'!B:B,"Feb",'Data - Monthly Metrics'!C:C,"Pierce",'Data - Monthly Metrics'!D:D,"New Members - Target (#)")=0,"-",SUMIFS('Data - Monthly Metrics'!E:E,'Data - Monthly Metrics'!A:A,$B$4,'Data - Monthly Metrics'!B:B,"Feb",'Data - Monthly Metrics'!C:C,"Pierce",'Data - Monthly Metrics'!D:D,"New Members - Target (#)"))</f>
        <v/>
      </c>
      <c r="H42" s="98">
        <f>IF(COUNTIFS('Data - Monthly Metrics'!A:A,$B$4,'Data - Monthly Metrics'!B:B,"Mar",'Data - Monthly Metrics'!C:C,"Pierce",'Data - Monthly Metrics'!D:D,"New Members - Target (#)")=0,"-",SUMIFS('Data - Monthly Metrics'!E:E,'Data - Monthly Metrics'!A:A,$B$4,'Data - Monthly Metrics'!B:B,"Mar",'Data - Monthly Metrics'!C:C,"Pierce",'Data - Monthly Metrics'!D:D,"New Members - Target (#)"))</f>
        <v/>
      </c>
      <c r="I42" s="103">
        <f>SUM(F42,G42,H42)</f>
        <v/>
      </c>
      <c r="J42" s="98">
        <f>IF(COUNTIFS('Data - Monthly Metrics'!A:A,$B$4,'Data - Monthly Metrics'!B:B,"Apr",'Data - Monthly Metrics'!C:C,"Pierce",'Data - Monthly Metrics'!D:D,"New Members - Target (#)")=0,"-",SUMIFS('Data - Monthly Metrics'!E:E,'Data - Monthly Metrics'!A:A,$B$4,'Data - Monthly Metrics'!B:B,"Apr",'Data - Monthly Metrics'!C:C,"Pierce",'Data - Monthly Metrics'!D:D,"New Members - Target (#)"))</f>
        <v/>
      </c>
      <c r="K42" s="98">
        <f>IF(COUNTIFS('Data - Monthly Metrics'!A:A,$B$4,'Data - Monthly Metrics'!B:B,"May",'Data - Monthly Metrics'!C:C,"Pierce",'Data - Monthly Metrics'!D:D,"New Members - Target (#)")=0,"-",SUMIFS('Data - Monthly Metrics'!E:E,'Data - Monthly Metrics'!A:A,$B$4,'Data - Monthly Metrics'!B:B,"May",'Data - Monthly Metrics'!C:C,"Pierce",'Data - Monthly Metrics'!D:D,"New Members - Target (#)"))</f>
        <v/>
      </c>
      <c r="L42" s="98">
        <f>IF(COUNTIFS('Data - Monthly Metrics'!A:A,$B$4,'Data - Monthly Metrics'!B:B,"Jun",'Data - Monthly Metrics'!C:C,"Pierce",'Data - Monthly Metrics'!D:D,"New Members - Target (#)")=0,"-",SUMIFS('Data - Monthly Metrics'!E:E,'Data - Monthly Metrics'!A:A,$B$4,'Data - Monthly Metrics'!B:B,"Jun",'Data - Monthly Metrics'!C:C,"Pierce",'Data - Monthly Metrics'!D:D,"New Members - Target (#)"))</f>
        <v/>
      </c>
      <c r="M42" s="103">
        <f>SUM(J42,K42,L42)</f>
        <v/>
      </c>
      <c r="N42" s="98">
        <f>IF(COUNTIFS('Data - Monthly Metrics'!A:A,$B$4,'Data - Monthly Metrics'!B:B,"Jul",'Data - Monthly Metrics'!C:C,"Pierce",'Data - Monthly Metrics'!D:D,"New Members - Target (#)")=0,"-",SUMIFS('Data - Monthly Metrics'!E:E,'Data - Monthly Metrics'!A:A,$B$4,'Data - Monthly Metrics'!B:B,"Jul",'Data - Monthly Metrics'!C:C,"Pierce",'Data - Monthly Metrics'!D:D,"New Members - Target (#)"))</f>
        <v/>
      </c>
      <c r="O42" s="98">
        <f>IF(COUNTIFS('Data - Monthly Metrics'!A:A,$B$4,'Data - Monthly Metrics'!B:B,"Aug",'Data - Monthly Metrics'!C:C,"Pierce",'Data - Monthly Metrics'!D:D,"New Members - Target (#)")=0,"-",SUMIFS('Data - Monthly Metrics'!E:E,'Data - Monthly Metrics'!A:A,$B$4,'Data - Monthly Metrics'!B:B,"Aug",'Data - Monthly Metrics'!C:C,"Pierce",'Data - Monthly Metrics'!D:D,"New Members - Target (#)"))</f>
        <v/>
      </c>
      <c r="P42" s="98">
        <f>IF(COUNTIFS('Data - Monthly Metrics'!A:A,$B$4,'Data - Monthly Metrics'!B:B,"Sep",'Data - Monthly Metrics'!C:C,"Pierce",'Data - Monthly Metrics'!D:D,"New Members - Target (#)")=0,"-",SUMIFS('Data - Monthly Metrics'!E:E,'Data - Monthly Metrics'!A:A,$B$4,'Data - Monthly Metrics'!B:B,"Sep",'Data - Monthly Metrics'!C:C,"Pierce",'Data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Metrics'!C:C,"Pierce",'Data - Monthly Metrics'!D:D,"Billables - Hospitality Target (#)")=0,"-",SUMIFS('Data - Monthly Metrics'!E:E,'Data - Monthly Metrics'!A:A,$B$4-1,'Data - Monthly Metrics'!B:B,"Oct",'Data - Monthly Metrics'!C:C,"Pierce",'Data - Monthly Metrics'!D:D,"Billables - Hospitality Target (#)"))</f>
        <v/>
      </c>
      <c r="C46" s="93">
        <f>IF(COUNTIFS('Data - Monthly Metrics'!A:A,$B$4-1,'Data - Monthly Metrics'!B:B,"Nov",'Data - Monthly Metrics'!C:C,"Pierce",'Data - Monthly Metrics'!D:D,"Billables - Hospitality Target (#)")=0,"-",SUMIFS('Data - Monthly Metrics'!E:E,'Data - Monthly Metrics'!A:A,$B$4-1,'Data - Monthly Metrics'!B:B,"Nov",'Data - Monthly Metrics'!C:C,"Pierce",'Data - Monthly Metrics'!D:D,"Billables - Hospitality Target (#)"))</f>
        <v/>
      </c>
      <c r="D46" s="93">
        <f>IF(COUNTIFS('Data - Monthly Metrics'!A:A,$B$4-1,'Data - Monthly Metrics'!B:B,"Dec",'Data - Monthly Metrics'!C:C,"Pierce",'Data - Monthly Metrics'!D:D,"Billables - Hospitality Target (#)")=0,"-",SUMIFS('Data - Monthly Metrics'!E:E,'Data - Monthly Metrics'!A:A,$B$4-1,'Data - Monthly Metrics'!B:B,"Dec",'Data - Monthly Metrics'!C:C,"Pierce",'Data - Monthly Metrics'!D:D,"Billables - Hospitality Target (#)"))</f>
        <v/>
      </c>
      <c r="E46" s="103">
        <f>IF(ISNUMBER(D46),D46,IF(ISNUMBER(C46),C46,IF(ISNUMBER(B46),B46,"-")))</f>
        <v/>
      </c>
      <c r="F46" s="93">
        <f>IF(COUNTIFS('Data - Monthly Metrics'!A:A,$B$4,'Data - Monthly Metrics'!B:B,"Jan",'Data - Monthly Metrics'!C:C,"Pierce",'Data - Monthly Metrics'!D:D,"Billables - Hospitality Target (#)")=0,"-",SUMIFS('Data - Monthly Metrics'!E:E,'Data - Monthly Metrics'!A:A,$B$4,'Data - Monthly Metrics'!B:B,"Jan",'Data - Monthly Metrics'!C:C,"Pierce",'Data - Monthly Metrics'!D:D,"Billables - Hospitality Target (#)"))</f>
        <v/>
      </c>
      <c r="G46" s="93">
        <f>IF(COUNTIFS('Data - Monthly Metrics'!A:A,$B$4,'Data - Monthly Metrics'!B:B,"Feb",'Data - Monthly Metrics'!C:C,"Pierce",'Data - Monthly Metrics'!D:D,"Billables - Hospitality Target (#)")=0,"-",SUMIFS('Data - Monthly Metrics'!E:E,'Data - Monthly Metrics'!A:A,$B$4,'Data - Monthly Metrics'!B:B,"Feb",'Data - Monthly Metrics'!C:C,"Pierce",'Data - Monthly Metrics'!D:D,"Billables - Hospitality Target (#)"))</f>
        <v/>
      </c>
      <c r="H46" s="93">
        <f>IF(COUNTIFS('Data - Monthly Metrics'!A:A,$B$4,'Data - Monthly Metrics'!B:B,"Mar",'Data - Monthly Metrics'!C:C,"Pierce",'Data - Monthly Metrics'!D:D,"Billables - Hospitality Target (#)")=0,"-",SUMIFS('Data - Monthly Metrics'!E:E,'Data - Monthly Metrics'!A:A,$B$4,'Data - Monthly Metrics'!B:B,"Mar",'Data - Monthly Metrics'!C:C,"Pierce",'Data - Monthly Metrics'!D:D,"Billables - Hospitality Target (#)"))</f>
        <v/>
      </c>
      <c r="I46" s="103">
        <f>IF(ISNUMBER(H46),H46,IF(ISNUMBER(G46),G46,IF(ISNUMBER(F46),F46,"-")))</f>
        <v/>
      </c>
      <c r="J46" s="93">
        <f>IF(COUNTIFS('Data - Monthly Metrics'!A:A,$B$4,'Data - Monthly Metrics'!B:B,"Apr",'Data - Monthly Metrics'!C:C,"Pierce",'Data - Monthly Metrics'!D:D,"Billables - Hospitality Target (#)")=0,"-",SUMIFS('Data - Monthly Metrics'!E:E,'Data - Monthly Metrics'!A:A,$B$4,'Data - Monthly Metrics'!B:B,"Apr",'Data - Monthly Metrics'!C:C,"Pierce",'Data - Monthly Metrics'!D:D,"Billables - Hospitality Target (#)"))</f>
        <v/>
      </c>
      <c r="K46" s="93">
        <f>IF(COUNTIFS('Data - Monthly Metrics'!A:A,$B$4,'Data - Monthly Metrics'!B:B,"May",'Data - Monthly Metrics'!C:C,"Pierce",'Data - Monthly Metrics'!D:D,"Billables - Hospitality Target (#)")=0,"-",SUMIFS('Data - Monthly Metrics'!E:E,'Data - Monthly Metrics'!A:A,$B$4,'Data - Monthly Metrics'!B:B,"May",'Data - Monthly Metrics'!C:C,"Pierce",'Data - Monthly Metrics'!D:D,"Billables - Hospitality Target (#)"))</f>
        <v/>
      </c>
      <c r="L46" s="93">
        <f>IF(COUNTIFS('Data - Monthly Metrics'!A:A,$B$4,'Data - Monthly Metrics'!B:B,"Jun",'Data - Monthly Metrics'!C:C,"Pierce",'Data - Monthly Metrics'!D:D,"Billables - Hospitality Target (#)")=0,"-",SUMIFS('Data - Monthly Metrics'!E:E,'Data - Monthly Metrics'!A:A,$B$4,'Data - Monthly Metrics'!B:B,"Jun",'Data - Monthly Metrics'!C:C,"Pierce",'Data - Monthly Metrics'!D:D,"Billables - Hospitality Target (#)"))</f>
        <v/>
      </c>
      <c r="M46" s="103">
        <f>IF(ISNUMBER(L46),L46,IF(ISNUMBER(K46),K46,IF(ISNUMBER(J46),J46,"-")))</f>
        <v/>
      </c>
      <c r="N46" s="93">
        <f>IF(COUNTIFS('Data - Monthly Metrics'!A:A,$B$4,'Data - Monthly Metrics'!B:B,"Jul",'Data - Monthly Metrics'!C:C,"Pierce",'Data - Monthly Metrics'!D:D,"Billables - Hospitality Target (#)")=0,"-",SUMIFS('Data - Monthly Metrics'!E:E,'Data - Monthly Metrics'!A:A,$B$4,'Data - Monthly Metrics'!B:B,"Jul",'Data - Monthly Metrics'!C:C,"Pierce",'Data - Monthly Metrics'!D:D,"Billables - Hospitality Target (#)"))</f>
        <v/>
      </c>
      <c r="O46" s="93">
        <f>IF(COUNTIFS('Data - Monthly Metrics'!A:A,$B$4,'Data - Monthly Metrics'!B:B,"Aug",'Data - Monthly Metrics'!C:C,"Pierce",'Data - Monthly Metrics'!D:D,"Billables - Hospitality Target (#)")=0,"-",SUMIFS('Data - Monthly Metrics'!E:E,'Data - Monthly Metrics'!A:A,$B$4,'Data - Monthly Metrics'!B:B,"Aug",'Data - Monthly Metrics'!C:C,"Pierce",'Data - Monthly Metrics'!D:D,"Billables - Hospitality Target (#)"))</f>
        <v/>
      </c>
      <c r="P46" s="93">
        <f>IF(COUNTIFS('Data - Monthly Metrics'!A:A,$B$4,'Data - Monthly Metrics'!B:B,"Sep",'Data - Monthly Metrics'!C:C,"Pierce",'Data - Monthly Metrics'!D:D,"Billables - Hospitality Target (#)")=0,"-",SUMIFS('Data - Monthly Metrics'!E:E,'Data - Monthly Metrics'!A:A,$B$4,'Data - Monthly Metrics'!B:B,"Sep",'Data - Monthly Metrics'!C:C,"Pierce",'Data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Metrics'!C:C,"Pierce",'Data - Monthly Metrics'!D:D,"Member Locations - Target (#)")=0,"-",SUMIFS('Data - Monthly Metrics'!E:E,'Data - Monthly Metrics'!A:A,$B$4-1,'Data - Monthly Metrics'!B:B,"Oct",'Data - Monthly Metrics'!C:C,"Pierce",'Data - Monthly Metrics'!D:D,"Member Locations - Target (#)"))</f>
        <v/>
      </c>
      <c r="C47" s="93">
        <f>IF(COUNTIFS('Data - Monthly Metrics'!A:A,$B$4-1,'Data - Monthly Metrics'!B:B,"Nov",'Data - Monthly Metrics'!C:C,"Pierce",'Data - Monthly Metrics'!D:D,"Member Locations - Target (#)")=0,"-",SUMIFS('Data - Monthly Metrics'!E:E,'Data - Monthly Metrics'!A:A,$B$4-1,'Data - Monthly Metrics'!B:B,"Nov",'Data - Monthly Metrics'!C:C,"Pierce",'Data - Monthly Metrics'!D:D,"Member Locations - Target (#)"))</f>
        <v/>
      </c>
      <c r="D47" s="93">
        <f>IF(COUNTIFS('Data - Monthly Metrics'!A:A,$B$4-1,'Data - Monthly Metrics'!B:B,"Dec",'Data - Monthly Metrics'!C:C,"Pierce",'Data - Monthly Metrics'!D:D,"Member Locations - Target (#)")=0,"-",SUMIFS('Data - Monthly Metrics'!E:E,'Data - Monthly Metrics'!A:A,$B$4-1,'Data - Monthly Metrics'!B:B,"Dec",'Data - Monthly Metrics'!C:C,"Pierce",'Data - Monthly Metrics'!D:D,"Member Locations - Target (#)"))</f>
        <v/>
      </c>
      <c r="E47" s="103">
        <f>IF(ISNUMBER(D47),D47,IF(ISNUMBER(C47),C47,IF(ISNUMBER(B47),B47,"-")))</f>
        <v/>
      </c>
      <c r="F47" s="93">
        <f>IF(COUNTIFS('Data - Monthly Metrics'!A:A,$B$4,'Data - Monthly Metrics'!B:B,"Jan",'Data - Monthly Metrics'!C:C,"Pierce",'Data - Monthly Metrics'!D:D,"Member Locations - Target (#)")=0,"-",SUMIFS('Data - Monthly Metrics'!E:E,'Data - Monthly Metrics'!A:A,$B$4,'Data - Monthly Metrics'!B:B,"Jan",'Data - Monthly Metrics'!C:C,"Pierce",'Data - Monthly Metrics'!D:D,"Member Locations - Target (#)"))</f>
        <v/>
      </c>
      <c r="G47" s="93">
        <f>IF(COUNTIFS('Data - Monthly Metrics'!A:A,$B$4,'Data - Monthly Metrics'!B:B,"Feb",'Data - Monthly Metrics'!C:C,"Pierce",'Data - Monthly Metrics'!D:D,"Member Locations - Target (#)")=0,"-",SUMIFS('Data - Monthly Metrics'!E:E,'Data - Monthly Metrics'!A:A,$B$4,'Data - Monthly Metrics'!B:B,"Feb",'Data - Monthly Metrics'!C:C,"Pierce",'Data - Monthly Metrics'!D:D,"Member Locations - Target (#)"))</f>
        <v/>
      </c>
      <c r="H47" s="93">
        <f>IF(COUNTIFS('Data - Monthly Metrics'!A:A,$B$4,'Data - Monthly Metrics'!B:B,"Mar",'Data - Monthly Metrics'!C:C,"Pierce",'Data - Monthly Metrics'!D:D,"Member Locations - Target (#)")=0,"-",SUMIFS('Data - Monthly Metrics'!E:E,'Data - Monthly Metrics'!A:A,$B$4,'Data - Monthly Metrics'!B:B,"Mar",'Data - Monthly Metrics'!C:C,"Pierce",'Data - Monthly Metrics'!D:D,"Member Locations - Target (#)"))</f>
        <v/>
      </c>
      <c r="I47" s="103">
        <f>IF(ISNUMBER(H47),H47,IF(ISNUMBER(G47),G47,IF(ISNUMBER(F47),F47,"-")))</f>
        <v/>
      </c>
      <c r="J47" s="93">
        <f>IF(COUNTIFS('Data - Monthly Metrics'!A:A,$B$4,'Data - Monthly Metrics'!B:B,"Apr",'Data - Monthly Metrics'!C:C,"Pierce",'Data - Monthly Metrics'!D:D,"Member Locations - Target (#)")=0,"-",SUMIFS('Data - Monthly Metrics'!E:E,'Data - Monthly Metrics'!A:A,$B$4,'Data - Monthly Metrics'!B:B,"Apr",'Data - Monthly Metrics'!C:C,"Pierce",'Data - Monthly Metrics'!D:D,"Member Locations - Target (#)"))</f>
        <v/>
      </c>
      <c r="K47" s="93">
        <f>IF(COUNTIFS('Data - Monthly Metrics'!A:A,$B$4,'Data - Monthly Metrics'!B:B,"May",'Data - Monthly Metrics'!C:C,"Pierce",'Data - Monthly Metrics'!D:D,"Member Locations - Target (#)")=0,"-",SUMIFS('Data - Monthly Metrics'!E:E,'Data - Monthly Metrics'!A:A,$B$4,'Data - Monthly Metrics'!B:B,"May",'Data - Monthly Metrics'!C:C,"Pierce",'Data - Monthly Metrics'!D:D,"Member Locations - Target (#)"))</f>
        <v/>
      </c>
      <c r="L47" s="93">
        <f>IF(COUNTIFS('Data - Monthly Metrics'!A:A,$B$4,'Data - Monthly Metrics'!B:B,"Jun",'Data - Monthly Metrics'!C:C,"Pierce",'Data - Monthly Metrics'!D:D,"Member Locations - Target (#)")=0,"-",SUMIFS('Data - Monthly Metrics'!E:E,'Data - Monthly Metrics'!A:A,$B$4,'Data - Monthly Metrics'!B:B,"Jun",'Data - Monthly Metrics'!C:C,"Pierce",'Data - Monthly Metrics'!D:D,"Member Locations - Target (#)"))</f>
        <v/>
      </c>
      <c r="M47" s="103">
        <f>IF(ISNUMBER(L47),L47,IF(ISNUMBER(K47),K47,IF(ISNUMBER(J47),J47,"-")))</f>
        <v/>
      </c>
      <c r="N47" s="93">
        <f>IF(COUNTIFS('Data - Monthly Metrics'!A:A,$B$4,'Data - Monthly Metrics'!B:B,"Jul",'Data - Monthly Metrics'!C:C,"Pierce",'Data - Monthly Metrics'!D:D,"Member Locations - Target (#)")=0,"-",SUMIFS('Data - Monthly Metrics'!E:E,'Data - Monthly Metrics'!A:A,$B$4,'Data - Monthly Metrics'!B:B,"Jul",'Data - Monthly Metrics'!C:C,"Pierce",'Data - Monthly Metrics'!D:D,"Member Locations - Target (#)"))</f>
        <v/>
      </c>
      <c r="O47" s="93">
        <f>IF(COUNTIFS('Data - Monthly Metrics'!A:A,$B$4,'Data - Monthly Metrics'!B:B,"Aug",'Data - Monthly Metrics'!C:C,"Pierce",'Data - Monthly Metrics'!D:D,"Member Locations - Target (#)")=0,"-",SUMIFS('Data - Monthly Metrics'!E:E,'Data - Monthly Metrics'!A:A,$B$4,'Data - Monthly Metrics'!B:B,"Aug",'Data - Monthly Metrics'!C:C,"Pierce",'Data - Monthly Metrics'!D:D,"Member Locations - Target (#)"))</f>
        <v/>
      </c>
      <c r="P47" s="93">
        <f>IF(COUNTIFS('Data - Monthly Metrics'!A:A,$B$4,'Data - Monthly Metrics'!B:B,"Sep",'Data - Monthly Metrics'!C:C,"Pierce",'Data - Monthly Metrics'!D:D,"Member Locations - Target (#)")=0,"-",SUMIFS('Data - Monthly Metrics'!E:E,'Data - Monthly Metrics'!A:A,$B$4,'Data - Monthly Metrics'!B:B,"Sep",'Data - Monthly Metrics'!C:C,"Pierce",'Data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Metrics'!C:C,"Pierce",'Data - Monthly Metrics'!D:D,"Members Up for Renewal - Target (#)")=0,"-",SUMIFS('Data - Monthly Metrics'!E:E,'Data - Monthly Metrics'!A:A,$B$4-1,'Data - Monthly Metrics'!B:B,"Oct",'Data - Monthly Metrics'!C:C,"Pierce",'Data - Monthly Metrics'!D:D,"Members Up for Renewal - Target (#)"))</f>
        <v/>
      </c>
      <c r="C51" s="93">
        <f>IF(COUNTIFS('Data - Monthly Metrics'!A:A,$B$4-1,'Data - Monthly Metrics'!B:B,"Nov",'Data - Monthly Metrics'!C:C,"Pierce",'Data - Monthly Metrics'!D:D,"Members Up for Renewal - Target (#)")=0,"-",SUMIFS('Data - Monthly Metrics'!E:E,'Data - Monthly Metrics'!A:A,$B$4-1,'Data - Monthly Metrics'!B:B,"Nov",'Data - Monthly Metrics'!C:C,"Pierce",'Data - Monthly Metrics'!D:D,"Members Up for Renewal - Target (#)"))</f>
        <v/>
      </c>
      <c r="D51" s="93">
        <f>IF(COUNTIFS('Data - Monthly Metrics'!A:A,$B$4-1,'Data - Monthly Metrics'!B:B,"Dec",'Data - Monthly Metrics'!C:C,"Pierce",'Data - Monthly Metrics'!D:D,"Members Up for Renewal - Target (#)")=0,"-",SUMIFS('Data - Monthly Metrics'!E:E,'Data - Monthly Metrics'!A:A,$B$4-1,'Data - Monthly Metrics'!B:B,"Dec",'Data - Monthly Metrics'!C:C,"Pierce",'Data - Monthly Metrics'!D:D,"Members Up for Renewal - Target (#)"))</f>
        <v/>
      </c>
      <c r="E51" s="103">
        <f>SUM(B51,C51,D51)</f>
        <v/>
      </c>
      <c r="F51" s="93">
        <f>IF(COUNTIFS('Data - Monthly Metrics'!A:A,$B$4,'Data - Monthly Metrics'!B:B,"Jan",'Data - Monthly Metrics'!C:C,"Pierce",'Data - Monthly Metrics'!D:D,"Members Up for Renewal - Target (#)")=0,"-",SUMIFS('Data - Monthly Metrics'!E:E,'Data - Monthly Metrics'!A:A,$B$4,'Data - Monthly Metrics'!B:B,"Jan",'Data - Monthly Metrics'!C:C,"Pierce",'Data - Monthly Metrics'!D:D,"Members Up for Renewal - Target (#)"))</f>
        <v/>
      </c>
      <c r="G51" s="93">
        <f>IF(COUNTIFS('Data - Monthly Metrics'!A:A,$B$4,'Data - Monthly Metrics'!B:B,"Feb",'Data - Monthly Metrics'!C:C,"Pierce",'Data - Monthly Metrics'!D:D,"Members Up for Renewal - Target (#)")=0,"-",SUMIFS('Data - Monthly Metrics'!E:E,'Data - Monthly Metrics'!A:A,$B$4,'Data - Monthly Metrics'!B:B,"Feb",'Data - Monthly Metrics'!C:C,"Pierce",'Data - Monthly Metrics'!D:D,"Members Up for Renewal - Target (#)"))</f>
        <v/>
      </c>
      <c r="H51" s="93">
        <f>IF(COUNTIFS('Data - Monthly Metrics'!A:A,$B$4,'Data - Monthly Metrics'!B:B,"Mar",'Data - Monthly Metrics'!C:C,"Pierce",'Data - Monthly Metrics'!D:D,"Members Up for Renewal - Target (#)")=0,"-",SUMIFS('Data - Monthly Metrics'!E:E,'Data - Monthly Metrics'!A:A,$B$4,'Data - Monthly Metrics'!B:B,"Mar",'Data - Monthly Metrics'!C:C,"Pierce",'Data - Monthly Metrics'!D:D,"Members Up for Renewal - Target (#)"))</f>
        <v/>
      </c>
      <c r="I51" s="103">
        <f>SUM(F51,G51,H51)</f>
        <v/>
      </c>
      <c r="J51" s="93">
        <f>IF(COUNTIFS('Data - Monthly Metrics'!A:A,$B$4,'Data - Monthly Metrics'!B:B,"Apr",'Data - Monthly Metrics'!C:C,"Pierce",'Data - Monthly Metrics'!D:D,"Members Up for Renewal - Target (#)")=0,"-",SUMIFS('Data - Monthly Metrics'!E:E,'Data - Monthly Metrics'!A:A,$B$4,'Data - Monthly Metrics'!B:B,"Apr",'Data - Monthly Metrics'!C:C,"Pierce",'Data - Monthly Metrics'!D:D,"Members Up for Renewal - Target (#)"))</f>
        <v/>
      </c>
      <c r="K51" s="93">
        <f>IF(COUNTIFS('Data - Monthly Metrics'!A:A,$B$4,'Data - Monthly Metrics'!B:B,"May",'Data - Monthly Metrics'!C:C,"Pierce",'Data - Monthly Metrics'!D:D,"Members Up for Renewal - Target (#)")=0,"-",SUMIFS('Data - Monthly Metrics'!E:E,'Data - Monthly Metrics'!A:A,$B$4,'Data - Monthly Metrics'!B:B,"May",'Data - Monthly Metrics'!C:C,"Pierce",'Data - Monthly Metrics'!D:D,"Members Up for Renewal - Target (#)"))</f>
        <v/>
      </c>
      <c r="L51" s="93">
        <f>IF(COUNTIFS('Data - Monthly Metrics'!A:A,$B$4,'Data - Monthly Metrics'!B:B,"Jun",'Data - Monthly Metrics'!C:C,"Pierce",'Data - Monthly Metrics'!D:D,"Members Up for Renewal - Target (#)")=0,"-",SUMIFS('Data - Monthly Metrics'!E:E,'Data - Monthly Metrics'!A:A,$B$4,'Data - Monthly Metrics'!B:B,"Jun",'Data - Monthly Metrics'!C:C,"Pierce",'Data - Monthly Metrics'!D:D,"Members Up for Renewal - Target (#)"))</f>
        <v/>
      </c>
      <c r="M51" s="103">
        <f>SUM(J51,K51,L51)</f>
        <v/>
      </c>
      <c r="N51" s="93">
        <f>IF(COUNTIFS('Data - Monthly Metrics'!A:A,$B$4,'Data - Monthly Metrics'!B:B,"Jul",'Data - Monthly Metrics'!C:C,"Pierce",'Data - Monthly Metrics'!D:D,"Members Up for Renewal - Target (#)")=0,"-",SUMIFS('Data - Monthly Metrics'!E:E,'Data - Monthly Metrics'!A:A,$B$4,'Data - Monthly Metrics'!B:B,"Jul",'Data - Monthly Metrics'!C:C,"Pierce",'Data - Monthly Metrics'!D:D,"Members Up for Renewal - Target (#)"))</f>
        <v/>
      </c>
      <c r="O51" s="93">
        <f>IF(COUNTIFS('Data - Monthly Metrics'!A:A,$B$4,'Data - Monthly Metrics'!B:B,"Aug",'Data - Monthly Metrics'!C:C,"Pierce",'Data - Monthly Metrics'!D:D,"Members Up for Renewal - Target (#)")=0,"-",SUMIFS('Data - Monthly Metrics'!E:E,'Data - Monthly Metrics'!A:A,$B$4,'Data - Monthly Metrics'!B:B,"Aug",'Data - Monthly Metrics'!C:C,"Pierce",'Data - Monthly Metrics'!D:D,"Members Up for Renewal - Target (#)"))</f>
        <v/>
      </c>
      <c r="P51" s="93">
        <f>IF(COUNTIFS('Data - Monthly Metrics'!A:A,$B$4,'Data - Monthly Metrics'!B:B,"Sep",'Data - Monthly Metrics'!C:C,"Pierce",'Data - Monthly Metrics'!D:D,"Members Up for Renewal - Target (#)")=0,"-",SUMIFS('Data - Monthly Metrics'!E:E,'Data - Monthly Metrics'!A:A,$B$4,'Data - Monthly Metrics'!B:B,"Sep",'Data - Monthly Metrics'!C:C,"Pierce",'Data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Metrics'!C:C,"Pierce",'Data - Monthly Metrics'!D:D,"Members Retained - Target (#)")=0,"-",SUMIFS('Data - Monthly Metrics'!E:E,'Data - Monthly Metrics'!A:A,$B$4-1,'Data - Monthly Metrics'!B:B,"Oct",'Data - Monthly Metrics'!C:C,"Pierce",'Data - Monthly Metrics'!D:D,"Members Retained - Target (#)"))</f>
        <v/>
      </c>
      <c r="C52" s="98">
        <f>IF(COUNTIFS('Data - Monthly Metrics'!A:A,$B$4-1,'Data - Monthly Metrics'!B:B,"Nov",'Data - Monthly Metrics'!C:C,"Pierce",'Data - Monthly Metrics'!D:D,"Members Retained - Target (#)")=0,"-",SUMIFS('Data - Monthly Metrics'!E:E,'Data - Monthly Metrics'!A:A,$B$4-1,'Data - Monthly Metrics'!B:B,"Nov",'Data - Monthly Metrics'!C:C,"Pierce",'Data - Monthly Metrics'!D:D,"Members Retained - Target (#)"))</f>
        <v/>
      </c>
      <c r="D52" s="98">
        <f>IF(COUNTIFS('Data - Monthly Metrics'!A:A,$B$4-1,'Data - Monthly Metrics'!B:B,"Dec",'Data - Monthly Metrics'!C:C,"Pierce",'Data - Monthly Metrics'!D:D,"Members Retained - Target (#)")=0,"-",SUMIFS('Data - Monthly Metrics'!E:E,'Data - Monthly Metrics'!A:A,$B$4-1,'Data - Monthly Metrics'!B:B,"Dec",'Data - Monthly Metrics'!C:C,"Pierce",'Data - Monthly Metrics'!D:D,"Members Retained - Target (#)"))</f>
        <v/>
      </c>
      <c r="E52" s="103">
        <f>SUM(B52,C52,D52)</f>
        <v/>
      </c>
      <c r="F52" s="98">
        <f>IF(COUNTIFS('Data - Monthly Metrics'!A:A,$B$4,'Data - Monthly Metrics'!B:B,"Jan",'Data - Monthly Metrics'!C:C,"Pierce",'Data - Monthly Metrics'!D:D,"Members Retained - Target (#)")=0,"-",SUMIFS('Data - Monthly Metrics'!E:E,'Data - Monthly Metrics'!A:A,$B$4,'Data - Monthly Metrics'!B:B,"Jan",'Data - Monthly Metrics'!C:C,"Pierce",'Data - Monthly Metrics'!D:D,"Members Retained - Target (#)"))</f>
        <v/>
      </c>
      <c r="G52" s="98">
        <f>IF(COUNTIFS('Data - Monthly Metrics'!A:A,$B$4,'Data - Monthly Metrics'!B:B,"Feb",'Data - Monthly Metrics'!C:C,"Pierce",'Data - Monthly Metrics'!D:D,"Members Retained - Target (#)")=0,"-",SUMIFS('Data - Monthly Metrics'!E:E,'Data - Monthly Metrics'!A:A,$B$4,'Data - Monthly Metrics'!B:B,"Feb",'Data - Monthly Metrics'!C:C,"Pierce",'Data - Monthly Metrics'!D:D,"Members Retained - Target (#)"))</f>
        <v/>
      </c>
      <c r="H52" s="98">
        <f>IF(COUNTIFS('Data - Monthly Metrics'!A:A,$B$4,'Data - Monthly Metrics'!B:B,"Mar",'Data - Monthly Metrics'!C:C,"Pierce",'Data - Monthly Metrics'!D:D,"Members Retained - Target (#)")=0,"-",SUMIFS('Data - Monthly Metrics'!E:E,'Data - Monthly Metrics'!A:A,$B$4,'Data - Monthly Metrics'!B:B,"Mar",'Data - Monthly Metrics'!C:C,"Pierce",'Data - Monthly Metrics'!D:D,"Members Retained - Target (#)"))</f>
        <v/>
      </c>
      <c r="I52" s="103">
        <f>SUM(F52,G52,H52)</f>
        <v/>
      </c>
      <c r="J52" s="98">
        <f>IF(COUNTIFS('Data - Monthly Metrics'!A:A,$B$4,'Data - Monthly Metrics'!B:B,"Apr",'Data - Monthly Metrics'!C:C,"Pierce",'Data - Monthly Metrics'!D:D,"Members Retained - Target (#)")=0,"-",SUMIFS('Data - Monthly Metrics'!E:E,'Data - Monthly Metrics'!A:A,$B$4,'Data - Monthly Metrics'!B:B,"Apr",'Data - Monthly Metrics'!C:C,"Pierce",'Data - Monthly Metrics'!D:D,"Members Retained - Target (#)"))</f>
        <v/>
      </c>
      <c r="K52" s="98">
        <f>IF(COUNTIFS('Data - Monthly Metrics'!A:A,$B$4,'Data - Monthly Metrics'!B:B,"May",'Data - Monthly Metrics'!C:C,"Pierce",'Data - Monthly Metrics'!D:D,"Members Retained - Target (#)")=0,"-",SUMIFS('Data - Monthly Metrics'!E:E,'Data - Monthly Metrics'!A:A,$B$4,'Data - Monthly Metrics'!B:B,"May",'Data - Monthly Metrics'!C:C,"Pierce",'Data - Monthly Metrics'!D:D,"Members Retained - Target (#)"))</f>
        <v/>
      </c>
      <c r="L52" s="98">
        <f>IF(COUNTIFS('Data - Monthly Metrics'!A:A,$B$4,'Data - Monthly Metrics'!B:B,"Jun",'Data - Monthly Metrics'!C:C,"Pierce",'Data - Monthly Metrics'!D:D,"Members Retained - Target (#)")=0,"-",SUMIFS('Data - Monthly Metrics'!E:E,'Data - Monthly Metrics'!A:A,$B$4,'Data - Monthly Metrics'!B:B,"Jun",'Data - Monthly Metrics'!C:C,"Pierce",'Data - Monthly Metrics'!D:D,"Members Retained - Target (#)"))</f>
        <v/>
      </c>
      <c r="M52" s="103">
        <f>SUM(J52,K52,L52)</f>
        <v/>
      </c>
      <c r="N52" s="98">
        <f>IF(COUNTIFS('Data - Monthly Metrics'!A:A,$B$4,'Data - Monthly Metrics'!B:B,"Jul",'Data - Monthly Metrics'!C:C,"Pierce",'Data - Monthly Metrics'!D:D,"Members Retained - Target (#)")=0,"-",SUMIFS('Data - Monthly Metrics'!E:E,'Data - Monthly Metrics'!A:A,$B$4,'Data - Monthly Metrics'!B:B,"Jul",'Data - Monthly Metrics'!C:C,"Pierce",'Data - Monthly Metrics'!D:D,"Members Retained - Target (#)"))</f>
        <v/>
      </c>
      <c r="O52" s="98">
        <f>IF(COUNTIFS('Data - Monthly Metrics'!A:A,$B$4,'Data - Monthly Metrics'!B:B,"Aug",'Data - Monthly Metrics'!C:C,"Pierce",'Data - Monthly Metrics'!D:D,"Members Retained - Target (#)")=0,"-",SUMIFS('Data - Monthly Metrics'!E:E,'Data - Monthly Metrics'!A:A,$B$4,'Data - Monthly Metrics'!B:B,"Aug",'Data - Monthly Metrics'!C:C,"Pierce",'Data - Monthly Metrics'!D:D,"Members Retained - Target (#)"))</f>
        <v/>
      </c>
      <c r="P52" s="98">
        <f>IF(COUNTIFS('Data - Monthly Metrics'!A:A,$B$4,'Data - Monthly Metrics'!B:B,"Sep",'Data - Monthly Metrics'!C:C,"Pierce",'Data - Monthly Metrics'!D:D,"Members Retained - Target (#)")=0,"-",SUMIFS('Data - Monthly Metrics'!E:E,'Data - Monthly Metrics'!A:A,$B$4,'Data - Monthly Metrics'!B:B,"Sep",'Data - Monthly Metrics'!C:C,"Pierce",'Data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Metrics'!$C:$C,"Pierce",'Data - Monthly Metrics'!$D:$D,"Goal - Retention %")=0),"—",IF(B53&gt;=SUMIFS('Data - Monthly Metrics'!$E:$E,'Data - Monthly Metrics'!$A:$A,$B$4-1,'Data - Monthly Metrics'!$B:$B,B$8,'Data - Monthly Metrics'!$C:$C,"Pierce",'Data - Monthly Metrics'!$D:$D,"Goal - Retention %"),"On Track",IF(B53&gt;=SUMIFS('Data - Monthly Metrics'!$E:$E,'Data - Monthly Metrics'!$A:$A,$B$4-1,'Data - Monthly Metrics'!$B:$B,B$8,'Data - Monthly Metrics'!$C:$C,"Pierce",'Data - Monthly Metrics'!$D:$D,"Goal - Retention %")-0.05,"Watch","At Risk")))</f>
        <v/>
      </c>
      <c r="C54" s="120">
        <f>IF(OR(NOT(ISNUMBER(C53)),C53=0,COUNTIFS('Data - Monthly Metrics'!$A:$A,$B$4-1,'Data - Monthly Metrics'!$B:$B,C$8,'Data - Monthly Metrics'!$C:$C,"Pierce",'Data - Monthly Metrics'!$D:$D,"Goal - Retention %")=0),"—",IF(C53&gt;=SUMIFS('Data - Monthly Metrics'!$E:$E,'Data - Monthly Metrics'!$A:$A,$B$4-1,'Data - Monthly Metrics'!$B:$B,C$8,'Data - Monthly Metrics'!$C:$C,"Pierce",'Data - Monthly Metrics'!$D:$D,"Goal - Retention %"),"On Track",IF(C53&gt;=SUMIFS('Data - Monthly Metrics'!$E:$E,'Data - Monthly Metrics'!$A:$A,$B$4-1,'Data - Monthly Metrics'!$B:$B,C$8,'Data - Monthly Metrics'!$C:$C,"Pierce",'Data - Monthly Metrics'!$D:$D,"Goal - Retention %")-0.05,"Watch","At Risk")))</f>
        <v/>
      </c>
      <c r="D54" s="120">
        <f>IF(OR(NOT(ISNUMBER(D53)),D53=0,COUNTIFS('Data - Monthly Metrics'!$A:$A,$B$4-1,'Data - Monthly Metrics'!$B:$B,D$8,'Data - Monthly Metrics'!$C:$C,"Pierce",'Data - Monthly Metrics'!$D:$D,"Goal - Retention %")=0),"—",IF(D53&gt;=SUMIFS('Data - Monthly Metrics'!$E:$E,'Data - Monthly Metrics'!$A:$A,$B$4-1,'Data - Monthly Metrics'!$B:$B,D$8,'Data - Monthly Metrics'!$C:$C,"Pierce",'Data - Monthly Metrics'!$D:$D,"Goal - Retention %"),"On Track",IF(D53&gt;=SUMIFS('Data - Monthly Metrics'!$E:$E,'Data - Monthly Metrics'!$A:$A,$B$4-1,'Data - Monthly Metrics'!$B:$B,D$8,'Data - Monthly Metrics'!$C:$C,"Pierce",'Data - Monthly Metrics'!$D:$D,"Goal - Retention %")-0.05,"Watch","At Risk")))</f>
        <v/>
      </c>
      <c r="E54" s="121">
        <f>"—"</f>
        <v/>
      </c>
      <c r="F54" s="120">
        <f>IF(OR(NOT(ISNUMBER(F53)),F53=0,COUNTIFS('Data - Monthly Metrics'!$A:$A,$B$4,'Data - Monthly Metrics'!$B:$B,F$8,'Data - Monthly Metrics'!$C:$C,"Pierce",'Data - Monthly Metrics'!$D:$D,"Goal - Retention %")=0),"—",IF(F53&gt;=SUMIFS('Data - Monthly Metrics'!$E:$E,'Data - Monthly Metrics'!$A:$A,$B$4,'Data - Monthly Metrics'!$B:$B,F$8,'Data - Monthly Metrics'!$C:$C,"Pierce",'Data - Monthly Metrics'!$D:$D,"Goal - Retention %"),"On Track",IF(F53&gt;=SUMIFS('Data - Monthly Metrics'!$E:$E,'Data - Monthly Metrics'!$A:$A,$B$4,'Data - Monthly Metrics'!$B:$B,F$8,'Data - Monthly Metrics'!$C:$C,"Pierce",'Data - Monthly Metrics'!$D:$D,"Goal - Retention %")-0.05,"Watch","At Risk")))</f>
        <v/>
      </c>
      <c r="G54" s="120">
        <f>IF(OR(NOT(ISNUMBER(G53)),G53=0,COUNTIFS('Data - Monthly Metrics'!$A:$A,$B$4,'Data - Monthly Metrics'!$B:$B,G$8,'Data - Monthly Metrics'!$C:$C,"Pierce",'Data - Monthly Metrics'!$D:$D,"Goal - Retention %")=0),"—",IF(G53&gt;=SUMIFS('Data - Monthly Metrics'!$E:$E,'Data - Monthly Metrics'!$A:$A,$B$4,'Data - Monthly Metrics'!$B:$B,G$8,'Data - Monthly Metrics'!$C:$C,"Pierce",'Data - Monthly Metrics'!$D:$D,"Goal - Retention %"),"On Track",IF(G53&gt;=SUMIFS('Data - Monthly Metrics'!$E:$E,'Data - Monthly Metrics'!$A:$A,$B$4,'Data - Monthly Metrics'!$B:$B,G$8,'Data - Monthly Metrics'!$C:$C,"Pierce",'Data - Monthly Metrics'!$D:$D,"Goal - Retention %")-0.05,"Watch","At Risk")))</f>
        <v/>
      </c>
      <c r="H54" s="120">
        <f>IF(OR(NOT(ISNUMBER(H53)),H53=0,COUNTIFS('Data - Monthly Metrics'!$A:$A,$B$4,'Data - Monthly Metrics'!$B:$B,H$8,'Data - Monthly Metrics'!$C:$C,"Pierce",'Data - Monthly Metrics'!$D:$D,"Goal - Retention %")=0),"—",IF(H53&gt;=SUMIFS('Data - Monthly Metrics'!$E:$E,'Data - Monthly Metrics'!$A:$A,$B$4,'Data - Monthly Metrics'!$B:$B,H$8,'Data - Monthly Metrics'!$C:$C,"Pierce",'Data - Monthly Metrics'!$D:$D,"Goal - Retention %"),"On Track",IF(H53&gt;=SUMIFS('Data - Monthly Metrics'!$E:$E,'Data - Monthly Metrics'!$A:$A,$B$4,'Data - Monthly Metrics'!$B:$B,H$8,'Data - Monthly Metrics'!$C:$C,"Pierce",'Data - Monthly Metrics'!$D:$D,"Goal - Retention %")-0.05,"Watch","At Risk")))</f>
        <v/>
      </c>
      <c r="I54" s="121">
        <f>"—"</f>
        <v/>
      </c>
      <c r="J54" s="120">
        <f>IF(OR(NOT(ISNUMBER(J53)),J53=0,COUNTIFS('Data - Monthly Metrics'!$A:$A,$B$4,'Data - Monthly Metrics'!$B:$B,J$8,'Data - Monthly Metrics'!$C:$C,"Pierce",'Data - Monthly Metrics'!$D:$D,"Goal - Retention %")=0),"—",IF(J53&gt;=SUMIFS('Data - Monthly Metrics'!$E:$E,'Data - Monthly Metrics'!$A:$A,$B$4,'Data - Monthly Metrics'!$B:$B,J$8,'Data - Monthly Metrics'!$C:$C,"Pierce",'Data - Monthly Metrics'!$D:$D,"Goal - Retention %"),"On Track",IF(J53&gt;=SUMIFS('Data - Monthly Metrics'!$E:$E,'Data - Monthly Metrics'!$A:$A,$B$4,'Data - Monthly Metrics'!$B:$B,J$8,'Data - Monthly Metrics'!$C:$C,"Pierce",'Data - Monthly Metrics'!$D:$D,"Goal - Retention %")-0.05,"Watch","At Risk")))</f>
        <v/>
      </c>
      <c r="K54" s="120">
        <f>IF(OR(NOT(ISNUMBER(K53)),K53=0,COUNTIFS('Data - Monthly Metrics'!$A:$A,$B$4,'Data - Monthly Metrics'!$B:$B,K$8,'Data - Monthly Metrics'!$C:$C,"Pierce",'Data - Monthly Metrics'!$D:$D,"Goal - Retention %")=0),"—",IF(K53&gt;=SUMIFS('Data - Monthly Metrics'!$E:$E,'Data - Monthly Metrics'!$A:$A,$B$4,'Data - Monthly Metrics'!$B:$B,K$8,'Data - Monthly Metrics'!$C:$C,"Pierce",'Data - Monthly Metrics'!$D:$D,"Goal - Retention %"),"On Track",IF(K53&gt;=SUMIFS('Data - Monthly Metrics'!$E:$E,'Data - Monthly Metrics'!$A:$A,$B$4,'Data - Monthly Metrics'!$B:$B,K$8,'Data - Monthly Metrics'!$C:$C,"Pierce",'Data - Monthly Metrics'!$D:$D,"Goal - Retention %")-0.05,"Watch","At Risk")))</f>
        <v/>
      </c>
      <c r="L54" s="120">
        <f>IF(OR(NOT(ISNUMBER(L53)),L53=0,COUNTIFS('Data - Monthly Metrics'!$A:$A,$B$4,'Data - Monthly Metrics'!$B:$B,L$8,'Data - Monthly Metrics'!$C:$C,"Pierce",'Data - Monthly Metrics'!$D:$D,"Goal - Retention %")=0),"—",IF(L53&gt;=SUMIFS('Data - Monthly Metrics'!$E:$E,'Data - Monthly Metrics'!$A:$A,$B$4,'Data - Monthly Metrics'!$B:$B,L$8,'Data - Monthly Metrics'!$C:$C,"Pierce",'Data - Monthly Metrics'!$D:$D,"Goal - Retention %"),"On Track",IF(L53&gt;=SUMIFS('Data - Monthly Metrics'!$E:$E,'Data - Monthly Metrics'!$A:$A,$B$4,'Data - Monthly Metrics'!$B:$B,L$8,'Data - Monthly Metrics'!$C:$C,"Pierce",'Data - Monthly Metrics'!$D:$D,"Goal - Retention %")-0.05,"Watch","At Risk")))</f>
        <v/>
      </c>
      <c r="M54" s="121">
        <f>"—"</f>
        <v/>
      </c>
      <c r="N54" s="120">
        <f>IF(OR(NOT(ISNUMBER(N53)),N53=0,COUNTIFS('Data - Monthly Metrics'!$A:$A,$B$4,'Data - Monthly Metrics'!$B:$B,N$8,'Data - Monthly Metrics'!$C:$C,"Pierce",'Data - Monthly Metrics'!$D:$D,"Goal - Retention %")=0),"—",IF(N53&gt;=SUMIFS('Data - Monthly Metrics'!$E:$E,'Data - Monthly Metrics'!$A:$A,$B$4,'Data - Monthly Metrics'!$B:$B,N$8,'Data - Monthly Metrics'!$C:$C,"Pierce",'Data - Monthly Metrics'!$D:$D,"Goal - Retention %"),"On Track",IF(N53&gt;=SUMIFS('Data - Monthly Metrics'!$E:$E,'Data - Monthly Metrics'!$A:$A,$B$4,'Data - Monthly Metrics'!$B:$B,N$8,'Data - Monthly Metrics'!$C:$C,"Pierce",'Data - Monthly Metrics'!$D:$D,"Goal - Retention %")-0.05,"Watch","At Risk")))</f>
        <v/>
      </c>
      <c r="O54" s="120">
        <f>IF(OR(NOT(ISNUMBER(O53)),O53=0,COUNTIFS('Data - Monthly Metrics'!$A:$A,$B$4,'Data - Monthly Metrics'!$B:$B,O$8,'Data - Monthly Metrics'!$C:$C,"Pierce",'Data - Monthly Metrics'!$D:$D,"Goal - Retention %")=0),"—",IF(O53&gt;=SUMIFS('Data - Monthly Metrics'!$E:$E,'Data - Monthly Metrics'!$A:$A,$B$4,'Data - Monthly Metrics'!$B:$B,O$8,'Data - Monthly Metrics'!$C:$C,"Pierce",'Data - Monthly Metrics'!$D:$D,"Goal - Retention %"),"On Track",IF(O53&gt;=SUMIFS('Data - Monthly Metrics'!$E:$E,'Data - Monthly Metrics'!$A:$A,$B$4,'Data - Monthly Metrics'!$B:$B,O$8,'Data - Monthly Metrics'!$C:$C,"Pierce",'Data - Monthly Metrics'!$D:$D,"Goal - Retention %")-0.05,"Watch","At Risk")))</f>
        <v/>
      </c>
      <c r="P54" s="120">
        <f>IF(OR(NOT(ISNUMBER(P53)),P53=0,COUNTIFS('Data - Monthly Metrics'!$A:$A,$B$4,'Data - Monthly Metrics'!$B:$B,P$8,'Data - Monthly Metrics'!$C:$C,"Pierce",'Data - Monthly Metrics'!$D:$D,"Goal - Retention %")=0),"—",IF(P53&gt;=SUMIFS('Data - Monthly Metrics'!$E:$E,'Data - Monthly Metrics'!$A:$A,$B$4,'Data - Monthly Metrics'!$B:$B,P$8,'Data - Monthly Metrics'!$C:$C,"Pierce",'Data - Monthly Metrics'!$D:$D,"Goal - Retention %"),"On Track",IF(P53&gt;=SUMIFS('Data - Monthly Metrics'!$E:$E,'Data - Monthly Metrics'!$A:$A,$B$4,'Data - Monthly Metrics'!$B:$B,P$8,'Data - Monthly Metrics'!$C:$C,"Pierce",'Data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Metrics'!C:C,"Pierce",'Data - Monthly Metrics'!D:D,"Revenue Up for Renewal - Target ($)")=0,"-",SUMIFS('Data - Monthly Metrics'!E:E,'Data - Monthly Metrics'!A:A,$B$4-1,'Data - Monthly Metrics'!B:B,"Oct",'Data - Monthly Metrics'!C:C,"Pierce",'Data - Monthly Metrics'!D:D,"Revenue Up for Renewal - Target ($)"))</f>
        <v/>
      </c>
      <c r="C55" s="91">
        <f>IF(COUNTIFS('Data - Monthly Metrics'!A:A,$B$4-1,'Data - Monthly Metrics'!B:B,"Nov",'Data - Monthly Metrics'!C:C,"Pierce",'Data - Monthly Metrics'!D:D,"Revenue Up for Renewal - Target ($)")=0,"-",SUMIFS('Data - Monthly Metrics'!E:E,'Data - Monthly Metrics'!A:A,$B$4-1,'Data - Monthly Metrics'!B:B,"Nov",'Data - Monthly Metrics'!C:C,"Pierce",'Data - Monthly Metrics'!D:D,"Revenue Up for Renewal - Target ($)"))</f>
        <v/>
      </c>
      <c r="D55" s="91">
        <f>IF(COUNTIFS('Data - Monthly Metrics'!A:A,$B$4-1,'Data - Monthly Metrics'!B:B,"Dec",'Data - Monthly Metrics'!C:C,"Pierce",'Data - Monthly Metrics'!D:D,"Revenue Up for Renewal - Target ($)")=0,"-",SUMIFS('Data - Monthly Metrics'!E:E,'Data - Monthly Metrics'!A:A,$B$4-1,'Data - Monthly Metrics'!B:B,"Dec",'Data - Monthly Metrics'!C:C,"Pierce",'Data - Monthly Metrics'!D:D,"Revenue Up for Renewal - Target ($)"))</f>
        <v/>
      </c>
      <c r="E55" s="101">
        <f>SUM(B55,C55,D55)</f>
        <v/>
      </c>
      <c r="F55" s="91">
        <f>IF(COUNTIFS('Data - Monthly Metrics'!A:A,$B$4,'Data - Monthly Metrics'!B:B,"Jan",'Data - Monthly Metrics'!C:C,"Pierce",'Data - Monthly Metrics'!D:D,"Revenue Up for Renewal - Target ($)")=0,"-",SUMIFS('Data - Monthly Metrics'!E:E,'Data - Monthly Metrics'!A:A,$B$4,'Data - Monthly Metrics'!B:B,"Jan",'Data - Monthly Metrics'!C:C,"Pierce",'Data - Monthly Metrics'!D:D,"Revenue Up for Renewal - Target ($)"))</f>
        <v/>
      </c>
      <c r="G55" s="91">
        <f>IF(COUNTIFS('Data - Monthly Metrics'!A:A,$B$4,'Data - Monthly Metrics'!B:B,"Feb",'Data - Monthly Metrics'!C:C,"Pierce",'Data - Monthly Metrics'!D:D,"Revenue Up for Renewal - Target ($)")=0,"-",SUMIFS('Data - Monthly Metrics'!E:E,'Data - Monthly Metrics'!A:A,$B$4,'Data - Monthly Metrics'!B:B,"Feb",'Data - Monthly Metrics'!C:C,"Pierce",'Data - Monthly Metrics'!D:D,"Revenue Up for Renewal - Target ($)"))</f>
        <v/>
      </c>
      <c r="H55" s="91">
        <f>IF(COUNTIFS('Data - Monthly Metrics'!A:A,$B$4,'Data - Monthly Metrics'!B:B,"Mar",'Data - Monthly Metrics'!C:C,"Pierce",'Data - Monthly Metrics'!D:D,"Revenue Up for Renewal - Target ($)")=0,"-",SUMIFS('Data - Monthly Metrics'!E:E,'Data - Monthly Metrics'!A:A,$B$4,'Data - Monthly Metrics'!B:B,"Mar",'Data - Monthly Metrics'!C:C,"Pierce",'Data - Monthly Metrics'!D:D,"Revenue Up for Renewal - Target ($)"))</f>
        <v/>
      </c>
      <c r="I55" s="101">
        <f>SUM(F55,G55,H55)</f>
        <v/>
      </c>
      <c r="J55" s="91">
        <f>IF(COUNTIFS('Data - Monthly Metrics'!A:A,$B$4,'Data - Monthly Metrics'!B:B,"Apr",'Data - Monthly Metrics'!C:C,"Pierce",'Data - Monthly Metrics'!D:D,"Revenue Up for Renewal - Target ($)")=0,"-",SUMIFS('Data - Monthly Metrics'!E:E,'Data - Monthly Metrics'!A:A,$B$4,'Data - Monthly Metrics'!B:B,"Apr",'Data - Monthly Metrics'!C:C,"Pierce",'Data - Monthly Metrics'!D:D,"Revenue Up for Renewal - Target ($)"))</f>
        <v/>
      </c>
      <c r="K55" s="91">
        <f>IF(COUNTIFS('Data - Monthly Metrics'!A:A,$B$4,'Data - Monthly Metrics'!B:B,"May",'Data - Monthly Metrics'!C:C,"Pierce",'Data - Monthly Metrics'!D:D,"Revenue Up for Renewal - Target ($)")=0,"-",SUMIFS('Data - Monthly Metrics'!E:E,'Data - Monthly Metrics'!A:A,$B$4,'Data - Monthly Metrics'!B:B,"May",'Data - Monthly Metrics'!C:C,"Pierce",'Data - Monthly Metrics'!D:D,"Revenue Up for Renewal - Target ($)"))</f>
        <v/>
      </c>
      <c r="L55" s="91">
        <f>IF(COUNTIFS('Data - Monthly Metrics'!A:A,$B$4,'Data - Monthly Metrics'!B:B,"Jun",'Data - Monthly Metrics'!C:C,"Pierce",'Data - Monthly Metrics'!D:D,"Revenue Up for Renewal - Target ($)")=0,"-",SUMIFS('Data - Monthly Metrics'!E:E,'Data - Monthly Metrics'!A:A,$B$4,'Data - Monthly Metrics'!B:B,"Jun",'Data - Monthly Metrics'!C:C,"Pierce",'Data - Monthly Metrics'!D:D,"Revenue Up for Renewal - Target ($)"))</f>
        <v/>
      </c>
      <c r="M55" s="101">
        <f>SUM(J55,K55,L55)</f>
        <v/>
      </c>
      <c r="N55" s="91">
        <f>IF(COUNTIFS('Data - Monthly Metrics'!A:A,$B$4,'Data - Monthly Metrics'!B:B,"Jul",'Data - Monthly Metrics'!C:C,"Pierce",'Data - Monthly Metrics'!D:D,"Revenue Up for Renewal - Target ($)")=0,"-",SUMIFS('Data - Monthly Metrics'!E:E,'Data - Monthly Metrics'!A:A,$B$4,'Data - Monthly Metrics'!B:B,"Jul",'Data - Monthly Metrics'!C:C,"Pierce",'Data - Monthly Metrics'!D:D,"Revenue Up for Renewal - Target ($)"))</f>
        <v/>
      </c>
      <c r="O55" s="91">
        <f>IF(COUNTIFS('Data - Monthly Metrics'!A:A,$B$4,'Data - Monthly Metrics'!B:B,"Aug",'Data - Monthly Metrics'!C:C,"Pierce",'Data - Monthly Metrics'!D:D,"Revenue Up for Renewal - Target ($)")=0,"-",SUMIFS('Data - Monthly Metrics'!E:E,'Data - Monthly Metrics'!A:A,$B$4,'Data - Monthly Metrics'!B:B,"Aug",'Data - Monthly Metrics'!C:C,"Pierce",'Data - Monthly Metrics'!D:D,"Revenue Up for Renewal - Target ($)"))</f>
        <v/>
      </c>
      <c r="P55" s="91">
        <f>IF(COUNTIFS('Data - Monthly Metrics'!A:A,$B$4,'Data - Monthly Metrics'!B:B,"Sep",'Data - Monthly Metrics'!C:C,"Pierce",'Data - Monthly Metrics'!D:D,"Revenue Up for Renewal - Target ($)")=0,"-",SUMIFS('Data - Monthly Metrics'!E:E,'Data - Monthly Metrics'!A:A,$B$4,'Data - Monthly Metrics'!B:B,"Sep",'Data - Monthly Metrics'!C:C,"Pierce",'Data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Metrics'!C:C,"Pierce",'Data - Monthly Metrics'!D:D,"Revenue Retained - Target ($)")=0,"-",SUMIFS('Data - Monthly Metrics'!E:E,'Data - Monthly Metrics'!A:A,$B$4-1,'Data - Monthly Metrics'!B:B,"Oct",'Data - Monthly Metrics'!C:C,"Pierce",'Data - Monthly Metrics'!D:D,"Revenue Retained - Target ($)"))</f>
        <v/>
      </c>
      <c r="C56" s="96">
        <f>IF(COUNTIFS('Data - Monthly Metrics'!A:A,$B$4-1,'Data - Monthly Metrics'!B:B,"Nov",'Data - Monthly Metrics'!C:C,"Pierce",'Data - Monthly Metrics'!D:D,"Revenue Retained - Target ($)")=0,"-",SUMIFS('Data - Monthly Metrics'!E:E,'Data - Monthly Metrics'!A:A,$B$4-1,'Data - Monthly Metrics'!B:B,"Nov",'Data - Monthly Metrics'!C:C,"Pierce",'Data - Monthly Metrics'!D:D,"Revenue Retained - Target ($)"))</f>
        <v/>
      </c>
      <c r="D56" s="96">
        <f>IF(COUNTIFS('Data - Monthly Metrics'!A:A,$B$4-1,'Data - Monthly Metrics'!B:B,"Dec",'Data - Monthly Metrics'!C:C,"Pierce",'Data - Monthly Metrics'!D:D,"Revenue Retained - Target ($)")=0,"-",SUMIFS('Data - Monthly Metrics'!E:E,'Data - Monthly Metrics'!A:A,$B$4-1,'Data - Monthly Metrics'!B:B,"Dec",'Data - Monthly Metrics'!C:C,"Pierce",'Data - Monthly Metrics'!D:D,"Revenue Retained - Target ($)"))</f>
        <v/>
      </c>
      <c r="E56" s="101">
        <f>SUM(B56,C56,D56)</f>
        <v/>
      </c>
      <c r="F56" s="96">
        <f>IF(COUNTIFS('Data - Monthly Metrics'!A:A,$B$4,'Data - Monthly Metrics'!B:B,"Jan",'Data - Monthly Metrics'!C:C,"Pierce",'Data - Monthly Metrics'!D:D,"Revenue Retained - Target ($)")=0,"-",SUMIFS('Data - Monthly Metrics'!E:E,'Data - Monthly Metrics'!A:A,$B$4,'Data - Monthly Metrics'!B:B,"Jan",'Data - Monthly Metrics'!C:C,"Pierce",'Data - Monthly Metrics'!D:D,"Revenue Retained - Target ($)"))</f>
        <v/>
      </c>
      <c r="G56" s="96">
        <f>IF(COUNTIFS('Data - Monthly Metrics'!A:A,$B$4,'Data - Monthly Metrics'!B:B,"Feb",'Data - Monthly Metrics'!C:C,"Pierce",'Data - Monthly Metrics'!D:D,"Revenue Retained - Target ($)")=0,"-",SUMIFS('Data - Monthly Metrics'!E:E,'Data - Monthly Metrics'!A:A,$B$4,'Data - Monthly Metrics'!B:B,"Feb",'Data - Monthly Metrics'!C:C,"Pierce",'Data - Monthly Metrics'!D:D,"Revenue Retained - Target ($)"))</f>
        <v/>
      </c>
      <c r="H56" s="96">
        <f>IF(COUNTIFS('Data - Monthly Metrics'!A:A,$B$4,'Data - Monthly Metrics'!B:B,"Mar",'Data - Monthly Metrics'!C:C,"Pierce",'Data - Monthly Metrics'!D:D,"Revenue Retained - Target ($)")=0,"-",SUMIFS('Data - Monthly Metrics'!E:E,'Data - Monthly Metrics'!A:A,$B$4,'Data - Monthly Metrics'!B:B,"Mar",'Data - Monthly Metrics'!C:C,"Pierce",'Data - Monthly Metrics'!D:D,"Revenue Retained - Target ($)"))</f>
        <v/>
      </c>
      <c r="I56" s="101">
        <f>SUM(F56,G56,H56)</f>
        <v/>
      </c>
      <c r="J56" s="96">
        <f>IF(COUNTIFS('Data - Monthly Metrics'!A:A,$B$4,'Data - Monthly Metrics'!B:B,"Apr",'Data - Monthly Metrics'!C:C,"Pierce",'Data - Monthly Metrics'!D:D,"Revenue Retained - Target ($)")=0,"-",SUMIFS('Data - Monthly Metrics'!E:E,'Data - Monthly Metrics'!A:A,$B$4,'Data - Monthly Metrics'!B:B,"Apr",'Data - Monthly Metrics'!C:C,"Pierce",'Data - Monthly Metrics'!D:D,"Revenue Retained - Target ($)"))</f>
        <v/>
      </c>
      <c r="K56" s="96">
        <f>IF(COUNTIFS('Data - Monthly Metrics'!A:A,$B$4,'Data - Monthly Metrics'!B:B,"May",'Data - Monthly Metrics'!C:C,"Pierce",'Data - Monthly Metrics'!D:D,"Revenue Retained - Target ($)")=0,"-",SUMIFS('Data - Monthly Metrics'!E:E,'Data - Monthly Metrics'!A:A,$B$4,'Data - Monthly Metrics'!B:B,"May",'Data - Monthly Metrics'!C:C,"Pierce",'Data - Monthly Metrics'!D:D,"Revenue Retained - Target ($)"))</f>
        <v/>
      </c>
      <c r="L56" s="96">
        <f>IF(COUNTIFS('Data - Monthly Metrics'!A:A,$B$4,'Data - Monthly Metrics'!B:B,"Jun",'Data - Monthly Metrics'!C:C,"Pierce",'Data - Monthly Metrics'!D:D,"Revenue Retained - Target ($)")=0,"-",SUMIFS('Data - Monthly Metrics'!E:E,'Data - Monthly Metrics'!A:A,$B$4,'Data - Monthly Metrics'!B:B,"Jun",'Data - Monthly Metrics'!C:C,"Pierce",'Data - Monthly Metrics'!D:D,"Revenue Retained - Target ($)"))</f>
        <v/>
      </c>
      <c r="M56" s="101">
        <f>SUM(J56,K56,L56)</f>
        <v/>
      </c>
      <c r="N56" s="96">
        <f>IF(COUNTIFS('Data - Monthly Metrics'!A:A,$B$4,'Data - Monthly Metrics'!B:B,"Jul",'Data - Monthly Metrics'!C:C,"Pierce",'Data - Monthly Metrics'!D:D,"Revenue Retained - Target ($)")=0,"-",SUMIFS('Data - Monthly Metrics'!E:E,'Data - Monthly Metrics'!A:A,$B$4,'Data - Monthly Metrics'!B:B,"Jul",'Data - Monthly Metrics'!C:C,"Pierce",'Data - Monthly Metrics'!D:D,"Revenue Retained - Target ($)"))</f>
        <v/>
      </c>
      <c r="O56" s="96">
        <f>IF(COUNTIFS('Data - Monthly Metrics'!A:A,$B$4,'Data - Monthly Metrics'!B:B,"Aug",'Data - Monthly Metrics'!C:C,"Pierce",'Data - Monthly Metrics'!D:D,"Revenue Retained - Target ($)")=0,"-",SUMIFS('Data - Monthly Metrics'!E:E,'Data - Monthly Metrics'!A:A,$B$4,'Data - Monthly Metrics'!B:B,"Aug",'Data - Monthly Metrics'!C:C,"Pierce",'Data - Monthly Metrics'!D:D,"Revenue Retained - Target ($)"))</f>
        <v/>
      </c>
      <c r="P56" s="96">
        <f>IF(COUNTIFS('Data - Monthly Metrics'!A:A,$B$4,'Data - Monthly Metrics'!B:B,"Sep",'Data - Monthly Metrics'!C:C,"Pierce",'Data - Monthly Metrics'!D:D,"Revenue Retained - Target ($)")=0,"-",SUMIFS('Data - Monthly Metrics'!E:E,'Data - Monthly Metrics'!A:A,$B$4,'Data - Monthly Metrics'!B:B,"Sep",'Data - Monthly Metrics'!C:C,"Pierce",'Data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Metrics'!C:C,"Pierce",'Data - Monthly Metrics'!D:D,"Retention - Comped Target (#)")=0,"-",SUMIFS('Data - Monthly Metrics'!E:E,'Data - Monthly Metrics'!A:A,$B$4-1,'Data - Monthly Metrics'!B:B,"Oct",'Data - Monthly Metrics'!C:C,"Pierce",'Data - Monthly Metrics'!D:D,"Retention - Comped Target (#)"))</f>
        <v/>
      </c>
      <c r="C57" s="98">
        <f>IF(COUNTIFS('Data - Monthly Metrics'!A:A,$B$4-1,'Data - Monthly Metrics'!B:B,"Nov",'Data - Monthly Metrics'!C:C,"Pierce",'Data - Monthly Metrics'!D:D,"Retention - Comped Target (#)")=0,"-",SUMIFS('Data - Monthly Metrics'!E:E,'Data - Monthly Metrics'!A:A,$B$4-1,'Data - Monthly Metrics'!B:B,"Nov",'Data - Monthly Metrics'!C:C,"Pierce",'Data - Monthly Metrics'!D:D,"Retention - Comped Target (#)"))</f>
        <v/>
      </c>
      <c r="D57" s="98">
        <f>IF(COUNTIFS('Data - Monthly Metrics'!A:A,$B$4-1,'Data - Monthly Metrics'!B:B,"Dec",'Data - Monthly Metrics'!C:C,"Pierce",'Data - Monthly Metrics'!D:D,"Retention - Comped Target (#)")=0,"-",SUMIFS('Data - Monthly Metrics'!E:E,'Data - Monthly Metrics'!A:A,$B$4-1,'Data - Monthly Metrics'!B:B,"Dec",'Data - Monthly Metrics'!C:C,"Pierce",'Data - Monthly Metrics'!D:D,"Retention - Comped Target (#)"))</f>
        <v/>
      </c>
      <c r="E57" s="103">
        <f>SUM(B57,C57,D57)</f>
        <v/>
      </c>
      <c r="F57" s="98">
        <f>IF(COUNTIFS('Data - Monthly Metrics'!A:A,$B$4,'Data - Monthly Metrics'!B:B,"Jan",'Data - Monthly Metrics'!C:C,"Pierce",'Data - Monthly Metrics'!D:D,"Retention - Comped Target (#)")=0,"-",SUMIFS('Data - Monthly Metrics'!E:E,'Data - Monthly Metrics'!A:A,$B$4,'Data - Monthly Metrics'!B:B,"Jan",'Data - Monthly Metrics'!C:C,"Pierce",'Data - Monthly Metrics'!D:D,"Retention - Comped Target (#)"))</f>
        <v/>
      </c>
      <c r="G57" s="98">
        <f>IF(COUNTIFS('Data - Monthly Metrics'!A:A,$B$4,'Data - Monthly Metrics'!B:B,"Feb",'Data - Monthly Metrics'!C:C,"Pierce",'Data - Monthly Metrics'!D:D,"Retention - Comped Target (#)")=0,"-",SUMIFS('Data - Monthly Metrics'!E:E,'Data - Monthly Metrics'!A:A,$B$4,'Data - Monthly Metrics'!B:B,"Feb",'Data - Monthly Metrics'!C:C,"Pierce",'Data - Monthly Metrics'!D:D,"Retention - Comped Target (#)"))</f>
        <v/>
      </c>
      <c r="H57" s="98">
        <f>IF(COUNTIFS('Data - Monthly Metrics'!A:A,$B$4,'Data - Monthly Metrics'!B:B,"Mar",'Data - Monthly Metrics'!C:C,"Pierce",'Data - Monthly Metrics'!D:D,"Retention - Comped Target (#)")=0,"-",SUMIFS('Data - Monthly Metrics'!E:E,'Data - Monthly Metrics'!A:A,$B$4,'Data - Monthly Metrics'!B:B,"Mar",'Data - Monthly Metrics'!C:C,"Pierce",'Data - Monthly Metrics'!D:D,"Retention - Comped Target (#)"))</f>
        <v/>
      </c>
      <c r="I57" s="103">
        <f>SUM(F57,G57,H57)</f>
        <v/>
      </c>
      <c r="J57" s="98">
        <f>IF(COUNTIFS('Data - Monthly Metrics'!A:A,$B$4,'Data - Monthly Metrics'!B:B,"Apr",'Data - Monthly Metrics'!C:C,"Pierce",'Data - Monthly Metrics'!D:D,"Retention - Comped Target (#)")=0,"-",SUMIFS('Data - Monthly Metrics'!E:E,'Data - Monthly Metrics'!A:A,$B$4,'Data - Monthly Metrics'!B:B,"Apr",'Data - Monthly Metrics'!C:C,"Pierce",'Data - Monthly Metrics'!D:D,"Retention - Comped Target (#)"))</f>
        <v/>
      </c>
      <c r="K57" s="98">
        <f>IF(COUNTIFS('Data - Monthly Metrics'!A:A,$B$4,'Data - Monthly Metrics'!B:B,"May",'Data - Monthly Metrics'!C:C,"Pierce",'Data - Monthly Metrics'!D:D,"Retention - Comped Target (#)")=0,"-",SUMIFS('Data - Monthly Metrics'!E:E,'Data - Monthly Metrics'!A:A,$B$4,'Data - Monthly Metrics'!B:B,"May",'Data - Monthly Metrics'!C:C,"Pierce",'Data - Monthly Metrics'!D:D,"Retention - Comped Target (#)"))</f>
        <v/>
      </c>
      <c r="L57" s="98">
        <f>IF(COUNTIFS('Data - Monthly Metrics'!A:A,$B$4,'Data - Monthly Metrics'!B:B,"Jun",'Data - Monthly Metrics'!C:C,"Pierce",'Data - Monthly Metrics'!D:D,"Retention - Comped Target (#)")=0,"-",SUMIFS('Data - Monthly Metrics'!E:E,'Data - Monthly Metrics'!A:A,$B$4,'Data - Monthly Metrics'!B:B,"Jun",'Data - Monthly Metrics'!C:C,"Pierce",'Data - Monthly Metrics'!D:D,"Retention - Comped Target (#)"))</f>
        <v/>
      </c>
      <c r="M57" s="103">
        <f>SUM(J57,K57,L57)</f>
        <v/>
      </c>
      <c r="N57" s="98">
        <f>IF(COUNTIFS('Data - Monthly Metrics'!A:A,$B$4,'Data - Monthly Metrics'!B:B,"Jul",'Data - Monthly Metrics'!C:C,"Pierce",'Data - Monthly Metrics'!D:D,"Retention - Comped Target (#)")=0,"-",SUMIFS('Data - Monthly Metrics'!E:E,'Data - Monthly Metrics'!A:A,$B$4,'Data - Monthly Metrics'!B:B,"Jul",'Data - Monthly Metrics'!C:C,"Pierce",'Data - Monthly Metrics'!D:D,"Retention - Comped Target (#)"))</f>
        <v/>
      </c>
      <c r="O57" s="98">
        <f>IF(COUNTIFS('Data - Monthly Metrics'!A:A,$B$4,'Data - Monthly Metrics'!B:B,"Aug",'Data - Monthly Metrics'!C:C,"Pierce",'Data - Monthly Metrics'!D:D,"Retention - Comped Target (#)")=0,"-",SUMIFS('Data - Monthly Metrics'!E:E,'Data - Monthly Metrics'!A:A,$B$4,'Data - Monthly Metrics'!B:B,"Aug",'Data - Monthly Metrics'!C:C,"Pierce",'Data - Monthly Metrics'!D:D,"Retention - Comped Target (#)"))</f>
        <v/>
      </c>
      <c r="P57" s="98">
        <f>IF(COUNTIFS('Data - Monthly Metrics'!A:A,$B$4,'Data - Monthly Metrics'!B:B,"Sep",'Data - Monthly Metrics'!C:C,"Pierce",'Data - Monthly Metrics'!D:D,"Retention - Comped Target (#)")=0,"-",SUMIFS('Data - Monthly Metrics'!E:E,'Data - Monthly Metrics'!A:A,$B$4,'Data - Monthly Metrics'!B:B,"Sep",'Data - Monthly Metrics'!C:C,"Pierce",'Data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Metrics'!C:C,"Pierce",'Data - Monthly Metrics'!D:D,"Retention - Comped Target ($)")=0,"-",SUMIFS('Data - Monthly Metrics'!E:E,'Data - Monthly Metrics'!A:A,$B$4-1,'Data - Monthly Metrics'!B:B,"Oct",'Data - Monthly Metrics'!C:C,"Pierce",'Data - Monthly Metrics'!D:D,"Retention - Comped Target ($)"))</f>
        <v/>
      </c>
      <c r="C58" s="96">
        <f>IF(COUNTIFS('Data - Monthly Metrics'!A:A,$B$4-1,'Data - Monthly Metrics'!B:B,"Nov",'Data - Monthly Metrics'!C:C,"Pierce",'Data - Monthly Metrics'!D:D,"Retention - Comped Target ($)")=0,"-",SUMIFS('Data - Monthly Metrics'!E:E,'Data - Monthly Metrics'!A:A,$B$4-1,'Data - Monthly Metrics'!B:B,"Nov",'Data - Monthly Metrics'!C:C,"Pierce",'Data - Monthly Metrics'!D:D,"Retention - Comped Target ($)"))</f>
        <v/>
      </c>
      <c r="D58" s="96">
        <f>IF(COUNTIFS('Data - Monthly Metrics'!A:A,$B$4-1,'Data - Monthly Metrics'!B:B,"Dec",'Data - Monthly Metrics'!C:C,"Pierce",'Data - Monthly Metrics'!D:D,"Retention - Comped Target ($)")=0,"-",SUMIFS('Data - Monthly Metrics'!E:E,'Data - Monthly Metrics'!A:A,$B$4-1,'Data - Monthly Metrics'!B:B,"Dec",'Data - Monthly Metrics'!C:C,"Pierce",'Data - Monthly Metrics'!D:D,"Retention - Comped Target ($)"))</f>
        <v/>
      </c>
      <c r="E58" s="101">
        <f>SUM(B58,C58,D58)</f>
        <v/>
      </c>
      <c r="F58" s="96">
        <f>IF(COUNTIFS('Data - Monthly Metrics'!A:A,$B$4,'Data - Monthly Metrics'!B:B,"Jan",'Data - Monthly Metrics'!C:C,"Pierce",'Data - Monthly Metrics'!D:D,"Retention - Comped Target ($)")=0,"-",SUMIFS('Data - Monthly Metrics'!E:E,'Data - Monthly Metrics'!A:A,$B$4,'Data - Monthly Metrics'!B:B,"Jan",'Data - Monthly Metrics'!C:C,"Pierce",'Data - Monthly Metrics'!D:D,"Retention - Comped Target ($)"))</f>
        <v/>
      </c>
      <c r="G58" s="96">
        <f>IF(COUNTIFS('Data - Monthly Metrics'!A:A,$B$4,'Data - Monthly Metrics'!B:B,"Feb",'Data - Monthly Metrics'!C:C,"Pierce",'Data - Monthly Metrics'!D:D,"Retention - Comped Target ($)")=0,"-",SUMIFS('Data - Monthly Metrics'!E:E,'Data - Monthly Metrics'!A:A,$B$4,'Data - Monthly Metrics'!B:B,"Feb",'Data - Monthly Metrics'!C:C,"Pierce",'Data - Monthly Metrics'!D:D,"Retention - Comped Target ($)"))</f>
        <v/>
      </c>
      <c r="H58" s="96">
        <f>IF(COUNTIFS('Data - Monthly Metrics'!A:A,$B$4,'Data - Monthly Metrics'!B:B,"Mar",'Data - Monthly Metrics'!C:C,"Pierce",'Data - Monthly Metrics'!D:D,"Retention - Comped Target ($)")=0,"-",SUMIFS('Data - Monthly Metrics'!E:E,'Data - Monthly Metrics'!A:A,$B$4,'Data - Monthly Metrics'!B:B,"Mar",'Data - Monthly Metrics'!C:C,"Pierce",'Data - Monthly Metrics'!D:D,"Retention - Comped Target ($)"))</f>
        <v/>
      </c>
      <c r="I58" s="101">
        <f>SUM(F58,G58,H58)</f>
        <v/>
      </c>
      <c r="J58" s="96">
        <f>IF(COUNTIFS('Data - Monthly Metrics'!A:A,$B$4,'Data - Monthly Metrics'!B:B,"Apr",'Data - Monthly Metrics'!C:C,"Pierce",'Data - Monthly Metrics'!D:D,"Retention - Comped Target ($)")=0,"-",SUMIFS('Data - Monthly Metrics'!E:E,'Data - Monthly Metrics'!A:A,$B$4,'Data - Monthly Metrics'!B:B,"Apr",'Data - Monthly Metrics'!C:C,"Pierce",'Data - Monthly Metrics'!D:D,"Retention - Comped Target ($)"))</f>
        <v/>
      </c>
      <c r="K58" s="96">
        <f>IF(COUNTIFS('Data - Monthly Metrics'!A:A,$B$4,'Data - Monthly Metrics'!B:B,"May",'Data - Monthly Metrics'!C:C,"Pierce",'Data - Monthly Metrics'!D:D,"Retention - Comped Target ($)")=0,"-",SUMIFS('Data - Monthly Metrics'!E:E,'Data - Monthly Metrics'!A:A,$B$4,'Data - Monthly Metrics'!B:B,"May",'Data - Monthly Metrics'!C:C,"Pierce",'Data - Monthly Metrics'!D:D,"Retention - Comped Target ($)"))</f>
        <v/>
      </c>
      <c r="L58" s="96">
        <f>IF(COUNTIFS('Data - Monthly Metrics'!A:A,$B$4,'Data - Monthly Metrics'!B:B,"Jun",'Data - Monthly Metrics'!C:C,"Pierce",'Data - Monthly Metrics'!D:D,"Retention - Comped Target ($)")=0,"-",SUMIFS('Data - Monthly Metrics'!E:E,'Data - Monthly Metrics'!A:A,$B$4,'Data - Monthly Metrics'!B:B,"Jun",'Data - Monthly Metrics'!C:C,"Pierce",'Data - Monthly Metrics'!D:D,"Retention - Comped Target ($)"))</f>
        <v/>
      </c>
      <c r="M58" s="101">
        <f>SUM(J58,K58,L58)</f>
        <v/>
      </c>
      <c r="N58" s="96">
        <f>IF(COUNTIFS('Data - Monthly Metrics'!A:A,$B$4,'Data - Monthly Metrics'!B:B,"Jul",'Data - Monthly Metrics'!C:C,"Pierce",'Data - Monthly Metrics'!D:D,"Retention - Comped Target ($)")=0,"-",SUMIFS('Data - Monthly Metrics'!E:E,'Data - Monthly Metrics'!A:A,$B$4,'Data - Monthly Metrics'!B:B,"Jul",'Data - Monthly Metrics'!C:C,"Pierce",'Data - Monthly Metrics'!D:D,"Retention - Comped Target ($)"))</f>
        <v/>
      </c>
      <c r="O58" s="96">
        <f>IF(COUNTIFS('Data - Monthly Metrics'!A:A,$B$4,'Data - Monthly Metrics'!B:B,"Aug",'Data - Monthly Metrics'!C:C,"Pierce",'Data - Monthly Metrics'!D:D,"Retention - Comped Target ($)")=0,"-",SUMIFS('Data - Monthly Metrics'!E:E,'Data - Monthly Metrics'!A:A,$B$4,'Data - Monthly Metrics'!B:B,"Aug",'Data - Monthly Metrics'!C:C,"Pierce",'Data - Monthly Metrics'!D:D,"Retention - Comped Target ($)"))</f>
        <v/>
      </c>
      <c r="P58" s="96">
        <f>IF(COUNTIFS('Data - Monthly Metrics'!A:A,$B$4,'Data - Monthly Metrics'!B:B,"Sep",'Data - Monthly Metrics'!C:C,"Pierce",'Data - Monthly Metrics'!D:D,"Retention - Comped Target ($)")=0,"-",SUMIFS('Data - Monthly Metrics'!E:E,'Data - Monthly Metrics'!A:A,$B$4,'Data - Monthly Metrics'!B:B,"Sep",'Data - Monthly Metrics'!C:C,"Pierce",'Data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Metrics'!C:C,"Pierce",'Data - Monthly Metrics'!D:D,"Drops - Target (#)")=0,"-",SUMIFS('Data - Monthly Metrics'!E:E,'Data - Monthly Metrics'!A:A,$B$4-1,'Data - Monthly Metrics'!B:B,"Oct",'Data - Monthly Metrics'!C:C,"Pierce",'Data - Monthly Metrics'!D:D,"Drops - Target (#)"))</f>
        <v/>
      </c>
      <c r="C63" s="93">
        <f>IF(COUNTIFS('Data - Monthly Metrics'!A:A,$B$4-1,'Data - Monthly Metrics'!B:B,"Nov",'Data - Monthly Metrics'!C:C,"Pierce",'Data - Monthly Metrics'!D:D,"Drops - Target (#)")=0,"-",SUMIFS('Data - Monthly Metrics'!E:E,'Data - Monthly Metrics'!A:A,$B$4-1,'Data - Monthly Metrics'!B:B,"Nov",'Data - Monthly Metrics'!C:C,"Pierce",'Data - Monthly Metrics'!D:D,"Drops - Target (#)"))</f>
        <v/>
      </c>
      <c r="D63" s="93">
        <f>IF(COUNTIFS('Data - Monthly Metrics'!A:A,$B$4-1,'Data - Monthly Metrics'!B:B,"Dec",'Data - Monthly Metrics'!C:C,"Pierce",'Data - Monthly Metrics'!D:D,"Drops - Target (#)")=0,"-",SUMIFS('Data - Monthly Metrics'!E:E,'Data - Monthly Metrics'!A:A,$B$4-1,'Data - Monthly Metrics'!B:B,"Dec",'Data - Monthly Metrics'!C:C,"Pierce",'Data - Monthly Metrics'!D:D,"Drops - Target (#)"))</f>
        <v/>
      </c>
      <c r="E63" s="103">
        <f>SUM(B63,C63,D63)</f>
        <v/>
      </c>
      <c r="F63" s="93">
        <f>IF(COUNTIFS('Data - Monthly Metrics'!A:A,$B$4,'Data - Monthly Metrics'!B:B,"Jan",'Data - Monthly Metrics'!C:C,"Pierce",'Data - Monthly Metrics'!D:D,"Drops - Target (#)")=0,"-",SUMIFS('Data - Monthly Metrics'!E:E,'Data - Monthly Metrics'!A:A,$B$4,'Data - Monthly Metrics'!B:B,"Jan",'Data - Monthly Metrics'!C:C,"Pierce",'Data - Monthly Metrics'!D:D,"Drops - Target (#)"))</f>
        <v/>
      </c>
      <c r="G63" s="93">
        <f>IF(COUNTIFS('Data - Monthly Metrics'!A:A,$B$4,'Data - Monthly Metrics'!B:B,"Feb",'Data - Monthly Metrics'!C:C,"Pierce",'Data - Monthly Metrics'!D:D,"Drops - Target (#)")=0,"-",SUMIFS('Data - Monthly Metrics'!E:E,'Data - Monthly Metrics'!A:A,$B$4,'Data - Monthly Metrics'!B:B,"Feb",'Data - Monthly Metrics'!C:C,"Pierce",'Data - Monthly Metrics'!D:D,"Drops - Target (#)"))</f>
        <v/>
      </c>
      <c r="H63" s="93">
        <f>IF(COUNTIFS('Data - Monthly Metrics'!A:A,$B$4,'Data - Monthly Metrics'!B:B,"Mar",'Data - Monthly Metrics'!C:C,"Pierce",'Data - Monthly Metrics'!D:D,"Drops - Target (#)")=0,"-",SUMIFS('Data - Monthly Metrics'!E:E,'Data - Monthly Metrics'!A:A,$B$4,'Data - Monthly Metrics'!B:B,"Mar",'Data - Monthly Metrics'!C:C,"Pierce",'Data - Monthly Metrics'!D:D,"Drops - Target (#)"))</f>
        <v/>
      </c>
      <c r="I63" s="103">
        <f>SUM(F63,G63,H63)</f>
        <v/>
      </c>
      <c r="J63" s="93">
        <f>IF(COUNTIFS('Data - Monthly Metrics'!A:A,$B$4,'Data - Monthly Metrics'!B:B,"Apr",'Data - Monthly Metrics'!C:C,"Pierce",'Data - Monthly Metrics'!D:D,"Drops - Target (#)")=0,"-",SUMIFS('Data - Monthly Metrics'!E:E,'Data - Monthly Metrics'!A:A,$B$4,'Data - Monthly Metrics'!B:B,"Apr",'Data - Monthly Metrics'!C:C,"Pierce",'Data - Monthly Metrics'!D:D,"Drops - Target (#)"))</f>
        <v/>
      </c>
      <c r="K63" s="93">
        <f>IF(COUNTIFS('Data - Monthly Metrics'!A:A,$B$4,'Data - Monthly Metrics'!B:B,"May",'Data - Monthly Metrics'!C:C,"Pierce",'Data - Monthly Metrics'!D:D,"Drops - Target (#)")=0,"-",SUMIFS('Data - Monthly Metrics'!E:E,'Data - Monthly Metrics'!A:A,$B$4,'Data - Monthly Metrics'!B:B,"May",'Data - Monthly Metrics'!C:C,"Pierce",'Data - Monthly Metrics'!D:D,"Drops - Target (#)"))</f>
        <v/>
      </c>
      <c r="L63" s="93">
        <f>IF(COUNTIFS('Data - Monthly Metrics'!A:A,$B$4,'Data - Monthly Metrics'!B:B,"Jun",'Data - Monthly Metrics'!C:C,"Pierce",'Data - Monthly Metrics'!D:D,"Drops - Target (#)")=0,"-",SUMIFS('Data - Monthly Metrics'!E:E,'Data - Monthly Metrics'!A:A,$B$4,'Data - Monthly Metrics'!B:B,"Jun",'Data - Monthly Metrics'!C:C,"Pierce",'Data - Monthly Metrics'!D:D,"Drops - Target (#)"))</f>
        <v/>
      </c>
      <c r="M63" s="103">
        <f>SUM(J63,K63,L63)</f>
        <v/>
      </c>
      <c r="N63" s="93">
        <f>IF(COUNTIFS('Data - Monthly Metrics'!A:A,$B$4,'Data - Monthly Metrics'!B:B,"Jul",'Data - Monthly Metrics'!C:C,"Pierce",'Data - Monthly Metrics'!D:D,"Drops - Target (#)")=0,"-",SUMIFS('Data - Monthly Metrics'!E:E,'Data - Monthly Metrics'!A:A,$B$4,'Data - Monthly Metrics'!B:B,"Jul",'Data - Monthly Metrics'!C:C,"Pierce",'Data - Monthly Metrics'!D:D,"Drops - Target (#)"))</f>
        <v/>
      </c>
      <c r="O63" s="93">
        <f>IF(COUNTIFS('Data - Monthly Metrics'!A:A,$B$4,'Data - Monthly Metrics'!B:B,"Aug",'Data - Monthly Metrics'!C:C,"Pierce",'Data - Monthly Metrics'!D:D,"Drops - Target (#)")=0,"-",SUMIFS('Data - Monthly Metrics'!E:E,'Data - Monthly Metrics'!A:A,$B$4,'Data - Monthly Metrics'!B:B,"Aug",'Data - Monthly Metrics'!C:C,"Pierce",'Data - Monthly Metrics'!D:D,"Drops - Target (#)"))</f>
        <v/>
      </c>
      <c r="P63" s="93">
        <f>IF(COUNTIFS('Data - Monthly Metrics'!A:A,$B$4,'Data - Monthly Metrics'!B:B,"Sep",'Data - Monthly Metrics'!C:C,"Pierce",'Data - Monthly Metrics'!D:D,"Drops - Target (#)")=0,"-",SUMIFS('Data - Monthly Metrics'!E:E,'Data - Monthly Metrics'!A:A,$B$4,'Data - Monthly Metrics'!B:B,"Sep",'Data - Monthly Metrics'!C:C,"Pierce",'Data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Metrics'!C:C,"Pierce",'Data - Monthly Metrics'!D:D,"Dropped Revenue - Target ($)")=0,"-",SUMIFS('Data - Monthly Metrics'!E:E,'Data - Monthly Metrics'!A:A,$B$4-1,'Data - Monthly Metrics'!B:B,"Oct",'Data - Monthly Metrics'!C:C,"Pierce",'Data - Monthly Metrics'!D:D,"Dropped Revenue - Target ($)"))</f>
        <v/>
      </c>
      <c r="C64" s="96">
        <f>IF(COUNTIFS('Data - Monthly Metrics'!A:A,$B$4-1,'Data - Monthly Metrics'!B:B,"Nov",'Data - Monthly Metrics'!C:C,"Pierce",'Data - Monthly Metrics'!D:D,"Dropped Revenue - Target ($)")=0,"-",SUMIFS('Data - Monthly Metrics'!E:E,'Data - Monthly Metrics'!A:A,$B$4-1,'Data - Monthly Metrics'!B:B,"Nov",'Data - Monthly Metrics'!C:C,"Pierce",'Data - Monthly Metrics'!D:D,"Dropped Revenue - Target ($)"))</f>
        <v/>
      </c>
      <c r="D64" s="96">
        <f>IF(COUNTIFS('Data - Monthly Metrics'!A:A,$B$4-1,'Data - Monthly Metrics'!B:B,"Dec",'Data - Monthly Metrics'!C:C,"Pierce",'Data - Monthly Metrics'!D:D,"Dropped Revenue - Target ($)")=0,"-",SUMIFS('Data - Monthly Metrics'!E:E,'Data - Monthly Metrics'!A:A,$B$4-1,'Data - Monthly Metrics'!B:B,"Dec",'Data - Monthly Metrics'!C:C,"Pierce",'Data - Monthly Metrics'!D:D,"Dropped Revenue - Target ($)"))</f>
        <v/>
      </c>
      <c r="E64" s="101">
        <f>SUM(B64,C64,D64)</f>
        <v/>
      </c>
      <c r="F64" s="96">
        <f>IF(COUNTIFS('Data - Monthly Metrics'!A:A,$B$4,'Data - Monthly Metrics'!B:B,"Jan",'Data - Monthly Metrics'!C:C,"Pierce",'Data - Monthly Metrics'!D:D,"Dropped Revenue - Target ($)")=0,"-",SUMIFS('Data - Monthly Metrics'!E:E,'Data - Monthly Metrics'!A:A,$B$4,'Data - Monthly Metrics'!B:B,"Jan",'Data - Monthly Metrics'!C:C,"Pierce",'Data - Monthly Metrics'!D:D,"Dropped Revenue - Target ($)"))</f>
        <v/>
      </c>
      <c r="G64" s="96">
        <f>IF(COUNTIFS('Data - Monthly Metrics'!A:A,$B$4,'Data - Monthly Metrics'!B:B,"Feb",'Data - Monthly Metrics'!C:C,"Pierce",'Data - Monthly Metrics'!D:D,"Dropped Revenue - Target ($)")=0,"-",SUMIFS('Data - Monthly Metrics'!E:E,'Data - Monthly Metrics'!A:A,$B$4,'Data - Monthly Metrics'!B:B,"Feb",'Data - Monthly Metrics'!C:C,"Pierce",'Data - Monthly Metrics'!D:D,"Dropped Revenue - Target ($)"))</f>
        <v/>
      </c>
      <c r="H64" s="96">
        <f>IF(COUNTIFS('Data - Monthly Metrics'!A:A,$B$4,'Data - Monthly Metrics'!B:B,"Mar",'Data - Monthly Metrics'!C:C,"Pierce",'Data - Monthly Metrics'!D:D,"Dropped Revenue - Target ($)")=0,"-",SUMIFS('Data - Monthly Metrics'!E:E,'Data - Monthly Metrics'!A:A,$B$4,'Data - Monthly Metrics'!B:B,"Mar",'Data - Monthly Metrics'!C:C,"Pierce",'Data - Monthly Metrics'!D:D,"Dropped Revenue - Target ($)"))</f>
        <v/>
      </c>
      <c r="I64" s="101">
        <f>SUM(F64,G64,H64)</f>
        <v/>
      </c>
      <c r="J64" s="96">
        <f>IF(COUNTIFS('Data - Monthly Metrics'!A:A,$B$4,'Data - Monthly Metrics'!B:B,"Apr",'Data - Monthly Metrics'!C:C,"Pierce",'Data - Monthly Metrics'!D:D,"Dropped Revenue - Target ($)")=0,"-",SUMIFS('Data - Monthly Metrics'!E:E,'Data - Monthly Metrics'!A:A,$B$4,'Data - Monthly Metrics'!B:B,"Apr",'Data - Monthly Metrics'!C:C,"Pierce",'Data - Monthly Metrics'!D:D,"Dropped Revenue - Target ($)"))</f>
        <v/>
      </c>
      <c r="K64" s="96">
        <f>IF(COUNTIFS('Data - Monthly Metrics'!A:A,$B$4,'Data - Monthly Metrics'!B:B,"May",'Data - Monthly Metrics'!C:C,"Pierce",'Data - Monthly Metrics'!D:D,"Dropped Revenue - Target ($)")=0,"-",SUMIFS('Data - Monthly Metrics'!E:E,'Data - Monthly Metrics'!A:A,$B$4,'Data - Monthly Metrics'!B:B,"May",'Data - Monthly Metrics'!C:C,"Pierce",'Data - Monthly Metrics'!D:D,"Dropped Revenue - Target ($)"))</f>
        <v/>
      </c>
      <c r="L64" s="96">
        <f>IF(COUNTIFS('Data - Monthly Metrics'!A:A,$B$4,'Data - Monthly Metrics'!B:B,"Jun",'Data - Monthly Metrics'!C:C,"Pierce",'Data - Monthly Metrics'!D:D,"Dropped Revenue - Target ($)")=0,"-",SUMIFS('Data - Monthly Metrics'!E:E,'Data - Monthly Metrics'!A:A,$B$4,'Data - Monthly Metrics'!B:B,"Jun",'Data - Monthly Metrics'!C:C,"Pierce",'Data - Monthly Metrics'!D:D,"Dropped Revenue - Target ($)"))</f>
        <v/>
      </c>
      <c r="M64" s="101">
        <f>SUM(J64,K64,L64)</f>
        <v/>
      </c>
      <c r="N64" s="96">
        <f>IF(COUNTIFS('Data - Monthly Metrics'!A:A,$B$4,'Data - Monthly Metrics'!B:B,"Jul",'Data - Monthly Metrics'!C:C,"Pierce",'Data - Monthly Metrics'!D:D,"Dropped Revenue - Target ($)")=0,"-",SUMIFS('Data - Monthly Metrics'!E:E,'Data - Monthly Metrics'!A:A,$B$4,'Data - Monthly Metrics'!B:B,"Jul",'Data - Monthly Metrics'!C:C,"Pierce",'Data - Monthly Metrics'!D:D,"Dropped Revenue - Target ($)"))</f>
        <v/>
      </c>
      <c r="O64" s="96">
        <f>IF(COUNTIFS('Data - Monthly Metrics'!A:A,$B$4,'Data - Monthly Metrics'!B:B,"Aug",'Data - Monthly Metrics'!C:C,"Pierce",'Data - Monthly Metrics'!D:D,"Dropped Revenue - Target ($)")=0,"-",SUMIFS('Data - Monthly Metrics'!E:E,'Data - Monthly Metrics'!A:A,$B$4,'Data - Monthly Metrics'!B:B,"Aug",'Data - Monthly Metrics'!C:C,"Pierce",'Data - Monthly Metrics'!D:D,"Dropped Revenue - Target ($)"))</f>
        <v/>
      </c>
      <c r="P64" s="96">
        <f>IF(COUNTIFS('Data - Monthly Metrics'!A:A,$B$4,'Data - Monthly Metrics'!B:B,"Sep",'Data - Monthly Metrics'!C:C,"Pierce",'Data - Monthly Metrics'!D:D,"Dropped Revenue - Target ($)")=0,"-",SUMIFS('Data - Monthly Metrics'!E:E,'Data - Monthly Metrics'!A:A,$B$4,'Data - Monthly Metrics'!B:B,"Sep",'Data - Monthly Metrics'!C:C,"Pierce",'Data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Metrics'!C:C,"Pierce",'Data - Monthly Metrics'!D:D,"Penetration - Restaurant %")=0,"-",SUMIFS('Data - Monthly Metrics'!E:E,'Data - Monthly Metrics'!A:A,$B$4-1,'Data - Monthly Metrics'!B:B,"Oct",'Data - Monthly Metrics'!C:C,"Pierce",'Data - Monthly Metrics'!D:D,"Penetration - Restaurant %"))</f>
        <v/>
      </c>
      <c r="C68" s="92">
        <f>IF(COUNTIFS('Data - Monthly Metrics'!A:A,$B$4-1,'Data - Monthly Metrics'!B:B,"Nov",'Data - Monthly Metrics'!C:C,"Pierce",'Data - Monthly Metrics'!D:D,"Penetration - Restaurant %")=0,"-",SUMIFS('Data - Monthly Metrics'!E:E,'Data - Monthly Metrics'!A:A,$B$4-1,'Data - Monthly Metrics'!B:B,"Nov",'Data - Monthly Metrics'!C:C,"Pierce",'Data - Monthly Metrics'!D:D,"Penetration - Restaurant %"))</f>
        <v/>
      </c>
      <c r="D68" s="92">
        <f>IF(COUNTIFS('Data - Monthly Metrics'!A:A,$B$4-1,'Data - Monthly Metrics'!B:B,"Dec",'Data - Monthly Metrics'!C:C,"Pierce",'Data - Monthly Metrics'!D:D,"Penetration - Restaurant %")=0,"-",SUMIFS('Data - Monthly Metrics'!E:E,'Data - Monthly Metrics'!A:A,$B$4-1,'Data - Monthly Metrics'!B:B,"Dec",'Data - Monthly Metrics'!C:C,"Pierce",'Data - Monthly Metrics'!D:D,"Penetration - Restaurant %"))</f>
        <v/>
      </c>
      <c r="E68" s="102">
        <f>IF(ISNUMBER(D68),D68,IF(ISNUMBER(C68),C68,IF(ISNUMBER(B68),B68,"-")))</f>
        <v/>
      </c>
      <c r="F68" s="92">
        <f>IF(COUNTIFS('Data - Monthly Metrics'!A:A,$B$4,'Data - Monthly Metrics'!B:B,"Jan",'Data - Monthly Metrics'!C:C,"Pierce",'Data - Monthly Metrics'!D:D,"Penetration - Restaurant %")=0,"-",SUMIFS('Data - Monthly Metrics'!E:E,'Data - Monthly Metrics'!A:A,$B$4,'Data - Monthly Metrics'!B:B,"Jan",'Data - Monthly Metrics'!C:C,"Pierce",'Data - Monthly Metrics'!D:D,"Penetration - Restaurant %"))</f>
        <v/>
      </c>
      <c r="G68" s="92">
        <f>IF(COUNTIFS('Data - Monthly Metrics'!A:A,$B$4,'Data - Monthly Metrics'!B:B,"Feb",'Data - Monthly Metrics'!C:C,"Pierce",'Data - Monthly Metrics'!D:D,"Penetration - Restaurant %")=0,"-",SUMIFS('Data - Monthly Metrics'!E:E,'Data - Monthly Metrics'!A:A,$B$4,'Data - Monthly Metrics'!B:B,"Feb",'Data - Monthly Metrics'!C:C,"Pierce",'Data - Monthly Metrics'!D:D,"Penetration - Restaurant %"))</f>
        <v/>
      </c>
      <c r="H68" s="92">
        <f>IF(COUNTIFS('Data - Monthly Metrics'!A:A,$B$4,'Data - Monthly Metrics'!B:B,"Mar",'Data - Monthly Metrics'!C:C,"Pierce",'Data - Monthly Metrics'!D:D,"Penetration - Restaurant %")=0,"-",SUMIFS('Data - Monthly Metrics'!E:E,'Data - Monthly Metrics'!A:A,$B$4,'Data - Monthly Metrics'!B:B,"Mar",'Data - Monthly Metrics'!C:C,"Pierce",'Data - Monthly Metrics'!D:D,"Penetration - Restaurant %"))</f>
        <v/>
      </c>
      <c r="I68" s="102">
        <f>IF(ISNUMBER(H68),H68,IF(ISNUMBER(G68),G68,IF(ISNUMBER(F68),F68,"-")))</f>
        <v/>
      </c>
      <c r="J68" s="92">
        <f>IF(COUNTIFS('Data - Monthly Metrics'!A:A,$B$4,'Data - Monthly Metrics'!B:B,"Apr",'Data - Monthly Metrics'!C:C,"Pierce",'Data - Monthly Metrics'!D:D,"Penetration - Restaurant %")=0,"-",SUMIFS('Data - Monthly Metrics'!E:E,'Data - Monthly Metrics'!A:A,$B$4,'Data - Monthly Metrics'!B:B,"Apr",'Data - Monthly Metrics'!C:C,"Pierce",'Data - Monthly Metrics'!D:D,"Penetration - Restaurant %"))</f>
        <v/>
      </c>
      <c r="K68" s="92">
        <f>IF(COUNTIFS('Data - Monthly Metrics'!A:A,$B$4,'Data - Monthly Metrics'!B:B,"May",'Data - Monthly Metrics'!C:C,"Pierce",'Data - Monthly Metrics'!D:D,"Penetration - Restaurant %")=0,"-",SUMIFS('Data - Monthly Metrics'!E:E,'Data - Monthly Metrics'!A:A,$B$4,'Data - Monthly Metrics'!B:B,"May",'Data - Monthly Metrics'!C:C,"Pierce",'Data - Monthly Metrics'!D:D,"Penetration - Restaurant %"))</f>
        <v/>
      </c>
      <c r="L68" s="92">
        <f>IF(COUNTIFS('Data - Monthly Metrics'!A:A,$B$4,'Data - Monthly Metrics'!B:B,"Jun",'Data - Monthly Metrics'!C:C,"Pierce",'Data - Monthly Metrics'!D:D,"Penetration - Restaurant %")=0,"-",SUMIFS('Data - Monthly Metrics'!E:E,'Data - Monthly Metrics'!A:A,$B$4,'Data - Monthly Metrics'!B:B,"Jun",'Data - Monthly Metrics'!C:C,"Pierce",'Data - Monthly Metrics'!D:D,"Penetration - Restaurant %"))</f>
        <v/>
      </c>
      <c r="M68" s="102">
        <f>IF(ISNUMBER(L68),L68,IF(ISNUMBER(K68),K68,IF(ISNUMBER(J68),J68,"-")))</f>
        <v/>
      </c>
      <c r="N68" s="92">
        <f>IF(COUNTIFS('Data - Monthly Metrics'!A:A,$B$4,'Data - Monthly Metrics'!B:B,"Jul",'Data - Monthly Metrics'!C:C,"Pierce",'Data - Monthly Metrics'!D:D,"Penetration - Restaurant %")=0,"-",SUMIFS('Data - Monthly Metrics'!E:E,'Data - Monthly Metrics'!A:A,$B$4,'Data - Monthly Metrics'!B:B,"Jul",'Data - Monthly Metrics'!C:C,"Pierce",'Data - Monthly Metrics'!D:D,"Penetration - Restaurant %"))</f>
        <v/>
      </c>
      <c r="O68" s="92">
        <f>IF(COUNTIFS('Data - Monthly Metrics'!A:A,$B$4,'Data - Monthly Metrics'!B:B,"Aug",'Data - Monthly Metrics'!C:C,"Pierce",'Data - Monthly Metrics'!D:D,"Penetration - Restaurant %")=0,"-",SUMIFS('Data - Monthly Metrics'!E:E,'Data - Monthly Metrics'!A:A,$B$4,'Data - Monthly Metrics'!B:B,"Aug",'Data - Monthly Metrics'!C:C,"Pierce",'Data - Monthly Metrics'!D:D,"Penetration - Restaurant %"))</f>
        <v/>
      </c>
      <c r="P68" s="92">
        <f>IF(COUNTIFS('Data - Monthly Metrics'!A:A,$B$4,'Data - Monthly Metrics'!B:B,"Sep",'Data - Monthly Metrics'!C:C,"Pierce",'Data - Monthly Metrics'!D:D,"Penetration - Restaurant %")=0,"-",SUMIFS('Data - Monthly Metrics'!E:E,'Data - Monthly Metrics'!A:A,$B$4,'Data - Monthly Metrics'!B:B,"Sep",'Data - Monthly Metrics'!C:C,"Pierce",'Data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Metrics'!C:C,"Pierce",'Data - Monthly Metrics'!D:D,"Penetration - Lodging %")=0,"-",SUMIFS('Data - Monthly Metrics'!E:E,'Data - Monthly Metrics'!A:A,$B$4-1,'Data - Monthly Metrics'!B:B,"Oct",'Data - Monthly Metrics'!C:C,"Pierce",'Data - Monthly Metrics'!D:D,"Penetration - Lodging %"))</f>
        <v/>
      </c>
      <c r="C69" s="97">
        <f>IF(COUNTIFS('Data - Monthly Metrics'!A:A,$B$4-1,'Data - Monthly Metrics'!B:B,"Nov",'Data - Monthly Metrics'!C:C,"Pierce",'Data - Monthly Metrics'!D:D,"Penetration - Lodging %")=0,"-",SUMIFS('Data - Monthly Metrics'!E:E,'Data - Monthly Metrics'!A:A,$B$4-1,'Data - Monthly Metrics'!B:B,"Nov",'Data - Monthly Metrics'!C:C,"Pierce",'Data - Monthly Metrics'!D:D,"Penetration - Lodging %"))</f>
        <v/>
      </c>
      <c r="D69" s="97">
        <f>IF(COUNTIFS('Data - Monthly Metrics'!A:A,$B$4-1,'Data - Monthly Metrics'!B:B,"Dec",'Data - Monthly Metrics'!C:C,"Pierce",'Data - Monthly Metrics'!D:D,"Penetration - Lodging %")=0,"-",SUMIFS('Data - Monthly Metrics'!E:E,'Data - Monthly Metrics'!A:A,$B$4-1,'Data - Monthly Metrics'!B:B,"Dec",'Data - Monthly Metrics'!C:C,"Pierce",'Data - Monthly Metrics'!D:D,"Penetration - Lodging %"))</f>
        <v/>
      </c>
      <c r="E69" s="102">
        <f>IF(ISNUMBER(D69),D69,IF(ISNUMBER(C69),C69,IF(ISNUMBER(B69),B69,"-")))</f>
        <v/>
      </c>
      <c r="F69" s="97">
        <f>IF(COUNTIFS('Data - Monthly Metrics'!A:A,$B$4,'Data - Monthly Metrics'!B:B,"Jan",'Data - Monthly Metrics'!C:C,"Pierce",'Data - Monthly Metrics'!D:D,"Penetration - Lodging %")=0,"-",SUMIFS('Data - Monthly Metrics'!E:E,'Data - Monthly Metrics'!A:A,$B$4,'Data - Monthly Metrics'!B:B,"Jan",'Data - Monthly Metrics'!C:C,"Pierce",'Data - Monthly Metrics'!D:D,"Penetration - Lodging %"))</f>
        <v/>
      </c>
      <c r="G69" s="97">
        <f>IF(COUNTIFS('Data - Monthly Metrics'!A:A,$B$4,'Data - Monthly Metrics'!B:B,"Feb",'Data - Monthly Metrics'!C:C,"Pierce",'Data - Monthly Metrics'!D:D,"Penetration - Lodging %")=0,"-",SUMIFS('Data - Monthly Metrics'!E:E,'Data - Monthly Metrics'!A:A,$B$4,'Data - Monthly Metrics'!B:B,"Feb",'Data - Monthly Metrics'!C:C,"Pierce",'Data - Monthly Metrics'!D:D,"Penetration - Lodging %"))</f>
        <v/>
      </c>
      <c r="H69" s="97">
        <f>IF(COUNTIFS('Data - Monthly Metrics'!A:A,$B$4,'Data - Monthly Metrics'!B:B,"Mar",'Data - Monthly Metrics'!C:C,"Pierce",'Data - Monthly Metrics'!D:D,"Penetration - Lodging %")=0,"-",SUMIFS('Data - Monthly Metrics'!E:E,'Data - Monthly Metrics'!A:A,$B$4,'Data - Monthly Metrics'!B:B,"Mar",'Data - Monthly Metrics'!C:C,"Pierce",'Data - Monthly Metrics'!D:D,"Penetration - Lodging %"))</f>
        <v/>
      </c>
      <c r="I69" s="102">
        <f>IF(ISNUMBER(H69),H69,IF(ISNUMBER(G69),G69,IF(ISNUMBER(F69),F69,"-")))</f>
        <v/>
      </c>
      <c r="J69" s="97">
        <f>IF(COUNTIFS('Data - Monthly Metrics'!A:A,$B$4,'Data - Monthly Metrics'!B:B,"Apr",'Data - Monthly Metrics'!C:C,"Pierce",'Data - Monthly Metrics'!D:D,"Penetration - Lodging %")=0,"-",SUMIFS('Data - Monthly Metrics'!E:E,'Data - Monthly Metrics'!A:A,$B$4,'Data - Monthly Metrics'!B:B,"Apr",'Data - Monthly Metrics'!C:C,"Pierce",'Data - Monthly Metrics'!D:D,"Penetration - Lodging %"))</f>
        <v/>
      </c>
      <c r="K69" s="97">
        <f>IF(COUNTIFS('Data - Monthly Metrics'!A:A,$B$4,'Data - Monthly Metrics'!B:B,"May",'Data - Monthly Metrics'!C:C,"Pierce",'Data - Monthly Metrics'!D:D,"Penetration - Lodging %")=0,"-",SUMIFS('Data - Monthly Metrics'!E:E,'Data - Monthly Metrics'!A:A,$B$4,'Data - Monthly Metrics'!B:B,"May",'Data - Monthly Metrics'!C:C,"Pierce",'Data - Monthly Metrics'!D:D,"Penetration - Lodging %"))</f>
        <v/>
      </c>
      <c r="L69" s="97">
        <f>IF(COUNTIFS('Data - Monthly Metrics'!A:A,$B$4,'Data - Monthly Metrics'!B:B,"Jun",'Data - Monthly Metrics'!C:C,"Pierce",'Data - Monthly Metrics'!D:D,"Penetration - Lodging %")=0,"-",SUMIFS('Data - Monthly Metrics'!E:E,'Data - Monthly Metrics'!A:A,$B$4,'Data - Monthly Metrics'!B:B,"Jun",'Data - Monthly Metrics'!C:C,"Pierce",'Data - Monthly Metrics'!D:D,"Penetration - Lodging %"))</f>
        <v/>
      </c>
      <c r="M69" s="102">
        <f>IF(ISNUMBER(L69),L69,IF(ISNUMBER(K69),K69,IF(ISNUMBER(J69),J69,"-")))</f>
        <v/>
      </c>
      <c r="N69" s="97">
        <f>IF(COUNTIFS('Data - Monthly Metrics'!A:A,$B$4,'Data - Monthly Metrics'!B:B,"Jul",'Data - Monthly Metrics'!C:C,"Pierce",'Data - Monthly Metrics'!D:D,"Penetration - Lodging %")=0,"-",SUMIFS('Data - Monthly Metrics'!E:E,'Data - Monthly Metrics'!A:A,$B$4,'Data - Monthly Metrics'!B:B,"Jul",'Data - Monthly Metrics'!C:C,"Pierce",'Data - Monthly Metrics'!D:D,"Penetration - Lodging %"))</f>
        <v/>
      </c>
      <c r="O69" s="97">
        <f>IF(COUNTIFS('Data - Monthly Metrics'!A:A,$B$4,'Data - Monthly Metrics'!B:B,"Aug",'Data - Monthly Metrics'!C:C,"Pierce",'Data - Monthly Metrics'!D:D,"Penetration - Lodging %")=0,"-",SUMIFS('Data - Monthly Metrics'!E:E,'Data - Monthly Metrics'!A:A,$B$4,'Data - Monthly Metrics'!B:B,"Aug",'Data - Monthly Metrics'!C:C,"Pierce",'Data - Monthly Metrics'!D:D,"Penetration - Lodging %"))</f>
        <v/>
      </c>
      <c r="P69" s="97">
        <f>IF(COUNTIFS('Data - Monthly Metrics'!A:A,$B$4,'Data - Monthly Metrics'!B:B,"Sep",'Data - Monthly Metrics'!C:C,"Pierce",'Data - Monthly Metrics'!D:D,"Penetration - Lodging %")=0,"-",SUMIFS('Data - Monthly Metrics'!E:E,'Data - Monthly Metrics'!A:A,$B$4,'Data - Monthly Metrics'!B:B,"Sep",'Data - Monthly Metrics'!C:C,"Pierce",'Data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Metrics'!C:C,"Pierce",'Data - Monthly Metrics'!D:D,"Penetration - Combined %")=0,"-",SUMIFS('Data - Monthly Metrics'!E:E,'Data - Monthly Metrics'!A:A,$B$4-1,'Data - Monthly Metrics'!B:B,"Oct",'Data - Monthly Metrics'!C:C,"Pierce",'Data - Monthly Metrics'!D:D,"Penetration - Combined %"))</f>
        <v/>
      </c>
      <c r="C70" s="92">
        <f>IF(COUNTIFS('Data - Monthly Metrics'!A:A,$B$4-1,'Data - Monthly Metrics'!B:B,"Nov",'Data - Monthly Metrics'!C:C,"Pierce",'Data - Monthly Metrics'!D:D,"Penetration - Combined %")=0,"-",SUMIFS('Data - Monthly Metrics'!E:E,'Data - Monthly Metrics'!A:A,$B$4-1,'Data - Monthly Metrics'!B:B,"Nov",'Data - Monthly Metrics'!C:C,"Pierce",'Data - Monthly Metrics'!D:D,"Penetration - Combined %"))</f>
        <v/>
      </c>
      <c r="D70" s="92">
        <f>IF(COUNTIFS('Data - Monthly Metrics'!A:A,$B$4-1,'Data - Monthly Metrics'!B:B,"Dec",'Data - Monthly Metrics'!C:C,"Pierce",'Data - Monthly Metrics'!D:D,"Penetration - Combined %")=0,"-",SUMIFS('Data - Monthly Metrics'!E:E,'Data - Monthly Metrics'!A:A,$B$4-1,'Data - Monthly Metrics'!B:B,"Dec",'Data - Monthly Metrics'!C:C,"Pierce",'Data - Monthly Metrics'!D:D,"Penetration - Combined %"))</f>
        <v/>
      </c>
      <c r="E70" s="102">
        <f>IF(ISNUMBER(D70),D70,IF(ISNUMBER(C70),C70,IF(ISNUMBER(B70),B70,"-")))</f>
        <v/>
      </c>
      <c r="F70" s="92">
        <f>IF(COUNTIFS('Data - Monthly Metrics'!A:A,$B$4,'Data - Monthly Metrics'!B:B,"Jan",'Data - Monthly Metrics'!C:C,"Pierce",'Data - Monthly Metrics'!D:D,"Penetration - Combined %")=0,"-",SUMIFS('Data - Monthly Metrics'!E:E,'Data - Monthly Metrics'!A:A,$B$4,'Data - Monthly Metrics'!B:B,"Jan",'Data - Monthly Metrics'!C:C,"Pierce",'Data - Monthly Metrics'!D:D,"Penetration - Combined %"))</f>
        <v/>
      </c>
      <c r="G70" s="92">
        <f>IF(COUNTIFS('Data - Monthly Metrics'!A:A,$B$4,'Data - Monthly Metrics'!B:B,"Feb",'Data - Monthly Metrics'!C:C,"Pierce",'Data - Monthly Metrics'!D:D,"Penetration - Combined %")=0,"-",SUMIFS('Data - Monthly Metrics'!E:E,'Data - Monthly Metrics'!A:A,$B$4,'Data - Monthly Metrics'!B:B,"Feb",'Data - Monthly Metrics'!C:C,"Pierce",'Data - Monthly Metrics'!D:D,"Penetration - Combined %"))</f>
        <v/>
      </c>
      <c r="H70" s="92">
        <f>IF(COUNTIFS('Data - Monthly Metrics'!A:A,$B$4,'Data - Monthly Metrics'!B:B,"Mar",'Data - Monthly Metrics'!C:C,"Pierce",'Data - Monthly Metrics'!D:D,"Penetration - Combined %")=0,"-",SUMIFS('Data - Monthly Metrics'!E:E,'Data - Monthly Metrics'!A:A,$B$4,'Data - Monthly Metrics'!B:B,"Mar",'Data - Monthly Metrics'!C:C,"Pierce",'Data - Monthly Metrics'!D:D,"Penetration - Combined %"))</f>
        <v/>
      </c>
      <c r="I70" s="102">
        <f>IF(ISNUMBER(H70),H70,IF(ISNUMBER(G70),G70,IF(ISNUMBER(F70),F70,"-")))</f>
        <v/>
      </c>
      <c r="J70" s="92">
        <f>IF(COUNTIFS('Data - Monthly Metrics'!A:A,$B$4,'Data - Monthly Metrics'!B:B,"Apr",'Data - Monthly Metrics'!C:C,"Pierce",'Data - Monthly Metrics'!D:D,"Penetration - Combined %")=0,"-",SUMIFS('Data - Monthly Metrics'!E:E,'Data - Monthly Metrics'!A:A,$B$4,'Data - Monthly Metrics'!B:B,"Apr",'Data - Monthly Metrics'!C:C,"Pierce",'Data - Monthly Metrics'!D:D,"Penetration - Combined %"))</f>
        <v/>
      </c>
      <c r="K70" s="92">
        <f>IF(COUNTIFS('Data - Monthly Metrics'!A:A,$B$4,'Data - Monthly Metrics'!B:B,"May",'Data - Monthly Metrics'!C:C,"Pierce",'Data - Monthly Metrics'!D:D,"Penetration - Combined %")=0,"-",SUMIFS('Data - Monthly Metrics'!E:E,'Data - Monthly Metrics'!A:A,$B$4,'Data - Monthly Metrics'!B:B,"May",'Data - Monthly Metrics'!C:C,"Pierce",'Data - Monthly Metrics'!D:D,"Penetration - Combined %"))</f>
        <v/>
      </c>
      <c r="L70" s="92">
        <f>IF(COUNTIFS('Data - Monthly Metrics'!A:A,$B$4,'Data - Monthly Metrics'!B:B,"Jun",'Data - Monthly Metrics'!C:C,"Pierce",'Data - Monthly Metrics'!D:D,"Penetration - Combined %")=0,"-",SUMIFS('Data - Monthly Metrics'!E:E,'Data - Monthly Metrics'!A:A,$B$4,'Data - Monthly Metrics'!B:B,"Jun",'Data - Monthly Metrics'!C:C,"Pierce",'Data - Monthly Metrics'!D:D,"Penetration - Combined %"))</f>
        <v/>
      </c>
      <c r="M70" s="102">
        <f>IF(ISNUMBER(L70),L70,IF(ISNUMBER(K70),K70,IF(ISNUMBER(J70),J70,"-")))</f>
        <v/>
      </c>
      <c r="N70" s="92">
        <f>IF(COUNTIFS('Data - Monthly Metrics'!A:A,$B$4,'Data - Monthly Metrics'!B:B,"Jul",'Data - Monthly Metrics'!C:C,"Pierce",'Data - Monthly Metrics'!D:D,"Penetration - Combined %")=0,"-",SUMIFS('Data - Monthly Metrics'!E:E,'Data - Monthly Metrics'!A:A,$B$4,'Data - Monthly Metrics'!B:B,"Jul",'Data - Monthly Metrics'!C:C,"Pierce",'Data - Monthly Metrics'!D:D,"Penetration - Combined %"))</f>
        <v/>
      </c>
      <c r="O70" s="92">
        <f>IF(COUNTIFS('Data - Monthly Metrics'!A:A,$B$4,'Data - Monthly Metrics'!B:B,"Aug",'Data - Monthly Metrics'!C:C,"Pierce",'Data - Monthly Metrics'!D:D,"Penetration - Combined %")=0,"-",SUMIFS('Data - Monthly Metrics'!E:E,'Data - Monthly Metrics'!A:A,$B$4,'Data - Monthly Metrics'!B:B,"Aug",'Data - Monthly Metrics'!C:C,"Pierce",'Data - Monthly Metrics'!D:D,"Penetration - Combined %"))</f>
        <v/>
      </c>
      <c r="P70" s="92">
        <f>IF(COUNTIFS('Data - Monthly Metrics'!A:A,$B$4,'Data - Monthly Metrics'!B:B,"Sep",'Data - Monthly Metrics'!C:C,"Pierce",'Data - Monthly Metrics'!D:D,"Penetration - Combined %")=0,"-",SUMIFS('Data - Monthly Metrics'!E:E,'Data - Monthly Metrics'!A:A,$B$4,'Data - Monthly Metrics'!B:B,"Sep",'Data - Monthly Metrics'!C:C,"Pierce",'Data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Metrics'!$C:$C,"Pierce",'Data - Monthly Metrics'!$D:$D,"Goal - Penetration %")=0),"—",IF(B70&gt;=SUMIFS('Data - Monthly Metrics'!$E:$E,'Data - Monthly Metrics'!$A:$A,$B$4-1,'Data - Monthly Metrics'!$B:$B,B$8,'Data - Monthly Metrics'!$C:$C,"Pierce",'Data - Monthly Metrics'!$D:$D,"Goal - Penetration %"),"On Track",IF(B70&gt;=SUMIFS('Data - Monthly Metrics'!$E:$E,'Data - Monthly Metrics'!$A:$A,$B$4-1,'Data - Monthly Metrics'!$B:$B,B$8,'Data - Monthly Metrics'!$C:$C,"Pierce",'Data - Monthly Metrics'!$D:$D,"Goal - Penetration %")-0.05,"Watch","At Risk")))</f>
        <v/>
      </c>
      <c r="C71" s="120">
        <f>IF(OR(NOT(ISNUMBER(C70)),C70=0,COUNTIFS('Data - Monthly Metrics'!$A:$A,$B$4-1,'Data - Monthly Metrics'!$B:$B,C$8,'Data - Monthly Metrics'!$C:$C,"Pierce",'Data - Monthly Metrics'!$D:$D,"Goal - Penetration %")=0),"—",IF(C70&gt;=SUMIFS('Data - Monthly Metrics'!$E:$E,'Data - Monthly Metrics'!$A:$A,$B$4-1,'Data - Monthly Metrics'!$B:$B,C$8,'Data - Monthly Metrics'!$C:$C,"Pierce",'Data - Monthly Metrics'!$D:$D,"Goal - Penetration %"),"On Track",IF(C70&gt;=SUMIFS('Data - Monthly Metrics'!$E:$E,'Data - Monthly Metrics'!$A:$A,$B$4-1,'Data - Monthly Metrics'!$B:$B,C$8,'Data - Monthly Metrics'!$C:$C,"Pierce",'Data - Monthly Metrics'!$D:$D,"Goal - Penetration %")-0.05,"Watch","At Risk")))</f>
        <v/>
      </c>
      <c r="D71" s="120">
        <f>IF(OR(NOT(ISNUMBER(D70)),D70=0,COUNTIFS('Data - Monthly Metrics'!$A:$A,$B$4-1,'Data - Monthly Metrics'!$B:$B,D$8,'Data - Monthly Metrics'!$C:$C,"Pierce",'Data - Monthly Metrics'!$D:$D,"Goal - Penetration %")=0),"—",IF(D70&gt;=SUMIFS('Data - Monthly Metrics'!$E:$E,'Data - Monthly Metrics'!$A:$A,$B$4-1,'Data - Monthly Metrics'!$B:$B,D$8,'Data - Monthly Metrics'!$C:$C,"Pierce",'Data - Monthly Metrics'!$D:$D,"Goal - Penetration %"),"On Track",IF(D70&gt;=SUMIFS('Data - Monthly Metrics'!$E:$E,'Data - Monthly Metrics'!$A:$A,$B$4-1,'Data - Monthly Metrics'!$B:$B,D$8,'Data - Monthly Metrics'!$C:$C,"Pierce",'Data - Monthly Metrics'!$D:$D,"Goal - Penetration %")-0.05,"Watch","At Risk")))</f>
        <v/>
      </c>
      <c r="E71" s="121">
        <f>"—"</f>
        <v/>
      </c>
      <c r="F71" s="120">
        <f>IF(OR(NOT(ISNUMBER(F70)),F70=0,COUNTIFS('Data - Monthly Metrics'!$A:$A,$B$4,'Data - Monthly Metrics'!$B:$B,F$8,'Data - Monthly Metrics'!$C:$C,"Pierce",'Data - Monthly Metrics'!$D:$D,"Goal - Penetration %")=0),"—",IF(F70&gt;=SUMIFS('Data - Monthly Metrics'!$E:$E,'Data - Monthly Metrics'!$A:$A,$B$4,'Data - Monthly Metrics'!$B:$B,F$8,'Data - Monthly Metrics'!$C:$C,"Pierce",'Data - Monthly Metrics'!$D:$D,"Goal - Penetration %"),"On Track",IF(F70&gt;=SUMIFS('Data - Monthly Metrics'!$E:$E,'Data - Monthly Metrics'!$A:$A,$B$4,'Data - Monthly Metrics'!$B:$B,F$8,'Data - Monthly Metrics'!$C:$C,"Pierce",'Data - Monthly Metrics'!$D:$D,"Goal - Penetration %")-0.05,"Watch","At Risk")))</f>
        <v/>
      </c>
      <c r="G71" s="120">
        <f>IF(OR(NOT(ISNUMBER(G70)),G70=0,COUNTIFS('Data - Monthly Metrics'!$A:$A,$B$4,'Data - Monthly Metrics'!$B:$B,G$8,'Data - Monthly Metrics'!$C:$C,"Pierce",'Data - Monthly Metrics'!$D:$D,"Goal - Penetration %")=0),"—",IF(G70&gt;=SUMIFS('Data - Monthly Metrics'!$E:$E,'Data - Monthly Metrics'!$A:$A,$B$4,'Data - Monthly Metrics'!$B:$B,G$8,'Data - Monthly Metrics'!$C:$C,"Pierce",'Data - Monthly Metrics'!$D:$D,"Goal - Penetration %"),"On Track",IF(G70&gt;=SUMIFS('Data - Monthly Metrics'!$E:$E,'Data - Monthly Metrics'!$A:$A,$B$4,'Data - Monthly Metrics'!$B:$B,G$8,'Data - Monthly Metrics'!$C:$C,"Pierce",'Data - Monthly Metrics'!$D:$D,"Goal - Penetration %")-0.05,"Watch","At Risk")))</f>
        <v/>
      </c>
      <c r="H71" s="120">
        <f>IF(OR(NOT(ISNUMBER(H70)),H70=0,COUNTIFS('Data - Monthly Metrics'!$A:$A,$B$4,'Data - Monthly Metrics'!$B:$B,H$8,'Data - Monthly Metrics'!$C:$C,"Pierce",'Data - Monthly Metrics'!$D:$D,"Goal - Penetration %")=0),"—",IF(H70&gt;=SUMIFS('Data - Monthly Metrics'!$E:$E,'Data - Monthly Metrics'!$A:$A,$B$4,'Data - Monthly Metrics'!$B:$B,H$8,'Data - Monthly Metrics'!$C:$C,"Pierce",'Data - Monthly Metrics'!$D:$D,"Goal - Penetration %"),"On Track",IF(H70&gt;=SUMIFS('Data - Monthly Metrics'!$E:$E,'Data - Monthly Metrics'!$A:$A,$B$4,'Data - Monthly Metrics'!$B:$B,H$8,'Data - Monthly Metrics'!$C:$C,"Pierce",'Data - Monthly Metrics'!$D:$D,"Goal - Penetration %")-0.05,"Watch","At Risk")))</f>
        <v/>
      </c>
      <c r="I71" s="121">
        <f>"—"</f>
        <v/>
      </c>
      <c r="J71" s="120">
        <f>IF(OR(NOT(ISNUMBER(J70)),J70=0,COUNTIFS('Data - Monthly Metrics'!$A:$A,$B$4,'Data - Monthly Metrics'!$B:$B,J$8,'Data - Monthly Metrics'!$C:$C,"Pierce",'Data - Monthly Metrics'!$D:$D,"Goal - Penetration %")=0),"—",IF(J70&gt;=SUMIFS('Data - Monthly Metrics'!$E:$E,'Data - Monthly Metrics'!$A:$A,$B$4,'Data - Monthly Metrics'!$B:$B,J$8,'Data - Monthly Metrics'!$C:$C,"Pierce",'Data - Monthly Metrics'!$D:$D,"Goal - Penetration %"),"On Track",IF(J70&gt;=SUMIFS('Data - Monthly Metrics'!$E:$E,'Data - Monthly Metrics'!$A:$A,$B$4,'Data - Monthly Metrics'!$B:$B,J$8,'Data - Monthly Metrics'!$C:$C,"Pierce",'Data - Monthly Metrics'!$D:$D,"Goal - Penetration %")-0.05,"Watch","At Risk")))</f>
        <v/>
      </c>
      <c r="K71" s="120">
        <f>IF(OR(NOT(ISNUMBER(K70)),K70=0,COUNTIFS('Data - Monthly Metrics'!$A:$A,$B$4,'Data - Monthly Metrics'!$B:$B,K$8,'Data - Monthly Metrics'!$C:$C,"Pierce",'Data - Monthly Metrics'!$D:$D,"Goal - Penetration %")=0),"—",IF(K70&gt;=SUMIFS('Data - Monthly Metrics'!$E:$E,'Data - Monthly Metrics'!$A:$A,$B$4,'Data - Monthly Metrics'!$B:$B,K$8,'Data - Monthly Metrics'!$C:$C,"Pierce",'Data - Monthly Metrics'!$D:$D,"Goal - Penetration %"),"On Track",IF(K70&gt;=SUMIFS('Data - Monthly Metrics'!$E:$E,'Data - Monthly Metrics'!$A:$A,$B$4,'Data - Monthly Metrics'!$B:$B,K$8,'Data - Monthly Metrics'!$C:$C,"Pierce",'Data - Monthly Metrics'!$D:$D,"Goal - Penetration %")-0.05,"Watch","At Risk")))</f>
        <v/>
      </c>
      <c r="L71" s="120">
        <f>IF(OR(NOT(ISNUMBER(L70)),L70=0,COUNTIFS('Data - Monthly Metrics'!$A:$A,$B$4,'Data - Monthly Metrics'!$B:$B,L$8,'Data - Monthly Metrics'!$C:$C,"Pierce",'Data - Monthly Metrics'!$D:$D,"Goal - Penetration %")=0),"—",IF(L70&gt;=SUMIFS('Data - Monthly Metrics'!$E:$E,'Data - Monthly Metrics'!$A:$A,$B$4,'Data - Monthly Metrics'!$B:$B,L$8,'Data - Monthly Metrics'!$C:$C,"Pierce",'Data - Monthly Metrics'!$D:$D,"Goal - Penetration %"),"On Track",IF(L70&gt;=SUMIFS('Data - Monthly Metrics'!$E:$E,'Data - Monthly Metrics'!$A:$A,$B$4,'Data - Monthly Metrics'!$B:$B,L$8,'Data - Monthly Metrics'!$C:$C,"Pierce",'Data - Monthly Metrics'!$D:$D,"Goal - Penetration %")-0.05,"Watch","At Risk")))</f>
        <v/>
      </c>
      <c r="M71" s="121">
        <f>"—"</f>
        <v/>
      </c>
      <c r="N71" s="120">
        <f>IF(OR(NOT(ISNUMBER(N70)),N70=0,COUNTIFS('Data - Monthly Metrics'!$A:$A,$B$4,'Data - Monthly Metrics'!$B:$B,N$8,'Data - Monthly Metrics'!$C:$C,"Pierce",'Data - Monthly Metrics'!$D:$D,"Goal - Penetration %")=0),"—",IF(N70&gt;=SUMIFS('Data - Monthly Metrics'!$E:$E,'Data - Monthly Metrics'!$A:$A,$B$4,'Data - Monthly Metrics'!$B:$B,N$8,'Data - Monthly Metrics'!$C:$C,"Pierce",'Data - Monthly Metrics'!$D:$D,"Goal - Penetration %"),"On Track",IF(N70&gt;=SUMIFS('Data - Monthly Metrics'!$E:$E,'Data - Monthly Metrics'!$A:$A,$B$4,'Data - Monthly Metrics'!$B:$B,N$8,'Data - Monthly Metrics'!$C:$C,"Pierce",'Data - Monthly Metrics'!$D:$D,"Goal - Penetration %")-0.05,"Watch","At Risk")))</f>
        <v/>
      </c>
      <c r="O71" s="120">
        <f>IF(OR(NOT(ISNUMBER(O70)),O70=0,COUNTIFS('Data - Monthly Metrics'!$A:$A,$B$4,'Data - Monthly Metrics'!$B:$B,O$8,'Data - Monthly Metrics'!$C:$C,"Pierce",'Data - Monthly Metrics'!$D:$D,"Goal - Penetration %")=0),"—",IF(O70&gt;=SUMIFS('Data - Monthly Metrics'!$E:$E,'Data - Monthly Metrics'!$A:$A,$B$4,'Data - Monthly Metrics'!$B:$B,O$8,'Data - Monthly Metrics'!$C:$C,"Pierce",'Data - Monthly Metrics'!$D:$D,"Goal - Penetration %"),"On Track",IF(O70&gt;=SUMIFS('Data - Monthly Metrics'!$E:$E,'Data - Monthly Metrics'!$A:$A,$B$4,'Data - Monthly Metrics'!$B:$B,O$8,'Data - Monthly Metrics'!$C:$C,"Pierce",'Data - Monthly Metrics'!$D:$D,"Goal - Penetration %")-0.05,"Watch","At Risk")))</f>
        <v/>
      </c>
      <c r="P71" s="120">
        <f>IF(OR(NOT(ISNUMBER(P70)),P70=0,COUNTIFS('Data - Monthly Metrics'!$A:$A,$B$4,'Data - Monthly Metrics'!$B:$B,P$8,'Data - Monthly Metrics'!$C:$C,"Pierce",'Data - Monthly Metrics'!$D:$D,"Goal - Penetration %")=0),"—",IF(P70&gt;=SUMIFS('Data - Monthly Metrics'!$E:$E,'Data - Monthly Metrics'!$A:$A,$B$4,'Data - Monthly Metrics'!$B:$B,P$8,'Data - Monthly Metrics'!$C:$C,"Pierce",'Data - Monthly Metrics'!$D:$D,"Goal - Penetration %"),"On Track",IF(P70&gt;=SUMIFS('Data - Monthly Metrics'!$E:$E,'Data - Monthly Metrics'!$A:$A,$B$4,'Data - Monthly Metrics'!$B:$B,P$8,'Data - Monthly Metrics'!$C:$C,"Pierce",'Data - Monthly Metrics'!$D:$D,"Goal - Penetration %")-0.05,"Watch","At Risk")))</f>
        <v/>
      </c>
      <c r="Q71" s="121">
        <f>"—"</f>
        <v/>
      </c>
      <c r="R71" s="121">
        <f>"—"</f>
        <v/>
      </c>
    </row>
    <row r="72" ht="14.25" customHeight="1" s="82">
      <c r="A72" s="151" t="inlineStr">
        <is>
          <t>Goal</t>
        </is>
      </c>
      <c r="B72" s="152">
        <f>IF(COUNTIFS('Data - Monthly Metrics'!$A:$A,$B$4-1,'Data - Monthly Metrics'!$B:$B,B$8,'Data - Monthly Metrics'!$C:$C,"Pierce",'Data - Monthly Metrics'!$D:$D,"Goal - Penetration %")=0,"-",SUMIFS('Data - Monthly Metrics'!$E:$E,'Data - Monthly Metrics'!$A:$A,$B$4-1,'Data - Monthly Metrics'!$B:$B,B$8,'Data - Monthly Metrics'!$C:$C,"Pierce",'Data - Monthly Metrics'!$D:$D,"Goal - Penetration %"))</f>
        <v/>
      </c>
      <c r="C72" s="152">
        <f>IF(COUNTIFS('Data - Monthly Metrics'!$A:$A,$B$4-1,'Data - Monthly Metrics'!$B:$B,C$8,'Data - Monthly Metrics'!$C:$C,"Pierce",'Data - Monthly Metrics'!$D:$D,"Goal - Penetration %")=0,"-",SUMIFS('Data - Monthly Metrics'!$E:$E,'Data - Monthly Metrics'!$A:$A,$B$4-1,'Data - Monthly Metrics'!$B:$B,C$8,'Data - Monthly Metrics'!$C:$C,"Pierce",'Data - Monthly Metrics'!$D:$D,"Goal - Penetration %"))</f>
        <v/>
      </c>
      <c r="D72" s="152">
        <f>IF(COUNTIFS('Data - Monthly Metrics'!$A:$A,$B$4-1,'Data - Monthly Metrics'!$B:$B,D$8,'Data - Monthly Metrics'!$C:$C,"Pierce",'Data - Monthly Metrics'!$D:$D,"Goal - Penetration %")=0,"-",SUMIFS('Data - Monthly Metrics'!$E:$E,'Data - Monthly Metrics'!$A:$A,$B$4-1,'Data - Monthly Metrics'!$B:$B,D$8,'Data - Monthly Metrics'!$C:$C,"Pierce",'Data - Monthly Metrics'!$D:$D,"Goal - Penetration %"))</f>
        <v/>
      </c>
      <c r="E72" s="153" t="n"/>
      <c r="F72" s="152">
        <f>IF(COUNTIFS('Data - Monthly Metrics'!$A:$A,$B$4,'Data - Monthly Metrics'!$B:$B,F$8,'Data - Monthly Metrics'!$C:$C,"Pierce",'Data - Monthly Metrics'!$D:$D,"Goal - Penetration %")=0,"-",SUMIFS('Data - Monthly Metrics'!$E:$E,'Data - Monthly Metrics'!$A:$A,$B$4,'Data - Monthly Metrics'!$B:$B,F$8,'Data - Monthly Metrics'!$C:$C,"Pierce",'Data - Monthly Metrics'!$D:$D,"Goal - Penetration %"))</f>
        <v/>
      </c>
      <c r="G72" s="152">
        <f>IF(COUNTIFS('Data - Monthly Metrics'!$A:$A,$B$4,'Data - Monthly Metrics'!$B:$B,G$8,'Data - Monthly Metrics'!$C:$C,"Pierce",'Data - Monthly Metrics'!$D:$D,"Goal - Penetration %")=0,"-",SUMIFS('Data - Monthly Metrics'!$E:$E,'Data - Monthly Metrics'!$A:$A,$B$4,'Data - Monthly Metrics'!$B:$B,G$8,'Data - Monthly Metrics'!$C:$C,"Pierce",'Data - Monthly Metrics'!$D:$D,"Goal - Penetration %"))</f>
        <v/>
      </c>
      <c r="H72" s="152">
        <f>IF(COUNTIFS('Data - Monthly Metrics'!$A:$A,$B$4,'Data - Monthly Metrics'!$B:$B,H$8,'Data - Monthly Metrics'!$C:$C,"Pierce",'Data - Monthly Metrics'!$D:$D,"Goal - Penetration %")=0,"-",SUMIFS('Data - Monthly Metrics'!$E:$E,'Data - Monthly Metrics'!$A:$A,$B$4,'Data - Monthly Metrics'!$B:$B,H$8,'Data - Monthly Metrics'!$C:$C,"Pierce",'Data - Monthly Metrics'!$D:$D,"Goal - Penetration %"))</f>
        <v/>
      </c>
      <c r="I72" s="153" t="n"/>
      <c r="J72" s="152">
        <f>IF(COUNTIFS('Data - Monthly Metrics'!$A:$A,$B$4,'Data - Monthly Metrics'!$B:$B,J$8,'Data - Monthly Metrics'!$C:$C,"Pierce",'Data - Monthly Metrics'!$D:$D,"Goal - Penetration %")=0,"-",SUMIFS('Data - Monthly Metrics'!$E:$E,'Data - Monthly Metrics'!$A:$A,$B$4,'Data - Monthly Metrics'!$B:$B,J$8,'Data - Monthly Metrics'!$C:$C,"Pierce",'Data - Monthly Metrics'!$D:$D,"Goal - Penetration %"))</f>
        <v/>
      </c>
      <c r="K72" s="152">
        <f>IF(COUNTIFS('Data - Monthly Metrics'!$A:$A,$B$4,'Data - Monthly Metrics'!$B:$B,K$8,'Data - Monthly Metrics'!$C:$C,"Pierce",'Data - Monthly Metrics'!$D:$D,"Goal - Penetration %")=0,"-",SUMIFS('Data - Monthly Metrics'!$E:$E,'Data - Monthly Metrics'!$A:$A,$B$4,'Data - Monthly Metrics'!$B:$B,K$8,'Data - Monthly Metrics'!$C:$C,"Pierce",'Data - Monthly Metrics'!$D:$D,"Goal - Penetration %"))</f>
        <v/>
      </c>
      <c r="L72" s="152">
        <f>IF(COUNTIFS('Data - Monthly Metrics'!$A:$A,$B$4,'Data - Monthly Metrics'!$B:$B,L$8,'Data - Monthly Metrics'!$C:$C,"Pierce",'Data - Monthly Metrics'!$D:$D,"Goal - Penetration %")=0,"-",SUMIFS('Data - Monthly Metrics'!$E:$E,'Data - Monthly Metrics'!$A:$A,$B$4,'Data - Monthly Metrics'!$B:$B,L$8,'Data - Monthly Metrics'!$C:$C,"Pierce",'Data - Monthly Metrics'!$D:$D,"Goal - Penetration %"))</f>
        <v/>
      </c>
      <c r="M72" s="153" t="n"/>
      <c r="N72" s="152">
        <f>IF(COUNTIFS('Data - Monthly Metrics'!$A:$A,$B$4,'Data - Monthly Metrics'!$B:$B,N$8,'Data - Monthly Metrics'!$C:$C,"Pierce",'Data - Monthly Metrics'!$D:$D,"Goal - Penetration %")=0,"-",SUMIFS('Data - Monthly Metrics'!$E:$E,'Data - Monthly Metrics'!$A:$A,$B$4,'Data - Monthly Metrics'!$B:$B,N$8,'Data - Monthly Metrics'!$C:$C,"Pierce",'Data - Monthly Metrics'!$D:$D,"Goal - Penetration %"))</f>
        <v/>
      </c>
      <c r="O72" s="152">
        <f>IF(COUNTIFS('Data - Monthly Metrics'!$A:$A,$B$4,'Data - Monthly Metrics'!$B:$B,O$8,'Data - Monthly Metrics'!$C:$C,"Pierce",'Data - Monthly Metrics'!$D:$D,"Goal - Penetration %")=0,"-",SUMIFS('Data - Monthly Metrics'!$E:$E,'Data - Monthly Metrics'!$A:$A,$B$4,'Data - Monthly Metrics'!$B:$B,O$8,'Data - Monthly Metrics'!$C:$C,"Pierce",'Data - Monthly Metrics'!$D:$D,"Goal - Penetration %"))</f>
        <v/>
      </c>
      <c r="P72" s="152">
        <f>IF(COUNTIFS('Data - Monthly Metrics'!$A:$A,$B$4,'Data - Monthly Metrics'!$B:$B,P$8,'Data - Monthly Metrics'!$C:$C,"Pierce",'Data - Monthly Metrics'!$D:$D,"Goal - Penetration %")=0,"-",SUMIFS('Data - Monthly Metrics'!$E:$E,'Data - Monthly Metrics'!$A:$A,$B$4,'Data - Monthly Metrics'!$B:$B,P$8,'Data - Monthly Metrics'!$C:$C,"Pierce",'Data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Metrics'!C:C,"Pierce",'Data - Monthly Metrics'!D:D,"New Sales Revenue - Non-Target ($)")=0,"-",SUMIFS('Data - Monthly Metrics'!E:E,'Data - Monthly Metrics'!A:A,$B$4-1,'Data - Monthly Metrics'!B:B,"Oct",'Data - Monthly Metrics'!C:C,"Pierce",'Data - Monthly Metrics'!D:D,"New Sales Revenue - Non-Target ($)"))</f>
        <v/>
      </c>
      <c r="C79" s="91">
        <f>IF(COUNTIFS('Data - Monthly Metrics'!A:A,$B$4-1,'Data - Monthly Metrics'!B:B,"Nov",'Data - Monthly Metrics'!C:C,"Pierce",'Data - Monthly Metrics'!D:D,"New Sales Revenue - Non-Target ($)")=0,"-",SUMIFS('Data - Monthly Metrics'!E:E,'Data - Monthly Metrics'!A:A,$B$4-1,'Data - Monthly Metrics'!B:B,"Nov",'Data - Monthly Metrics'!C:C,"Pierce",'Data - Monthly Metrics'!D:D,"New Sales Revenue - Non-Target ($)"))</f>
        <v/>
      </c>
      <c r="D79" s="91">
        <f>IF(COUNTIFS('Data - Monthly Metrics'!A:A,$B$4-1,'Data - Monthly Metrics'!B:B,"Dec",'Data - Monthly Metrics'!C:C,"Pierce",'Data - Monthly Metrics'!D:D,"New Sales Revenue - Non-Target ($)")=0,"-",SUMIFS('Data - Monthly Metrics'!E:E,'Data - Monthly Metrics'!A:A,$B$4-1,'Data - Monthly Metrics'!B:B,"Dec",'Data - Monthly Metrics'!C:C,"Pierce",'Data - Monthly Metrics'!D:D,"New Sales Revenue - Non-Target ($)"))</f>
        <v/>
      </c>
      <c r="E79" s="101">
        <f>SUM(B79,C79,D79)</f>
        <v/>
      </c>
      <c r="F79" s="91">
        <f>IF(COUNTIFS('Data - Monthly Metrics'!A:A,$B$4,'Data - Monthly Metrics'!B:B,"Jan",'Data - Monthly Metrics'!C:C,"Pierce",'Data - Monthly Metrics'!D:D,"New Sales Revenue - Non-Target ($)")=0,"-",SUMIFS('Data - Monthly Metrics'!E:E,'Data - Monthly Metrics'!A:A,$B$4,'Data - Monthly Metrics'!B:B,"Jan",'Data - Monthly Metrics'!C:C,"Pierce",'Data - Monthly Metrics'!D:D,"New Sales Revenue - Non-Target ($)"))</f>
        <v/>
      </c>
      <c r="G79" s="91">
        <f>IF(COUNTIFS('Data - Monthly Metrics'!A:A,$B$4,'Data - Monthly Metrics'!B:B,"Feb",'Data - Monthly Metrics'!C:C,"Pierce",'Data - Monthly Metrics'!D:D,"New Sales Revenue - Non-Target ($)")=0,"-",SUMIFS('Data - Monthly Metrics'!E:E,'Data - Monthly Metrics'!A:A,$B$4,'Data - Monthly Metrics'!B:B,"Feb",'Data - Monthly Metrics'!C:C,"Pierce",'Data - Monthly Metrics'!D:D,"New Sales Revenue - Non-Target ($)"))</f>
        <v/>
      </c>
      <c r="H79" s="91">
        <f>IF(COUNTIFS('Data - Monthly Metrics'!A:A,$B$4,'Data - Monthly Metrics'!B:B,"Mar",'Data - Monthly Metrics'!C:C,"Pierce",'Data - Monthly Metrics'!D:D,"New Sales Revenue - Non-Target ($)")=0,"-",SUMIFS('Data - Monthly Metrics'!E:E,'Data - Monthly Metrics'!A:A,$B$4,'Data - Monthly Metrics'!B:B,"Mar",'Data - Monthly Metrics'!C:C,"Pierce",'Data - Monthly Metrics'!D:D,"New Sales Revenue - Non-Target ($)"))</f>
        <v/>
      </c>
      <c r="I79" s="101">
        <f>SUM(F79,G79,H79)</f>
        <v/>
      </c>
      <c r="J79" s="91">
        <f>IF(COUNTIFS('Data - Monthly Metrics'!A:A,$B$4,'Data - Monthly Metrics'!B:B,"Apr",'Data - Monthly Metrics'!C:C,"Pierce",'Data - Monthly Metrics'!D:D,"New Sales Revenue - Non-Target ($)")=0,"-",SUMIFS('Data - Monthly Metrics'!E:E,'Data - Monthly Metrics'!A:A,$B$4,'Data - Monthly Metrics'!B:B,"Apr",'Data - Monthly Metrics'!C:C,"Pierce",'Data - Monthly Metrics'!D:D,"New Sales Revenue - Non-Target ($)"))</f>
        <v/>
      </c>
      <c r="K79" s="91">
        <f>IF(COUNTIFS('Data - Monthly Metrics'!A:A,$B$4,'Data - Monthly Metrics'!B:B,"May",'Data - Monthly Metrics'!C:C,"Pierce",'Data - Monthly Metrics'!D:D,"New Sales Revenue - Non-Target ($)")=0,"-",SUMIFS('Data - Monthly Metrics'!E:E,'Data - Monthly Metrics'!A:A,$B$4,'Data - Monthly Metrics'!B:B,"May",'Data - Monthly Metrics'!C:C,"Pierce",'Data - Monthly Metrics'!D:D,"New Sales Revenue - Non-Target ($)"))</f>
        <v/>
      </c>
      <c r="L79" s="91">
        <f>IF(COUNTIFS('Data - Monthly Metrics'!A:A,$B$4,'Data - Monthly Metrics'!B:B,"Jun",'Data - Monthly Metrics'!C:C,"Pierce",'Data - Monthly Metrics'!D:D,"New Sales Revenue - Non-Target ($)")=0,"-",SUMIFS('Data - Monthly Metrics'!E:E,'Data - Monthly Metrics'!A:A,$B$4,'Data - Monthly Metrics'!B:B,"Jun",'Data - Monthly Metrics'!C:C,"Pierce",'Data - Monthly Metrics'!D:D,"New Sales Revenue - Non-Target ($)"))</f>
        <v/>
      </c>
      <c r="M79" s="101">
        <f>SUM(J79,K79,L79)</f>
        <v/>
      </c>
      <c r="N79" s="91">
        <f>IF(COUNTIFS('Data - Monthly Metrics'!A:A,$B$4,'Data - Monthly Metrics'!B:B,"Jul",'Data - Monthly Metrics'!C:C,"Pierce",'Data - Monthly Metrics'!D:D,"New Sales Revenue - Non-Target ($)")=0,"-",SUMIFS('Data - Monthly Metrics'!E:E,'Data - Monthly Metrics'!A:A,$B$4,'Data - Monthly Metrics'!B:B,"Jul",'Data - Monthly Metrics'!C:C,"Pierce",'Data - Monthly Metrics'!D:D,"New Sales Revenue - Non-Target ($)"))</f>
        <v/>
      </c>
      <c r="O79" s="91">
        <f>IF(COUNTIFS('Data - Monthly Metrics'!A:A,$B$4,'Data - Monthly Metrics'!B:B,"Aug",'Data - Monthly Metrics'!C:C,"Pierce",'Data - Monthly Metrics'!D:D,"New Sales Revenue - Non-Target ($)")=0,"-",SUMIFS('Data - Monthly Metrics'!E:E,'Data - Monthly Metrics'!A:A,$B$4,'Data - Monthly Metrics'!B:B,"Aug",'Data - Monthly Metrics'!C:C,"Pierce",'Data - Monthly Metrics'!D:D,"New Sales Revenue - Non-Target ($)"))</f>
        <v/>
      </c>
      <c r="P79" s="91">
        <f>IF(COUNTIFS('Data - Monthly Metrics'!A:A,$B$4,'Data - Monthly Metrics'!B:B,"Sep",'Data - Monthly Metrics'!C:C,"Pierce",'Data - Monthly Metrics'!D:D,"New Sales Revenue - Non-Target ($)")=0,"-",SUMIFS('Data - Monthly Metrics'!E:E,'Data - Monthly Metrics'!A:A,$B$4,'Data - Monthly Metrics'!B:B,"Sep",'Data - Monthly Metrics'!C:C,"Pierce",'Data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Metrics'!C:C,"Pierce",'Data - Monthly Metrics'!D:D,"New Members - Non-Target (#)")=0,"-",SUMIFS('Data - Monthly Metrics'!E:E,'Data - Monthly Metrics'!A:A,$B$4-1,'Data - Monthly Metrics'!B:B,"Oct",'Data - Monthly Metrics'!C:C,"Pierce",'Data - Monthly Metrics'!D:D,"New Members - Non-Target (#)"))</f>
        <v/>
      </c>
      <c r="C80" s="98">
        <f>IF(COUNTIFS('Data - Monthly Metrics'!A:A,$B$4-1,'Data - Monthly Metrics'!B:B,"Nov",'Data - Monthly Metrics'!C:C,"Pierce",'Data - Monthly Metrics'!D:D,"New Members - Non-Target (#)")=0,"-",SUMIFS('Data - Monthly Metrics'!E:E,'Data - Monthly Metrics'!A:A,$B$4-1,'Data - Monthly Metrics'!B:B,"Nov",'Data - Monthly Metrics'!C:C,"Pierce",'Data - Monthly Metrics'!D:D,"New Members - Non-Target (#)"))</f>
        <v/>
      </c>
      <c r="D80" s="98">
        <f>IF(COUNTIFS('Data - Monthly Metrics'!A:A,$B$4-1,'Data - Monthly Metrics'!B:B,"Dec",'Data - Monthly Metrics'!C:C,"Pierce",'Data - Monthly Metrics'!D:D,"New Members - Non-Target (#)")=0,"-",SUMIFS('Data - Monthly Metrics'!E:E,'Data - Monthly Metrics'!A:A,$B$4-1,'Data - Monthly Metrics'!B:B,"Dec",'Data - Monthly Metrics'!C:C,"Pierce",'Data - Monthly Metrics'!D:D,"New Members - Non-Target (#)"))</f>
        <v/>
      </c>
      <c r="E80" s="103">
        <f>SUM(B80,C80,D80)</f>
        <v/>
      </c>
      <c r="F80" s="98">
        <f>IF(COUNTIFS('Data - Monthly Metrics'!A:A,$B$4,'Data - Monthly Metrics'!B:B,"Jan",'Data - Monthly Metrics'!C:C,"Pierce",'Data - Monthly Metrics'!D:D,"New Members - Non-Target (#)")=0,"-",SUMIFS('Data - Monthly Metrics'!E:E,'Data - Monthly Metrics'!A:A,$B$4,'Data - Monthly Metrics'!B:B,"Jan",'Data - Monthly Metrics'!C:C,"Pierce",'Data - Monthly Metrics'!D:D,"New Members - Non-Target (#)"))</f>
        <v/>
      </c>
      <c r="G80" s="98">
        <f>IF(COUNTIFS('Data - Monthly Metrics'!A:A,$B$4,'Data - Monthly Metrics'!B:B,"Feb",'Data - Monthly Metrics'!C:C,"Pierce",'Data - Monthly Metrics'!D:D,"New Members - Non-Target (#)")=0,"-",SUMIFS('Data - Monthly Metrics'!E:E,'Data - Monthly Metrics'!A:A,$B$4,'Data - Monthly Metrics'!B:B,"Feb",'Data - Monthly Metrics'!C:C,"Pierce",'Data - Monthly Metrics'!D:D,"New Members - Non-Target (#)"))</f>
        <v/>
      </c>
      <c r="H80" s="98">
        <f>IF(COUNTIFS('Data - Monthly Metrics'!A:A,$B$4,'Data - Monthly Metrics'!B:B,"Mar",'Data - Monthly Metrics'!C:C,"Pierce",'Data - Monthly Metrics'!D:D,"New Members - Non-Target (#)")=0,"-",SUMIFS('Data - Monthly Metrics'!E:E,'Data - Monthly Metrics'!A:A,$B$4,'Data - Monthly Metrics'!B:B,"Mar",'Data - Monthly Metrics'!C:C,"Pierce",'Data - Monthly Metrics'!D:D,"New Members - Non-Target (#)"))</f>
        <v/>
      </c>
      <c r="I80" s="103">
        <f>SUM(F80,G80,H80)</f>
        <v/>
      </c>
      <c r="J80" s="98">
        <f>IF(COUNTIFS('Data - Monthly Metrics'!A:A,$B$4,'Data - Monthly Metrics'!B:B,"Apr",'Data - Monthly Metrics'!C:C,"Pierce",'Data - Monthly Metrics'!D:D,"New Members - Non-Target (#)")=0,"-",SUMIFS('Data - Monthly Metrics'!E:E,'Data - Monthly Metrics'!A:A,$B$4,'Data - Monthly Metrics'!B:B,"Apr",'Data - Monthly Metrics'!C:C,"Pierce",'Data - Monthly Metrics'!D:D,"New Members - Non-Target (#)"))</f>
        <v/>
      </c>
      <c r="K80" s="98">
        <f>IF(COUNTIFS('Data - Monthly Metrics'!A:A,$B$4,'Data - Monthly Metrics'!B:B,"May",'Data - Monthly Metrics'!C:C,"Pierce",'Data - Monthly Metrics'!D:D,"New Members - Non-Target (#)")=0,"-",SUMIFS('Data - Monthly Metrics'!E:E,'Data - Monthly Metrics'!A:A,$B$4,'Data - Monthly Metrics'!B:B,"May",'Data - Monthly Metrics'!C:C,"Pierce",'Data - Monthly Metrics'!D:D,"New Members - Non-Target (#)"))</f>
        <v/>
      </c>
      <c r="L80" s="98">
        <f>IF(COUNTIFS('Data - Monthly Metrics'!A:A,$B$4,'Data - Monthly Metrics'!B:B,"Jun",'Data - Monthly Metrics'!C:C,"Pierce",'Data - Monthly Metrics'!D:D,"New Members - Non-Target (#)")=0,"-",SUMIFS('Data - Monthly Metrics'!E:E,'Data - Monthly Metrics'!A:A,$B$4,'Data - Monthly Metrics'!B:B,"Jun",'Data - Monthly Metrics'!C:C,"Pierce",'Data - Monthly Metrics'!D:D,"New Members - Non-Target (#)"))</f>
        <v/>
      </c>
      <c r="M80" s="103">
        <f>SUM(J80,K80,L80)</f>
        <v/>
      </c>
      <c r="N80" s="98">
        <f>IF(COUNTIFS('Data - Monthly Metrics'!A:A,$B$4,'Data - Monthly Metrics'!B:B,"Jul",'Data - Monthly Metrics'!C:C,"Pierce",'Data - Monthly Metrics'!D:D,"New Members - Non-Target (#)")=0,"-",SUMIFS('Data - Monthly Metrics'!E:E,'Data - Monthly Metrics'!A:A,$B$4,'Data - Monthly Metrics'!B:B,"Jul",'Data - Monthly Metrics'!C:C,"Pierce",'Data - Monthly Metrics'!D:D,"New Members - Non-Target (#)"))</f>
        <v/>
      </c>
      <c r="O80" s="98">
        <f>IF(COUNTIFS('Data - Monthly Metrics'!A:A,$B$4,'Data - Monthly Metrics'!B:B,"Aug",'Data - Monthly Metrics'!C:C,"Pierce",'Data - Monthly Metrics'!D:D,"New Members - Non-Target (#)")=0,"-",SUMIFS('Data - Monthly Metrics'!E:E,'Data - Monthly Metrics'!A:A,$B$4,'Data - Monthly Metrics'!B:B,"Aug",'Data - Monthly Metrics'!C:C,"Pierce",'Data - Monthly Metrics'!D:D,"New Members - Non-Target (#)"))</f>
        <v/>
      </c>
      <c r="P80" s="98">
        <f>IF(COUNTIFS('Data - Monthly Metrics'!A:A,$B$4,'Data - Monthly Metrics'!B:B,"Sep",'Data - Monthly Metrics'!C:C,"Pierce",'Data - Monthly Metrics'!D:D,"New Members - Non-Target (#)")=0,"-",SUMIFS('Data - Monthly Metrics'!E:E,'Data - Monthly Metrics'!A:A,$B$4,'Data - Monthly Metrics'!B:B,"Sep",'Data - Monthly Metrics'!C:C,"Pierce",'Data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Metrics'!C:C,"Pierce",'Data - Monthly Metrics'!D:D,"Billables - Hospitality Non-Target (#)")=0,"-",SUMIFS('Data - Monthly Metrics'!E:E,'Data - Monthly Metrics'!A:A,$B$4-1,'Data - Monthly Metrics'!B:B,"Oct",'Data - Monthly Metrics'!C:C,"Pierce",'Data - Monthly Metrics'!D:D,"Billables - Hospitality Non-Target (#)"))</f>
        <v/>
      </c>
      <c r="C84" s="93">
        <f>IF(COUNTIFS('Data - Monthly Metrics'!A:A,$B$4-1,'Data - Monthly Metrics'!B:B,"Nov",'Data - Monthly Metrics'!C:C,"Pierce",'Data - Monthly Metrics'!D:D,"Billables - Hospitality Non-Target (#)")=0,"-",SUMIFS('Data - Monthly Metrics'!E:E,'Data - Monthly Metrics'!A:A,$B$4-1,'Data - Monthly Metrics'!B:B,"Nov",'Data - Monthly Metrics'!C:C,"Pierce",'Data - Monthly Metrics'!D:D,"Billables - Hospitality Non-Target (#)"))</f>
        <v/>
      </c>
      <c r="D84" s="93">
        <f>IF(COUNTIFS('Data - Monthly Metrics'!A:A,$B$4-1,'Data - Monthly Metrics'!B:B,"Dec",'Data - Monthly Metrics'!C:C,"Pierce",'Data - Monthly Metrics'!D:D,"Billables - Hospitality Non-Target (#)")=0,"-",SUMIFS('Data - Monthly Metrics'!E:E,'Data - Monthly Metrics'!A:A,$B$4-1,'Data - Monthly Metrics'!B:B,"Dec",'Data - Monthly Metrics'!C:C,"Pierce",'Data - Monthly Metrics'!D:D,"Billables - Hospitality Non-Target (#)"))</f>
        <v/>
      </c>
      <c r="E84" s="103">
        <f>IF(ISNUMBER(D84),D84,IF(ISNUMBER(C84),C84,IF(ISNUMBER(B84),B84,"-")))</f>
        <v/>
      </c>
      <c r="F84" s="93">
        <f>IF(COUNTIFS('Data - Monthly Metrics'!A:A,$B$4,'Data - Monthly Metrics'!B:B,"Jan",'Data - Monthly Metrics'!C:C,"Pierce",'Data - Monthly Metrics'!D:D,"Billables - Hospitality Non-Target (#)")=0,"-",SUMIFS('Data - Monthly Metrics'!E:E,'Data - Monthly Metrics'!A:A,$B$4,'Data - Monthly Metrics'!B:B,"Jan",'Data - Monthly Metrics'!C:C,"Pierce",'Data - Monthly Metrics'!D:D,"Billables - Hospitality Non-Target (#)"))</f>
        <v/>
      </c>
      <c r="G84" s="93">
        <f>IF(COUNTIFS('Data - Monthly Metrics'!A:A,$B$4,'Data - Monthly Metrics'!B:B,"Feb",'Data - Monthly Metrics'!C:C,"Pierce",'Data - Monthly Metrics'!D:D,"Billables - Hospitality Non-Target (#)")=0,"-",SUMIFS('Data - Monthly Metrics'!E:E,'Data - Monthly Metrics'!A:A,$B$4,'Data - Monthly Metrics'!B:B,"Feb",'Data - Monthly Metrics'!C:C,"Pierce",'Data - Monthly Metrics'!D:D,"Billables - Hospitality Non-Target (#)"))</f>
        <v/>
      </c>
      <c r="H84" s="93">
        <f>IF(COUNTIFS('Data - Monthly Metrics'!A:A,$B$4,'Data - Monthly Metrics'!B:B,"Mar",'Data - Monthly Metrics'!C:C,"Pierce",'Data - Monthly Metrics'!D:D,"Billables - Hospitality Non-Target (#)")=0,"-",SUMIFS('Data - Monthly Metrics'!E:E,'Data - Monthly Metrics'!A:A,$B$4,'Data - Monthly Metrics'!B:B,"Mar",'Data - Monthly Metrics'!C:C,"Pierce",'Data - Monthly Metrics'!D:D,"Billables - Hospitality Non-Target (#)"))</f>
        <v/>
      </c>
      <c r="I84" s="103">
        <f>IF(ISNUMBER(H84),H84,IF(ISNUMBER(G84),G84,IF(ISNUMBER(F84),F84,"-")))</f>
        <v/>
      </c>
      <c r="J84" s="93">
        <f>IF(COUNTIFS('Data - Monthly Metrics'!A:A,$B$4,'Data - Monthly Metrics'!B:B,"Apr",'Data - Monthly Metrics'!C:C,"Pierce",'Data - Monthly Metrics'!D:D,"Billables - Hospitality Non-Target (#)")=0,"-",SUMIFS('Data - Monthly Metrics'!E:E,'Data - Monthly Metrics'!A:A,$B$4,'Data - Monthly Metrics'!B:B,"Apr",'Data - Monthly Metrics'!C:C,"Pierce",'Data - Monthly Metrics'!D:D,"Billables - Hospitality Non-Target (#)"))</f>
        <v/>
      </c>
      <c r="K84" s="93">
        <f>IF(COUNTIFS('Data - Monthly Metrics'!A:A,$B$4,'Data - Monthly Metrics'!B:B,"May",'Data - Monthly Metrics'!C:C,"Pierce",'Data - Monthly Metrics'!D:D,"Billables - Hospitality Non-Target (#)")=0,"-",SUMIFS('Data - Monthly Metrics'!E:E,'Data - Monthly Metrics'!A:A,$B$4,'Data - Monthly Metrics'!B:B,"May",'Data - Monthly Metrics'!C:C,"Pierce",'Data - Monthly Metrics'!D:D,"Billables - Hospitality Non-Target (#)"))</f>
        <v/>
      </c>
      <c r="L84" s="93">
        <f>IF(COUNTIFS('Data - Monthly Metrics'!A:A,$B$4,'Data - Monthly Metrics'!B:B,"Jun",'Data - Monthly Metrics'!C:C,"Pierce",'Data - Monthly Metrics'!D:D,"Billables - Hospitality Non-Target (#)")=0,"-",SUMIFS('Data - Monthly Metrics'!E:E,'Data - Monthly Metrics'!A:A,$B$4,'Data - Monthly Metrics'!B:B,"Jun",'Data - Monthly Metrics'!C:C,"Pierce",'Data - Monthly Metrics'!D:D,"Billables - Hospitality Non-Target (#)"))</f>
        <v/>
      </c>
      <c r="M84" s="103">
        <f>IF(ISNUMBER(L84),L84,IF(ISNUMBER(K84),K84,IF(ISNUMBER(J84),J84,"-")))</f>
        <v/>
      </c>
      <c r="N84" s="93">
        <f>IF(COUNTIFS('Data - Monthly Metrics'!A:A,$B$4,'Data - Monthly Metrics'!B:B,"Jul",'Data - Monthly Metrics'!C:C,"Pierce",'Data - Monthly Metrics'!D:D,"Billables - Hospitality Non-Target (#)")=0,"-",SUMIFS('Data - Monthly Metrics'!E:E,'Data - Monthly Metrics'!A:A,$B$4,'Data - Monthly Metrics'!B:B,"Jul",'Data - Monthly Metrics'!C:C,"Pierce",'Data - Monthly Metrics'!D:D,"Billables - Hospitality Non-Target (#)"))</f>
        <v/>
      </c>
      <c r="O84" s="93">
        <f>IF(COUNTIFS('Data - Monthly Metrics'!A:A,$B$4,'Data - Monthly Metrics'!B:B,"Aug",'Data - Monthly Metrics'!C:C,"Pierce",'Data - Monthly Metrics'!D:D,"Billables - Hospitality Non-Target (#)")=0,"-",SUMIFS('Data - Monthly Metrics'!E:E,'Data - Monthly Metrics'!A:A,$B$4,'Data - Monthly Metrics'!B:B,"Aug",'Data - Monthly Metrics'!C:C,"Pierce",'Data - Monthly Metrics'!D:D,"Billables - Hospitality Non-Target (#)"))</f>
        <v/>
      </c>
      <c r="P84" s="93">
        <f>IF(COUNTIFS('Data - Monthly Metrics'!A:A,$B$4,'Data - Monthly Metrics'!B:B,"Sep",'Data - Monthly Metrics'!C:C,"Pierce",'Data - Monthly Metrics'!D:D,"Billables - Hospitality Non-Target (#)")=0,"-",SUMIFS('Data - Monthly Metrics'!E:E,'Data - Monthly Metrics'!A:A,$B$4,'Data - Monthly Metrics'!B:B,"Sep",'Data - Monthly Metrics'!C:C,"Pierce",'Data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Metrics'!C:C,"Pierce",'Data - Monthly Metrics'!D:D,"Member Locations - Non-Target (#)")=0,"-",SUMIFS('Data - Monthly Metrics'!E:E,'Data - Monthly Metrics'!A:A,$B$4-1,'Data - Monthly Metrics'!B:B,"Oct",'Data - Monthly Metrics'!C:C,"Pierce",'Data - Monthly Metrics'!D:D,"Member Locations - Non-Target (#)"))</f>
        <v/>
      </c>
      <c r="C85" s="93">
        <f>IF(COUNTIFS('Data - Monthly Metrics'!A:A,$B$4-1,'Data - Monthly Metrics'!B:B,"Nov",'Data - Monthly Metrics'!C:C,"Pierce",'Data - Monthly Metrics'!D:D,"Member Locations - Non-Target (#)")=0,"-",SUMIFS('Data - Monthly Metrics'!E:E,'Data - Monthly Metrics'!A:A,$B$4-1,'Data - Monthly Metrics'!B:B,"Nov",'Data - Monthly Metrics'!C:C,"Pierce",'Data - Monthly Metrics'!D:D,"Member Locations - Non-Target (#)"))</f>
        <v/>
      </c>
      <c r="D85" s="93">
        <f>IF(COUNTIFS('Data - Monthly Metrics'!A:A,$B$4-1,'Data - Monthly Metrics'!B:B,"Dec",'Data - Monthly Metrics'!C:C,"Pierce",'Data - Monthly Metrics'!D:D,"Member Locations - Non-Target (#)")=0,"-",SUMIFS('Data - Monthly Metrics'!E:E,'Data - Monthly Metrics'!A:A,$B$4-1,'Data - Monthly Metrics'!B:B,"Dec",'Data - Monthly Metrics'!C:C,"Pierce",'Data - Monthly Metrics'!D:D,"Member Locations - Non-Target (#)"))</f>
        <v/>
      </c>
      <c r="E85" s="103">
        <f>IF(ISNUMBER(D85),D85,IF(ISNUMBER(C85),C85,IF(ISNUMBER(B85),B85,"-")))</f>
        <v/>
      </c>
      <c r="F85" s="93">
        <f>IF(COUNTIFS('Data - Monthly Metrics'!A:A,$B$4,'Data - Monthly Metrics'!B:B,"Jan",'Data - Monthly Metrics'!C:C,"Pierce",'Data - Monthly Metrics'!D:D,"Member Locations - Non-Target (#)")=0,"-",SUMIFS('Data - Monthly Metrics'!E:E,'Data - Monthly Metrics'!A:A,$B$4,'Data - Monthly Metrics'!B:B,"Jan",'Data - Monthly Metrics'!C:C,"Pierce",'Data - Monthly Metrics'!D:D,"Member Locations - Non-Target (#)"))</f>
        <v/>
      </c>
      <c r="G85" s="93">
        <f>IF(COUNTIFS('Data - Monthly Metrics'!A:A,$B$4,'Data - Monthly Metrics'!B:B,"Feb",'Data - Monthly Metrics'!C:C,"Pierce",'Data - Monthly Metrics'!D:D,"Member Locations - Non-Target (#)")=0,"-",SUMIFS('Data - Monthly Metrics'!E:E,'Data - Monthly Metrics'!A:A,$B$4,'Data - Monthly Metrics'!B:B,"Feb",'Data - Monthly Metrics'!C:C,"Pierce",'Data - Monthly Metrics'!D:D,"Member Locations - Non-Target (#)"))</f>
        <v/>
      </c>
      <c r="H85" s="93">
        <f>IF(COUNTIFS('Data - Monthly Metrics'!A:A,$B$4,'Data - Monthly Metrics'!B:B,"Mar",'Data - Monthly Metrics'!C:C,"Pierce",'Data - Monthly Metrics'!D:D,"Member Locations - Non-Target (#)")=0,"-",SUMIFS('Data - Monthly Metrics'!E:E,'Data - Monthly Metrics'!A:A,$B$4,'Data - Monthly Metrics'!B:B,"Mar",'Data - Monthly Metrics'!C:C,"Pierce",'Data - Monthly Metrics'!D:D,"Member Locations - Non-Target (#)"))</f>
        <v/>
      </c>
      <c r="I85" s="103">
        <f>IF(ISNUMBER(H85),H85,IF(ISNUMBER(G85),G85,IF(ISNUMBER(F85),F85,"-")))</f>
        <v/>
      </c>
      <c r="J85" s="93">
        <f>IF(COUNTIFS('Data - Monthly Metrics'!A:A,$B$4,'Data - Monthly Metrics'!B:B,"Apr",'Data - Monthly Metrics'!C:C,"Pierce",'Data - Monthly Metrics'!D:D,"Member Locations - Non-Target (#)")=0,"-",SUMIFS('Data - Monthly Metrics'!E:E,'Data - Monthly Metrics'!A:A,$B$4,'Data - Monthly Metrics'!B:B,"Apr",'Data - Monthly Metrics'!C:C,"Pierce",'Data - Monthly Metrics'!D:D,"Member Locations - Non-Target (#)"))</f>
        <v/>
      </c>
      <c r="K85" s="93">
        <f>IF(COUNTIFS('Data - Monthly Metrics'!A:A,$B$4,'Data - Monthly Metrics'!B:B,"May",'Data - Monthly Metrics'!C:C,"Pierce",'Data - Monthly Metrics'!D:D,"Member Locations - Non-Target (#)")=0,"-",SUMIFS('Data - Monthly Metrics'!E:E,'Data - Monthly Metrics'!A:A,$B$4,'Data - Monthly Metrics'!B:B,"May",'Data - Monthly Metrics'!C:C,"Pierce",'Data - Monthly Metrics'!D:D,"Member Locations - Non-Target (#)"))</f>
        <v/>
      </c>
      <c r="L85" s="93">
        <f>IF(COUNTIFS('Data - Monthly Metrics'!A:A,$B$4,'Data - Monthly Metrics'!B:B,"Jun",'Data - Monthly Metrics'!C:C,"Pierce",'Data - Monthly Metrics'!D:D,"Member Locations - Non-Target (#)")=0,"-",SUMIFS('Data - Monthly Metrics'!E:E,'Data - Monthly Metrics'!A:A,$B$4,'Data - Monthly Metrics'!B:B,"Jun",'Data - Monthly Metrics'!C:C,"Pierce",'Data - Monthly Metrics'!D:D,"Member Locations - Non-Target (#)"))</f>
        <v/>
      </c>
      <c r="M85" s="103">
        <f>IF(ISNUMBER(L85),L85,IF(ISNUMBER(K85),K85,IF(ISNUMBER(J85),J85,"-")))</f>
        <v/>
      </c>
      <c r="N85" s="93">
        <f>IF(COUNTIFS('Data - Monthly Metrics'!A:A,$B$4,'Data - Monthly Metrics'!B:B,"Jul",'Data - Monthly Metrics'!C:C,"Pierce",'Data - Monthly Metrics'!D:D,"Member Locations - Non-Target (#)")=0,"-",SUMIFS('Data - Monthly Metrics'!E:E,'Data - Monthly Metrics'!A:A,$B$4,'Data - Monthly Metrics'!B:B,"Jul",'Data - Monthly Metrics'!C:C,"Pierce",'Data - Monthly Metrics'!D:D,"Member Locations - Non-Target (#)"))</f>
        <v/>
      </c>
      <c r="O85" s="93">
        <f>IF(COUNTIFS('Data - Monthly Metrics'!A:A,$B$4,'Data - Monthly Metrics'!B:B,"Aug",'Data - Monthly Metrics'!C:C,"Pierce",'Data - Monthly Metrics'!D:D,"Member Locations - Non-Target (#)")=0,"-",SUMIFS('Data - Monthly Metrics'!E:E,'Data - Monthly Metrics'!A:A,$B$4,'Data - Monthly Metrics'!B:B,"Aug",'Data - Monthly Metrics'!C:C,"Pierce",'Data - Monthly Metrics'!D:D,"Member Locations - Non-Target (#)"))</f>
        <v/>
      </c>
      <c r="P85" s="93">
        <f>IF(COUNTIFS('Data - Monthly Metrics'!A:A,$B$4,'Data - Monthly Metrics'!B:B,"Sep",'Data - Monthly Metrics'!C:C,"Pierce",'Data - Monthly Metrics'!D:D,"Member Locations - Non-Target (#)")=0,"-",SUMIFS('Data - Monthly Metrics'!E:E,'Data - Monthly Metrics'!A:A,$B$4,'Data - Monthly Metrics'!B:B,"Sep",'Data - Monthly Metrics'!C:C,"Pierce",'Data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Metrics'!C:C,"Pierce",'Data - Monthly Metrics'!D:D,"Billables - Allied (#)")=0,"-",SUMIFS('Data - Monthly Metrics'!E:E,'Data - Monthly Metrics'!A:A,$B$4-1,'Data - Monthly Metrics'!B:B,"Oct",'Data - Monthly Metrics'!C:C,"Pierce",'Data - Monthly Metrics'!D:D,"Billables - Allied (#)"))</f>
        <v/>
      </c>
      <c r="C86" s="98">
        <f>IF(COUNTIFS('Data - Monthly Metrics'!A:A,$B$4-1,'Data - Monthly Metrics'!B:B,"Nov",'Data - Monthly Metrics'!C:C,"Pierce",'Data - Monthly Metrics'!D:D,"Billables - Allied (#)")=0,"-",SUMIFS('Data - Monthly Metrics'!E:E,'Data - Monthly Metrics'!A:A,$B$4-1,'Data - Monthly Metrics'!B:B,"Nov",'Data - Monthly Metrics'!C:C,"Pierce",'Data - Monthly Metrics'!D:D,"Billables - Allied (#)"))</f>
        <v/>
      </c>
      <c r="D86" s="98">
        <f>IF(COUNTIFS('Data - Monthly Metrics'!A:A,$B$4-1,'Data - Monthly Metrics'!B:B,"Dec",'Data - Monthly Metrics'!C:C,"Pierce",'Data - Monthly Metrics'!D:D,"Billables - Allied (#)")=0,"-",SUMIFS('Data - Monthly Metrics'!E:E,'Data - Monthly Metrics'!A:A,$B$4-1,'Data - Monthly Metrics'!B:B,"Dec",'Data - Monthly Metrics'!C:C,"Pierce",'Data - Monthly Metrics'!D:D,"Billables - Allied (#)"))</f>
        <v/>
      </c>
      <c r="E86" s="103">
        <f>IF(ISNUMBER(D86),D86,IF(ISNUMBER(C86),C86,IF(ISNUMBER(B86),B86,"-")))</f>
        <v/>
      </c>
      <c r="F86" s="98">
        <f>IF(COUNTIFS('Data - Monthly Metrics'!A:A,$B$4,'Data - Monthly Metrics'!B:B,"Jan",'Data - Monthly Metrics'!C:C,"Pierce",'Data - Monthly Metrics'!D:D,"Billables - Allied (#)")=0,"-",SUMIFS('Data - Monthly Metrics'!E:E,'Data - Monthly Metrics'!A:A,$B$4,'Data - Monthly Metrics'!B:B,"Jan",'Data - Monthly Metrics'!C:C,"Pierce",'Data - Monthly Metrics'!D:D,"Billables - Allied (#)"))</f>
        <v/>
      </c>
      <c r="G86" s="98">
        <f>IF(COUNTIFS('Data - Monthly Metrics'!A:A,$B$4,'Data - Monthly Metrics'!B:B,"Feb",'Data - Monthly Metrics'!C:C,"Pierce",'Data - Monthly Metrics'!D:D,"Billables - Allied (#)")=0,"-",SUMIFS('Data - Monthly Metrics'!E:E,'Data - Monthly Metrics'!A:A,$B$4,'Data - Monthly Metrics'!B:B,"Feb",'Data - Monthly Metrics'!C:C,"Pierce",'Data - Monthly Metrics'!D:D,"Billables - Allied (#)"))</f>
        <v/>
      </c>
      <c r="H86" s="98">
        <f>IF(COUNTIFS('Data - Monthly Metrics'!A:A,$B$4,'Data - Monthly Metrics'!B:B,"Mar",'Data - Monthly Metrics'!C:C,"Pierce",'Data - Monthly Metrics'!D:D,"Billables - Allied (#)")=0,"-",SUMIFS('Data - Monthly Metrics'!E:E,'Data - Monthly Metrics'!A:A,$B$4,'Data - Monthly Metrics'!B:B,"Mar",'Data - Monthly Metrics'!C:C,"Pierce",'Data - Monthly Metrics'!D:D,"Billables - Allied (#)"))</f>
        <v/>
      </c>
      <c r="I86" s="103">
        <f>IF(ISNUMBER(H86),H86,IF(ISNUMBER(G86),G86,IF(ISNUMBER(F86),F86,"-")))</f>
        <v/>
      </c>
      <c r="J86" s="98">
        <f>IF(COUNTIFS('Data - Monthly Metrics'!A:A,$B$4,'Data - Monthly Metrics'!B:B,"Apr",'Data - Monthly Metrics'!C:C,"Pierce",'Data - Monthly Metrics'!D:D,"Billables - Allied (#)")=0,"-",SUMIFS('Data - Monthly Metrics'!E:E,'Data - Monthly Metrics'!A:A,$B$4,'Data - Monthly Metrics'!B:B,"Apr",'Data - Monthly Metrics'!C:C,"Pierce",'Data - Monthly Metrics'!D:D,"Billables - Allied (#)"))</f>
        <v/>
      </c>
      <c r="K86" s="98">
        <f>IF(COUNTIFS('Data - Monthly Metrics'!A:A,$B$4,'Data - Monthly Metrics'!B:B,"May",'Data - Monthly Metrics'!C:C,"Pierce",'Data - Monthly Metrics'!D:D,"Billables - Allied (#)")=0,"-",SUMIFS('Data - Monthly Metrics'!E:E,'Data - Monthly Metrics'!A:A,$B$4,'Data - Monthly Metrics'!B:B,"May",'Data - Monthly Metrics'!C:C,"Pierce",'Data - Monthly Metrics'!D:D,"Billables - Allied (#)"))</f>
        <v/>
      </c>
      <c r="L86" s="98">
        <f>IF(COUNTIFS('Data - Monthly Metrics'!A:A,$B$4,'Data - Monthly Metrics'!B:B,"Jun",'Data - Monthly Metrics'!C:C,"Pierce",'Data - Monthly Metrics'!D:D,"Billables - Allied (#)")=0,"-",SUMIFS('Data - Monthly Metrics'!E:E,'Data - Monthly Metrics'!A:A,$B$4,'Data - Monthly Metrics'!B:B,"Jun",'Data - Monthly Metrics'!C:C,"Pierce",'Data - Monthly Metrics'!D:D,"Billables - Allied (#)"))</f>
        <v/>
      </c>
      <c r="M86" s="103">
        <f>IF(ISNUMBER(L86),L86,IF(ISNUMBER(K86),K86,IF(ISNUMBER(J86),J86,"-")))</f>
        <v/>
      </c>
      <c r="N86" s="98">
        <f>IF(COUNTIFS('Data - Monthly Metrics'!A:A,$B$4,'Data - Monthly Metrics'!B:B,"Jul",'Data - Monthly Metrics'!C:C,"Pierce",'Data - Monthly Metrics'!D:D,"Billables - Allied (#)")=0,"-",SUMIFS('Data - Monthly Metrics'!E:E,'Data - Monthly Metrics'!A:A,$B$4,'Data - Monthly Metrics'!B:B,"Jul",'Data - Monthly Metrics'!C:C,"Pierce",'Data - Monthly Metrics'!D:D,"Billables - Allied (#)"))</f>
        <v/>
      </c>
      <c r="O86" s="98">
        <f>IF(COUNTIFS('Data - Monthly Metrics'!A:A,$B$4,'Data - Monthly Metrics'!B:B,"Aug",'Data - Monthly Metrics'!C:C,"Pierce",'Data - Monthly Metrics'!D:D,"Billables - Allied (#)")=0,"-",SUMIFS('Data - Monthly Metrics'!E:E,'Data - Monthly Metrics'!A:A,$B$4,'Data - Monthly Metrics'!B:B,"Aug",'Data - Monthly Metrics'!C:C,"Pierce",'Data - Monthly Metrics'!D:D,"Billables - Allied (#)"))</f>
        <v/>
      </c>
      <c r="P86" s="98">
        <f>IF(COUNTIFS('Data - Monthly Metrics'!A:A,$B$4,'Data - Monthly Metrics'!B:B,"Sep",'Data - Monthly Metrics'!C:C,"Pierce",'Data - Monthly Metrics'!D:D,"Billables - Allied (#)")=0,"-",SUMIFS('Data - Monthly Metrics'!E:E,'Data - Monthly Metrics'!A:A,$B$4,'Data - Monthly Metrics'!B:B,"Sep",'Data - Monthly Metrics'!C:C,"Pierce",'Data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Metrics'!C:C,"Pierce",'Data - Monthly Metrics'!D:D,"Members Up for Renewal - Non-Target (#)")=0,"-",SUMIFS('Data - Monthly Metrics'!E:E,'Data - Monthly Metrics'!A:A,$B$4-1,'Data - Monthly Metrics'!B:B,"Oct",'Data - Monthly Metrics'!C:C,"Pierce",'Data - Monthly Metrics'!D:D,"Members Up for Renewal - Non-Target (#)"))</f>
        <v/>
      </c>
      <c r="C91" s="93">
        <f>IF(COUNTIFS('Data - Monthly Metrics'!A:A,$B$4-1,'Data - Monthly Metrics'!B:B,"Nov",'Data - Monthly Metrics'!C:C,"Pierce",'Data - Monthly Metrics'!D:D,"Members Up for Renewal - Non-Target (#)")=0,"-",SUMIFS('Data - Monthly Metrics'!E:E,'Data - Monthly Metrics'!A:A,$B$4-1,'Data - Monthly Metrics'!B:B,"Nov",'Data - Monthly Metrics'!C:C,"Pierce",'Data - Monthly Metrics'!D:D,"Members Up for Renewal - Non-Target (#)"))</f>
        <v/>
      </c>
      <c r="D91" s="93">
        <f>IF(COUNTIFS('Data - Monthly Metrics'!A:A,$B$4-1,'Data - Monthly Metrics'!B:B,"Dec",'Data - Monthly Metrics'!C:C,"Pierce",'Data - Monthly Metrics'!D:D,"Members Up for Renewal - Non-Target (#)")=0,"-",SUMIFS('Data - Monthly Metrics'!E:E,'Data - Monthly Metrics'!A:A,$B$4-1,'Data - Monthly Metrics'!B:B,"Dec",'Data - Monthly Metrics'!C:C,"Pierce",'Data - Monthly Metrics'!D:D,"Members Up for Renewal - Non-Target (#)"))</f>
        <v/>
      </c>
      <c r="E91" s="103">
        <f>SUM(B91,C91,D91)</f>
        <v/>
      </c>
      <c r="F91" s="93">
        <f>IF(COUNTIFS('Data - Monthly Metrics'!A:A,$B$4,'Data - Monthly Metrics'!B:B,"Jan",'Data - Monthly Metrics'!C:C,"Pierce",'Data - Monthly Metrics'!D:D,"Members Up for Renewal - Non-Target (#)")=0,"-",SUMIFS('Data - Monthly Metrics'!E:E,'Data - Monthly Metrics'!A:A,$B$4,'Data - Monthly Metrics'!B:B,"Jan",'Data - Monthly Metrics'!C:C,"Pierce",'Data - Monthly Metrics'!D:D,"Members Up for Renewal - Non-Target (#)"))</f>
        <v/>
      </c>
      <c r="G91" s="93">
        <f>IF(COUNTIFS('Data - Monthly Metrics'!A:A,$B$4,'Data - Monthly Metrics'!B:B,"Feb",'Data - Monthly Metrics'!C:C,"Pierce",'Data - Monthly Metrics'!D:D,"Members Up for Renewal - Non-Target (#)")=0,"-",SUMIFS('Data - Monthly Metrics'!E:E,'Data - Monthly Metrics'!A:A,$B$4,'Data - Monthly Metrics'!B:B,"Feb",'Data - Monthly Metrics'!C:C,"Pierce",'Data - Monthly Metrics'!D:D,"Members Up for Renewal - Non-Target (#)"))</f>
        <v/>
      </c>
      <c r="H91" s="93">
        <f>IF(COUNTIFS('Data - Monthly Metrics'!A:A,$B$4,'Data - Monthly Metrics'!B:B,"Mar",'Data - Monthly Metrics'!C:C,"Pierce",'Data - Monthly Metrics'!D:D,"Members Up for Renewal - Non-Target (#)")=0,"-",SUMIFS('Data - Monthly Metrics'!E:E,'Data - Monthly Metrics'!A:A,$B$4,'Data - Monthly Metrics'!B:B,"Mar",'Data - Monthly Metrics'!C:C,"Pierce",'Data - Monthly Metrics'!D:D,"Members Up for Renewal - Non-Target (#)"))</f>
        <v/>
      </c>
      <c r="I91" s="103">
        <f>SUM(F91,G91,H91)</f>
        <v/>
      </c>
      <c r="J91" s="93">
        <f>IF(COUNTIFS('Data - Monthly Metrics'!A:A,$B$4,'Data - Monthly Metrics'!B:B,"Apr",'Data - Monthly Metrics'!C:C,"Pierce",'Data - Monthly Metrics'!D:D,"Members Up for Renewal - Non-Target (#)")=0,"-",SUMIFS('Data - Monthly Metrics'!E:E,'Data - Monthly Metrics'!A:A,$B$4,'Data - Monthly Metrics'!B:B,"Apr",'Data - Monthly Metrics'!C:C,"Pierce",'Data - Monthly Metrics'!D:D,"Members Up for Renewal - Non-Target (#)"))</f>
        <v/>
      </c>
      <c r="K91" s="93">
        <f>IF(COUNTIFS('Data - Monthly Metrics'!A:A,$B$4,'Data - Monthly Metrics'!B:B,"May",'Data - Monthly Metrics'!C:C,"Pierce",'Data - Monthly Metrics'!D:D,"Members Up for Renewal - Non-Target (#)")=0,"-",SUMIFS('Data - Monthly Metrics'!E:E,'Data - Monthly Metrics'!A:A,$B$4,'Data - Monthly Metrics'!B:B,"May",'Data - Monthly Metrics'!C:C,"Pierce",'Data - Monthly Metrics'!D:D,"Members Up for Renewal - Non-Target (#)"))</f>
        <v/>
      </c>
      <c r="L91" s="93">
        <f>IF(COUNTIFS('Data - Monthly Metrics'!A:A,$B$4,'Data - Monthly Metrics'!B:B,"Jun",'Data - Monthly Metrics'!C:C,"Pierce",'Data - Monthly Metrics'!D:D,"Members Up for Renewal - Non-Target (#)")=0,"-",SUMIFS('Data - Monthly Metrics'!E:E,'Data - Monthly Metrics'!A:A,$B$4,'Data - Monthly Metrics'!B:B,"Jun",'Data - Monthly Metrics'!C:C,"Pierce",'Data - Monthly Metrics'!D:D,"Members Up for Renewal - Non-Target (#)"))</f>
        <v/>
      </c>
      <c r="M91" s="103">
        <f>SUM(J91,K91,L91)</f>
        <v/>
      </c>
      <c r="N91" s="93">
        <f>IF(COUNTIFS('Data - Monthly Metrics'!A:A,$B$4,'Data - Monthly Metrics'!B:B,"Jul",'Data - Monthly Metrics'!C:C,"Pierce",'Data - Monthly Metrics'!D:D,"Members Up for Renewal - Non-Target (#)")=0,"-",SUMIFS('Data - Monthly Metrics'!E:E,'Data - Monthly Metrics'!A:A,$B$4,'Data - Monthly Metrics'!B:B,"Jul",'Data - Monthly Metrics'!C:C,"Pierce",'Data - Monthly Metrics'!D:D,"Members Up for Renewal - Non-Target (#)"))</f>
        <v/>
      </c>
      <c r="O91" s="93">
        <f>IF(COUNTIFS('Data - Monthly Metrics'!A:A,$B$4,'Data - Monthly Metrics'!B:B,"Aug",'Data - Monthly Metrics'!C:C,"Pierce",'Data - Monthly Metrics'!D:D,"Members Up for Renewal - Non-Target (#)")=0,"-",SUMIFS('Data - Monthly Metrics'!E:E,'Data - Monthly Metrics'!A:A,$B$4,'Data - Monthly Metrics'!B:B,"Aug",'Data - Monthly Metrics'!C:C,"Pierce",'Data - Monthly Metrics'!D:D,"Members Up for Renewal - Non-Target (#)"))</f>
        <v/>
      </c>
      <c r="P91" s="93">
        <f>IF(COUNTIFS('Data - Monthly Metrics'!A:A,$B$4,'Data - Monthly Metrics'!B:B,"Sep",'Data - Monthly Metrics'!C:C,"Pierce",'Data - Monthly Metrics'!D:D,"Members Up for Renewal - Non-Target (#)")=0,"-",SUMIFS('Data - Monthly Metrics'!E:E,'Data - Monthly Metrics'!A:A,$B$4,'Data - Monthly Metrics'!B:B,"Sep",'Data - Monthly Metrics'!C:C,"Pierce",'Data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Metrics'!C:C,"Pierce",'Data - Monthly Metrics'!D:D,"Members Retained - Non-Target (#)")=0,"-",SUMIFS('Data - Monthly Metrics'!E:E,'Data - Monthly Metrics'!A:A,$B$4-1,'Data - Monthly Metrics'!B:B,"Oct",'Data - Monthly Metrics'!C:C,"Pierce",'Data - Monthly Metrics'!D:D,"Members Retained - Non-Target (#)"))</f>
        <v/>
      </c>
      <c r="C92" s="98">
        <f>IF(COUNTIFS('Data - Monthly Metrics'!A:A,$B$4-1,'Data - Monthly Metrics'!B:B,"Nov",'Data - Monthly Metrics'!C:C,"Pierce",'Data - Monthly Metrics'!D:D,"Members Retained - Non-Target (#)")=0,"-",SUMIFS('Data - Monthly Metrics'!E:E,'Data - Monthly Metrics'!A:A,$B$4-1,'Data - Monthly Metrics'!B:B,"Nov",'Data - Monthly Metrics'!C:C,"Pierce",'Data - Monthly Metrics'!D:D,"Members Retained - Non-Target (#)"))</f>
        <v/>
      </c>
      <c r="D92" s="98">
        <f>IF(COUNTIFS('Data - Monthly Metrics'!A:A,$B$4-1,'Data - Monthly Metrics'!B:B,"Dec",'Data - Monthly Metrics'!C:C,"Pierce",'Data - Monthly Metrics'!D:D,"Members Retained - Non-Target (#)")=0,"-",SUMIFS('Data - Monthly Metrics'!E:E,'Data - Monthly Metrics'!A:A,$B$4-1,'Data - Monthly Metrics'!B:B,"Dec",'Data - Monthly Metrics'!C:C,"Pierce",'Data - Monthly Metrics'!D:D,"Members Retained - Non-Target (#)"))</f>
        <v/>
      </c>
      <c r="E92" s="103">
        <f>SUM(B92,C92,D92)</f>
        <v/>
      </c>
      <c r="F92" s="98">
        <f>IF(COUNTIFS('Data - Monthly Metrics'!A:A,$B$4,'Data - Monthly Metrics'!B:B,"Jan",'Data - Monthly Metrics'!C:C,"Pierce",'Data - Monthly Metrics'!D:D,"Members Retained - Non-Target (#)")=0,"-",SUMIFS('Data - Monthly Metrics'!E:E,'Data - Monthly Metrics'!A:A,$B$4,'Data - Monthly Metrics'!B:B,"Jan",'Data - Monthly Metrics'!C:C,"Pierce",'Data - Monthly Metrics'!D:D,"Members Retained - Non-Target (#)"))</f>
        <v/>
      </c>
      <c r="G92" s="98">
        <f>IF(COUNTIFS('Data - Monthly Metrics'!A:A,$B$4,'Data - Monthly Metrics'!B:B,"Feb",'Data - Monthly Metrics'!C:C,"Pierce",'Data - Monthly Metrics'!D:D,"Members Retained - Non-Target (#)")=0,"-",SUMIFS('Data - Monthly Metrics'!E:E,'Data - Monthly Metrics'!A:A,$B$4,'Data - Monthly Metrics'!B:B,"Feb",'Data - Monthly Metrics'!C:C,"Pierce",'Data - Monthly Metrics'!D:D,"Members Retained - Non-Target (#)"))</f>
        <v/>
      </c>
      <c r="H92" s="98">
        <f>IF(COUNTIFS('Data - Monthly Metrics'!A:A,$B$4,'Data - Monthly Metrics'!B:B,"Mar",'Data - Monthly Metrics'!C:C,"Pierce",'Data - Monthly Metrics'!D:D,"Members Retained - Non-Target (#)")=0,"-",SUMIFS('Data - Monthly Metrics'!E:E,'Data - Monthly Metrics'!A:A,$B$4,'Data - Monthly Metrics'!B:B,"Mar",'Data - Monthly Metrics'!C:C,"Pierce",'Data - Monthly Metrics'!D:D,"Members Retained - Non-Target (#)"))</f>
        <v/>
      </c>
      <c r="I92" s="103">
        <f>SUM(F92,G92,H92)</f>
        <v/>
      </c>
      <c r="J92" s="98">
        <f>IF(COUNTIFS('Data - Monthly Metrics'!A:A,$B$4,'Data - Monthly Metrics'!B:B,"Apr",'Data - Monthly Metrics'!C:C,"Pierce",'Data - Monthly Metrics'!D:D,"Members Retained - Non-Target (#)")=0,"-",SUMIFS('Data - Monthly Metrics'!E:E,'Data - Monthly Metrics'!A:A,$B$4,'Data - Monthly Metrics'!B:B,"Apr",'Data - Monthly Metrics'!C:C,"Pierce",'Data - Monthly Metrics'!D:D,"Members Retained - Non-Target (#)"))</f>
        <v/>
      </c>
      <c r="K92" s="98">
        <f>IF(COUNTIFS('Data - Monthly Metrics'!A:A,$B$4,'Data - Monthly Metrics'!B:B,"May",'Data - Monthly Metrics'!C:C,"Pierce",'Data - Monthly Metrics'!D:D,"Members Retained - Non-Target (#)")=0,"-",SUMIFS('Data - Monthly Metrics'!E:E,'Data - Monthly Metrics'!A:A,$B$4,'Data - Monthly Metrics'!B:B,"May",'Data - Monthly Metrics'!C:C,"Pierce",'Data - Monthly Metrics'!D:D,"Members Retained - Non-Target (#)"))</f>
        <v/>
      </c>
      <c r="L92" s="98">
        <f>IF(COUNTIFS('Data - Monthly Metrics'!A:A,$B$4,'Data - Monthly Metrics'!B:B,"Jun",'Data - Monthly Metrics'!C:C,"Pierce",'Data - Monthly Metrics'!D:D,"Members Retained - Non-Target (#)")=0,"-",SUMIFS('Data - Monthly Metrics'!E:E,'Data - Monthly Metrics'!A:A,$B$4,'Data - Monthly Metrics'!B:B,"Jun",'Data - Monthly Metrics'!C:C,"Pierce",'Data - Monthly Metrics'!D:D,"Members Retained - Non-Target (#)"))</f>
        <v/>
      </c>
      <c r="M92" s="103">
        <f>SUM(J92,K92,L92)</f>
        <v/>
      </c>
      <c r="N92" s="98">
        <f>IF(COUNTIFS('Data - Monthly Metrics'!A:A,$B$4,'Data - Monthly Metrics'!B:B,"Jul",'Data - Monthly Metrics'!C:C,"Pierce",'Data - Monthly Metrics'!D:D,"Members Retained - Non-Target (#)")=0,"-",SUMIFS('Data - Monthly Metrics'!E:E,'Data - Monthly Metrics'!A:A,$B$4,'Data - Monthly Metrics'!B:B,"Jul",'Data - Monthly Metrics'!C:C,"Pierce",'Data - Monthly Metrics'!D:D,"Members Retained - Non-Target (#)"))</f>
        <v/>
      </c>
      <c r="O92" s="98">
        <f>IF(COUNTIFS('Data - Monthly Metrics'!A:A,$B$4,'Data - Monthly Metrics'!B:B,"Aug",'Data - Monthly Metrics'!C:C,"Pierce",'Data - Monthly Metrics'!D:D,"Members Retained - Non-Target (#)")=0,"-",SUMIFS('Data - Monthly Metrics'!E:E,'Data - Monthly Metrics'!A:A,$B$4,'Data - Monthly Metrics'!B:B,"Aug",'Data - Monthly Metrics'!C:C,"Pierce",'Data - Monthly Metrics'!D:D,"Members Retained - Non-Target (#)"))</f>
        <v/>
      </c>
      <c r="P92" s="98">
        <f>IF(COUNTIFS('Data - Monthly Metrics'!A:A,$B$4,'Data - Monthly Metrics'!B:B,"Sep",'Data - Monthly Metrics'!C:C,"Pierce",'Data - Monthly Metrics'!D:D,"Members Retained - Non-Target (#)")=0,"-",SUMIFS('Data - Monthly Metrics'!E:E,'Data - Monthly Metrics'!A:A,$B$4,'Data - Monthly Metrics'!B:B,"Sep",'Data - Monthly Metrics'!C:C,"Pierce",'Data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Metrics'!$C:$C,"Pierce",'Data - Monthly Metrics'!$D:$D,"Goal - Retention %")=0),"—",IF(B93&gt;=SUMIFS('Data - Monthly Metrics'!$E:$E,'Data - Monthly Metrics'!$A:$A,$B$4-1,'Data - Monthly Metrics'!$B:$B,B$8,'Data - Monthly Metrics'!$C:$C,"Pierce",'Data - Monthly Metrics'!$D:$D,"Goal - Retention %"),"On Track",IF(B93&gt;=SUMIFS('Data - Monthly Metrics'!$E:$E,'Data - Monthly Metrics'!$A:$A,$B$4-1,'Data - Monthly Metrics'!$B:$B,B$8,'Data - Monthly Metrics'!$C:$C,"Pierce",'Data - Monthly Metrics'!$D:$D,"Goal - Retention %")-0.05,"Watch","At Risk")))</f>
        <v/>
      </c>
      <c r="C94" s="120">
        <f>IF(OR(NOT(ISNUMBER(C93)),C93=0,COUNTIFS('Data - Monthly Metrics'!$A:$A,$B$4-1,'Data - Monthly Metrics'!$B:$B,C$8,'Data - Monthly Metrics'!$C:$C,"Pierce",'Data - Monthly Metrics'!$D:$D,"Goal - Retention %")=0),"—",IF(C93&gt;=SUMIFS('Data - Monthly Metrics'!$E:$E,'Data - Monthly Metrics'!$A:$A,$B$4-1,'Data - Monthly Metrics'!$B:$B,C$8,'Data - Monthly Metrics'!$C:$C,"Pierce",'Data - Monthly Metrics'!$D:$D,"Goal - Retention %"),"On Track",IF(C93&gt;=SUMIFS('Data - Monthly Metrics'!$E:$E,'Data - Monthly Metrics'!$A:$A,$B$4-1,'Data - Monthly Metrics'!$B:$B,C$8,'Data - Monthly Metrics'!$C:$C,"Pierce",'Data - Monthly Metrics'!$D:$D,"Goal - Retention %")-0.05,"Watch","At Risk")))</f>
        <v/>
      </c>
      <c r="D94" s="120">
        <f>IF(OR(NOT(ISNUMBER(D93)),D93=0,COUNTIFS('Data - Monthly Metrics'!$A:$A,$B$4-1,'Data - Monthly Metrics'!$B:$B,D$8,'Data - Monthly Metrics'!$C:$C,"Pierce",'Data - Monthly Metrics'!$D:$D,"Goal - Retention %")=0),"—",IF(D93&gt;=SUMIFS('Data - Monthly Metrics'!$E:$E,'Data - Monthly Metrics'!$A:$A,$B$4-1,'Data - Monthly Metrics'!$B:$B,D$8,'Data - Monthly Metrics'!$C:$C,"Pierce",'Data - Monthly Metrics'!$D:$D,"Goal - Retention %"),"On Track",IF(D93&gt;=SUMIFS('Data - Monthly Metrics'!$E:$E,'Data - Monthly Metrics'!$A:$A,$B$4-1,'Data - Monthly Metrics'!$B:$B,D$8,'Data - Monthly Metrics'!$C:$C,"Pierce",'Data - Monthly Metrics'!$D:$D,"Goal - Retention %")-0.05,"Watch","At Risk")))</f>
        <v/>
      </c>
      <c r="E94" s="121">
        <f>"—"</f>
        <v/>
      </c>
      <c r="F94" s="120">
        <f>IF(OR(NOT(ISNUMBER(F93)),F93=0,COUNTIFS('Data - Monthly Metrics'!$A:$A,$B$4,'Data - Monthly Metrics'!$B:$B,F$8,'Data - Monthly Metrics'!$C:$C,"Pierce",'Data - Monthly Metrics'!$D:$D,"Goal - Retention %")=0),"—",IF(F93&gt;=SUMIFS('Data - Monthly Metrics'!$E:$E,'Data - Monthly Metrics'!$A:$A,$B$4,'Data - Monthly Metrics'!$B:$B,F$8,'Data - Monthly Metrics'!$C:$C,"Pierce",'Data - Monthly Metrics'!$D:$D,"Goal - Retention %"),"On Track",IF(F93&gt;=SUMIFS('Data - Monthly Metrics'!$E:$E,'Data - Monthly Metrics'!$A:$A,$B$4,'Data - Monthly Metrics'!$B:$B,F$8,'Data - Monthly Metrics'!$C:$C,"Pierce",'Data - Monthly Metrics'!$D:$D,"Goal - Retention %")-0.05,"Watch","At Risk")))</f>
        <v/>
      </c>
      <c r="G94" s="120">
        <f>IF(OR(NOT(ISNUMBER(G93)),G93=0,COUNTIFS('Data - Monthly Metrics'!$A:$A,$B$4,'Data - Monthly Metrics'!$B:$B,G$8,'Data - Monthly Metrics'!$C:$C,"Pierce",'Data - Monthly Metrics'!$D:$D,"Goal - Retention %")=0),"—",IF(G93&gt;=SUMIFS('Data - Monthly Metrics'!$E:$E,'Data - Monthly Metrics'!$A:$A,$B$4,'Data - Monthly Metrics'!$B:$B,G$8,'Data - Monthly Metrics'!$C:$C,"Pierce",'Data - Monthly Metrics'!$D:$D,"Goal - Retention %"),"On Track",IF(G93&gt;=SUMIFS('Data - Monthly Metrics'!$E:$E,'Data - Monthly Metrics'!$A:$A,$B$4,'Data - Monthly Metrics'!$B:$B,G$8,'Data - Monthly Metrics'!$C:$C,"Pierce",'Data - Monthly Metrics'!$D:$D,"Goal - Retention %")-0.05,"Watch","At Risk")))</f>
        <v/>
      </c>
      <c r="H94" s="120">
        <f>IF(OR(NOT(ISNUMBER(H93)),H93=0,COUNTIFS('Data - Monthly Metrics'!$A:$A,$B$4,'Data - Monthly Metrics'!$B:$B,H$8,'Data - Monthly Metrics'!$C:$C,"Pierce",'Data - Monthly Metrics'!$D:$D,"Goal - Retention %")=0),"—",IF(H93&gt;=SUMIFS('Data - Monthly Metrics'!$E:$E,'Data - Monthly Metrics'!$A:$A,$B$4,'Data - Monthly Metrics'!$B:$B,H$8,'Data - Monthly Metrics'!$C:$C,"Pierce",'Data - Monthly Metrics'!$D:$D,"Goal - Retention %"),"On Track",IF(H93&gt;=SUMIFS('Data - Monthly Metrics'!$E:$E,'Data - Monthly Metrics'!$A:$A,$B$4,'Data - Monthly Metrics'!$B:$B,H$8,'Data - Monthly Metrics'!$C:$C,"Pierce",'Data - Monthly Metrics'!$D:$D,"Goal - Retention %")-0.05,"Watch","At Risk")))</f>
        <v/>
      </c>
      <c r="I94" s="121">
        <f>"—"</f>
        <v/>
      </c>
      <c r="J94" s="120">
        <f>IF(OR(NOT(ISNUMBER(J93)),J93=0,COUNTIFS('Data - Monthly Metrics'!$A:$A,$B$4,'Data - Monthly Metrics'!$B:$B,J$8,'Data - Monthly Metrics'!$C:$C,"Pierce",'Data - Monthly Metrics'!$D:$D,"Goal - Retention %")=0),"—",IF(J93&gt;=SUMIFS('Data - Monthly Metrics'!$E:$E,'Data - Monthly Metrics'!$A:$A,$B$4,'Data - Monthly Metrics'!$B:$B,J$8,'Data - Monthly Metrics'!$C:$C,"Pierce",'Data - Monthly Metrics'!$D:$D,"Goal - Retention %"),"On Track",IF(J93&gt;=SUMIFS('Data - Monthly Metrics'!$E:$E,'Data - Monthly Metrics'!$A:$A,$B$4,'Data - Monthly Metrics'!$B:$B,J$8,'Data - Monthly Metrics'!$C:$C,"Pierce",'Data - Monthly Metrics'!$D:$D,"Goal - Retention %")-0.05,"Watch","At Risk")))</f>
        <v/>
      </c>
      <c r="K94" s="120">
        <f>IF(OR(NOT(ISNUMBER(K93)),K93=0,COUNTIFS('Data - Monthly Metrics'!$A:$A,$B$4,'Data - Monthly Metrics'!$B:$B,K$8,'Data - Monthly Metrics'!$C:$C,"Pierce",'Data - Monthly Metrics'!$D:$D,"Goal - Retention %")=0),"—",IF(K93&gt;=SUMIFS('Data - Monthly Metrics'!$E:$E,'Data - Monthly Metrics'!$A:$A,$B$4,'Data - Monthly Metrics'!$B:$B,K$8,'Data - Monthly Metrics'!$C:$C,"Pierce",'Data - Monthly Metrics'!$D:$D,"Goal - Retention %"),"On Track",IF(K93&gt;=SUMIFS('Data - Monthly Metrics'!$E:$E,'Data - Monthly Metrics'!$A:$A,$B$4,'Data - Monthly Metrics'!$B:$B,K$8,'Data - Monthly Metrics'!$C:$C,"Pierce",'Data - Monthly Metrics'!$D:$D,"Goal - Retention %")-0.05,"Watch","At Risk")))</f>
        <v/>
      </c>
      <c r="L94" s="120">
        <f>IF(OR(NOT(ISNUMBER(L93)),L93=0,COUNTIFS('Data - Monthly Metrics'!$A:$A,$B$4,'Data - Monthly Metrics'!$B:$B,L$8,'Data - Monthly Metrics'!$C:$C,"Pierce",'Data - Monthly Metrics'!$D:$D,"Goal - Retention %")=0),"—",IF(L93&gt;=SUMIFS('Data - Monthly Metrics'!$E:$E,'Data - Monthly Metrics'!$A:$A,$B$4,'Data - Monthly Metrics'!$B:$B,L$8,'Data - Monthly Metrics'!$C:$C,"Pierce",'Data - Monthly Metrics'!$D:$D,"Goal - Retention %"),"On Track",IF(L93&gt;=SUMIFS('Data - Monthly Metrics'!$E:$E,'Data - Monthly Metrics'!$A:$A,$B$4,'Data - Monthly Metrics'!$B:$B,L$8,'Data - Monthly Metrics'!$C:$C,"Pierce",'Data - Monthly Metrics'!$D:$D,"Goal - Retention %")-0.05,"Watch","At Risk")))</f>
        <v/>
      </c>
      <c r="M94" s="121">
        <f>"—"</f>
        <v/>
      </c>
      <c r="N94" s="120">
        <f>IF(OR(NOT(ISNUMBER(N93)),N93=0,COUNTIFS('Data - Monthly Metrics'!$A:$A,$B$4,'Data - Monthly Metrics'!$B:$B,N$8,'Data - Monthly Metrics'!$C:$C,"Pierce",'Data - Monthly Metrics'!$D:$D,"Goal - Retention %")=0),"—",IF(N93&gt;=SUMIFS('Data - Monthly Metrics'!$E:$E,'Data - Monthly Metrics'!$A:$A,$B$4,'Data - Monthly Metrics'!$B:$B,N$8,'Data - Monthly Metrics'!$C:$C,"Pierce",'Data - Monthly Metrics'!$D:$D,"Goal - Retention %"),"On Track",IF(N93&gt;=SUMIFS('Data - Monthly Metrics'!$E:$E,'Data - Monthly Metrics'!$A:$A,$B$4,'Data - Monthly Metrics'!$B:$B,N$8,'Data - Monthly Metrics'!$C:$C,"Pierce",'Data - Monthly Metrics'!$D:$D,"Goal - Retention %")-0.05,"Watch","At Risk")))</f>
        <v/>
      </c>
      <c r="O94" s="120">
        <f>IF(OR(NOT(ISNUMBER(O93)),O93=0,COUNTIFS('Data - Monthly Metrics'!$A:$A,$B$4,'Data - Monthly Metrics'!$B:$B,O$8,'Data - Monthly Metrics'!$C:$C,"Pierce",'Data - Monthly Metrics'!$D:$D,"Goal - Retention %")=0),"—",IF(O93&gt;=SUMIFS('Data - Monthly Metrics'!$E:$E,'Data - Monthly Metrics'!$A:$A,$B$4,'Data - Monthly Metrics'!$B:$B,O$8,'Data - Monthly Metrics'!$C:$C,"Pierce",'Data - Monthly Metrics'!$D:$D,"Goal - Retention %"),"On Track",IF(O93&gt;=SUMIFS('Data - Monthly Metrics'!$E:$E,'Data - Monthly Metrics'!$A:$A,$B$4,'Data - Monthly Metrics'!$B:$B,O$8,'Data - Monthly Metrics'!$C:$C,"Pierce",'Data - Monthly Metrics'!$D:$D,"Goal - Retention %")-0.05,"Watch","At Risk")))</f>
        <v/>
      </c>
      <c r="P94" s="120">
        <f>IF(OR(NOT(ISNUMBER(P93)),P93=0,COUNTIFS('Data - Monthly Metrics'!$A:$A,$B$4,'Data - Monthly Metrics'!$B:$B,P$8,'Data - Monthly Metrics'!$C:$C,"Pierce",'Data - Monthly Metrics'!$D:$D,"Goal - Retention %")=0),"—",IF(P93&gt;=SUMIFS('Data - Monthly Metrics'!$E:$E,'Data - Monthly Metrics'!$A:$A,$B$4,'Data - Monthly Metrics'!$B:$B,P$8,'Data - Monthly Metrics'!$C:$C,"Pierce",'Data - Monthly Metrics'!$D:$D,"Goal - Retention %"),"On Track",IF(P93&gt;=SUMIFS('Data - Monthly Metrics'!$E:$E,'Data - Monthly Metrics'!$A:$A,$B$4,'Data - Monthly Metrics'!$B:$B,P$8,'Data - Monthly Metrics'!$C:$C,"Pierce",'Data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Metrics'!C:C,"Pierce",'Data - Monthly Metrics'!D:D,"Retention - Comped Non-Target (#)")=0,"-",SUMIFS('Data - Monthly Metrics'!E:E,'Data - Monthly Metrics'!A:A,$B$4-1,'Data - Monthly Metrics'!B:B,"Oct",'Data - Monthly Metrics'!C:C,"Pierce",'Data - Monthly Metrics'!D:D,"Retention - Comped Non-Target (#)"))</f>
        <v/>
      </c>
      <c r="C95" s="98">
        <f>IF(COUNTIFS('Data - Monthly Metrics'!A:A,$B$4-1,'Data - Monthly Metrics'!B:B,"Nov",'Data - Monthly Metrics'!C:C,"Pierce",'Data - Monthly Metrics'!D:D,"Retention - Comped Non-Target (#)")=0,"-",SUMIFS('Data - Monthly Metrics'!E:E,'Data - Monthly Metrics'!A:A,$B$4-1,'Data - Monthly Metrics'!B:B,"Nov",'Data - Monthly Metrics'!C:C,"Pierce",'Data - Monthly Metrics'!D:D,"Retention - Comped Non-Target (#)"))</f>
        <v/>
      </c>
      <c r="D95" s="98">
        <f>IF(COUNTIFS('Data - Monthly Metrics'!A:A,$B$4-1,'Data - Monthly Metrics'!B:B,"Dec",'Data - Monthly Metrics'!C:C,"Pierce",'Data - Monthly Metrics'!D:D,"Retention - Comped Non-Target (#)")=0,"-",SUMIFS('Data - Monthly Metrics'!E:E,'Data - Monthly Metrics'!A:A,$B$4-1,'Data - Monthly Metrics'!B:B,"Dec",'Data - Monthly Metrics'!C:C,"Pierce",'Data - Monthly Metrics'!D:D,"Retention - Comped Non-Target (#)"))</f>
        <v/>
      </c>
      <c r="E95" s="103">
        <f>SUM(B95,C95,D95)</f>
        <v/>
      </c>
      <c r="F95" s="98">
        <f>IF(COUNTIFS('Data - Monthly Metrics'!A:A,$B$4,'Data - Monthly Metrics'!B:B,"Jan",'Data - Monthly Metrics'!C:C,"Pierce",'Data - Monthly Metrics'!D:D,"Retention - Comped Non-Target (#)")=0,"-",SUMIFS('Data - Monthly Metrics'!E:E,'Data - Monthly Metrics'!A:A,$B$4,'Data - Monthly Metrics'!B:B,"Jan",'Data - Monthly Metrics'!C:C,"Pierce",'Data - Monthly Metrics'!D:D,"Retention - Comped Non-Target (#)"))</f>
        <v/>
      </c>
      <c r="G95" s="98">
        <f>IF(COUNTIFS('Data - Monthly Metrics'!A:A,$B$4,'Data - Monthly Metrics'!B:B,"Feb",'Data - Monthly Metrics'!C:C,"Pierce",'Data - Monthly Metrics'!D:D,"Retention - Comped Non-Target (#)")=0,"-",SUMIFS('Data - Monthly Metrics'!E:E,'Data - Monthly Metrics'!A:A,$B$4,'Data - Monthly Metrics'!B:B,"Feb",'Data - Monthly Metrics'!C:C,"Pierce",'Data - Monthly Metrics'!D:D,"Retention - Comped Non-Target (#)"))</f>
        <v/>
      </c>
      <c r="H95" s="98">
        <f>IF(COUNTIFS('Data - Monthly Metrics'!A:A,$B$4,'Data - Monthly Metrics'!B:B,"Mar",'Data - Monthly Metrics'!C:C,"Pierce",'Data - Monthly Metrics'!D:D,"Retention - Comped Non-Target (#)")=0,"-",SUMIFS('Data - Monthly Metrics'!E:E,'Data - Monthly Metrics'!A:A,$B$4,'Data - Monthly Metrics'!B:B,"Mar",'Data - Monthly Metrics'!C:C,"Pierce",'Data - Monthly Metrics'!D:D,"Retention - Comped Non-Target (#)"))</f>
        <v/>
      </c>
      <c r="I95" s="103">
        <f>SUM(F95,G95,H95)</f>
        <v/>
      </c>
      <c r="J95" s="98">
        <f>IF(COUNTIFS('Data - Monthly Metrics'!A:A,$B$4,'Data - Monthly Metrics'!B:B,"Apr",'Data - Monthly Metrics'!C:C,"Pierce",'Data - Monthly Metrics'!D:D,"Retention - Comped Non-Target (#)")=0,"-",SUMIFS('Data - Monthly Metrics'!E:E,'Data - Monthly Metrics'!A:A,$B$4,'Data - Monthly Metrics'!B:B,"Apr",'Data - Monthly Metrics'!C:C,"Pierce",'Data - Monthly Metrics'!D:D,"Retention - Comped Non-Target (#)"))</f>
        <v/>
      </c>
      <c r="K95" s="98">
        <f>IF(COUNTIFS('Data - Monthly Metrics'!A:A,$B$4,'Data - Monthly Metrics'!B:B,"May",'Data - Monthly Metrics'!C:C,"Pierce",'Data - Monthly Metrics'!D:D,"Retention - Comped Non-Target (#)")=0,"-",SUMIFS('Data - Monthly Metrics'!E:E,'Data - Monthly Metrics'!A:A,$B$4,'Data - Monthly Metrics'!B:B,"May",'Data - Monthly Metrics'!C:C,"Pierce",'Data - Monthly Metrics'!D:D,"Retention - Comped Non-Target (#)"))</f>
        <v/>
      </c>
      <c r="L95" s="98">
        <f>IF(COUNTIFS('Data - Monthly Metrics'!A:A,$B$4,'Data - Monthly Metrics'!B:B,"Jun",'Data - Monthly Metrics'!C:C,"Pierce",'Data - Monthly Metrics'!D:D,"Retention - Comped Non-Target (#)")=0,"-",SUMIFS('Data - Monthly Metrics'!E:E,'Data - Monthly Metrics'!A:A,$B$4,'Data - Monthly Metrics'!B:B,"Jun",'Data - Monthly Metrics'!C:C,"Pierce",'Data - Monthly Metrics'!D:D,"Retention - Comped Non-Target (#)"))</f>
        <v/>
      </c>
      <c r="M95" s="103">
        <f>SUM(J95,K95,L95)</f>
        <v/>
      </c>
      <c r="N95" s="98">
        <f>IF(COUNTIFS('Data - Monthly Metrics'!A:A,$B$4,'Data - Monthly Metrics'!B:B,"Jul",'Data - Monthly Metrics'!C:C,"Pierce",'Data - Monthly Metrics'!D:D,"Retention - Comped Non-Target (#)")=0,"-",SUMIFS('Data - Monthly Metrics'!E:E,'Data - Monthly Metrics'!A:A,$B$4,'Data - Monthly Metrics'!B:B,"Jul",'Data - Monthly Metrics'!C:C,"Pierce",'Data - Monthly Metrics'!D:D,"Retention - Comped Non-Target (#)"))</f>
        <v/>
      </c>
      <c r="O95" s="98">
        <f>IF(COUNTIFS('Data - Monthly Metrics'!A:A,$B$4,'Data - Monthly Metrics'!B:B,"Aug",'Data - Monthly Metrics'!C:C,"Pierce",'Data - Monthly Metrics'!D:D,"Retention - Comped Non-Target (#)")=0,"-",SUMIFS('Data - Monthly Metrics'!E:E,'Data - Monthly Metrics'!A:A,$B$4,'Data - Monthly Metrics'!B:B,"Aug",'Data - Monthly Metrics'!C:C,"Pierce",'Data - Monthly Metrics'!D:D,"Retention - Comped Non-Target (#)"))</f>
        <v/>
      </c>
      <c r="P95" s="98">
        <f>IF(COUNTIFS('Data - Monthly Metrics'!A:A,$B$4,'Data - Monthly Metrics'!B:B,"Sep",'Data - Monthly Metrics'!C:C,"Pierce",'Data - Monthly Metrics'!D:D,"Retention - Comped Non-Target (#)")=0,"-",SUMIFS('Data - Monthly Metrics'!E:E,'Data - Monthly Metrics'!A:A,$B$4,'Data - Monthly Metrics'!B:B,"Sep",'Data - Monthly Metrics'!C:C,"Pierce",'Data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Metrics'!C:C,"Pierce",'Data - Monthly Metrics'!D:D,"Retention - Comped Non-Target ($)")=0,"-",SUMIFS('Data - Monthly Metrics'!E:E,'Data - Monthly Metrics'!A:A,$B$4-1,'Data - Monthly Metrics'!B:B,"Oct",'Data - Monthly Metrics'!C:C,"Pierce",'Data - Monthly Metrics'!D:D,"Retention - Comped Non-Target ($)"))</f>
        <v/>
      </c>
      <c r="C96" s="96">
        <f>IF(COUNTIFS('Data - Monthly Metrics'!A:A,$B$4-1,'Data - Monthly Metrics'!B:B,"Nov",'Data - Monthly Metrics'!C:C,"Pierce",'Data - Monthly Metrics'!D:D,"Retention - Comped Non-Target ($)")=0,"-",SUMIFS('Data - Monthly Metrics'!E:E,'Data - Monthly Metrics'!A:A,$B$4-1,'Data - Monthly Metrics'!B:B,"Nov",'Data - Monthly Metrics'!C:C,"Pierce",'Data - Monthly Metrics'!D:D,"Retention - Comped Non-Target ($)"))</f>
        <v/>
      </c>
      <c r="D96" s="96">
        <f>IF(COUNTIFS('Data - Monthly Metrics'!A:A,$B$4-1,'Data - Monthly Metrics'!B:B,"Dec",'Data - Monthly Metrics'!C:C,"Pierce",'Data - Monthly Metrics'!D:D,"Retention - Comped Non-Target ($)")=0,"-",SUMIFS('Data - Monthly Metrics'!E:E,'Data - Monthly Metrics'!A:A,$B$4-1,'Data - Monthly Metrics'!B:B,"Dec",'Data - Monthly Metrics'!C:C,"Pierce",'Data - Monthly Metrics'!D:D,"Retention - Comped Non-Target ($)"))</f>
        <v/>
      </c>
      <c r="E96" s="101">
        <f>SUM(B96,C96,D96)</f>
        <v/>
      </c>
      <c r="F96" s="96">
        <f>IF(COUNTIFS('Data - Monthly Metrics'!A:A,$B$4,'Data - Monthly Metrics'!B:B,"Jan",'Data - Monthly Metrics'!C:C,"Pierce",'Data - Monthly Metrics'!D:D,"Retention - Comped Non-Target ($)")=0,"-",SUMIFS('Data - Monthly Metrics'!E:E,'Data - Monthly Metrics'!A:A,$B$4,'Data - Monthly Metrics'!B:B,"Jan",'Data - Monthly Metrics'!C:C,"Pierce",'Data - Monthly Metrics'!D:D,"Retention - Comped Non-Target ($)"))</f>
        <v/>
      </c>
      <c r="G96" s="96">
        <f>IF(COUNTIFS('Data - Monthly Metrics'!A:A,$B$4,'Data - Monthly Metrics'!B:B,"Feb",'Data - Monthly Metrics'!C:C,"Pierce",'Data - Monthly Metrics'!D:D,"Retention - Comped Non-Target ($)")=0,"-",SUMIFS('Data - Monthly Metrics'!E:E,'Data - Monthly Metrics'!A:A,$B$4,'Data - Monthly Metrics'!B:B,"Feb",'Data - Monthly Metrics'!C:C,"Pierce",'Data - Monthly Metrics'!D:D,"Retention - Comped Non-Target ($)"))</f>
        <v/>
      </c>
      <c r="H96" s="96">
        <f>IF(COUNTIFS('Data - Monthly Metrics'!A:A,$B$4,'Data - Monthly Metrics'!B:B,"Mar",'Data - Monthly Metrics'!C:C,"Pierce",'Data - Monthly Metrics'!D:D,"Retention - Comped Non-Target ($)")=0,"-",SUMIFS('Data - Monthly Metrics'!E:E,'Data - Monthly Metrics'!A:A,$B$4,'Data - Monthly Metrics'!B:B,"Mar",'Data - Monthly Metrics'!C:C,"Pierce",'Data - Monthly Metrics'!D:D,"Retention - Comped Non-Target ($)"))</f>
        <v/>
      </c>
      <c r="I96" s="101">
        <f>SUM(F96,G96,H96)</f>
        <v/>
      </c>
      <c r="J96" s="96">
        <f>IF(COUNTIFS('Data - Monthly Metrics'!A:A,$B$4,'Data - Monthly Metrics'!B:B,"Apr",'Data - Monthly Metrics'!C:C,"Pierce",'Data - Monthly Metrics'!D:D,"Retention - Comped Non-Target ($)")=0,"-",SUMIFS('Data - Monthly Metrics'!E:E,'Data - Monthly Metrics'!A:A,$B$4,'Data - Monthly Metrics'!B:B,"Apr",'Data - Monthly Metrics'!C:C,"Pierce",'Data - Monthly Metrics'!D:D,"Retention - Comped Non-Target ($)"))</f>
        <v/>
      </c>
      <c r="K96" s="96">
        <f>IF(COUNTIFS('Data - Monthly Metrics'!A:A,$B$4,'Data - Monthly Metrics'!B:B,"May",'Data - Monthly Metrics'!C:C,"Pierce",'Data - Monthly Metrics'!D:D,"Retention - Comped Non-Target ($)")=0,"-",SUMIFS('Data - Monthly Metrics'!E:E,'Data - Monthly Metrics'!A:A,$B$4,'Data - Monthly Metrics'!B:B,"May",'Data - Monthly Metrics'!C:C,"Pierce",'Data - Monthly Metrics'!D:D,"Retention - Comped Non-Target ($)"))</f>
        <v/>
      </c>
      <c r="L96" s="96">
        <f>IF(COUNTIFS('Data - Monthly Metrics'!A:A,$B$4,'Data - Monthly Metrics'!B:B,"Jun",'Data - Monthly Metrics'!C:C,"Pierce",'Data - Monthly Metrics'!D:D,"Retention - Comped Non-Target ($)")=0,"-",SUMIFS('Data - Monthly Metrics'!E:E,'Data - Monthly Metrics'!A:A,$B$4,'Data - Monthly Metrics'!B:B,"Jun",'Data - Monthly Metrics'!C:C,"Pierce",'Data - Monthly Metrics'!D:D,"Retention - Comped Non-Target ($)"))</f>
        <v/>
      </c>
      <c r="M96" s="101">
        <f>SUM(J96,K96,L96)</f>
        <v/>
      </c>
      <c r="N96" s="96">
        <f>IF(COUNTIFS('Data - Monthly Metrics'!A:A,$B$4,'Data - Monthly Metrics'!B:B,"Jul",'Data - Monthly Metrics'!C:C,"Pierce",'Data - Monthly Metrics'!D:D,"Retention - Comped Non-Target ($)")=0,"-",SUMIFS('Data - Monthly Metrics'!E:E,'Data - Monthly Metrics'!A:A,$B$4,'Data - Monthly Metrics'!B:B,"Jul",'Data - Monthly Metrics'!C:C,"Pierce",'Data - Monthly Metrics'!D:D,"Retention - Comped Non-Target ($)"))</f>
        <v/>
      </c>
      <c r="O96" s="96">
        <f>IF(COUNTIFS('Data - Monthly Metrics'!A:A,$B$4,'Data - Monthly Metrics'!B:B,"Aug",'Data - Monthly Metrics'!C:C,"Pierce",'Data - Monthly Metrics'!D:D,"Retention - Comped Non-Target ($)")=0,"-",SUMIFS('Data - Monthly Metrics'!E:E,'Data - Monthly Metrics'!A:A,$B$4,'Data - Monthly Metrics'!B:B,"Aug",'Data - Monthly Metrics'!C:C,"Pierce",'Data - Monthly Metrics'!D:D,"Retention - Comped Non-Target ($)"))</f>
        <v/>
      </c>
      <c r="P96" s="96">
        <f>IF(COUNTIFS('Data - Monthly Metrics'!A:A,$B$4,'Data - Monthly Metrics'!B:B,"Sep",'Data - Monthly Metrics'!C:C,"Pierce",'Data - Monthly Metrics'!D:D,"Retention - Comped Non-Target ($)")=0,"-",SUMIFS('Data - Monthly Metrics'!E:E,'Data - Monthly Metrics'!A:A,$B$4,'Data - Monthly Metrics'!B:B,"Sep",'Data - Monthly Metrics'!C:C,"Pierce",'Data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Metrics'!C:C,"Pierce",'Data - Monthly Metrics'!D:D,"Drops - Non-Target (#)")=0,"-",SUMIFS('Data - Monthly Metrics'!E:E,'Data - Monthly Metrics'!A:A,$B$4-1,'Data - Monthly Metrics'!B:B,"Oct",'Data - Monthly Metrics'!C:C,"Pierce",'Data - Monthly Metrics'!D:D,"Drops - Non-Target (#)"))</f>
        <v/>
      </c>
      <c r="C100" s="93">
        <f>IF(COUNTIFS('Data - Monthly Metrics'!A:A,$B$4-1,'Data - Monthly Metrics'!B:B,"Nov",'Data - Monthly Metrics'!C:C,"Pierce",'Data - Monthly Metrics'!D:D,"Drops - Non-Target (#)")=0,"-",SUMIFS('Data - Monthly Metrics'!E:E,'Data - Monthly Metrics'!A:A,$B$4-1,'Data - Monthly Metrics'!B:B,"Nov",'Data - Monthly Metrics'!C:C,"Pierce",'Data - Monthly Metrics'!D:D,"Drops - Non-Target (#)"))</f>
        <v/>
      </c>
      <c r="D100" s="93">
        <f>IF(COUNTIFS('Data - Monthly Metrics'!A:A,$B$4-1,'Data - Monthly Metrics'!B:B,"Dec",'Data - Monthly Metrics'!C:C,"Pierce",'Data - Monthly Metrics'!D:D,"Drops - Non-Target (#)")=0,"-",SUMIFS('Data - Monthly Metrics'!E:E,'Data - Monthly Metrics'!A:A,$B$4-1,'Data - Monthly Metrics'!B:B,"Dec",'Data - Monthly Metrics'!C:C,"Pierce",'Data - Monthly Metrics'!D:D,"Drops - Non-Target (#)"))</f>
        <v/>
      </c>
      <c r="E100" s="103">
        <f>SUM(B100,C100,D100)</f>
        <v/>
      </c>
      <c r="F100" s="93">
        <f>IF(COUNTIFS('Data - Monthly Metrics'!A:A,$B$4,'Data - Monthly Metrics'!B:B,"Jan",'Data - Monthly Metrics'!C:C,"Pierce",'Data - Monthly Metrics'!D:D,"Drops - Non-Target (#)")=0,"-",SUMIFS('Data - Monthly Metrics'!E:E,'Data - Monthly Metrics'!A:A,$B$4,'Data - Monthly Metrics'!B:B,"Jan",'Data - Monthly Metrics'!C:C,"Pierce",'Data - Monthly Metrics'!D:D,"Drops - Non-Target (#)"))</f>
        <v/>
      </c>
      <c r="G100" s="93">
        <f>IF(COUNTIFS('Data - Monthly Metrics'!A:A,$B$4,'Data - Monthly Metrics'!B:B,"Feb",'Data - Monthly Metrics'!C:C,"Pierce",'Data - Monthly Metrics'!D:D,"Drops - Non-Target (#)")=0,"-",SUMIFS('Data - Monthly Metrics'!E:E,'Data - Monthly Metrics'!A:A,$B$4,'Data - Monthly Metrics'!B:B,"Feb",'Data - Monthly Metrics'!C:C,"Pierce",'Data - Monthly Metrics'!D:D,"Drops - Non-Target (#)"))</f>
        <v/>
      </c>
      <c r="H100" s="93">
        <f>IF(COUNTIFS('Data - Monthly Metrics'!A:A,$B$4,'Data - Monthly Metrics'!B:B,"Mar",'Data - Monthly Metrics'!C:C,"Pierce",'Data - Monthly Metrics'!D:D,"Drops - Non-Target (#)")=0,"-",SUMIFS('Data - Monthly Metrics'!E:E,'Data - Monthly Metrics'!A:A,$B$4,'Data - Monthly Metrics'!B:B,"Mar",'Data - Monthly Metrics'!C:C,"Pierce",'Data - Monthly Metrics'!D:D,"Drops - Non-Target (#)"))</f>
        <v/>
      </c>
      <c r="I100" s="103">
        <f>SUM(F100,G100,H100)</f>
        <v/>
      </c>
      <c r="J100" s="93">
        <f>IF(COUNTIFS('Data - Monthly Metrics'!A:A,$B$4,'Data - Monthly Metrics'!B:B,"Apr",'Data - Monthly Metrics'!C:C,"Pierce",'Data - Monthly Metrics'!D:D,"Drops - Non-Target (#)")=0,"-",SUMIFS('Data - Monthly Metrics'!E:E,'Data - Monthly Metrics'!A:A,$B$4,'Data - Monthly Metrics'!B:B,"Apr",'Data - Monthly Metrics'!C:C,"Pierce",'Data - Monthly Metrics'!D:D,"Drops - Non-Target (#)"))</f>
        <v/>
      </c>
      <c r="K100" s="93">
        <f>IF(COUNTIFS('Data - Monthly Metrics'!A:A,$B$4,'Data - Monthly Metrics'!B:B,"May",'Data - Monthly Metrics'!C:C,"Pierce",'Data - Monthly Metrics'!D:D,"Drops - Non-Target (#)")=0,"-",SUMIFS('Data - Monthly Metrics'!E:E,'Data - Monthly Metrics'!A:A,$B$4,'Data - Monthly Metrics'!B:B,"May",'Data - Monthly Metrics'!C:C,"Pierce",'Data - Monthly Metrics'!D:D,"Drops - Non-Target (#)"))</f>
        <v/>
      </c>
      <c r="L100" s="93">
        <f>IF(COUNTIFS('Data - Monthly Metrics'!A:A,$B$4,'Data - Monthly Metrics'!B:B,"Jun",'Data - Monthly Metrics'!C:C,"Pierce",'Data - Monthly Metrics'!D:D,"Drops - Non-Target (#)")=0,"-",SUMIFS('Data - Monthly Metrics'!E:E,'Data - Monthly Metrics'!A:A,$B$4,'Data - Monthly Metrics'!B:B,"Jun",'Data - Monthly Metrics'!C:C,"Pierce",'Data - Monthly Metrics'!D:D,"Drops - Non-Target (#)"))</f>
        <v/>
      </c>
      <c r="M100" s="103">
        <f>SUM(J100,K100,L100)</f>
        <v/>
      </c>
      <c r="N100" s="93">
        <f>IF(COUNTIFS('Data - Monthly Metrics'!A:A,$B$4,'Data - Monthly Metrics'!B:B,"Jul",'Data - Monthly Metrics'!C:C,"Pierce",'Data - Monthly Metrics'!D:D,"Drops - Non-Target (#)")=0,"-",SUMIFS('Data - Monthly Metrics'!E:E,'Data - Monthly Metrics'!A:A,$B$4,'Data - Monthly Metrics'!B:B,"Jul",'Data - Monthly Metrics'!C:C,"Pierce",'Data - Monthly Metrics'!D:D,"Drops - Non-Target (#)"))</f>
        <v/>
      </c>
      <c r="O100" s="93">
        <f>IF(COUNTIFS('Data - Monthly Metrics'!A:A,$B$4,'Data - Monthly Metrics'!B:B,"Aug",'Data - Monthly Metrics'!C:C,"Pierce",'Data - Monthly Metrics'!D:D,"Drops - Non-Target (#)")=0,"-",SUMIFS('Data - Monthly Metrics'!E:E,'Data - Monthly Metrics'!A:A,$B$4,'Data - Monthly Metrics'!B:B,"Aug",'Data - Monthly Metrics'!C:C,"Pierce",'Data - Monthly Metrics'!D:D,"Drops - Non-Target (#)"))</f>
        <v/>
      </c>
      <c r="P100" s="93">
        <f>IF(COUNTIFS('Data - Monthly Metrics'!A:A,$B$4,'Data - Monthly Metrics'!B:B,"Sep",'Data - Monthly Metrics'!C:C,"Pierce",'Data - Monthly Metrics'!D:D,"Drops - Non-Target (#)")=0,"-",SUMIFS('Data - Monthly Metrics'!E:E,'Data - Monthly Metrics'!A:A,$B$4,'Data - Monthly Metrics'!B:B,"Sep",'Data - Monthly Metrics'!C:C,"Pierce",'Data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Metrics'!C:C,"Pierce",'Data - Monthly Metrics'!D:D,"Dropped Revenue - Non-Target ($)")=0,"-",SUMIFS('Data - Monthly Metrics'!E:E,'Data - Monthly Metrics'!A:A,$B$4-1,'Data - Monthly Metrics'!B:B,"Oct",'Data - Monthly Metrics'!C:C,"Pierce",'Data - Monthly Metrics'!D:D,"Dropped Revenue - Non-Target ($)"))</f>
        <v/>
      </c>
      <c r="C101" s="96">
        <f>IF(COUNTIFS('Data - Monthly Metrics'!A:A,$B$4-1,'Data - Monthly Metrics'!B:B,"Nov",'Data - Monthly Metrics'!C:C,"Pierce",'Data - Monthly Metrics'!D:D,"Dropped Revenue - Non-Target ($)")=0,"-",SUMIFS('Data - Monthly Metrics'!E:E,'Data - Monthly Metrics'!A:A,$B$4-1,'Data - Monthly Metrics'!B:B,"Nov",'Data - Monthly Metrics'!C:C,"Pierce",'Data - Monthly Metrics'!D:D,"Dropped Revenue - Non-Target ($)"))</f>
        <v/>
      </c>
      <c r="D101" s="96">
        <f>IF(COUNTIFS('Data - Monthly Metrics'!A:A,$B$4-1,'Data - Monthly Metrics'!B:B,"Dec",'Data - Monthly Metrics'!C:C,"Pierce",'Data - Monthly Metrics'!D:D,"Dropped Revenue - Non-Target ($)")=0,"-",SUMIFS('Data - Monthly Metrics'!E:E,'Data - Monthly Metrics'!A:A,$B$4-1,'Data - Monthly Metrics'!B:B,"Dec",'Data - Monthly Metrics'!C:C,"Pierce",'Data - Monthly Metrics'!D:D,"Dropped Revenue - Non-Target ($)"))</f>
        <v/>
      </c>
      <c r="E101" s="101">
        <f>SUM(B101,C101,D101)</f>
        <v/>
      </c>
      <c r="F101" s="96">
        <f>IF(COUNTIFS('Data - Monthly Metrics'!A:A,$B$4,'Data - Monthly Metrics'!B:B,"Jan",'Data - Monthly Metrics'!C:C,"Pierce",'Data - Monthly Metrics'!D:D,"Dropped Revenue - Non-Target ($)")=0,"-",SUMIFS('Data - Monthly Metrics'!E:E,'Data - Monthly Metrics'!A:A,$B$4,'Data - Monthly Metrics'!B:B,"Jan",'Data - Monthly Metrics'!C:C,"Pierce",'Data - Monthly Metrics'!D:D,"Dropped Revenue - Non-Target ($)"))</f>
        <v/>
      </c>
      <c r="G101" s="96">
        <f>IF(COUNTIFS('Data - Monthly Metrics'!A:A,$B$4,'Data - Monthly Metrics'!B:B,"Feb",'Data - Monthly Metrics'!C:C,"Pierce",'Data - Monthly Metrics'!D:D,"Dropped Revenue - Non-Target ($)")=0,"-",SUMIFS('Data - Monthly Metrics'!E:E,'Data - Monthly Metrics'!A:A,$B$4,'Data - Monthly Metrics'!B:B,"Feb",'Data - Monthly Metrics'!C:C,"Pierce",'Data - Monthly Metrics'!D:D,"Dropped Revenue - Non-Target ($)"))</f>
        <v/>
      </c>
      <c r="H101" s="96">
        <f>IF(COUNTIFS('Data - Monthly Metrics'!A:A,$B$4,'Data - Monthly Metrics'!B:B,"Mar",'Data - Monthly Metrics'!C:C,"Pierce",'Data - Monthly Metrics'!D:D,"Dropped Revenue - Non-Target ($)")=0,"-",SUMIFS('Data - Monthly Metrics'!E:E,'Data - Monthly Metrics'!A:A,$B$4,'Data - Monthly Metrics'!B:B,"Mar",'Data - Monthly Metrics'!C:C,"Pierce",'Data - Monthly Metrics'!D:D,"Dropped Revenue - Non-Target ($)"))</f>
        <v/>
      </c>
      <c r="I101" s="101">
        <f>SUM(F101,G101,H101)</f>
        <v/>
      </c>
      <c r="J101" s="96">
        <f>IF(COUNTIFS('Data - Monthly Metrics'!A:A,$B$4,'Data - Monthly Metrics'!B:B,"Apr",'Data - Monthly Metrics'!C:C,"Pierce",'Data - Monthly Metrics'!D:D,"Dropped Revenue - Non-Target ($)")=0,"-",SUMIFS('Data - Monthly Metrics'!E:E,'Data - Monthly Metrics'!A:A,$B$4,'Data - Monthly Metrics'!B:B,"Apr",'Data - Monthly Metrics'!C:C,"Pierce",'Data - Monthly Metrics'!D:D,"Dropped Revenue - Non-Target ($)"))</f>
        <v/>
      </c>
      <c r="K101" s="96">
        <f>IF(COUNTIFS('Data - Monthly Metrics'!A:A,$B$4,'Data - Monthly Metrics'!B:B,"May",'Data - Monthly Metrics'!C:C,"Pierce",'Data - Monthly Metrics'!D:D,"Dropped Revenue - Non-Target ($)")=0,"-",SUMIFS('Data - Monthly Metrics'!E:E,'Data - Monthly Metrics'!A:A,$B$4,'Data - Monthly Metrics'!B:B,"May",'Data - Monthly Metrics'!C:C,"Pierce",'Data - Monthly Metrics'!D:D,"Dropped Revenue - Non-Target ($)"))</f>
        <v/>
      </c>
      <c r="L101" s="96">
        <f>IF(COUNTIFS('Data - Monthly Metrics'!A:A,$B$4,'Data - Monthly Metrics'!B:B,"Jun",'Data - Monthly Metrics'!C:C,"Pierce",'Data - Monthly Metrics'!D:D,"Dropped Revenue - Non-Target ($)")=0,"-",SUMIFS('Data - Monthly Metrics'!E:E,'Data - Monthly Metrics'!A:A,$B$4,'Data - Monthly Metrics'!B:B,"Jun",'Data - Monthly Metrics'!C:C,"Pierce",'Data - Monthly Metrics'!D:D,"Dropped Revenue - Non-Target ($)"))</f>
        <v/>
      </c>
      <c r="M101" s="101">
        <f>SUM(J101,K101,L101)</f>
        <v/>
      </c>
      <c r="N101" s="96">
        <f>IF(COUNTIFS('Data - Monthly Metrics'!A:A,$B$4,'Data - Monthly Metrics'!B:B,"Jul",'Data - Monthly Metrics'!C:C,"Pierce",'Data - Monthly Metrics'!D:D,"Dropped Revenue - Non-Target ($)")=0,"-",SUMIFS('Data - Monthly Metrics'!E:E,'Data - Monthly Metrics'!A:A,$B$4,'Data - Monthly Metrics'!B:B,"Jul",'Data - Monthly Metrics'!C:C,"Pierce",'Data - Monthly Metrics'!D:D,"Dropped Revenue - Non-Target ($)"))</f>
        <v/>
      </c>
      <c r="O101" s="96">
        <f>IF(COUNTIFS('Data - Monthly Metrics'!A:A,$B$4,'Data - Monthly Metrics'!B:B,"Aug",'Data - Monthly Metrics'!C:C,"Pierce",'Data - Monthly Metrics'!D:D,"Dropped Revenue - Non-Target ($)")=0,"-",SUMIFS('Data - Monthly Metrics'!E:E,'Data - Monthly Metrics'!A:A,$B$4,'Data - Monthly Metrics'!B:B,"Aug",'Data - Monthly Metrics'!C:C,"Pierce",'Data - Monthly Metrics'!D:D,"Dropped Revenue - Non-Target ($)"))</f>
        <v/>
      </c>
      <c r="P101" s="96">
        <f>IF(COUNTIFS('Data - Monthly Metrics'!A:A,$B$4,'Data - Monthly Metrics'!B:B,"Sep",'Data - Monthly Metrics'!C:C,"Pierce",'Data - Monthly Metrics'!D:D,"Dropped Revenue - Non-Target ($)")=0,"-",SUMIFS('Data - Monthly Metrics'!E:E,'Data - Monthly Metrics'!A:A,$B$4,'Data - Monthly Metrics'!B:B,"Sep",'Data - Monthly Metrics'!C:C,"Pierce",'Data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Metrics'!C:C,"Pierce",'Data - Monthly Metrics'!D:D,"Penetration - Restaurant Non-Target %")=0,"-",SUMIFS('Data - Monthly Metrics'!E:E,'Data - Monthly Metrics'!A:A,$B$4-1,'Data - Monthly Metrics'!B:B,"Oct",'Data - Monthly Metrics'!C:C,"Pierce",'Data - Monthly Metrics'!D:D,"Penetration - Restaurant Non-Target %"))</f>
        <v/>
      </c>
      <c r="C105" s="115">
        <f>IF(COUNTIFS('Data - Monthly Metrics'!A:A,$B$4-1,'Data - Monthly Metrics'!B:B,"Nov",'Data - Monthly Metrics'!C:C,"Pierce",'Data - Monthly Metrics'!D:D,"Penetration - Restaurant Non-Target %")=0,"-",SUMIFS('Data - Monthly Metrics'!E:E,'Data - Monthly Metrics'!A:A,$B$4-1,'Data - Monthly Metrics'!B:B,"Nov",'Data - Monthly Metrics'!C:C,"Pierce",'Data - Monthly Metrics'!D:D,"Penetration - Restaurant Non-Target %"))</f>
        <v/>
      </c>
      <c r="D105" s="115">
        <f>IF(COUNTIFS('Data - Monthly Metrics'!A:A,$B$4-1,'Data - Monthly Metrics'!B:B,"Dec",'Data - Monthly Metrics'!C:C,"Pierce",'Data - Monthly Metrics'!D:D,"Penetration - Restaurant Non-Target %")=0,"-",SUMIFS('Data - Monthly Metrics'!E:E,'Data - Monthly Metrics'!A:A,$B$4-1,'Data - Monthly Metrics'!B:B,"Dec",'Data - Monthly Metrics'!C:C,"Pierce",'Data - Monthly Metrics'!D:D,"Penetration - Restaurant Non-Target %"))</f>
        <v/>
      </c>
      <c r="E105" s="116">
        <f>IF(ISNUMBER(D105),D105,IF(ISNUMBER(C105),C105,IF(ISNUMBER(B105),B105,"-")))</f>
        <v/>
      </c>
      <c r="F105" s="115">
        <f>IF(COUNTIFS('Data - Monthly Metrics'!A:A,$B$4,'Data - Monthly Metrics'!B:B,"Jan",'Data - Monthly Metrics'!C:C,"Pierce",'Data - Monthly Metrics'!D:D,"Penetration - Restaurant Non-Target %")=0,"-",SUMIFS('Data - Monthly Metrics'!E:E,'Data - Monthly Metrics'!A:A,$B$4,'Data - Monthly Metrics'!B:B,"Jan",'Data - Monthly Metrics'!C:C,"Pierce",'Data - Monthly Metrics'!D:D,"Penetration - Restaurant Non-Target %"))</f>
        <v/>
      </c>
      <c r="G105" s="115">
        <f>IF(COUNTIFS('Data - Monthly Metrics'!A:A,$B$4,'Data - Monthly Metrics'!B:B,"Feb",'Data - Monthly Metrics'!C:C,"Pierce",'Data - Monthly Metrics'!D:D,"Penetration - Restaurant Non-Target %")=0,"-",SUMIFS('Data - Monthly Metrics'!E:E,'Data - Monthly Metrics'!A:A,$B$4,'Data - Monthly Metrics'!B:B,"Feb",'Data - Monthly Metrics'!C:C,"Pierce",'Data - Monthly Metrics'!D:D,"Penetration - Restaurant Non-Target %"))</f>
        <v/>
      </c>
      <c r="H105" s="115">
        <f>IF(COUNTIFS('Data - Monthly Metrics'!A:A,$B$4,'Data - Monthly Metrics'!B:B,"Mar",'Data - Monthly Metrics'!C:C,"Pierce",'Data - Monthly Metrics'!D:D,"Penetration - Restaurant Non-Target %")=0,"-",SUMIFS('Data - Monthly Metrics'!E:E,'Data - Monthly Metrics'!A:A,$B$4,'Data - Monthly Metrics'!B:B,"Mar",'Data - Monthly Metrics'!C:C,"Pierce",'Data - Monthly Metrics'!D:D,"Penetration - Restaurant Non-Target %"))</f>
        <v/>
      </c>
      <c r="I105" s="116">
        <f>IF(ISNUMBER(H105),H105,IF(ISNUMBER(G105),G105,IF(ISNUMBER(F105),F105,"-")))</f>
        <v/>
      </c>
      <c r="J105" s="115">
        <f>IF(COUNTIFS('Data - Monthly Metrics'!A:A,$B$4,'Data - Monthly Metrics'!B:B,"Apr",'Data - Monthly Metrics'!C:C,"Pierce",'Data - Monthly Metrics'!D:D,"Penetration - Restaurant Non-Target %")=0,"-",SUMIFS('Data - Monthly Metrics'!E:E,'Data - Monthly Metrics'!A:A,$B$4,'Data - Monthly Metrics'!B:B,"Apr",'Data - Monthly Metrics'!C:C,"Pierce",'Data - Monthly Metrics'!D:D,"Penetration - Restaurant Non-Target %"))</f>
        <v/>
      </c>
      <c r="K105" s="115">
        <f>IF(COUNTIFS('Data - Monthly Metrics'!A:A,$B$4,'Data - Monthly Metrics'!B:B,"May",'Data - Monthly Metrics'!C:C,"Pierce",'Data - Monthly Metrics'!D:D,"Penetration - Restaurant Non-Target %")=0,"-",SUMIFS('Data - Monthly Metrics'!E:E,'Data - Monthly Metrics'!A:A,$B$4,'Data - Monthly Metrics'!B:B,"May",'Data - Monthly Metrics'!C:C,"Pierce",'Data - Monthly Metrics'!D:D,"Penetration - Restaurant Non-Target %"))</f>
        <v/>
      </c>
      <c r="L105" s="115">
        <f>IF(COUNTIFS('Data - Monthly Metrics'!A:A,$B$4,'Data - Monthly Metrics'!B:B,"Jun",'Data - Monthly Metrics'!C:C,"Pierce",'Data - Monthly Metrics'!D:D,"Penetration - Restaurant Non-Target %")=0,"-",SUMIFS('Data - Monthly Metrics'!E:E,'Data - Monthly Metrics'!A:A,$B$4,'Data - Monthly Metrics'!B:B,"Jun",'Data - Monthly Metrics'!C:C,"Pierce",'Data - Monthly Metrics'!D:D,"Penetration - Restaurant Non-Target %"))</f>
        <v/>
      </c>
      <c r="M105" s="116">
        <f>IF(ISNUMBER(L105),L105,IF(ISNUMBER(K105),K105,IF(ISNUMBER(J105),J105,"-")))</f>
        <v/>
      </c>
      <c r="N105" s="115">
        <f>IF(COUNTIFS('Data - Monthly Metrics'!A:A,$B$4,'Data - Monthly Metrics'!B:B,"Jul",'Data - Monthly Metrics'!C:C,"Pierce",'Data - Monthly Metrics'!D:D,"Penetration - Restaurant Non-Target %")=0,"-",SUMIFS('Data - Monthly Metrics'!E:E,'Data - Monthly Metrics'!A:A,$B$4,'Data - Monthly Metrics'!B:B,"Jul",'Data - Monthly Metrics'!C:C,"Pierce",'Data - Monthly Metrics'!D:D,"Penetration - Restaurant Non-Target %"))</f>
        <v/>
      </c>
      <c r="O105" s="115">
        <f>IF(COUNTIFS('Data - Monthly Metrics'!A:A,$B$4,'Data - Monthly Metrics'!B:B,"Aug",'Data - Monthly Metrics'!C:C,"Pierce",'Data - Monthly Metrics'!D:D,"Penetration - Restaurant Non-Target %")=0,"-",SUMIFS('Data - Monthly Metrics'!E:E,'Data - Monthly Metrics'!A:A,$B$4,'Data - Monthly Metrics'!B:B,"Aug",'Data - Monthly Metrics'!C:C,"Pierce",'Data - Monthly Metrics'!D:D,"Penetration - Restaurant Non-Target %"))</f>
        <v/>
      </c>
      <c r="P105" s="115">
        <f>IF(COUNTIFS('Data - Monthly Metrics'!A:A,$B$4,'Data - Monthly Metrics'!B:B,"Sep",'Data - Monthly Metrics'!C:C,"Pierce",'Data - Monthly Metrics'!D:D,"Penetration - Restaurant Non-Target %")=0,"-",SUMIFS('Data - Monthly Metrics'!E:E,'Data - Monthly Metrics'!A:A,$B$4,'Data - Monthly Metrics'!B:B,"Sep",'Data - Monthly Metrics'!C:C,"Pierce",'Data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Metrics'!C:C,"Pierce",'Data - Monthly Metrics'!D:D,"Penetration - Lodging Non-Target %")=0,"-",SUMIFS('Data - Monthly Metrics'!E:E,'Data - Monthly Metrics'!A:A,$B$4-1,'Data - Monthly Metrics'!B:B,"Oct",'Data - Monthly Metrics'!C:C,"Pierce",'Data - Monthly Metrics'!D:D,"Penetration - Lodging Non-Target %"))</f>
        <v/>
      </c>
      <c r="C106" s="118">
        <f>IF(COUNTIFS('Data - Monthly Metrics'!A:A,$B$4-1,'Data - Monthly Metrics'!B:B,"Nov",'Data - Monthly Metrics'!C:C,"Pierce",'Data - Monthly Metrics'!D:D,"Penetration - Lodging Non-Target %")=0,"-",SUMIFS('Data - Monthly Metrics'!E:E,'Data - Monthly Metrics'!A:A,$B$4-1,'Data - Monthly Metrics'!B:B,"Nov",'Data - Monthly Metrics'!C:C,"Pierce",'Data - Monthly Metrics'!D:D,"Penetration - Lodging Non-Target %"))</f>
        <v/>
      </c>
      <c r="D106" s="118">
        <f>IF(COUNTIFS('Data - Monthly Metrics'!A:A,$B$4-1,'Data - Monthly Metrics'!B:B,"Dec",'Data - Monthly Metrics'!C:C,"Pierce",'Data - Monthly Metrics'!D:D,"Penetration - Lodging Non-Target %")=0,"-",SUMIFS('Data - Monthly Metrics'!E:E,'Data - Monthly Metrics'!A:A,$B$4-1,'Data - Monthly Metrics'!B:B,"Dec",'Data - Monthly Metrics'!C:C,"Pierce",'Data - Monthly Metrics'!D:D,"Penetration - Lodging Non-Target %"))</f>
        <v/>
      </c>
      <c r="E106" s="116">
        <f>IF(ISNUMBER(D106),D106,IF(ISNUMBER(C106),C106,IF(ISNUMBER(B106),B106,"-")))</f>
        <v/>
      </c>
      <c r="F106" s="118">
        <f>IF(COUNTIFS('Data - Monthly Metrics'!A:A,$B$4,'Data - Monthly Metrics'!B:B,"Jan",'Data - Monthly Metrics'!C:C,"Pierce",'Data - Monthly Metrics'!D:D,"Penetration - Lodging Non-Target %")=0,"-",SUMIFS('Data - Monthly Metrics'!E:E,'Data - Monthly Metrics'!A:A,$B$4,'Data - Monthly Metrics'!B:B,"Jan",'Data - Monthly Metrics'!C:C,"Pierce",'Data - Monthly Metrics'!D:D,"Penetration - Lodging Non-Target %"))</f>
        <v/>
      </c>
      <c r="G106" s="118">
        <f>IF(COUNTIFS('Data - Monthly Metrics'!A:A,$B$4,'Data - Monthly Metrics'!B:B,"Feb",'Data - Monthly Metrics'!C:C,"Pierce",'Data - Monthly Metrics'!D:D,"Penetration - Lodging Non-Target %")=0,"-",SUMIFS('Data - Monthly Metrics'!E:E,'Data - Monthly Metrics'!A:A,$B$4,'Data - Monthly Metrics'!B:B,"Feb",'Data - Monthly Metrics'!C:C,"Pierce",'Data - Monthly Metrics'!D:D,"Penetration - Lodging Non-Target %"))</f>
        <v/>
      </c>
      <c r="H106" s="118">
        <f>IF(COUNTIFS('Data - Monthly Metrics'!A:A,$B$4,'Data - Monthly Metrics'!B:B,"Mar",'Data - Monthly Metrics'!C:C,"Pierce",'Data - Monthly Metrics'!D:D,"Penetration - Lodging Non-Target %")=0,"-",SUMIFS('Data - Monthly Metrics'!E:E,'Data - Monthly Metrics'!A:A,$B$4,'Data - Monthly Metrics'!B:B,"Mar",'Data - Monthly Metrics'!C:C,"Pierce",'Data - Monthly Metrics'!D:D,"Penetration - Lodging Non-Target %"))</f>
        <v/>
      </c>
      <c r="I106" s="116">
        <f>IF(ISNUMBER(H106),H106,IF(ISNUMBER(G106),G106,IF(ISNUMBER(F106),F106,"-")))</f>
        <v/>
      </c>
      <c r="J106" s="118">
        <f>IF(COUNTIFS('Data - Monthly Metrics'!A:A,$B$4,'Data - Monthly Metrics'!B:B,"Apr",'Data - Monthly Metrics'!C:C,"Pierce",'Data - Monthly Metrics'!D:D,"Penetration - Lodging Non-Target %")=0,"-",SUMIFS('Data - Monthly Metrics'!E:E,'Data - Monthly Metrics'!A:A,$B$4,'Data - Monthly Metrics'!B:B,"Apr",'Data - Monthly Metrics'!C:C,"Pierce",'Data - Monthly Metrics'!D:D,"Penetration - Lodging Non-Target %"))</f>
        <v/>
      </c>
      <c r="K106" s="118">
        <f>IF(COUNTIFS('Data - Monthly Metrics'!A:A,$B$4,'Data - Monthly Metrics'!B:B,"May",'Data - Monthly Metrics'!C:C,"Pierce",'Data - Monthly Metrics'!D:D,"Penetration - Lodging Non-Target %")=0,"-",SUMIFS('Data - Monthly Metrics'!E:E,'Data - Monthly Metrics'!A:A,$B$4,'Data - Monthly Metrics'!B:B,"May",'Data - Monthly Metrics'!C:C,"Pierce",'Data - Monthly Metrics'!D:D,"Penetration - Lodging Non-Target %"))</f>
        <v/>
      </c>
      <c r="L106" s="118">
        <f>IF(COUNTIFS('Data - Monthly Metrics'!A:A,$B$4,'Data - Monthly Metrics'!B:B,"Jun",'Data - Monthly Metrics'!C:C,"Pierce",'Data - Monthly Metrics'!D:D,"Penetration - Lodging Non-Target %")=0,"-",SUMIFS('Data - Monthly Metrics'!E:E,'Data - Monthly Metrics'!A:A,$B$4,'Data - Monthly Metrics'!B:B,"Jun",'Data - Monthly Metrics'!C:C,"Pierce",'Data - Monthly Metrics'!D:D,"Penetration - Lodging Non-Target %"))</f>
        <v/>
      </c>
      <c r="M106" s="116">
        <f>IF(ISNUMBER(L106),L106,IF(ISNUMBER(K106),K106,IF(ISNUMBER(J106),J106,"-")))</f>
        <v/>
      </c>
      <c r="N106" s="118">
        <f>IF(COUNTIFS('Data - Monthly Metrics'!A:A,$B$4,'Data - Monthly Metrics'!B:B,"Jul",'Data - Monthly Metrics'!C:C,"Pierce",'Data - Monthly Metrics'!D:D,"Penetration - Lodging Non-Target %")=0,"-",SUMIFS('Data - Monthly Metrics'!E:E,'Data - Monthly Metrics'!A:A,$B$4,'Data - Monthly Metrics'!B:B,"Jul",'Data - Monthly Metrics'!C:C,"Pierce",'Data - Monthly Metrics'!D:D,"Penetration - Lodging Non-Target %"))</f>
        <v/>
      </c>
      <c r="O106" s="118">
        <f>IF(COUNTIFS('Data - Monthly Metrics'!A:A,$B$4,'Data - Monthly Metrics'!B:B,"Aug",'Data - Monthly Metrics'!C:C,"Pierce",'Data - Monthly Metrics'!D:D,"Penetration - Lodging Non-Target %")=0,"-",SUMIFS('Data - Monthly Metrics'!E:E,'Data - Monthly Metrics'!A:A,$B$4,'Data - Monthly Metrics'!B:B,"Aug",'Data - Monthly Metrics'!C:C,"Pierce",'Data - Monthly Metrics'!D:D,"Penetration - Lodging Non-Target %"))</f>
        <v/>
      </c>
      <c r="P106" s="118">
        <f>IF(COUNTIFS('Data - Monthly Metrics'!A:A,$B$4,'Data - Monthly Metrics'!B:B,"Sep",'Data - Monthly Metrics'!C:C,"Pierce",'Data - Monthly Metrics'!D:D,"Penetration - Lodging Non-Target %")=0,"-",SUMIFS('Data - Monthly Metrics'!E:E,'Data - Monthly Metrics'!A:A,$B$4,'Data - Monthly Metrics'!B:B,"Sep",'Data - Monthly Metrics'!C:C,"Pierce",'Data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Metrics'!C:C,"Pierce",'Data - Monthly Metrics'!D:D,"Penetration - Combined Non-Target %")=0,"-",SUMIFS('Data - Monthly Metrics'!E:E,'Data - Monthly Metrics'!A:A,$B$4-1,'Data - Monthly Metrics'!B:B,"Oct",'Data - Monthly Metrics'!C:C,"Pierce",'Data - Monthly Metrics'!D:D,"Penetration - Combined Non-Target %"))</f>
        <v/>
      </c>
      <c r="C107" s="115">
        <f>IF(COUNTIFS('Data - Monthly Metrics'!A:A,$B$4-1,'Data - Monthly Metrics'!B:B,"Nov",'Data - Monthly Metrics'!C:C,"Pierce",'Data - Monthly Metrics'!D:D,"Penetration - Combined Non-Target %")=0,"-",SUMIFS('Data - Monthly Metrics'!E:E,'Data - Monthly Metrics'!A:A,$B$4-1,'Data - Monthly Metrics'!B:B,"Nov",'Data - Monthly Metrics'!C:C,"Pierce",'Data - Monthly Metrics'!D:D,"Penetration - Combined Non-Target %"))</f>
        <v/>
      </c>
      <c r="D107" s="115">
        <f>IF(COUNTIFS('Data - Monthly Metrics'!A:A,$B$4-1,'Data - Monthly Metrics'!B:B,"Dec",'Data - Monthly Metrics'!C:C,"Pierce",'Data - Monthly Metrics'!D:D,"Penetration - Combined Non-Target %")=0,"-",SUMIFS('Data - Monthly Metrics'!E:E,'Data - Monthly Metrics'!A:A,$B$4-1,'Data - Monthly Metrics'!B:B,"Dec",'Data - Monthly Metrics'!C:C,"Pierce",'Data - Monthly Metrics'!D:D,"Penetration - Combined Non-Target %"))</f>
        <v/>
      </c>
      <c r="E107" s="116">
        <f>IF(ISNUMBER(D107),D107,IF(ISNUMBER(C107),C107,IF(ISNUMBER(B107),B107,"-")))</f>
        <v/>
      </c>
      <c r="F107" s="115">
        <f>IF(COUNTIFS('Data - Monthly Metrics'!A:A,$B$4,'Data - Monthly Metrics'!B:B,"Jan",'Data - Monthly Metrics'!C:C,"Pierce",'Data - Monthly Metrics'!D:D,"Penetration - Combined Non-Target %")=0,"-",SUMIFS('Data - Monthly Metrics'!E:E,'Data - Monthly Metrics'!A:A,$B$4,'Data - Monthly Metrics'!B:B,"Jan",'Data - Monthly Metrics'!C:C,"Pierce",'Data - Monthly Metrics'!D:D,"Penetration - Combined Non-Target %"))</f>
        <v/>
      </c>
      <c r="G107" s="115">
        <f>IF(COUNTIFS('Data - Monthly Metrics'!A:A,$B$4,'Data - Monthly Metrics'!B:B,"Feb",'Data - Monthly Metrics'!C:C,"Pierce",'Data - Monthly Metrics'!D:D,"Penetration - Combined Non-Target %")=0,"-",SUMIFS('Data - Monthly Metrics'!E:E,'Data - Monthly Metrics'!A:A,$B$4,'Data - Monthly Metrics'!B:B,"Feb",'Data - Monthly Metrics'!C:C,"Pierce",'Data - Monthly Metrics'!D:D,"Penetration - Combined Non-Target %"))</f>
        <v/>
      </c>
      <c r="H107" s="115">
        <f>IF(COUNTIFS('Data - Monthly Metrics'!A:A,$B$4,'Data - Monthly Metrics'!B:B,"Mar",'Data - Monthly Metrics'!C:C,"Pierce",'Data - Monthly Metrics'!D:D,"Penetration - Combined Non-Target %")=0,"-",SUMIFS('Data - Monthly Metrics'!E:E,'Data - Monthly Metrics'!A:A,$B$4,'Data - Monthly Metrics'!B:B,"Mar",'Data - Monthly Metrics'!C:C,"Pierce",'Data - Monthly Metrics'!D:D,"Penetration - Combined Non-Target %"))</f>
        <v/>
      </c>
      <c r="I107" s="116">
        <f>IF(ISNUMBER(H107),H107,IF(ISNUMBER(G107),G107,IF(ISNUMBER(F107),F107,"-")))</f>
        <v/>
      </c>
      <c r="J107" s="115">
        <f>IF(COUNTIFS('Data - Monthly Metrics'!A:A,$B$4,'Data - Monthly Metrics'!B:B,"Apr",'Data - Monthly Metrics'!C:C,"Pierce",'Data - Monthly Metrics'!D:D,"Penetration - Combined Non-Target %")=0,"-",SUMIFS('Data - Monthly Metrics'!E:E,'Data - Monthly Metrics'!A:A,$B$4,'Data - Monthly Metrics'!B:B,"Apr",'Data - Monthly Metrics'!C:C,"Pierce",'Data - Monthly Metrics'!D:D,"Penetration - Combined Non-Target %"))</f>
        <v/>
      </c>
      <c r="K107" s="115">
        <f>IF(COUNTIFS('Data - Monthly Metrics'!A:A,$B$4,'Data - Monthly Metrics'!B:B,"May",'Data - Monthly Metrics'!C:C,"Pierce",'Data - Monthly Metrics'!D:D,"Penetration - Combined Non-Target %")=0,"-",SUMIFS('Data - Monthly Metrics'!E:E,'Data - Monthly Metrics'!A:A,$B$4,'Data - Monthly Metrics'!B:B,"May",'Data - Monthly Metrics'!C:C,"Pierce",'Data - Monthly Metrics'!D:D,"Penetration - Combined Non-Target %"))</f>
        <v/>
      </c>
      <c r="L107" s="115">
        <f>IF(COUNTIFS('Data - Monthly Metrics'!A:A,$B$4,'Data - Monthly Metrics'!B:B,"Jun",'Data - Monthly Metrics'!C:C,"Pierce",'Data - Monthly Metrics'!D:D,"Penetration - Combined Non-Target %")=0,"-",SUMIFS('Data - Monthly Metrics'!E:E,'Data - Monthly Metrics'!A:A,$B$4,'Data - Monthly Metrics'!B:B,"Jun",'Data - Monthly Metrics'!C:C,"Pierce",'Data - Monthly Metrics'!D:D,"Penetration - Combined Non-Target %"))</f>
        <v/>
      </c>
      <c r="M107" s="116">
        <f>IF(ISNUMBER(L107),L107,IF(ISNUMBER(K107),K107,IF(ISNUMBER(J107),J107,"-")))</f>
        <v/>
      </c>
      <c r="N107" s="115">
        <f>IF(COUNTIFS('Data - Monthly Metrics'!A:A,$B$4,'Data - Monthly Metrics'!B:B,"Jul",'Data - Monthly Metrics'!C:C,"Pierce",'Data - Monthly Metrics'!D:D,"Penetration - Combined Non-Target %")=0,"-",SUMIFS('Data - Monthly Metrics'!E:E,'Data - Monthly Metrics'!A:A,$B$4,'Data - Monthly Metrics'!B:B,"Jul",'Data - Monthly Metrics'!C:C,"Pierce",'Data - Monthly Metrics'!D:D,"Penetration - Combined Non-Target %"))</f>
        <v/>
      </c>
      <c r="O107" s="115">
        <f>IF(COUNTIFS('Data - Monthly Metrics'!A:A,$B$4,'Data - Monthly Metrics'!B:B,"Aug",'Data - Monthly Metrics'!C:C,"Pierce",'Data - Monthly Metrics'!D:D,"Penetration - Combined Non-Target %")=0,"-",SUMIFS('Data - Monthly Metrics'!E:E,'Data - Monthly Metrics'!A:A,$B$4,'Data - Monthly Metrics'!B:B,"Aug",'Data - Monthly Metrics'!C:C,"Pierce",'Data - Monthly Metrics'!D:D,"Penetration - Combined Non-Target %"))</f>
        <v/>
      </c>
      <c r="P107" s="115">
        <f>IF(COUNTIFS('Data - Monthly Metrics'!A:A,$B$4,'Data - Monthly Metrics'!B:B,"Sep",'Data - Monthly Metrics'!C:C,"Pierce",'Data - Monthly Metrics'!D:D,"Penetration - Combined Non-Target %")=0,"-",SUMIFS('Data - Monthly Metrics'!E:E,'Data - Monthly Metrics'!A:A,$B$4,'Data - Monthly Metrics'!B:B,"Sep",'Data - Monthly Metrics'!C:C,"Pierce",'Data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Metrics'!$C:$C,"Pierce",'Data - Monthly Metrics'!$D:$D,"Goal - Retention %")&gt;0,B53&gt;=SUMIFS('Data - Monthly Metrics'!$E:$E,'Data - Monthly Metrics'!$A:$A,$B$4-1,'Data - Monthly Metrics'!$B:$B,B$8,'Data - Monthly Metrics'!$C:$C,"Pierce",'Data - Monthly Metrics'!$D:$D,"Goal - Retention %"))</formula>
    </cfRule>
    <cfRule type="expression" rank="0" priority="11" equalAverage="0" aboveAverage="0" dxfId="2" stopIfTrue="1" text="" percent="0" bottom="0">
      <formula>AND(ISNUMBER(B53),COUNTIFS('Data - Monthly Metrics'!$A:$A,$B$4-1,'Data - Monthly Metrics'!$B:$B,B$8,'Data - Monthly Metrics'!$C:$C,"Pierce",'Data - Monthly Metrics'!$D:$D,"Goal - Retention %")&gt;0,B53&gt;=SUMIFS('Data - Monthly Metrics'!$E:$E,'Data - Monthly Metrics'!$A:$A,$B$4-1,'Data - Monthly Metrics'!$B:$B,B$8,'Data - Monthly Metrics'!$C:$C,"Pierce",'Data - Monthly Metrics'!$D:$D,"Goal - Retention %")-0.05)</formula>
    </cfRule>
    <cfRule type="expression" rank="0" priority="12" equalAverage="0" aboveAverage="0" dxfId="1" stopIfTrue="1" text="" percent="0" bottom="0">
      <formula>AND(ISNUMBER(B53),COUNTIFS('Data - Monthly Metrics'!$A:$A,$B$4-1,'Data - Monthly Metrics'!$B:$B,B$8,'Data - Monthly Metrics'!$C:$C,"Pierce",'Data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Metrics'!$C:$C,"Pierce",'Data - Monthly Metrics'!$D:$D,"Goal - Retention %")&gt;0,C53&gt;=SUMIFS('Data - Monthly Metrics'!$E:$E,'Data - Monthly Metrics'!$A:$A,$B$4-1,'Data - Monthly Metrics'!$B:$B,C$8,'Data - Monthly Metrics'!$C:$C,"Pierce",'Data - Monthly Metrics'!$D:$D,"Goal - Retention %"))</formula>
    </cfRule>
    <cfRule type="expression" rank="0" priority="14" equalAverage="0" aboveAverage="0" dxfId="2" stopIfTrue="1" text="" percent="0" bottom="0">
      <formula>AND(ISNUMBER(C53),COUNTIFS('Data - Monthly Metrics'!$A:$A,$B$4-1,'Data - Monthly Metrics'!$B:$B,C$8,'Data - Monthly Metrics'!$C:$C,"Pierce",'Data - Monthly Metrics'!$D:$D,"Goal - Retention %")&gt;0,C53&gt;=SUMIFS('Data - Monthly Metrics'!$E:$E,'Data - Monthly Metrics'!$A:$A,$B$4-1,'Data - Monthly Metrics'!$B:$B,C$8,'Data - Monthly Metrics'!$C:$C,"Pierce",'Data - Monthly Metrics'!$D:$D,"Goal - Retention %")-0.05)</formula>
    </cfRule>
    <cfRule type="expression" rank="0" priority="15" equalAverage="0" aboveAverage="0" dxfId="1" stopIfTrue="1" text="" percent="0" bottom="0">
      <formula>AND(ISNUMBER(C53),COUNTIFS('Data - Monthly Metrics'!$A:$A,$B$4-1,'Data - Monthly Metrics'!$B:$B,C$8,'Data - Monthly Metrics'!$C:$C,"Pierce",'Data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Metrics'!$C:$C,"Pierce",'Data - Monthly Metrics'!$D:$D,"Goal - Retention %")&gt;0,D53&gt;=SUMIFS('Data - Monthly Metrics'!$E:$E,'Data - Monthly Metrics'!$A:$A,$B$4-1,'Data - Monthly Metrics'!$B:$B,D$8,'Data - Monthly Metrics'!$C:$C,"Pierce",'Data - Monthly Metrics'!$D:$D,"Goal - Retention %"))</formula>
    </cfRule>
    <cfRule type="expression" rank="0" priority="17" equalAverage="0" aboveAverage="0" dxfId="2" stopIfTrue="1" text="" percent="0" bottom="0">
      <formula>AND(ISNUMBER(D53),COUNTIFS('Data - Monthly Metrics'!$A:$A,$B$4-1,'Data - Monthly Metrics'!$B:$B,D$8,'Data - Monthly Metrics'!$C:$C,"Pierce",'Data - Monthly Metrics'!$D:$D,"Goal - Retention %")&gt;0,D53&gt;=SUMIFS('Data - Monthly Metrics'!$E:$E,'Data - Monthly Metrics'!$A:$A,$B$4-1,'Data - Monthly Metrics'!$B:$B,D$8,'Data - Monthly Metrics'!$C:$C,"Pierce",'Data - Monthly Metrics'!$D:$D,"Goal - Retention %")-0.05)</formula>
    </cfRule>
    <cfRule type="expression" rank="0" priority="18" equalAverage="0" aboveAverage="0" dxfId="1" stopIfTrue="1" text="" percent="0" bottom="0">
      <formula>AND(ISNUMBER(D53),COUNTIFS('Data - Monthly Metrics'!$A:$A,$B$4-1,'Data - Monthly Metrics'!$B:$B,D$8,'Data - Monthly Metrics'!$C:$C,"Pierce",'Data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Metrics'!$C:$C,"Pierce",'Data - Monthly Metrics'!$D:$D,"Goal - Retention %")&gt;0,F53&gt;=SUMIFS('Data - Monthly Metrics'!$E:$E,'Data - Monthly Metrics'!$A:$A,$B$4,'Data - Monthly Metrics'!$B:$B,F$8,'Data - Monthly Metrics'!$C:$C,"Pierce",'Data - Monthly Metrics'!$D:$D,"Goal - Retention %"))</formula>
    </cfRule>
    <cfRule type="expression" rank="0" priority="20" equalAverage="0" aboveAverage="0" dxfId="2" stopIfTrue="1" text="" percent="0" bottom="0">
      <formula>AND(ISNUMBER(F53),COUNTIFS('Data - Monthly Metrics'!$A:$A,$B$4,'Data - Monthly Metrics'!$B:$B,F$8,'Data - Monthly Metrics'!$C:$C,"Pierce",'Data - Monthly Metrics'!$D:$D,"Goal - Retention %")&gt;0,F53&gt;=SUMIFS('Data - Monthly Metrics'!$E:$E,'Data - Monthly Metrics'!$A:$A,$B$4,'Data - Monthly Metrics'!$B:$B,F$8,'Data - Monthly Metrics'!$C:$C,"Pierce",'Data - Monthly Metrics'!$D:$D,"Goal - Retention %")-0.05)</formula>
    </cfRule>
    <cfRule type="expression" rank="0" priority="21" equalAverage="0" aboveAverage="0" dxfId="1" stopIfTrue="1" text="" percent="0" bottom="0">
      <formula>AND(ISNUMBER(F53),COUNTIFS('Data - Monthly Metrics'!$A:$A,$B$4,'Data - Monthly Metrics'!$B:$B,F$8,'Data - Monthly Metrics'!$C:$C,"Pierce",'Data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Metrics'!$C:$C,"Pierce",'Data - Monthly Metrics'!$D:$D,"Goal - Retention %")&gt;0,G53&gt;=SUMIFS('Data - Monthly Metrics'!$E:$E,'Data - Monthly Metrics'!$A:$A,$B$4,'Data - Monthly Metrics'!$B:$B,G$8,'Data - Monthly Metrics'!$C:$C,"Pierce",'Data - Monthly Metrics'!$D:$D,"Goal - Retention %"))</formula>
    </cfRule>
    <cfRule type="expression" rank="0" priority="23" equalAverage="0" aboveAverage="0" dxfId="2" stopIfTrue="1" text="" percent="0" bottom="0">
      <formula>AND(ISNUMBER(G53),COUNTIFS('Data - Monthly Metrics'!$A:$A,$B$4,'Data - Monthly Metrics'!$B:$B,G$8,'Data - Monthly Metrics'!$C:$C,"Pierce",'Data - Monthly Metrics'!$D:$D,"Goal - Retention %")&gt;0,G53&gt;=SUMIFS('Data - Monthly Metrics'!$E:$E,'Data - Monthly Metrics'!$A:$A,$B$4,'Data - Monthly Metrics'!$B:$B,G$8,'Data - Monthly Metrics'!$C:$C,"Pierce",'Data - Monthly Metrics'!$D:$D,"Goal - Retention %")-0.05)</formula>
    </cfRule>
    <cfRule type="expression" rank="0" priority="24" equalAverage="0" aboveAverage="0" dxfId="1" stopIfTrue="1" text="" percent="0" bottom="0">
      <formula>AND(ISNUMBER(G53),COUNTIFS('Data - Monthly Metrics'!$A:$A,$B$4,'Data - Monthly Metrics'!$B:$B,G$8,'Data - Monthly Metrics'!$C:$C,"Pierce",'Data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Metrics'!$C:$C,"Pierce",'Data - Monthly Metrics'!$D:$D,"Goal - Retention %")&gt;0,H53&gt;=SUMIFS('Data - Monthly Metrics'!$E:$E,'Data - Monthly Metrics'!$A:$A,$B$4,'Data - Monthly Metrics'!$B:$B,H$8,'Data - Monthly Metrics'!$C:$C,"Pierce",'Data - Monthly Metrics'!$D:$D,"Goal - Retention %"))</formula>
    </cfRule>
    <cfRule type="expression" rank="0" priority="26" equalAverage="0" aboveAverage="0" dxfId="2" stopIfTrue="1" text="" percent="0" bottom="0">
      <formula>AND(ISNUMBER(H53),COUNTIFS('Data - Monthly Metrics'!$A:$A,$B$4,'Data - Monthly Metrics'!$B:$B,H$8,'Data - Monthly Metrics'!$C:$C,"Pierce",'Data - Monthly Metrics'!$D:$D,"Goal - Retention %")&gt;0,H53&gt;=SUMIFS('Data - Monthly Metrics'!$E:$E,'Data - Monthly Metrics'!$A:$A,$B$4,'Data - Monthly Metrics'!$B:$B,H$8,'Data - Monthly Metrics'!$C:$C,"Pierce",'Data - Monthly Metrics'!$D:$D,"Goal - Retention %")-0.05)</formula>
    </cfRule>
    <cfRule type="expression" rank="0" priority="27" equalAverage="0" aboveAverage="0" dxfId="1" stopIfTrue="1" text="" percent="0" bottom="0">
      <formula>AND(ISNUMBER(H53),COUNTIFS('Data - Monthly Metrics'!$A:$A,$B$4,'Data - Monthly Metrics'!$B:$B,H$8,'Data - Monthly Metrics'!$C:$C,"Pierce",'Data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Metrics'!$C:$C,"Pierce",'Data - Monthly Metrics'!$D:$D,"Goal - Retention %")&gt;0,J53&gt;=SUMIFS('Data - Monthly Metrics'!$E:$E,'Data - Monthly Metrics'!$A:$A,$B$4,'Data - Monthly Metrics'!$B:$B,J$8,'Data - Monthly Metrics'!$C:$C,"Pierce",'Data - Monthly Metrics'!$D:$D,"Goal - Retention %"))</formula>
    </cfRule>
    <cfRule type="expression" rank="0" priority="29" equalAverage="0" aboveAverage="0" dxfId="2" stopIfTrue="1" text="" percent="0" bottom="0">
      <formula>AND(ISNUMBER(J53),COUNTIFS('Data - Monthly Metrics'!$A:$A,$B$4,'Data - Monthly Metrics'!$B:$B,J$8,'Data - Monthly Metrics'!$C:$C,"Pierce",'Data - Monthly Metrics'!$D:$D,"Goal - Retention %")&gt;0,J53&gt;=SUMIFS('Data - Monthly Metrics'!$E:$E,'Data - Monthly Metrics'!$A:$A,$B$4,'Data - Monthly Metrics'!$B:$B,J$8,'Data - Monthly Metrics'!$C:$C,"Pierce",'Data - Monthly Metrics'!$D:$D,"Goal - Retention %")-0.05)</formula>
    </cfRule>
    <cfRule type="expression" rank="0" priority="30" equalAverage="0" aboveAverage="0" dxfId="1" stopIfTrue="1" text="" percent="0" bottom="0">
      <formula>AND(ISNUMBER(J53),COUNTIFS('Data - Monthly Metrics'!$A:$A,$B$4,'Data - Monthly Metrics'!$B:$B,J$8,'Data - Monthly Metrics'!$C:$C,"Pierce",'Data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Metrics'!$C:$C,"Pierce",'Data - Monthly Metrics'!$D:$D,"Goal - Retention %")&gt;0,K53&gt;=SUMIFS('Data - Monthly Metrics'!$E:$E,'Data - Monthly Metrics'!$A:$A,$B$4,'Data - Monthly Metrics'!$B:$B,K$8,'Data - Monthly Metrics'!$C:$C,"Pierce",'Data - Monthly Metrics'!$D:$D,"Goal - Retention %"))</formula>
    </cfRule>
    <cfRule type="expression" rank="0" priority="32" equalAverage="0" aboveAverage="0" dxfId="2" stopIfTrue="1" text="" percent="0" bottom="0">
      <formula>AND(ISNUMBER(K53),COUNTIFS('Data - Monthly Metrics'!$A:$A,$B$4,'Data - Monthly Metrics'!$B:$B,K$8,'Data - Monthly Metrics'!$C:$C,"Pierce",'Data - Monthly Metrics'!$D:$D,"Goal - Retention %")&gt;0,K53&gt;=SUMIFS('Data - Monthly Metrics'!$E:$E,'Data - Monthly Metrics'!$A:$A,$B$4,'Data - Monthly Metrics'!$B:$B,K$8,'Data - Monthly Metrics'!$C:$C,"Pierce",'Data - Monthly Metrics'!$D:$D,"Goal - Retention %")-0.05)</formula>
    </cfRule>
    <cfRule type="expression" rank="0" priority="33" equalAverage="0" aboveAverage="0" dxfId="1" stopIfTrue="1" text="" percent="0" bottom="0">
      <formula>AND(ISNUMBER(K53),COUNTIFS('Data - Monthly Metrics'!$A:$A,$B$4,'Data - Monthly Metrics'!$B:$B,K$8,'Data - Monthly Metrics'!$C:$C,"Pierce",'Data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Metrics'!$C:$C,"Pierce",'Data - Monthly Metrics'!$D:$D,"Goal - Retention %")&gt;0,L53&gt;=SUMIFS('Data - Monthly Metrics'!$E:$E,'Data - Monthly Metrics'!$A:$A,$B$4,'Data - Monthly Metrics'!$B:$B,L$8,'Data - Monthly Metrics'!$C:$C,"Pierce",'Data - Monthly Metrics'!$D:$D,"Goal - Retention %"))</formula>
    </cfRule>
    <cfRule type="expression" rank="0" priority="35" equalAverage="0" aboveAverage="0" dxfId="2" stopIfTrue="1" text="" percent="0" bottom="0">
      <formula>AND(ISNUMBER(L53),COUNTIFS('Data - Monthly Metrics'!$A:$A,$B$4,'Data - Monthly Metrics'!$B:$B,L$8,'Data - Monthly Metrics'!$C:$C,"Pierce",'Data - Monthly Metrics'!$D:$D,"Goal - Retention %")&gt;0,L53&gt;=SUMIFS('Data - Monthly Metrics'!$E:$E,'Data - Monthly Metrics'!$A:$A,$B$4,'Data - Monthly Metrics'!$B:$B,L$8,'Data - Monthly Metrics'!$C:$C,"Pierce",'Data - Monthly Metrics'!$D:$D,"Goal - Retention %")-0.05)</formula>
    </cfRule>
    <cfRule type="expression" rank="0" priority="36" equalAverage="0" aboveAverage="0" dxfId="1" stopIfTrue="1" text="" percent="0" bottom="0">
      <formula>AND(ISNUMBER(L53),COUNTIFS('Data - Monthly Metrics'!$A:$A,$B$4,'Data - Monthly Metrics'!$B:$B,L$8,'Data - Monthly Metrics'!$C:$C,"Pierce",'Data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Metrics'!$C:$C,"Pierce",'Data - Monthly Metrics'!$D:$D,"Goal - Retention %")&gt;0,N53&gt;=SUMIFS('Data - Monthly Metrics'!$E:$E,'Data - Monthly Metrics'!$A:$A,$B$4,'Data - Monthly Metrics'!$B:$B,N$8,'Data - Monthly Metrics'!$C:$C,"Pierce",'Data - Monthly Metrics'!$D:$D,"Goal - Retention %"))</formula>
    </cfRule>
    <cfRule type="expression" rank="0" priority="38" equalAverage="0" aboveAverage="0" dxfId="2" stopIfTrue="1" text="" percent="0" bottom="0">
      <formula>AND(ISNUMBER(N53),COUNTIFS('Data - Monthly Metrics'!$A:$A,$B$4,'Data - Monthly Metrics'!$B:$B,N$8,'Data - Monthly Metrics'!$C:$C,"Pierce",'Data - Monthly Metrics'!$D:$D,"Goal - Retention %")&gt;0,N53&gt;=SUMIFS('Data - Monthly Metrics'!$E:$E,'Data - Monthly Metrics'!$A:$A,$B$4,'Data - Monthly Metrics'!$B:$B,N$8,'Data - Monthly Metrics'!$C:$C,"Pierce",'Data - Monthly Metrics'!$D:$D,"Goal - Retention %")-0.05)</formula>
    </cfRule>
    <cfRule type="expression" rank="0" priority="39" equalAverage="0" aboveAverage="0" dxfId="1" stopIfTrue="1" text="" percent="0" bottom="0">
      <formula>AND(ISNUMBER(N53),COUNTIFS('Data - Monthly Metrics'!$A:$A,$B$4,'Data - Monthly Metrics'!$B:$B,N$8,'Data - Monthly Metrics'!$C:$C,"Pierce",'Data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Metrics'!$C:$C,"Pierce",'Data - Monthly Metrics'!$D:$D,"Goal - Retention %")&gt;0,O53&gt;=SUMIFS('Data - Monthly Metrics'!$E:$E,'Data - Monthly Metrics'!$A:$A,$B$4,'Data - Monthly Metrics'!$B:$B,O$8,'Data - Monthly Metrics'!$C:$C,"Pierce",'Data - Monthly Metrics'!$D:$D,"Goal - Retention %"))</formula>
    </cfRule>
    <cfRule type="expression" rank="0" priority="41" equalAverage="0" aboveAverage="0" dxfId="2" stopIfTrue="1" text="" percent="0" bottom="0">
      <formula>AND(ISNUMBER(O53),COUNTIFS('Data - Monthly Metrics'!$A:$A,$B$4,'Data - Monthly Metrics'!$B:$B,O$8,'Data - Monthly Metrics'!$C:$C,"Pierce",'Data - Monthly Metrics'!$D:$D,"Goal - Retention %")&gt;0,O53&gt;=SUMIFS('Data - Monthly Metrics'!$E:$E,'Data - Monthly Metrics'!$A:$A,$B$4,'Data - Monthly Metrics'!$B:$B,O$8,'Data - Monthly Metrics'!$C:$C,"Pierce",'Data - Monthly Metrics'!$D:$D,"Goal - Retention %")-0.05)</formula>
    </cfRule>
    <cfRule type="expression" rank="0" priority="42" equalAverage="0" aboveAverage="0" dxfId="1" stopIfTrue="1" text="" percent="0" bottom="0">
      <formula>AND(ISNUMBER(O53),COUNTIFS('Data - Monthly Metrics'!$A:$A,$B$4,'Data - Monthly Metrics'!$B:$B,O$8,'Data - Monthly Metrics'!$C:$C,"Pierce",'Data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Metrics'!$C:$C,"Pierce",'Data - Monthly Metrics'!$D:$D,"Goal - Retention %")&gt;0,P53&gt;=SUMIFS('Data - Monthly Metrics'!$E:$E,'Data - Monthly Metrics'!$A:$A,$B$4,'Data - Monthly Metrics'!$B:$B,P$8,'Data - Monthly Metrics'!$C:$C,"Pierce",'Data - Monthly Metrics'!$D:$D,"Goal - Retention %"))</formula>
    </cfRule>
    <cfRule type="expression" rank="0" priority="44" equalAverage="0" aboveAverage="0" dxfId="2" stopIfTrue="1" text="" percent="0" bottom="0">
      <formula>AND(ISNUMBER(P53),COUNTIFS('Data - Monthly Metrics'!$A:$A,$B$4,'Data - Monthly Metrics'!$B:$B,P$8,'Data - Monthly Metrics'!$C:$C,"Pierce",'Data - Monthly Metrics'!$D:$D,"Goal - Retention %")&gt;0,P53&gt;=SUMIFS('Data - Monthly Metrics'!$E:$E,'Data - Monthly Metrics'!$A:$A,$B$4,'Data - Monthly Metrics'!$B:$B,P$8,'Data - Monthly Metrics'!$C:$C,"Pierce",'Data - Monthly Metrics'!$D:$D,"Goal - Retention %")-0.05)</formula>
    </cfRule>
    <cfRule type="expression" rank="0" priority="45" equalAverage="0" aboveAverage="0" dxfId="1" stopIfTrue="1" text="" percent="0" bottom="0">
      <formula>AND(ISNUMBER(P53),COUNTIFS('Data - Monthly Metrics'!$A:$A,$B$4,'Data - Monthly Metrics'!$B:$B,P$8,'Data - Monthly Metrics'!$C:$C,"Pierce",'Data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Metrics'!$C:$C,"Pierce",'Data - Monthly Metrics'!$D:$D,"Goal - Retention %")&gt;0,B93&gt;=SUMIFS('Data - Monthly Metrics'!$E:$E,'Data - Monthly Metrics'!$A:$A,$B$4-1,'Data - Monthly Metrics'!$B:$B,B$8,'Data - Monthly Metrics'!$C:$C,"Pierce",'Data - Monthly Metrics'!$D:$D,"Goal - Retention %"))</formula>
    </cfRule>
    <cfRule type="expression" rank="0" priority="47" equalAverage="0" aboveAverage="0" dxfId="2" stopIfTrue="1" text="" percent="0" bottom="0">
      <formula>AND(ISNUMBER(B93),COUNTIFS('Data - Monthly Metrics'!$A:$A,$B$4-1,'Data - Monthly Metrics'!$B:$B,B$8,'Data - Monthly Metrics'!$C:$C,"Pierce",'Data - Monthly Metrics'!$D:$D,"Goal - Retention %")&gt;0,B93&gt;=SUMIFS('Data - Monthly Metrics'!$E:$E,'Data - Monthly Metrics'!$A:$A,$B$4-1,'Data - Monthly Metrics'!$B:$B,B$8,'Data - Monthly Metrics'!$C:$C,"Pierce",'Data - Monthly Metrics'!$D:$D,"Goal - Retention %")-0.05)</formula>
    </cfRule>
    <cfRule type="expression" rank="0" priority="48" equalAverage="0" aboveAverage="0" dxfId="1" stopIfTrue="1" text="" percent="0" bottom="0">
      <formula>AND(ISNUMBER(B93),COUNTIFS('Data - Monthly Metrics'!$A:$A,$B$4-1,'Data - Monthly Metrics'!$B:$B,B$8,'Data - Monthly Metrics'!$C:$C,"Pierce",'Data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Metrics'!$C:$C,"Pierce",'Data - Monthly Metrics'!$D:$D,"Goal - Retention %")&gt;0,C93&gt;=SUMIFS('Data - Monthly Metrics'!$E:$E,'Data - Monthly Metrics'!$A:$A,$B$4-1,'Data - Monthly Metrics'!$B:$B,C$8,'Data - Monthly Metrics'!$C:$C,"Pierce",'Data - Monthly Metrics'!$D:$D,"Goal - Retention %"))</formula>
    </cfRule>
    <cfRule type="expression" rank="0" priority="50" equalAverage="0" aboveAverage="0" dxfId="2" stopIfTrue="1" text="" percent="0" bottom="0">
      <formula>AND(ISNUMBER(C93),COUNTIFS('Data - Monthly Metrics'!$A:$A,$B$4-1,'Data - Monthly Metrics'!$B:$B,C$8,'Data - Monthly Metrics'!$C:$C,"Pierce",'Data - Monthly Metrics'!$D:$D,"Goal - Retention %")&gt;0,C93&gt;=SUMIFS('Data - Monthly Metrics'!$E:$E,'Data - Monthly Metrics'!$A:$A,$B$4-1,'Data - Monthly Metrics'!$B:$B,C$8,'Data - Monthly Metrics'!$C:$C,"Pierce",'Data - Monthly Metrics'!$D:$D,"Goal - Retention %")-0.05)</formula>
    </cfRule>
    <cfRule type="expression" rank="0" priority="51" equalAverage="0" aboveAverage="0" dxfId="1" stopIfTrue="1" text="" percent="0" bottom="0">
      <formula>AND(ISNUMBER(C93),COUNTIFS('Data - Monthly Metrics'!$A:$A,$B$4-1,'Data - Monthly Metrics'!$B:$B,C$8,'Data - Monthly Metrics'!$C:$C,"Pierce",'Data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Metrics'!$C:$C,"Pierce",'Data - Monthly Metrics'!$D:$D,"Goal - Retention %")&gt;0,D93&gt;=SUMIFS('Data - Monthly Metrics'!$E:$E,'Data - Monthly Metrics'!$A:$A,$B$4-1,'Data - Monthly Metrics'!$B:$B,D$8,'Data - Monthly Metrics'!$C:$C,"Pierce",'Data - Monthly Metrics'!$D:$D,"Goal - Retention %"))</formula>
    </cfRule>
    <cfRule type="expression" rank="0" priority="53" equalAverage="0" aboveAverage="0" dxfId="2" stopIfTrue="1" text="" percent="0" bottom="0">
      <formula>AND(ISNUMBER(D93),COUNTIFS('Data - Monthly Metrics'!$A:$A,$B$4-1,'Data - Monthly Metrics'!$B:$B,D$8,'Data - Monthly Metrics'!$C:$C,"Pierce",'Data - Monthly Metrics'!$D:$D,"Goal - Retention %")&gt;0,D93&gt;=SUMIFS('Data - Monthly Metrics'!$E:$E,'Data - Monthly Metrics'!$A:$A,$B$4-1,'Data - Monthly Metrics'!$B:$B,D$8,'Data - Monthly Metrics'!$C:$C,"Pierce",'Data - Monthly Metrics'!$D:$D,"Goal - Retention %")-0.05)</formula>
    </cfRule>
    <cfRule type="expression" rank="0" priority="54" equalAverage="0" aboveAverage="0" dxfId="1" stopIfTrue="1" text="" percent="0" bottom="0">
      <formula>AND(ISNUMBER(D93),COUNTIFS('Data - Monthly Metrics'!$A:$A,$B$4-1,'Data - Monthly Metrics'!$B:$B,D$8,'Data - Monthly Metrics'!$C:$C,"Pierce",'Data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Metrics'!$C:$C,"Pierce",'Data - Monthly Metrics'!$D:$D,"Goal - Retention %")&gt;0,F93&gt;=SUMIFS('Data - Monthly Metrics'!$E:$E,'Data - Monthly Metrics'!$A:$A,$B$4,'Data - Monthly Metrics'!$B:$B,F$8,'Data - Monthly Metrics'!$C:$C,"Pierce",'Data - Monthly Metrics'!$D:$D,"Goal - Retention %"))</formula>
    </cfRule>
    <cfRule type="expression" rank="0" priority="56" equalAverage="0" aboveAverage="0" dxfId="2" stopIfTrue="1" text="" percent="0" bottom="0">
      <formula>AND(ISNUMBER(F93),COUNTIFS('Data - Monthly Metrics'!$A:$A,$B$4,'Data - Monthly Metrics'!$B:$B,F$8,'Data - Monthly Metrics'!$C:$C,"Pierce",'Data - Monthly Metrics'!$D:$D,"Goal - Retention %")&gt;0,F93&gt;=SUMIFS('Data - Monthly Metrics'!$E:$E,'Data - Monthly Metrics'!$A:$A,$B$4,'Data - Monthly Metrics'!$B:$B,F$8,'Data - Monthly Metrics'!$C:$C,"Pierce",'Data - Monthly Metrics'!$D:$D,"Goal - Retention %")-0.05)</formula>
    </cfRule>
    <cfRule type="expression" rank="0" priority="57" equalAverage="0" aboveAverage="0" dxfId="1" stopIfTrue="1" text="" percent="0" bottom="0">
      <formula>AND(ISNUMBER(F93),COUNTIFS('Data - Monthly Metrics'!$A:$A,$B$4,'Data - Monthly Metrics'!$B:$B,F$8,'Data - Monthly Metrics'!$C:$C,"Pierce",'Data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Metrics'!$C:$C,"Pierce",'Data - Monthly Metrics'!$D:$D,"Goal - Retention %")&gt;0,G93&gt;=SUMIFS('Data - Monthly Metrics'!$E:$E,'Data - Monthly Metrics'!$A:$A,$B$4,'Data - Monthly Metrics'!$B:$B,G$8,'Data - Monthly Metrics'!$C:$C,"Pierce",'Data - Monthly Metrics'!$D:$D,"Goal - Retention %"))</formula>
    </cfRule>
    <cfRule type="expression" rank="0" priority="59" equalAverage="0" aboveAverage="0" dxfId="2" stopIfTrue="1" text="" percent="0" bottom="0">
      <formula>AND(ISNUMBER(G93),COUNTIFS('Data - Monthly Metrics'!$A:$A,$B$4,'Data - Monthly Metrics'!$B:$B,G$8,'Data - Monthly Metrics'!$C:$C,"Pierce",'Data - Monthly Metrics'!$D:$D,"Goal - Retention %")&gt;0,G93&gt;=SUMIFS('Data - Monthly Metrics'!$E:$E,'Data - Monthly Metrics'!$A:$A,$B$4,'Data - Monthly Metrics'!$B:$B,G$8,'Data - Monthly Metrics'!$C:$C,"Pierce",'Data - Monthly Metrics'!$D:$D,"Goal - Retention %")-0.05)</formula>
    </cfRule>
    <cfRule type="expression" rank="0" priority="60" equalAverage="0" aboveAverage="0" dxfId="1" stopIfTrue="1" text="" percent="0" bottom="0">
      <formula>AND(ISNUMBER(G93),COUNTIFS('Data - Monthly Metrics'!$A:$A,$B$4,'Data - Monthly Metrics'!$B:$B,G$8,'Data - Monthly Metrics'!$C:$C,"Pierce",'Data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Metrics'!$C:$C,"Pierce",'Data - Monthly Metrics'!$D:$D,"Goal - Retention %")&gt;0,H93&gt;=SUMIFS('Data - Monthly Metrics'!$E:$E,'Data - Monthly Metrics'!$A:$A,$B$4,'Data - Monthly Metrics'!$B:$B,H$8,'Data - Monthly Metrics'!$C:$C,"Pierce",'Data - Monthly Metrics'!$D:$D,"Goal - Retention %"))</formula>
    </cfRule>
    <cfRule type="expression" rank="0" priority="62" equalAverage="0" aboveAverage="0" dxfId="2" stopIfTrue="1" text="" percent="0" bottom="0">
      <formula>AND(ISNUMBER(H93),COUNTIFS('Data - Monthly Metrics'!$A:$A,$B$4,'Data - Monthly Metrics'!$B:$B,H$8,'Data - Monthly Metrics'!$C:$C,"Pierce",'Data - Monthly Metrics'!$D:$D,"Goal - Retention %")&gt;0,H93&gt;=SUMIFS('Data - Monthly Metrics'!$E:$E,'Data - Monthly Metrics'!$A:$A,$B$4,'Data - Monthly Metrics'!$B:$B,H$8,'Data - Monthly Metrics'!$C:$C,"Pierce",'Data - Monthly Metrics'!$D:$D,"Goal - Retention %")-0.05)</formula>
    </cfRule>
    <cfRule type="expression" rank="0" priority="63" equalAverage="0" aboveAverage="0" dxfId="1" stopIfTrue="1" text="" percent="0" bottom="0">
      <formula>AND(ISNUMBER(H93),COUNTIFS('Data - Monthly Metrics'!$A:$A,$B$4,'Data - Monthly Metrics'!$B:$B,H$8,'Data - Monthly Metrics'!$C:$C,"Pierce",'Data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Metrics'!$C:$C,"Pierce",'Data - Monthly Metrics'!$D:$D,"Goal - Retention %")&gt;0,J93&gt;=SUMIFS('Data - Monthly Metrics'!$E:$E,'Data - Monthly Metrics'!$A:$A,$B$4,'Data - Monthly Metrics'!$B:$B,J$8,'Data - Monthly Metrics'!$C:$C,"Pierce",'Data - Monthly Metrics'!$D:$D,"Goal - Retention %"))</formula>
    </cfRule>
    <cfRule type="expression" rank="0" priority="65" equalAverage="0" aboveAverage="0" dxfId="2" stopIfTrue="1" text="" percent="0" bottom="0">
      <formula>AND(ISNUMBER(J93),COUNTIFS('Data - Monthly Metrics'!$A:$A,$B$4,'Data - Monthly Metrics'!$B:$B,J$8,'Data - Monthly Metrics'!$C:$C,"Pierce",'Data - Monthly Metrics'!$D:$D,"Goal - Retention %")&gt;0,J93&gt;=SUMIFS('Data - Monthly Metrics'!$E:$E,'Data - Monthly Metrics'!$A:$A,$B$4,'Data - Monthly Metrics'!$B:$B,J$8,'Data - Monthly Metrics'!$C:$C,"Pierce",'Data - Monthly Metrics'!$D:$D,"Goal - Retention %")-0.05)</formula>
    </cfRule>
    <cfRule type="expression" rank="0" priority="66" equalAverage="0" aboveAverage="0" dxfId="1" stopIfTrue="1" text="" percent="0" bottom="0">
      <formula>AND(ISNUMBER(J93),COUNTIFS('Data - Monthly Metrics'!$A:$A,$B$4,'Data - Monthly Metrics'!$B:$B,J$8,'Data - Monthly Metrics'!$C:$C,"Pierce",'Data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Metrics'!$C:$C,"Pierce",'Data - Monthly Metrics'!$D:$D,"Goal - Retention %")&gt;0,K93&gt;=SUMIFS('Data - Monthly Metrics'!$E:$E,'Data - Monthly Metrics'!$A:$A,$B$4,'Data - Monthly Metrics'!$B:$B,K$8,'Data - Monthly Metrics'!$C:$C,"Pierce",'Data - Monthly Metrics'!$D:$D,"Goal - Retention %"))</formula>
    </cfRule>
    <cfRule type="expression" rank="0" priority="68" equalAverage="0" aboveAverage="0" dxfId="2" stopIfTrue="1" text="" percent="0" bottom="0">
      <formula>AND(ISNUMBER(K93),COUNTIFS('Data - Monthly Metrics'!$A:$A,$B$4,'Data - Monthly Metrics'!$B:$B,K$8,'Data - Monthly Metrics'!$C:$C,"Pierce",'Data - Monthly Metrics'!$D:$D,"Goal - Retention %")&gt;0,K93&gt;=SUMIFS('Data - Monthly Metrics'!$E:$E,'Data - Monthly Metrics'!$A:$A,$B$4,'Data - Monthly Metrics'!$B:$B,K$8,'Data - Monthly Metrics'!$C:$C,"Pierce",'Data - Monthly Metrics'!$D:$D,"Goal - Retention %")-0.05)</formula>
    </cfRule>
    <cfRule type="expression" rank="0" priority="69" equalAverage="0" aboveAverage="0" dxfId="1" stopIfTrue="1" text="" percent="0" bottom="0">
      <formula>AND(ISNUMBER(K93),COUNTIFS('Data - Monthly Metrics'!$A:$A,$B$4,'Data - Monthly Metrics'!$B:$B,K$8,'Data - Monthly Metrics'!$C:$C,"Pierce",'Data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Metrics'!$C:$C,"Pierce",'Data - Monthly Metrics'!$D:$D,"Goal - Retention %")&gt;0,L93&gt;=SUMIFS('Data - Monthly Metrics'!$E:$E,'Data - Monthly Metrics'!$A:$A,$B$4,'Data - Monthly Metrics'!$B:$B,L$8,'Data - Monthly Metrics'!$C:$C,"Pierce",'Data - Monthly Metrics'!$D:$D,"Goal - Retention %"))</formula>
    </cfRule>
    <cfRule type="expression" rank="0" priority="71" equalAverage="0" aboveAverage="0" dxfId="2" stopIfTrue="1" text="" percent="0" bottom="0">
      <formula>AND(ISNUMBER(L93),COUNTIFS('Data - Monthly Metrics'!$A:$A,$B$4,'Data - Monthly Metrics'!$B:$B,L$8,'Data - Monthly Metrics'!$C:$C,"Pierce",'Data - Monthly Metrics'!$D:$D,"Goal - Retention %")&gt;0,L93&gt;=SUMIFS('Data - Monthly Metrics'!$E:$E,'Data - Monthly Metrics'!$A:$A,$B$4,'Data - Monthly Metrics'!$B:$B,L$8,'Data - Monthly Metrics'!$C:$C,"Pierce",'Data - Monthly Metrics'!$D:$D,"Goal - Retention %")-0.05)</formula>
    </cfRule>
    <cfRule type="expression" rank="0" priority="72" equalAverage="0" aboveAverage="0" dxfId="1" stopIfTrue="1" text="" percent="0" bottom="0">
      <formula>AND(ISNUMBER(L93),COUNTIFS('Data - Monthly Metrics'!$A:$A,$B$4,'Data - Monthly Metrics'!$B:$B,L$8,'Data - Monthly Metrics'!$C:$C,"Pierce",'Data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Metrics'!$C:$C,"Pierce",'Data - Monthly Metrics'!$D:$D,"Goal - Retention %")&gt;0,N93&gt;=SUMIFS('Data - Monthly Metrics'!$E:$E,'Data - Monthly Metrics'!$A:$A,$B$4,'Data - Monthly Metrics'!$B:$B,N$8,'Data - Monthly Metrics'!$C:$C,"Pierce",'Data - Monthly Metrics'!$D:$D,"Goal - Retention %"))</formula>
    </cfRule>
    <cfRule type="expression" rank="0" priority="74" equalAverage="0" aboveAverage="0" dxfId="2" stopIfTrue="1" text="" percent="0" bottom="0">
      <formula>AND(ISNUMBER(N93),COUNTIFS('Data - Monthly Metrics'!$A:$A,$B$4,'Data - Monthly Metrics'!$B:$B,N$8,'Data - Monthly Metrics'!$C:$C,"Pierce",'Data - Monthly Metrics'!$D:$D,"Goal - Retention %")&gt;0,N93&gt;=SUMIFS('Data - Monthly Metrics'!$E:$E,'Data - Monthly Metrics'!$A:$A,$B$4,'Data - Monthly Metrics'!$B:$B,N$8,'Data - Monthly Metrics'!$C:$C,"Pierce",'Data - Monthly Metrics'!$D:$D,"Goal - Retention %")-0.05)</formula>
    </cfRule>
    <cfRule type="expression" rank="0" priority="75" equalAverage="0" aboveAverage="0" dxfId="1" stopIfTrue="1" text="" percent="0" bottom="0">
      <formula>AND(ISNUMBER(N93),COUNTIFS('Data - Monthly Metrics'!$A:$A,$B$4,'Data - Monthly Metrics'!$B:$B,N$8,'Data - Monthly Metrics'!$C:$C,"Pierce",'Data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Metrics'!$C:$C,"Pierce",'Data - Monthly Metrics'!$D:$D,"Goal - Retention %")&gt;0,O93&gt;=SUMIFS('Data - Monthly Metrics'!$E:$E,'Data - Monthly Metrics'!$A:$A,$B$4,'Data - Monthly Metrics'!$B:$B,O$8,'Data - Monthly Metrics'!$C:$C,"Pierce",'Data - Monthly Metrics'!$D:$D,"Goal - Retention %"))</formula>
    </cfRule>
    <cfRule type="expression" rank="0" priority="77" equalAverage="0" aboveAverage="0" dxfId="2" stopIfTrue="1" text="" percent="0" bottom="0">
      <formula>AND(ISNUMBER(O93),COUNTIFS('Data - Monthly Metrics'!$A:$A,$B$4,'Data - Monthly Metrics'!$B:$B,O$8,'Data - Monthly Metrics'!$C:$C,"Pierce",'Data - Monthly Metrics'!$D:$D,"Goal - Retention %")&gt;0,O93&gt;=SUMIFS('Data - Monthly Metrics'!$E:$E,'Data - Monthly Metrics'!$A:$A,$B$4,'Data - Monthly Metrics'!$B:$B,O$8,'Data - Monthly Metrics'!$C:$C,"Pierce",'Data - Monthly Metrics'!$D:$D,"Goal - Retention %")-0.05)</formula>
    </cfRule>
    <cfRule type="expression" rank="0" priority="78" equalAverage="0" aboveAverage="0" dxfId="1" stopIfTrue="1" text="" percent="0" bottom="0">
      <formula>AND(ISNUMBER(O93),COUNTIFS('Data - Monthly Metrics'!$A:$A,$B$4,'Data - Monthly Metrics'!$B:$B,O$8,'Data - Monthly Metrics'!$C:$C,"Pierce",'Data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Metrics'!$C:$C,"Pierce",'Data - Monthly Metrics'!$D:$D,"Goal - Retention %")&gt;0,P93&gt;=SUMIFS('Data - Monthly Metrics'!$E:$E,'Data - Monthly Metrics'!$A:$A,$B$4,'Data - Monthly Metrics'!$B:$B,P$8,'Data - Monthly Metrics'!$C:$C,"Pierce",'Data - Monthly Metrics'!$D:$D,"Goal - Retention %"))</formula>
    </cfRule>
    <cfRule type="expression" rank="0" priority="80" equalAverage="0" aboveAverage="0" dxfId="2" stopIfTrue="1" text="" percent="0" bottom="0">
      <formula>AND(ISNUMBER(P93),COUNTIFS('Data - Monthly Metrics'!$A:$A,$B$4,'Data - Monthly Metrics'!$B:$B,P$8,'Data - Monthly Metrics'!$C:$C,"Pierce",'Data - Monthly Metrics'!$D:$D,"Goal - Retention %")&gt;0,P93&gt;=SUMIFS('Data - Monthly Metrics'!$E:$E,'Data - Monthly Metrics'!$A:$A,$B$4,'Data - Monthly Metrics'!$B:$B,P$8,'Data - Monthly Metrics'!$C:$C,"Pierce",'Data - Monthly Metrics'!$D:$D,"Goal - Retention %")-0.05)</formula>
    </cfRule>
    <cfRule type="expression" rank="0" priority="81" equalAverage="0" aboveAverage="0" dxfId="1" stopIfTrue="1" text="" percent="0" bottom="0">
      <formula>AND(ISNUMBER(P93),COUNTIFS('Data - Monthly Metrics'!$A:$A,$B$4,'Data - Monthly Metrics'!$B:$B,P$8,'Data - Monthly Metrics'!$C:$C,"Pierce",'Data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Metrics'!$C:$C,"Pierce",'Data - Monthly Metrics'!$D:$D,"Goal - Retention %")&gt;0,B59&gt;=SUMIFS('Data - Monthly Metrics'!$E:$E,'Data - Monthly Metrics'!$A:$A,$B$4-1,'Data - Monthly Metrics'!$B:$B,B$8,'Data - Monthly Metrics'!$C:$C,"Pierce",'Data - Monthly Metrics'!$D:$D,"Goal - Retention %"))</formula>
    </cfRule>
    <cfRule type="expression" rank="0" priority="83" equalAverage="0" aboveAverage="0" dxfId="2" stopIfTrue="1" text="" percent="0" bottom="0">
      <formula>AND(ISNUMBER(B59),COUNTIFS('Data - Monthly Metrics'!$A:$A,$B$4-1,'Data - Monthly Metrics'!$B:$B,B$8,'Data - Monthly Metrics'!$C:$C,"Pierce",'Data - Monthly Metrics'!$D:$D,"Goal - Retention %")&gt;0,B59&gt;=SUMIFS('Data - Monthly Metrics'!$E:$E,'Data - Monthly Metrics'!$A:$A,$B$4-1,'Data - Monthly Metrics'!$B:$B,B$8,'Data - Monthly Metrics'!$C:$C,"Pierce",'Data - Monthly Metrics'!$D:$D,"Goal - Retention %")-0.05)</formula>
    </cfRule>
    <cfRule type="expression" rank="0" priority="84" equalAverage="0" aboveAverage="0" dxfId="1" stopIfTrue="1" text="" percent="0" bottom="0">
      <formula>AND(ISNUMBER(B59),COUNTIFS('Data - Monthly Metrics'!$A:$A,$B$4-1,'Data - Monthly Metrics'!$B:$B,B$8,'Data - Monthly Metrics'!$C:$C,"Pierce",'Data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Metrics'!$C:$C,"Pierce",'Data - Monthly Metrics'!$D:$D,"Goal - Retention %")&gt;0,C59&gt;=SUMIFS('Data - Monthly Metrics'!$E:$E,'Data - Monthly Metrics'!$A:$A,$B$4-1,'Data - Monthly Metrics'!$B:$B,C$8,'Data - Monthly Metrics'!$C:$C,"Pierce",'Data - Monthly Metrics'!$D:$D,"Goal - Retention %"))</formula>
    </cfRule>
    <cfRule type="expression" rank="0" priority="86" equalAverage="0" aboveAverage="0" dxfId="2" stopIfTrue="1" text="" percent="0" bottom="0">
      <formula>AND(ISNUMBER(C59),COUNTIFS('Data - Monthly Metrics'!$A:$A,$B$4-1,'Data - Monthly Metrics'!$B:$B,C$8,'Data - Monthly Metrics'!$C:$C,"Pierce",'Data - Monthly Metrics'!$D:$D,"Goal - Retention %")&gt;0,C59&gt;=SUMIFS('Data - Monthly Metrics'!$E:$E,'Data - Monthly Metrics'!$A:$A,$B$4-1,'Data - Monthly Metrics'!$B:$B,C$8,'Data - Monthly Metrics'!$C:$C,"Pierce",'Data - Monthly Metrics'!$D:$D,"Goal - Retention %")-0.05)</formula>
    </cfRule>
    <cfRule type="expression" rank="0" priority="87" equalAverage="0" aboveAverage="0" dxfId="1" stopIfTrue="1" text="" percent="0" bottom="0">
      <formula>AND(ISNUMBER(C59),COUNTIFS('Data - Monthly Metrics'!$A:$A,$B$4-1,'Data - Monthly Metrics'!$B:$B,C$8,'Data - Monthly Metrics'!$C:$C,"Pierce",'Data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Metrics'!$C:$C,"Pierce",'Data - Monthly Metrics'!$D:$D,"Goal - Retention %")&gt;0,D59&gt;=SUMIFS('Data - Monthly Metrics'!$E:$E,'Data - Monthly Metrics'!$A:$A,$B$4-1,'Data - Monthly Metrics'!$B:$B,D$8,'Data - Monthly Metrics'!$C:$C,"Pierce",'Data - Monthly Metrics'!$D:$D,"Goal - Retention %"))</formula>
    </cfRule>
    <cfRule type="expression" rank="0" priority="89" equalAverage="0" aboveAverage="0" dxfId="2" stopIfTrue="1" text="" percent="0" bottom="0">
      <formula>AND(ISNUMBER(D59),COUNTIFS('Data - Monthly Metrics'!$A:$A,$B$4-1,'Data - Monthly Metrics'!$B:$B,D$8,'Data - Monthly Metrics'!$C:$C,"Pierce",'Data - Monthly Metrics'!$D:$D,"Goal - Retention %")&gt;0,D59&gt;=SUMIFS('Data - Monthly Metrics'!$E:$E,'Data - Monthly Metrics'!$A:$A,$B$4-1,'Data - Monthly Metrics'!$B:$B,D$8,'Data - Monthly Metrics'!$C:$C,"Pierce",'Data - Monthly Metrics'!$D:$D,"Goal - Retention %")-0.05)</formula>
    </cfRule>
    <cfRule type="expression" rank="0" priority="90" equalAverage="0" aboveAverage="0" dxfId="1" stopIfTrue="1" text="" percent="0" bottom="0">
      <formula>AND(ISNUMBER(D59),COUNTIFS('Data - Monthly Metrics'!$A:$A,$B$4-1,'Data - Monthly Metrics'!$B:$B,D$8,'Data - Monthly Metrics'!$C:$C,"Pierce",'Data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Metrics'!$C:$C,"Pierce",'Data - Monthly Metrics'!$D:$D,"Goal - Retention %")&gt;0,F59&gt;=SUMIFS('Data - Monthly Metrics'!$E:$E,'Data - Monthly Metrics'!$A:$A,$B$4,'Data - Monthly Metrics'!$B:$B,F$8,'Data - Monthly Metrics'!$C:$C,"Pierce",'Data - Monthly Metrics'!$D:$D,"Goal - Retention %"))</formula>
    </cfRule>
    <cfRule type="expression" rank="0" priority="92" equalAverage="0" aboveAverage="0" dxfId="2" stopIfTrue="1" text="" percent="0" bottom="0">
      <formula>AND(ISNUMBER(F59),COUNTIFS('Data - Monthly Metrics'!$A:$A,$B$4,'Data - Monthly Metrics'!$B:$B,F$8,'Data - Monthly Metrics'!$C:$C,"Pierce",'Data - Monthly Metrics'!$D:$D,"Goal - Retention %")&gt;0,F59&gt;=SUMIFS('Data - Monthly Metrics'!$E:$E,'Data - Monthly Metrics'!$A:$A,$B$4,'Data - Monthly Metrics'!$B:$B,F$8,'Data - Monthly Metrics'!$C:$C,"Pierce",'Data - Monthly Metrics'!$D:$D,"Goal - Retention %")-0.05)</formula>
    </cfRule>
    <cfRule type="expression" rank="0" priority="93" equalAverage="0" aboveAverage="0" dxfId="1" stopIfTrue="1" text="" percent="0" bottom="0">
      <formula>AND(ISNUMBER(F59),COUNTIFS('Data - Monthly Metrics'!$A:$A,$B$4,'Data - Monthly Metrics'!$B:$B,F$8,'Data - Monthly Metrics'!$C:$C,"Pierce",'Data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Metrics'!$C:$C,"Pierce",'Data - Monthly Metrics'!$D:$D,"Goal - Retention %")&gt;0,G59&gt;=SUMIFS('Data - Monthly Metrics'!$E:$E,'Data - Monthly Metrics'!$A:$A,$B$4,'Data - Monthly Metrics'!$B:$B,G$8,'Data - Monthly Metrics'!$C:$C,"Pierce",'Data - Monthly Metrics'!$D:$D,"Goal - Retention %"))</formula>
    </cfRule>
    <cfRule type="expression" rank="0" priority="95" equalAverage="0" aboveAverage="0" dxfId="2" stopIfTrue="1" text="" percent="0" bottom="0">
      <formula>AND(ISNUMBER(G59),COUNTIFS('Data - Monthly Metrics'!$A:$A,$B$4,'Data - Monthly Metrics'!$B:$B,G$8,'Data - Monthly Metrics'!$C:$C,"Pierce",'Data - Monthly Metrics'!$D:$D,"Goal - Retention %")&gt;0,G59&gt;=SUMIFS('Data - Monthly Metrics'!$E:$E,'Data - Monthly Metrics'!$A:$A,$B$4,'Data - Monthly Metrics'!$B:$B,G$8,'Data - Monthly Metrics'!$C:$C,"Pierce",'Data - Monthly Metrics'!$D:$D,"Goal - Retention %")-0.05)</formula>
    </cfRule>
    <cfRule type="expression" rank="0" priority="96" equalAverage="0" aboveAverage="0" dxfId="1" stopIfTrue="1" text="" percent="0" bottom="0">
      <formula>AND(ISNUMBER(G59),COUNTIFS('Data - Monthly Metrics'!$A:$A,$B$4,'Data - Monthly Metrics'!$B:$B,G$8,'Data - Monthly Metrics'!$C:$C,"Pierce",'Data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Metrics'!$C:$C,"Pierce",'Data - Monthly Metrics'!$D:$D,"Goal - Retention %")&gt;0,H59&gt;=SUMIFS('Data - Monthly Metrics'!$E:$E,'Data - Monthly Metrics'!$A:$A,$B$4,'Data - Monthly Metrics'!$B:$B,H$8,'Data - Monthly Metrics'!$C:$C,"Pierce",'Data - Monthly Metrics'!$D:$D,"Goal - Retention %"))</formula>
    </cfRule>
    <cfRule type="expression" rank="0" priority="98" equalAverage="0" aboveAverage="0" dxfId="2" stopIfTrue="1" text="" percent="0" bottom="0">
      <formula>AND(ISNUMBER(H59),COUNTIFS('Data - Monthly Metrics'!$A:$A,$B$4,'Data - Monthly Metrics'!$B:$B,H$8,'Data - Monthly Metrics'!$C:$C,"Pierce",'Data - Monthly Metrics'!$D:$D,"Goal - Retention %")&gt;0,H59&gt;=SUMIFS('Data - Monthly Metrics'!$E:$E,'Data - Monthly Metrics'!$A:$A,$B$4,'Data - Monthly Metrics'!$B:$B,H$8,'Data - Monthly Metrics'!$C:$C,"Pierce",'Data - Monthly Metrics'!$D:$D,"Goal - Retention %")-0.05)</formula>
    </cfRule>
    <cfRule type="expression" rank="0" priority="99" equalAverage="0" aboveAverage="0" dxfId="1" stopIfTrue="1" text="" percent="0" bottom="0">
      <formula>AND(ISNUMBER(H59),COUNTIFS('Data - Monthly Metrics'!$A:$A,$B$4,'Data - Monthly Metrics'!$B:$B,H$8,'Data - Monthly Metrics'!$C:$C,"Pierce",'Data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Metrics'!$C:$C,"Pierce",'Data - Monthly Metrics'!$D:$D,"Goal - Retention %")&gt;0,J59&gt;=SUMIFS('Data - Monthly Metrics'!$E:$E,'Data - Monthly Metrics'!$A:$A,$B$4,'Data - Monthly Metrics'!$B:$B,J$8,'Data - Monthly Metrics'!$C:$C,"Pierce",'Data - Monthly Metrics'!$D:$D,"Goal - Retention %"))</formula>
    </cfRule>
    <cfRule type="expression" rank="0" priority="101" equalAverage="0" aboveAverage="0" dxfId="2" stopIfTrue="1" text="" percent="0" bottom="0">
      <formula>AND(ISNUMBER(J59),COUNTIFS('Data - Monthly Metrics'!$A:$A,$B$4,'Data - Monthly Metrics'!$B:$B,J$8,'Data - Monthly Metrics'!$C:$C,"Pierce",'Data - Monthly Metrics'!$D:$D,"Goal - Retention %")&gt;0,J59&gt;=SUMIFS('Data - Monthly Metrics'!$E:$E,'Data - Monthly Metrics'!$A:$A,$B$4,'Data - Monthly Metrics'!$B:$B,J$8,'Data - Monthly Metrics'!$C:$C,"Pierce",'Data - Monthly Metrics'!$D:$D,"Goal - Retention %")-0.05)</formula>
    </cfRule>
    <cfRule type="expression" rank="0" priority="102" equalAverage="0" aboveAverage="0" dxfId="1" stopIfTrue="1" text="" percent="0" bottom="0">
      <formula>AND(ISNUMBER(J59),COUNTIFS('Data - Monthly Metrics'!$A:$A,$B$4,'Data - Monthly Metrics'!$B:$B,J$8,'Data - Monthly Metrics'!$C:$C,"Pierce",'Data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Metrics'!$C:$C,"Pierce",'Data - Monthly Metrics'!$D:$D,"Goal - Retention %")&gt;0,K59&gt;=SUMIFS('Data - Monthly Metrics'!$E:$E,'Data - Monthly Metrics'!$A:$A,$B$4,'Data - Monthly Metrics'!$B:$B,K$8,'Data - Monthly Metrics'!$C:$C,"Pierce",'Data - Monthly Metrics'!$D:$D,"Goal - Retention %"))</formula>
    </cfRule>
    <cfRule type="expression" rank="0" priority="104" equalAverage="0" aboveAverage="0" dxfId="2" stopIfTrue="1" text="" percent="0" bottom="0">
      <formula>AND(ISNUMBER(K59),COUNTIFS('Data - Monthly Metrics'!$A:$A,$B$4,'Data - Monthly Metrics'!$B:$B,K$8,'Data - Monthly Metrics'!$C:$C,"Pierce",'Data - Monthly Metrics'!$D:$D,"Goal - Retention %")&gt;0,K59&gt;=SUMIFS('Data - Monthly Metrics'!$E:$E,'Data - Monthly Metrics'!$A:$A,$B$4,'Data - Monthly Metrics'!$B:$B,K$8,'Data - Monthly Metrics'!$C:$C,"Pierce",'Data - Monthly Metrics'!$D:$D,"Goal - Retention %")-0.05)</formula>
    </cfRule>
    <cfRule type="expression" rank="0" priority="105" equalAverage="0" aboveAverage="0" dxfId="1" stopIfTrue="1" text="" percent="0" bottom="0">
      <formula>AND(ISNUMBER(K59),COUNTIFS('Data - Monthly Metrics'!$A:$A,$B$4,'Data - Monthly Metrics'!$B:$B,K$8,'Data - Monthly Metrics'!$C:$C,"Pierce",'Data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Metrics'!$C:$C,"Pierce",'Data - Monthly Metrics'!$D:$D,"Goal - Retention %")&gt;0,L59&gt;=SUMIFS('Data - Monthly Metrics'!$E:$E,'Data - Monthly Metrics'!$A:$A,$B$4,'Data - Monthly Metrics'!$B:$B,L$8,'Data - Monthly Metrics'!$C:$C,"Pierce",'Data - Monthly Metrics'!$D:$D,"Goal - Retention %"))</formula>
    </cfRule>
    <cfRule type="expression" rank="0" priority="107" equalAverage="0" aboveAverage="0" dxfId="2" stopIfTrue="1" text="" percent="0" bottom="0">
      <formula>AND(ISNUMBER(L59),COUNTIFS('Data - Monthly Metrics'!$A:$A,$B$4,'Data - Monthly Metrics'!$B:$B,L$8,'Data - Monthly Metrics'!$C:$C,"Pierce",'Data - Monthly Metrics'!$D:$D,"Goal - Retention %")&gt;0,L59&gt;=SUMIFS('Data - Monthly Metrics'!$E:$E,'Data - Monthly Metrics'!$A:$A,$B$4,'Data - Monthly Metrics'!$B:$B,L$8,'Data - Monthly Metrics'!$C:$C,"Pierce",'Data - Monthly Metrics'!$D:$D,"Goal - Retention %")-0.05)</formula>
    </cfRule>
    <cfRule type="expression" rank="0" priority="108" equalAverage="0" aboveAverage="0" dxfId="1" stopIfTrue="1" text="" percent="0" bottom="0">
      <formula>AND(ISNUMBER(L59),COUNTIFS('Data - Monthly Metrics'!$A:$A,$B$4,'Data - Monthly Metrics'!$B:$B,L$8,'Data - Monthly Metrics'!$C:$C,"Pierce",'Data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Metrics'!$C:$C,"Pierce",'Data - Monthly Metrics'!$D:$D,"Goal - Retention %")&gt;0,N59&gt;=SUMIFS('Data - Monthly Metrics'!$E:$E,'Data - Monthly Metrics'!$A:$A,$B$4,'Data - Monthly Metrics'!$B:$B,N$8,'Data - Monthly Metrics'!$C:$C,"Pierce",'Data - Monthly Metrics'!$D:$D,"Goal - Retention %"))</formula>
    </cfRule>
    <cfRule type="expression" rank="0" priority="110" equalAverage="0" aboveAverage="0" dxfId="2" stopIfTrue="1" text="" percent="0" bottom="0">
      <formula>AND(ISNUMBER(N59),COUNTIFS('Data - Monthly Metrics'!$A:$A,$B$4,'Data - Monthly Metrics'!$B:$B,N$8,'Data - Monthly Metrics'!$C:$C,"Pierce",'Data - Monthly Metrics'!$D:$D,"Goal - Retention %")&gt;0,N59&gt;=SUMIFS('Data - Monthly Metrics'!$E:$E,'Data - Monthly Metrics'!$A:$A,$B$4,'Data - Monthly Metrics'!$B:$B,N$8,'Data - Monthly Metrics'!$C:$C,"Pierce",'Data - Monthly Metrics'!$D:$D,"Goal - Retention %")-0.05)</formula>
    </cfRule>
    <cfRule type="expression" rank="0" priority="111" equalAverage="0" aboveAverage="0" dxfId="1" stopIfTrue="1" text="" percent="0" bottom="0">
      <formula>AND(ISNUMBER(N59),COUNTIFS('Data - Monthly Metrics'!$A:$A,$B$4,'Data - Monthly Metrics'!$B:$B,N$8,'Data - Monthly Metrics'!$C:$C,"Pierce",'Data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Metrics'!$C:$C,"Pierce",'Data - Monthly Metrics'!$D:$D,"Goal - Retention %")&gt;0,O59&gt;=SUMIFS('Data - Monthly Metrics'!$E:$E,'Data - Monthly Metrics'!$A:$A,$B$4,'Data - Monthly Metrics'!$B:$B,O$8,'Data - Monthly Metrics'!$C:$C,"Pierce",'Data - Monthly Metrics'!$D:$D,"Goal - Retention %"))</formula>
    </cfRule>
    <cfRule type="expression" rank="0" priority="113" equalAverage="0" aboveAverage="0" dxfId="2" stopIfTrue="1" text="" percent="0" bottom="0">
      <formula>AND(ISNUMBER(O59),COUNTIFS('Data - Monthly Metrics'!$A:$A,$B$4,'Data - Monthly Metrics'!$B:$B,O$8,'Data - Monthly Metrics'!$C:$C,"Pierce",'Data - Monthly Metrics'!$D:$D,"Goal - Retention %")&gt;0,O59&gt;=SUMIFS('Data - Monthly Metrics'!$E:$E,'Data - Monthly Metrics'!$A:$A,$B$4,'Data - Monthly Metrics'!$B:$B,O$8,'Data - Monthly Metrics'!$C:$C,"Pierce",'Data - Monthly Metrics'!$D:$D,"Goal - Retention %")-0.05)</formula>
    </cfRule>
    <cfRule type="expression" rank="0" priority="114" equalAverage="0" aboveAverage="0" dxfId="1" stopIfTrue="1" text="" percent="0" bottom="0">
      <formula>AND(ISNUMBER(O59),COUNTIFS('Data - Monthly Metrics'!$A:$A,$B$4,'Data - Monthly Metrics'!$B:$B,O$8,'Data - Monthly Metrics'!$C:$C,"Pierce",'Data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Metrics'!$C:$C,"Pierce",'Data - Monthly Metrics'!$D:$D,"Goal - Retention %")&gt;0,P59&gt;=SUMIFS('Data - Monthly Metrics'!$E:$E,'Data - Monthly Metrics'!$A:$A,$B$4,'Data - Monthly Metrics'!$B:$B,P$8,'Data - Monthly Metrics'!$C:$C,"Pierce",'Data - Monthly Metrics'!$D:$D,"Goal - Retention %"))</formula>
    </cfRule>
    <cfRule type="expression" rank="0" priority="116" equalAverage="0" aboveAverage="0" dxfId="2" stopIfTrue="1" text="" percent="0" bottom="0">
      <formula>AND(ISNUMBER(P59),COUNTIFS('Data - Monthly Metrics'!$A:$A,$B$4,'Data - Monthly Metrics'!$B:$B,P$8,'Data - Monthly Metrics'!$C:$C,"Pierce",'Data - Monthly Metrics'!$D:$D,"Goal - Retention %")&gt;0,P59&gt;=SUMIFS('Data - Monthly Metrics'!$E:$E,'Data - Monthly Metrics'!$A:$A,$B$4,'Data - Monthly Metrics'!$B:$B,P$8,'Data - Monthly Metrics'!$C:$C,"Pierce",'Data - Monthly Metrics'!$D:$D,"Goal - Retention %")-0.05)</formula>
    </cfRule>
    <cfRule type="expression" rank="0" priority="117" equalAverage="0" aboveAverage="0" dxfId="1" stopIfTrue="1" text="" percent="0" bottom="0">
      <formula>AND(ISNUMBER(P59),COUNTIFS('Data - Monthly Metrics'!$A:$A,$B$4,'Data - Monthly Metrics'!$B:$B,P$8,'Data - Monthly Metrics'!$C:$C,"Pierce",'Data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Metrics'!$C:$C,"Pierce",'Data - Monthly Metrics'!$D:$D,"Goal - Penetration %")&gt;0,B68&gt;=SUMIFS('Data - Monthly Metrics'!$E:$E,'Data - Monthly Metrics'!$A:$A,$B$4-1,'Data - Monthly Metrics'!$B:$B,B$8,'Data - Monthly Metrics'!$C:$C,"Pierce",'Data - Monthly Metrics'!$D:$D,"Goal - Penetration %"))</formula>
    </cfRule>
    <cfRule type="expression" rank="0" priority="119" equalAverage="0" aboveAverage="0" dxfId="2" stopIfTrue="1" text="" percent="0" bottom="0">
      <formula>AND(ISNUMBER(B68),COUNTIFS('Data - Monthly Metrics'!$A:$A,$B$4-1,'Data - Monthly Metrics'!$B:$B,B$8,'Data - Monthly Metrics'!$C:$C,"Pierce",'Data - Monthly Metrics'!$D:$D,"Goal - Penetration %")&gt;0,B68&gt;=SUMIFS('Data - Monthly Metrics'!$E:$E,'Data - Monthly Metrics'!$A:$A,$B$4-1,'Data - Monthly Metrics'!$B:$B,B$8,'Data - Monthly Metrics'!$C:$C,"Pierce",'Data - Monthly Metrics'!$D:$D,"Goal - Penetration %")-0.05)</formula>
    </cfRule>
    <cfRule type="expression" rank="0" priority="120" equalAverage="0" aboveAverage="0" dxfId="1" stopIfTrue="1" text="" percent="0" bottom="0">
      <formula>AND(ISNUMBER(B68),COUNTIFS('Data - Monthly Metrics'!$A:$A,$B$4-1,'Data - Monthly Metrics'!$B:$B,B$8,'Data - Monthly Metrics'!$C:$C,"Pierce",'Data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Metrics'!$C:$C,"Pierce",'Data - Monthly Metrics'!$D:$D,"Goal - Penetration %")&gt;0,C68&gt;=SUMIFS('Data - Monthly Metrics'!$E:$E,'Data - Monthly Metrics'!$A:$A,$B$4-1,'Data - Monthly Metrics'!$B:$B,C$8,'Data - Monthly Metrics'!$C:$C,"Pierce",'Data - Monthly Metrics'!$D:$D,"Goal - Penetration %"))</formula>
    </cfRule>
    <cfRule type="expression" rank="0" priority="122" equalAverage="0" aboveAverage="0" dxfId="2" stopIfTrue="1" text="" percent="0" bottom="0">
      <formula>AND(ISNUMBER(C68),COUNTIFS('Data - Monthly Metrics'!$A:$A,$B$4-1,'Data - Monthly Metrics'!$B:$B,C$8,'Data - Monthly Metrics'!$C:$C,"Pierce",'Data - Monthly Metrics'!$D:$D,"Goal - Penetration %")&gt;0,C68&gt;=SUMIFS('Data - Monthly Metrics'!$E:$E,'Data - Monthly Metrics'!$A:$A,$B$4-1,'Data - Monthly Metrics'!$B:$B,C$8,'Data - Monthly Metrics'!$C:$C,"Pierce",'Data - Monthly Metrics'!$D:$D,"Goal - Penetration %")-0.05)</formula>
    </cfRule>
    <cfRule type="expression" rank="0" priority="123" equalAverage="0" aboveAverage="0" dxfId="1" stopIfTrue="1" text="" percent="0" bottom="0">
      <formula>AND(ISNUMBER(C68),COUNTIFS('Data - Monthly Metrics'!$A:$A,$B$4-1,'Data - Monthly Metrics'!$B:$B,C$8,'Data - Monthly Metrics'!$C:$C,"Pierce",'Data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Metrics'!$C:$C,"Pierce",'Data - Monthly Metrics'!$D:$D,"Goal - Penetration %")&gt;0,D68&gt;=SUMIFS('Data - Monthly Metrics'!$E:$E,'Data - Monthly Metrics'!$A:$A,$B$4-1,'Data - Monthly Metrics'!$B:$B,D$8,'Data - Monthly Metrics'!$C:$C,"Pierce",'Data - Monthly Metrics'!$D:$D,"Goal - Penetration %"))</formula>
    </cfRule>
    <cfRule type="expression" rank="0" priority="125" equalAverage="0" aboveAverage="0" dxfId="2" stopIfTrue="1" text="" percent="0" bottom="0">
      <formula>AND(ISNUMBER(D68),COUNTIFS('Data - Monthly Metrics'!$A:$A,$B$4-1,'Data - Monthly Metrics'!$B:$B,D$8,'Data - Monthly Metrics'!$C:$C,"Pierce",'Data - Monthly Metrics'!$D:$D,"Goal - Penetration %")&gt;0,D68&gt;=SUMIFS('Data - Monthly Metrics'!$E:$E,'Data - Monthly Metrics'!$A:$A,$B$4-1,'Data - Monthly Metrics'!$B:$B,D$8,'Data - Monthly Metrics'!$C:$C,"Pierce",'Data - Monthly Metrics'!$D:$D,"Goal - Penetration %")-0.05)</formula>
    </cfRule>
    <cfRule type="expression" rank="0" priority="126" equalAverage="0" aboveAverage="0" dxfId="1" stopIfTrue="1" text="" percent="0" bottom="0">
      <formula>AND(ISNUMBER(D68),COUNTIFS('Data - Monthly Metrics'!$A:$A,$B$4-1,'Data - Monthly Metrics'!$B:$B,D$8,'Data - Monthly Metrics'!$C:$C,"Pierce",'Data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Metrics'!$C:$C,"Pierce",'Data - Monthly Metrics'!$D:$D,"Goal - Penetration %")&gt;0,F68&gt;=SUMIFS('Data - Monthly Metrics'!$E:$E,'Data - Monthly Metrics'!$A:$A,$B$4,'Data - Monthly Metrics'!$B:$B,F$8,'Data - Monthly Metrics'!$C:$C,"Pierce",'Data - Monthly Metrics'!$D:$D,"Goal - Penetration %"))</formula>
    </cfRule>
    <cfRule type="expression" rank="0" priority="128" equalAverage="0" aboveAverage="0" dxfId="2" stopIfTrue="1" text="" percent="0" bottom="0">
      <formula>AND(ISNUMBER(F68),COUNTIFS('Data - Monthly Metrics'!$A:$A,$B$4,'Data - Monthly Metrics'!$B:$B,F$8,'Data - Monthly Metrics'!$C:$C,"Pierce",'Data - Monthly Metrics'!$D:$D,"Goal - Penetration %")&gt;0,F68&gt;=SUMIFS('Data - Monthly Metrics'!$E:$E,'Data - Monthly Metrics'!$A:$A,$B$4,'Data - Monthly Metrics'!$B:$B,F$8,'Data - Monthly Metrics'!$C:$C,"Pierce",'Data - Monthly Metrics'!$D:$D,"Goal - Penetration %")-0.05)</formula>
    </cfRule>
    <cfRule type="expression" rank="0" priority="129" equalAverage="0" aboveAverage="0" dxfId="1" stopIfTrue="1" text="" percent="0" bottom="0">
      <formula>AND(ISNUMBER(F68),COUNTIFS('Data - Monthly Metrics'!$A:$A,$B$4,'Data - Monthly Metrics'!$B:$B,F$8,'Data - Monthly Metrics'!$C:$C,"Pierce",'Data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Metrics'!$C:$C,"Pierce",'Data - Monthly Metrics'!$D:$D,"Goal - Penetration %")&gt;0,G68&gt;=SUMIFS('Data - Monthly Metrics'!$E:$E,'Data - Monthly Metrics'!$A:$A,$B$4,'Data - Monthly Metrics'!$B:$B,G$8,'Data - Monthly Metrics'!$C:$C,"Pierce",'Data - Monthly Metrics'!$D:$D,"Goal - Penetration %"))</formula>
    </cfRule>
    <cfRule type="expression" rank="0" priority="131" equalAverage="0" aboveAverage="0" dxfId="2" stopIfTrue="1" text="" percent="0" bottom="0">
      <formula>AND(ISNUMBER(G68),COUNTIFS('Data - Monthly Metrics'!$A:$A,$B$4,'Data - Monthly Metrics'!$B:$B,G$8,'Data - Monthly Metrics'!$C:$C,"Pierce",'Data - Monthly Metrics'!$D:$D,"Goal - Penetration %")&gt;0,G68&gt;=SUMIFS('Data - Monthly Metrics'!$E:$E,'Data - Monthly Metrics'!$A:$A,$B$4,'Data - Monthly Metrics'!$B:$B,G$8,'Data - Monthly Metrics'!$C:$C,"Pierce",'Data - Monthly Metrics'!$D:$D,"Goal - Penetration %")-0.05)</formula>
    </cfRule>
    <cfRule type="expression" rank="0" priority="132" equalAverage="0" aboveAverage="0" dxfId="1" stopIfTrue="1" text="" percent="0" bottom="0">
      <formula>AND(ISNUMBER(G68),COUNTIFS('Data - Monthly Metrics'!$A:$A,$B$4,'Data - Monthly Metrics'!$B:$B,G$8,'Data - Monthly Metrics'!$C:$C,"Pierce",'Data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Metrics'!$C:$C,"Pierce",'Data - Monthly Metrics'!$D:$D,"Goal - Penetration %")&gt;0,H68&gt;=SUMIFS('Data - Monthly Metrics'!$E:$E,'Data - Monthly Metrics'!$A:$A,$B$4,'Data - Monthly Metrics'!$B:$B,H$8,'Data - Monthly Metrics'!$C:$C,"Pierce",'Data - Monthly Metrics'!$D:$D,"Goal - Penetration %"))</formula>
    </cfRule>
    <cfRule type="expression" rank="0" priority="134" equalAverage="0" aboveAverage="0" dxfId="2" stopIfTrue="1" text="" percent="0" bottom="0">
      <formula>AND(ISNUMBER(H68),COUNTIFS('Data - Monthly Metrics'!$A:$A,$B$4,'Data - Monthly Metrics'!$B:$B,H$8,'Data - Monthly Metrics'!$C:$C,"Pierce",'Data - Monthly Metrics'!$D:$D,"Goal - Penetration %")&gt;0,H68&gt;=SUMIFS('Data - Monthly Metrics'!$E:$E,'Data - Monthly Metrics'!$A:$A,$B$4,'Data - Monthly Metrics'!$B:$B,H$8,'Data - Monthly Metrics'!$C:$C,"Pierce",'Data - Monthly Metrics'!$D:$D,"Goal - Penetration %")-0.05)</formula>
    </cfRule>
    <cfRule type="expression" rank="0" priority="135" equalAverage="0" aboveAverage="0" dxfId="1" stopIfTrue="1" text="" percent="0" bottom="0">
      <formula>AND(ISNUMBER(H68),COUNTIFS('Data - Monthly Metrics'!$A:$A,$B$4,'Data - Monthly Metrics'!$B:$B,H$8,'Data - Monthly Metrics'!$C:$C,"Pierce",'Data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Metrics'!$C:$C,"Pierce",'Data - Monthly Metrics'!$D:$D,"Goal - Penetration %")&gt;0,J68&gt;=SUMIFS('Data - Monthly Metrics'!$E:$E,'Data - Monthly Metrics'!$A:$A,$B$4,'Data - Monthly Metrics'!$B:$B,J$8,'Data - Monthly Metrics'!$C:$C,"Pierce",'Data - Monthly Metrics'!$D:$D,"Goal - Penetration %"))</formula>
    </cfRule>
    <cfRule type="expression" rank="0" priority="137" equalAverage="0" aboveAverage="0" dxfId="2" stopIfTrue="1" text="" percent="0" bottom="0">
      <formula>AND(ISNUMBER(J68),COUNTIFS('Data - Monthly Metrics'!$A:$A,$B$4,'Data - Monthly Metrics'!$B:$B,J$8,'Data - Monthly Metrics'!$C:$C,"Pierce",'Data - Monthly Metrics'!$D:$D,"Goal - Penetration %")&gt;0,J68&gt;=SUMIFS('Data - Monthly Metrics'!$E:$E,'Data - Monthly Metrics'!$A:$A,$B$4,'Data - Monthly Metrics'!$B:$B,J$8,'Data - Monthly Metrics'!$C:$C,"Pierce",'Data - Monthly Metrics'!$D:$D,"Goal - Penetration %")-0.05)</formula>
    </cfRule>
    <cfRule type="expression" rank="0" priority="138" equalAverage="0" aboveAverage="0" dxfId="1" stopIfTrue="1" text="" percent="0" bottom="0">
      <formula>AND(ISNUMBER(J68),COUNTIFS('Data - Monthly Metrics'!$A:$A,$B$4,'Data - Monthly Metrics'!$B:$B,J$8,'Data - Monthly Metrics'!$C:$C,"Pierce",'Data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Metrics'!$C:$C,"Pierce",'Data - Monthly Metrics'!$D:$D,"Goal - Penetration %")&gt;0,K68&gt;=SUMIFS('Data - Monthly Metrics'!$E:$E,'Data - Monthly Metrics'!$A:$A,$B$4,'Data - Monthly Metrics'!$B:$B,K$8,'Data - Monthly Metrics'!$C:$C,"Pierce",'Data - Monthly Metrics'!$D:$D,"Goal - Penetration %"))</formula>
    </cfRule>
    <cfRule type="expression" rank="0" priority="140" equalAverage="0" aboveAverage="0" dxfId="2" stopIfTrue="1" text="" percent="0" bottom="0">
      <formula>AND(ISNUMBER(K68),COUNTIFS('Data - Monthly Metrics'!$A:$A,$B$4,'Data - Monthly Metrics'!$B:$B,K$8,'Data - Monthly Metrics'!$C:$C,"Pierce",'Data - Monthly Metrics'!$D:$D,"Goal - Penetration %")&gt;0,K68&gt;=SUMIFS('Data - Monthly Metrics'!$E:$E,'Data - Monthly Metrics'!$A:$A,$B$4,'Data - Monthly Metrics'!$B:$B,K$8,'Data - Monthly Metrics'!$C:$C,"Pierce",'Data - Monthly Metrics'!$D:$D,"Goal - Penetration %")-0.05)</formula>
    </cfRule>
    <cfRule type="expression" rank="0" priority="141" equalAverage="0" aboveAverage="0" dxfId="1" stopIfTrue="1" text="" percent="0" bottom="0">
      <formula>AND(ISNUMBER(K68),COUNTIFS('Data - Monthly Metrics'!$A:$A,$B$4,'Data - Monthly Metrics'!$B:$B,K$8,'Data - Monthly Metrics'!$C:$C,"Pierce",'Data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Metrics'!$C:$C,"Pierce",'Data - Monthly Metrics'!$D:$D,"Goal - Penetration %")&gt;0,L68&gt;=SUMIFS('Data - Monthly Metrics'!$E:$E,'Data - Monthly Metrics'!$A:$A,$B$4,'Data - Monthly Metrics'!$B:$B,L$8,'Data - Monthly Metrics'!$C:$C,"Pierce",'Data - Monthly Metrics'!$D:$D,"Goal - Penetration %"))</formula>
    </cfRule>
    <cfRule type="expression" rank="0" priority="143" equalAverage="0" aboveAverage="0" dxfId="2" stopIfTrue="1" text="" percent="0" bottom="0">
      <formula>AND(ISNUMBER(L68),COUNTIFS('Data - Monthly Metrics'!$A:$A,$B$4,'Data - Monthly Metrics'!$B:$B,L$8,'Data - Monthly Metrics'!$C:$C,"Pierce",'Data - Monthly Metrics'!$D:$D,"Goal - Penetration %")&gt;0,L68&gt;=SUMIFS('Data - Monthly Metrics'!$E:$E,'Data - Monthly Metrics'!$A:$A,$B$4,'Data - Monthly Metrics'!$B:$B,L$8,'Data - Monthly Metrics'!$C:$C,"Pierce",'Data - Monthly Metrics'!$D:$D,"Goal - Penetration %")-0.05)</formula>
    </cfRule>
    <cfRule type="expression" rank="0" priority="144" equalAverage="0" aboveAverage="0" dxfId="1" stopIfTrue="1" text="" percent="0" bottom="0">
      <formula>AND(ISNUMBER(L68),COUNTIFS('Data - Monthly Metrics'!$A:$A,$B$4,'Data - Monthly Metrics'!$B:$B,L$8,'Data - Monthly Metrics'!$C:$C,"Pierce",'Data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Metrics'!$C:$C,"Pierce",'Data - Monthly Metrics'!$D:$D,"Goal - Penetration %")&gt;0,N68&gt;=SUMIFS('Data - Monthly Metrics'!$E:$E,'Data - Monthly Metrics'!$A:$A,$B$4,'Data - Monthly Metrics'!$B:$B,N$8,'Data - Monthly Metrics'!$C:$C,"Pierce",'Data - Monthly Metrics'!$D:$D,"Goal - Penetration %"))</formula>
    </cfRule>
    <cfRule type="expression" rank="0" priority="146" equalAverage="0" aboveAverage="0" dxfId="2" stopIfTrue="1" text="" percent="0" bottom="0">
      <formula>AND(ISNUMBER(N68),COUNTIFS('Data - Monthly Metrics'!$A:$A,$B$4,'Data - Monthly Metrics'!$B:$B,N$8,'Data - Monthly Metrics'!$C:$C,"Pierce",'Data - Monthly Metrics'!$D:$D,"Goal - Penetration %")&gt;0,N68&gt;=SUMIFS('Data - Monthly Metrics'!$E:$E,'Data - Monthly Metrics'!$A:$A,$B$4,'Data - Monthly Metrics'!$B:$B,N$8,'Data - Monthly Metrics'!$C:$C,"Pierce",'Data - Monthly Metrics'!$D:$D,"Goal - Penetration %")-0.05)</formula>
    </cfRule>
    <cfRule type="expression" rank="0" priority="147" equalAverage="0" aboveAverage="0" dxfId="1" stopIfTrue="1" text="" percent="0" bottom="0">
      <formula>AND(ISNUMBER(N68),COUNTIFS('Data - Monthly Metrics'!$A:$A,$B$4,'Data - Monthly Metrics'!$B:$B,N$8,'Data - Monthly Metrics'!$C:$C,"Pierce",'Data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Metrics'!$C:$C,"Pierce",'Data - Monthly Metrics'!$D:$D,"Goal - Penetration %")&gt;0,O68&gt;=SUMIFS('Data - Monthly Metrics'!$E:$E,'Data - Monthly Metrics'!$A:$A,$B$4,'Data - Monthly Metrics'!$B:$B,O$8,'Data - Monthly Metrics'!$C:$C,"Pierce",'Data - Monthly Metrics'!$D:$D,"Goal - Penetration %"))</formula>
    </cfRule>
    <cfRule type="expression" rank="0" priority="149" equalAverage="0" aboveAverage="0" dxfId="2" stopIfTrue="1" text="" percent="0" bottom="0">
      <formula>AND(ISNUMBER(O68),COUNTIFS('Data - Monthly Metrics'!$A:$A,$B$4,'Data - Monthly Metrics'!$B:$B,O$8,'Data - Monthly Metrics'!$C:$C,"Pierce",'Data - Monthly Metrics'!$D:$D,"Goal - Penetration %")&gt;0,O68&gt;=SUMIFS('Data - Monthly Metrics'!$E:$E,'Data - Monthly Metrics'!$A:$A,$B$4,'Data - Monthly Metrics'!$B:$B,O$8,'Data - Monthly Metrics'!$C:$C,"Pierce",'Data - Monthly Metrics'!$D:$D,"Goal - Penetration %")-0.05)</formula>
    </cfRule>
    <cfRule type="expression" rank="0" priority="150" equalAverage="0" aboveAverage="0" dxfId="1" stopIfTrue="1" text="" percent="0" bottom="0">
      <formula>AND(ISNUMBER(O68),COUNTIFS('Data - Monthly Metrics'!$A:$A,$B$4,'Data - Monthly Metrics'!$B:$B,O$8,'Data - Monthly Metrics'!$C:$C,"Pierce",'Data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Metrics'!$C:$C,"Pierce",'Data - Monthly Metrics'!$D:$D,"Goal - Penetration %")&gt;0,P68&gt;=SUMIFS('Data - Monthly Metrics'!$E:$E,'Data - Monthly Metrics'!$A:$A,$B$4,'Data - Monthly Metrics'!$B:$B,P$8,'Data - Monthly Metrics'!$C:$C,"Pierce",'Data - Monthly Metrics'!$D:$D,"Goal - Penetration %"))</formula>
    </cfRule>
    <cfRule type="expression" rank="0" priority="152" equalAverage="0" aboveAverage="0" dxfId="2" stopIfTrue="1" text="" percent="0" bottom="0">
      <formula>AND(ISNUMBER(P68),COUNTIFS('Data - Monthly Metrics'!$A:$A,$B$4,'Data - Monthly Metrics'!$B:$B,P$8,'Data - Monthly Metrics'!$C:$C,"Pierce",'Data - Monthly Metrics'!$D:$D,"Goal - Penetration %")&gt;0,P68&gt;=SUMIFS('Data - Monthly Metrics'!$E:$E,'Data - Monthly Metrics'!$A:$A,$B$4,'Data - Monthly Metrics'!$B:$B,P$8,'Data - Monthly Metrics'!$C:$C,"Pierce",'Data - Monthly Metrics'!$D:$D,"Goal - Penetration %")-0.05)</formula>
    </cfRule>
    <cfRule type="expression" rank="0" priority="153" equalAverage="0" aboveAverage="0" dxfId="1" stopIfTrue="1" text="" percent="0" bottom="0">
      <formula>AND(ISNUMBER(P68),COUNTIFS('Data - Monthly Metrics'!$A:$A,$B$4,'Data - Monthly Metrics'!$B:$B,P$8,'Data - Monthly Metrics'!$C:$C,"Pierce",'Data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Metrics'!$C:$C,"Pierce",'Data - Monthly Metrics'!$D:$D,"Goal - Penetration %")&gt;0,B69&gt;=SUMIFS('Data - Monthly Metrics'!$E:$E,'Data - Monthly Metrics'!$A:$A,$B$4-1,'Data - Monthly Metrics'!$B:$B,B$8,'Data - Monthly Metrics'!$C:$C,"Pierce",'Data - Monthly Metrics'!$D:$D,"Goal - Penetration %"))</formula>
    </cfRule>
    <cfRule type="expression" rank="0" priority="155" equalAverage="0" aboveAverage="0" dxfId="2" stopIfTrue="1" text="" percent="0" bottom="0">
      <formula>AND(ISNUMBER(B69),COUNTIFS('Data - Monthly Metrics'!$A:$A,$B$4-1,'Data - Monthly Metrics'!$B:$B,B$8,'Data - Monthly Metrics'!$C:$C,"Pierce",'Data - Monthly Metrics'!$D:$D,"Goal - Penetration %")&gt;0,B69&gt;=SUMIFS('Data - Monthly Metrics'!$E:$E,'Data - Monthly Metrics'!$A:$A,$B$4-1,'Data - Monthly Metrics'!$B:$B,B$8,'Data - Monthly Metrics'!$C:$C,"Pierce",'Data - Monthly Metrics'!$D:$D,"Goal - Penetration %")-0.05)</formula>
    </cfRule>
    <cfRule type="expression" rank="0" priority="156" equalAverage="0" aboveAverage="0" dxfId="1" stopIfTrue="1" text="" percent="0" bottom="0">
      <formula>AND(ISNUMBER(B69),COUNTIFS('Data - Monthly Metrics'!$A:$A,$B$4-1,'Data - Monthly Metrics'!$B:$B,B$8,'Data - Monthly Metrics'!$C:$C,"Pierce",'Data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Metrics'!$C:$C,"Pierce",'Data - Monthly Metrics'!$D:$D,"Goal - Penetration %")&gt;0,C69&gt;=SUMIFS('Data - Monthly Metrics'!$E:$E,'Data - Monthly Metrics'!$A:$A,$B$4-1,'Data - Monthly Metrics'!$B:$B,C$8,'Data - Monthly Metrics'!$C:$C,"Pierce",'Data - Monthly Metrics'!$D:$D,"Goal - Penetration %"))</formula>
    </cfRule>
    <cfRule type="expression" rank="0" priority="158" equalAverage="0" aboveAverage="0" dxfId="2" stopIfTrue="1" text="" percent="0" bottom="0">
      <formula>AND(ISNUMBER(C69),COUNTIFS('Data - Monthly Metrics'!$A:$A,$B$4-1,'Data - Monthly Metrics'!$B:$B,C$8,'Data - Monthly Metrics'!$C:$C,"Pierce",'Data - Monthly Metrics'!$D:$D,"Goal - Penetration %")&gt;0,C69&gt;=SUMIFS('Data - Monthly Metrics'!$E:$E,'Data - Monthly Metrics'!$A:$A,$B$4-1,'Data - Monthly Metrics'!$B:$B,C$8,'Data - Monthly Metrics'!$C:$C,"Pierce",'Data - Monthly Metrics'!$D:$D,"Goal - Penetration %")-0.05)</formula>
    </cfRule>
    <cfRule type="expression" rank="0" priority="159" equalAverage="0" aboveAverage="0" dxfId="1" stopIfTrue="1" text="" percent="0" bottom="0">
      <formula>AND(ISNUMBER(C69),COUNTIFS('Data - Monthly Metrics'!$A:$A,$B$4-1,'Data - Monthly Metrics'!$B:$B,C$8,'Data - Monthly Metrics'!$C:$C,"Pierce",'Data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Metrics'!$C:$C,"Pierce",'Data - Monthly Metrics'!$D:$D,"Goal - Penetration %")&gt;0,D69&gt;=SUMIFS('Data - Monthly Metrics'!$E:$E,'Data - Monthly Metrics'!$A:$A,$B$4-1,'Data - Monthly Metrics'!$B:$B,D$8,'Data - Monthly Metrics'!$C:$C,"Pierce",'Data - Monthly Metrics'!$D:$D,"Goal - Penetration %"))</formula>
    </cfRule>
    <cfRule type="expression" rank="0" priority="161" equalAverage="0" aboveAverage="0" dxfId="2" stopIfTrue="1" text="" percent="0" bottom="0">
      <formula>AND(ISNUMBER(D69),COUNTIFS('Data - Monthly Metrics'!$A:$A,$B$4-1,'Data - Monthly Metrics'!$B:$B,D$8,'Data - Monthly Metrics'!$C:$C,"Pierce",'Data - Monthly Metrics'!$D:$D,"Goal - Penetration %")&gt;0,D69&gt;=SUMIFS('Data - Monthly Metrics'!$E:$E,'Data - Monthly Metrics'!$A:$A,$B$4-1,'Data - Monthly Metrics'!$B:$B,D$8,'Data - Monthly Metrics'!$C:$C,"Pierce",'Data - Monthly Metrics'!$D:$D,"Goal - Penetration %")-0.05)</formula>
    </cfRule>
    <cfRule type="expression" rank="0" priority="162" equalAverage="0" aboveAverage="0" dxfId="1" stopIfTrue="1" text="" percent="0" bottom="0">
      <formula>AND(ISNUMBER(D69),COUNTIFS('Data - Monthly Metrics'!$A:$A,$B$4-1,'Data - Monthly Metrics'!$B:$B,D$8,'Data - Monthly Metrics'!$C:$C,"Pierce",'Data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Metrics'!$C:$C,"Pierce",'Data - Monthly Metrics'!$D:$D,"Goal - Penetration %")&gt;0,F69&gt;=SUMIFS('Data - Monthly Metrics'!$E:$E,'Data - Monthly Metrics'!$A:$A,$B$4,'Data - Monthly Metrics'!$B:$B,F$8,'Data - Monthly Metrics'!$C:$C,"Pierce",'Data - Monthly Metrics'!$D:$D,"Goal - Penetration %"))</formula>
    </cfRule>
    <cfRule type="expression" rank="0" priority="164" equalAverage="0" aboveAverage="0" dxfId="2" stopIfTrue="1" text="" percent="0" bottom="0">
      <formula>AND(ISNUMBER(F69),COUNTIFS('Data - Monthly Metrics'!$A:$A,$B$4,'Data - Monthly Metrics'!$B:$B,F$8,'Data - Monthly Metrics'!$C:$C,"Pierce",'Data - Monthly Metrics'!$D:$D,"Goal - Penetration %")&gt;0,F69&gt;=SUMIFS('Data - Monthly Metrics'!$E:$E,'Data - Monthly Metrics'!$A:$A,$B$4,'Data - Monthly Metrics'!$B:$B,F$8,'Data - Monthly Metrics'!$C:$C,"Pierce",'Data - Monthly Metrics'!$D:$D,"Goal - Penetration %")-0.05)</formula>
    </cfRule>
    <cfRule type="expression" rank="0" priority="165" equalAverage="0" aboveAverage="0" dxfId="1" stopIfTrue="1" text="" percent="0" bottom="0">
      <formula>AND(ISNUMBER(F69),COUNTIFS('Data - Monthly Metrics'!$A:$A,$B$4,'Data - Monthly Metrics'!$B:$B,F$8,'Data - Monthly Metrics'!$C:$C,"Pierce",'Data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Metrics'!$C:$C,"Pierce",'Data - Monthly Metrics'!$D:$D,"Goal - Penetration %")&gt;0,G69&gt;=SUMIFS('Data - Monthly Metrics'!$E:$E,'Data - Monthly Metrics'!$A:$A,$B$4,'Data - Monthly Metrics'!$B:$B,G$8,'Data - Monthly Metrics'!$C:$C,"Pierce",'Data - Monthly Metrics'!$D:$D,"Goal - Penetration %"))</formula>
    </cfRule>
    <cfRule type="expression" rank="0" priority="167" equalAverage="0" aboveAverage="0" dxfId="2" stopIfTrue="1" text="" percent="0" bottom="0">
      <formula>AND(ISNUMBER(G69),COUNTIFS('Data - Monthly Metrics'!$A:$A,$B$4,'Data - Monthly Metrics'!$B:$B,G$8,'Data - Monthly Metrics'!$C:$C,"Pierce",'Data - Monthly Metrics'!$D:$D,"Goal - Penetration %")&gt;0,G69&gt;=SUMIFS('Data - Monthly Metrics'!$E:$E,'Data - Monthly Metrics'!$A:$A,$B$4,'Data - Monthly Metrics'!$B:$B,G$8,'Data - Monthly Metrics'!$C:$C,"Pierce",'Data - Monthly Metrics'!$D:$D,"Goal - Penetration %")-0.05)</formula>
    </cfRule>
    <cfRule type="expression" rank="0" priority="168" equalAverage="0" aboveAverage="0" dxfId="1" stopIfTrue="1" text="" percent="0" bottom="0">
      <formula>AND(ISNUMBER(G69),COUNTIFS('Data - Monthly Metrics'!$A:$A,$B$4,'Data - Monthly Metrics'!$B:$B,G$8,'Data - Monthly Metrics'!$C:$C,"Pierce",'Data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Metrics'!$C:$C,"Pierce",'Data - Monthly Metrics'!$D:$D,"Goal - Penetration %")&gt;0,H69&gt;=SUMIFS('Data - Monthly Metrics'!$E:$E,'Data - Monthly Metrics'!$A:$A,$B$4,'Data - Monthly Metrics'!$B:$B,H$8,'Data - Monthly Metrics'!$C:$C,"Pierce",'Data - Monthly Metrics'!$D:$D,"Goal - Penetration %"))</formula>
    </cfRule>
    <cfRule type="expression" rank="0" priority="170" equalAverage="0" aboveAverage="0" dxfId="2" stopIfTrue="1" text="" percent="0" bottom="0">
      <formula>AND(ISNUMBER(H69),COUNTIFS('Data - Monthly Metrics'!$A:$A,$B$4,'Data - Monthly Metrics'!$B:$B,H$8,'Data - Monthly Metrics'!$C:$C,"Pierce",'Data - Monthly Metrics'!$D:$D,"Goal - Penetration %")&gt;0,H69&gt;=SUMIFS('Data - Monthly Metrics'!$E:$E,'Data - Monthly Metrics'!$A:$A,$B$4,'Data - Monthly Metrics'!$B:$B,H$8,'Data - Monthly Metrics'!$C:$C,"Pierce",'Data - Monthly Metrics'!$D:$D,"Goal - Penetration %")-0.05)</formula>
    </cfRule>
    <cfRule type="expression" rank="0" priority="171" equalAverage="0" aboveAverage="0" dxfId="1" stopIfTrue="1" text="" percent="0" bottom="0">
      <formula>AND(ISNUMBER(H69),COUNTIFS('Data - Monthly Metrics'!$A:$A,$B$4,'Data - Monthly Metrics'!$B:$B,H$8,'Data - Monthly Metrics'!$C:$C,"Pierce",'Data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Metrics'!$C:$C,"Pierce",'Data - Monthly Metrics'!$D:$D,"Goal - Penetration %")&gt;0,J69&gt;=SUMIFS('Data - Monthly Metrics'!$E:$E,'Data - Monthly Metrics'!$A:$A,$B$4,'Data - Monthly Metrics'!$B:$B,J$8,'Data - Monthly Metrics'!$C:$C,"Pierce",'Data - Monthly Metrics'!$D:$D,"Goal - Penetration %"))</formula>
    </cfRule>
    <cfRule type="expression" rank="0" priority="173" equalAverage="0" aboveAverage="0" dxfId="2" stopIfTrue="1" text="" percent="0" bottom="0">
      <formula>AND(ISNUMBER(J69),COUNTIFS('Data - Monthly Metrics'!$A:$A,$B$4,'Data - Monthly Metrics'!$B:$B,J$8,'Data - Monthly Metrics'!$C:$C,"Pierce",'Data - Monthly Metrics'!$D:$D,"Goal - Penetration %")&gt;0,J69&gt;=SUMIFS('Data - Monthly Metrics'!$E:$E,'Data - Monthly Metrics'!$A:$A,$B$4,'Data - Monthly Metrics'!$B:$B,J$8,'Data - Monthly Metrics'!$C:$C,"Pierce",'Data - Monthly Metrics'!$D:$D,"Goal - Penetration %")-0.05)</formula>
    </cfRule>
    <cfRule type="expression" rank="0" priority="174" equalAverage="0" aboveAverage="0" dxfId="1" stopIfTrue="1" text="" percent="0" bottom="0">
      <formula>AND(ISNUMBER(J69),COUNTIFS('Data - Monthly Metrics'!$A:$A,$B$4,'Data - Monthly Metrics'!$B:$B,J$8,'Data - Monthly Metrics'!$C:$C,"Pierce",'Data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Metrics'!$C:$C,"Pierce",'Data - Monthly Metrics'!$D:$D,"Goal - Penetration %")&gt;0,K69&gt;=SUMIFS('Data - Monthly Metrics'!$E:$E,'Data - Monthly Metrics'!$A:$A,$B$4,'Data - Monthly Metrics'!$B:$B,K$8,'Data - Monthly Metrics'!$C:$C,"Pierce",'Data - Monthly Metrics'!$D:$D,"Goal - Penetration %"))</formula>
    </cfRule>
    <cfRule type="expression" rank="0" priority="176" equalAverage="0" aboveAverage="0" dxfId="2" stopIfTrue="1" text="" percent="0" bottom="0">
      <formula>AND(ISNUMBER(K69),COUNTIFS('Data - Monthly Metrics'!$A:$A,$B$4,'Data - Monthly Metrics'!$B:$B,K$8,'Data - Monthly Metrics'!$C:$C,"Pierce",'Data - Monthly Metrics'!$D:$D,"Goal - Penetration %")&gt;0,K69&gt;=SUMIFS('Data - Monthly Metrics'!$E:$E,'Data - Monthly Metrics'!$A:$A,$B$4,'Data - Monthly Metrics'!$B:$B,K$8,'Data - Monthly Metrics'!$C:$C,"Pierce",'Data - Monthly Metrics'!$D:$D,"Goal - Penetration %")-0.05)</formula>
    </cfRule>
    <cfRule type="expression" rank="0" priority="177" equalAverage="0" aboveAverage="0" dxfId="1" stopIfTrue="1" text="" percent="0" bottom="0">
      <formula>AND(ISNUMBER(K69),COUNTIFS('Data - Monthly Metrics'!$A:$A,$B$4,'Data - Monthly Metrics'!$B:$B,K$8,'Data - Monthly Metrics'!$C:$C,"Pierce",'Data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Metrics'!$C:$C,"Pierce",'Data - Monthly Metrics'!$D:$D,"Goal - Penetration %")&gt;0,L69&gt;=SUMIFS('Data - Monthly Metrics'!$E:$E,'Data - Monthly Metrics'!$A:$A,$B$4,'Data - Monthly Metrics'!$B:$B,L$8,'Data - Monthly Metrics'!$C:$C,"Pierce",'Data - Monthly Metrics'!$D:$D,"Goal - Penetration %"))</formula>
    </cfRule>
    <cfRule type="expression" rank="0" priority="179" equalAverage="0" aboveAverage="0" dxfId="2" stopIfTrue="1" text="" percent="0" bottom="0">
      <formula>AND(ISNUMBER(L69),COUNTIFS('Data - Monthly Metrics'!$A:$A,$B$4,'Data - Monthly Metrics'!$B:$B,L$8,'Data - Monthly Metrics'!$C:$C,"Pierce",'Data - Monthly Metrics'!$D:$D,"Goal - Penetration %")&gt;0,L69&gt;=SUMIFS('Data - Monthly Metrics'!$E:$E,'Data - Monthly Metrics'!$A:$A,$B$4,'Data - Monthly Metrics'!$B:$B,L$8,'Data - Monthly Metrics'!$C:$C,"Pierce",'Data - Monthly Metrics'!$D:$D,"Goal - Penetration %")-0.05)</formula>
    </cfRule>
    <cfRule type="expression" rank="0" priority="180" equalAverage="0" aboveAverage="0" dxfId="1" stopIfTrue="1" text="" percent="0" bottom="0">
      <formula>AND(ISNUMBER(L69),COUNTIFS('Data - Monthly Metrics'!$A:$A,$B$4,'Data - Monthly Metrics'!$B:$B,L$8,'Data - Monthly Metrics'!$C:$C,"Pierce",'Data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Metrics'!$C:$C,"Pierce",'Data - Monthly Metrics'!$D:$D,"Goal - Penetration %")&gt;0,N69&gt;=SUMIFS('Data - Monthly Metrics'!$E:$E,'Data - Monthly Metrics'!$A:$A,$B$4,'Data - Monthly Metrics'!$B:$B,N$8,'Data - Monthly Metrics'!$C:$C,"Pierce",'Data - Monthly Metrics'!$D:$D,"Goal - Penetration %"))</formula>
    </cfRule>
    <cfRule type="expression" rank="0" priority="182" equalAverage="0" aboveAverage="0" dxfId="2" stopIfTrue="1" text="" percent="0" bottom="0">
      <formula>AND(ISNUMBER(N69),COUNTIFS('Data - Monthly Metrics'!$A:$A,$B$4,'Data - Monthly Metrics'!$B:$B,N$8,'Data - Monthly Metrics'!$C:$C,"Pierce",'Data - Monthly Metrics'!$D:$D,"Goal - Penetration %")&gt;0,N69&gt;=SUMIFS('Data - Monthly Metrics'!$E:$E,'Data - Monthly Metrics'!$A:$A,$B$4,'Data - Monthly Metrics'!$B:$B,N$8,'Data - Monthly Metrics'!$C:$C,"Pierce",'Data - Monthly Metrics'!$D:$D,"Goal - Penetration %")-0.05)</formula>
    </cfRule>
    <cfRule type="expression" rank="0" priority="183" equalAverage="0" aboveAverage="0" dxfId="1" stopIfTrue="1" text="" percent="0" bottom="0">
      <formula>AND(ISNUMBER(N69),COUNTIFS('Data - Monthly Metrics'!$A:$A,$B$4,'Data - Monthly Metrics'!$B:$B,N$8,'Data - Monthly Metrics'!$C:$C,"Pierce",'Data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Metrics'!$C:$C,"Pierce",'Data - Monthly Metrics'!$D:$D,"Goal - Penetration %")&gt;0,O69&gt;=SUMIFS('Data - Monthly Metrics'!$E:$E,'Data - Monthly Metrics'!$A:$A,$B$4,'Data - Monthly Metrics'!$B:$B,O$8,'Data - Monthly Metrics'!$C:$C,"Pierce",'Data - Monthly Metrics'!$D:$D,"Goal - Penetration %"))</formula>
    </cfRule>
    <cfRule type="expression" rank="0" priority="185" equalAverage="0" aboveAverage="0" dxfId="2" stopIfTrue="1" text="" percent="0" bottom="0">
      <formula>AND(ISNUMBER(O69),COUNTIFS('Data - Monthly Metrics'!$A:$A,$B$4,'Data - Monthly Metrics'!$B:$B,O$8,'Data - Monthly Metrics'!$C:$C,"Pierce",'Data - Monthly Metrics'!$D:$D,"Goal - Penetration %")&gt;0,O69&gt;=SUMIFS('Data - Monthly Metrics'!$E:$E,'Data - Monthly Metrics'!$A:$A,$B$4,'Data - Monthly Metrics'!$B:$B,O$8,'Data - Monthly Metrics'!$C:$C,"Pierce",'Data - Monthly Metrics'!$D:$D,"Goal - Penetration %")-0.05)</formula>
    </cfRule>
    <cfRule type="expression" rank="0" priority="186" equalAverage="0" aboveAverage="0" dxfId="1" stopIfTrue="1" text="" percent="0" bottom="0">
      <formula>AND(ISNUMBER(O69),COUNTIFS('Data - Monthly Metrics'!$A:$A,$B$4,'Data - Monthly Metrics'!$B:$B,O$8,'Data - Monthly Metrics'!$C:$C,"Pierce",'Data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Metrics'!$C:$C,"Pierce",'Data - Monthly Metrics'!$D:$D,"Goal - Penetration %")&gt;0,P69&gt;=SUMIFS('Data - Monthly Metrics'!$E:$E,'Data - Monthly Metrics'!$A:$A,$B$4,'Data - Monthly Metrics'!$B:$B,P$8,'Data - Monthly Metrics'!$C:$C,"Pierce",'Data - Monthly Metrics'!$D:$D,"Goal - Penetration %"))</formula>
    </cfRule>
    <cfRule type="expression" rank="0" priority="188" equalAverage="0" aboveAverage="0" dxfId="2" stopIfTrue="1" text="" percent="0" bottom="0">
      <formula>AND(ISNUMBER(P69),COUNTIFS('Data - Monthly Metrics'!$A:$A,$B$4,'Data - Monthly Metrics'!$B:$B,P$8,'Data - Monthly Metrics'!$C:$C,"Pierce",'Data - Monthly Metrics'!$D:$D,"Goal - Penetration %")&gt;0,P69&gt;=SUMIFS('Data - Monthly Metrics'!$E:$E,'Data - Monthly Metrics'!$A:$A,$B$4,'Data - Monthly Metrics'!$B:$B,P$8,'Data - Monthly Metrics'!$C:$C,"Pierce",'Data - Monthly Metrics'!$D:$D,"Goal - Penetration %")-0.05)</formula>
    </cfRule>
    <cfRule type="expression" rank="0" priority="189" equalAverage="0" aboveAverage="0" dxfId="1" stopIfTrue="1" text="" percent="0" bottom="0">
      <formula>AND(ISNUMBER(P69),COUNTIFS('Data - Monthly Metrics'!$A:$A,$B$4,'Data - Monthly Metrics'!$B:$B,P$8,'Data - Monthly Metrics'!$C:$C,"Pierce",'Data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Metrics'!$C:$C,"Pierce",'Data - Monthly Metrics'!$D:$D,"Goal - Penetration %")&gt;0,B70&gt;=SUMIFS('Data - Monthly Metrics'!$E:$E,'Data - Monthly Metrics'!$A:$A,$B$4-1,'Data - Monthly Metrics'!$B:$B,B$8,'Data - Monthly Metrics'!$C:$C,"Pierce",'Data - Monthly Metrics'!$D:$D,"Goal - Penetration %"))</formula>
    </cfRule>
    <cfRule type="expression" rank="0" priority="191" equalAverage="0" aboveAverage="0" dxfId="2" stopIfTrue="1" text="" percent="0" bottom="0">
      <formula>AND(ISNUMBER(B70),COUNTIFS('Data - Monthly Metrics'!$A:$A,$B$4-1,'Data - Monthly Metrics'!$B:$B,B$8,'Data - Monthly Metrics'!$C:$C,"Pierce",'Data - Monthly Metrics'!$D:$D,"Goal - Penetration %")&gt;0,B70&gt;=SUMIFS('Data - Monthly Metrics'!$E:$E,'Data - Monthly Metrics'!$A:$A,$B$4-1,'Data - Monthly Metrics'!$B:$B,B$8,'Data - Monthly Metrics'!$C:$C,"Pierce",'Data - Monthly Metrics'!$D:$D,"Goal - Penetration %")-0.05)</formula>
    </cfRule>
    <cfRule type="expression" rank="0" priority="192" equalAverage="0" aboveAverage="0" dxfId="1" stopIfTrue="1" text="" percent="0" bottom="0">
      <formula>AND(ISNUMBER(B70),COUNTIFS('Data - Monthly Metrics'!$A:$A,$B$4-1,'Data - Monthly Metrics'!$B:$B,B$8,'Data - Monthly Metrics'!$C:$C,"Pierce",'Data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Metrics'!$C:$C,"Pierce",'Data - Monthly Metrics'!$D:$D,"Goal - Penetration %")&gt;0,C70&gt;=SUMIFS('Data - Monthly Metrics'!$E:$E,'Data - Monthly Metrics'!$A:$A,$B$4-1,'Data - Monthly Metrics'!$B:$B,C$8,'Data - Monthly Metrics'!$C:$C,"Pierce",'Data - Monthly Metrics'!$D:$D,"Goal - Penetration %"))</formula>
    </cfRule>
    <cfRule type="expression" rank="0" priority="194" equalAverage="0" aboveAverage="0" dxfId="2" stopIfTrue="1" text="" percent="0" bottom="0">
      <formula>AND(ISNUMBER(C70),COUNTIFS('Data - Monthly Metrics'!$A:$A,$B$4-1,'Data - Monthly Metrics'!$B:$B,C$8,'Data - Monthly Metrics'!$C:$C,"Pierce",'Data - Monthly Metrics'!$D:$D,"Goal - Penetration %")&gt;0,C70&gt;=SUMIFS('Data - Monthly Metrics'!$E:$E,'Data - Monthly Metrics'!$A:$A,$B$4-1,'Data - Monthly Metrics'!$B:$B,C$8,'Data - Monthly Metrics'!$C:$C,"Pierce",'Data - Monthly Metrics'!$D:$D,"Goal - Penetration %")-0.05)</formula>
    </cfRule>
    <cfRule type="expression" rank="0" priority="195" equalAverage="0" aboveAverage="0" dxfId="1" stopIfTrue="1" text="" percent="0" bottom="0">
      <formula>AND(ISNUMBER(C70),COUNTIFS('Data - Monthly Metrics'!$A:$A,$B$4-1,'Data - Monthly Metrics'!$B:$B,C$8,'Data - Monthly Metrics'!$C:$C,"Pierce",'Data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Metrics'!$C:$C,"Pierce",'Data - Monthly Metrics'!$D:$D,"Goal - Penetration %")&gt;0,D70&gt;=SUMIFS('Data - Monthly Metrics'!$E:$E,'Data - Monthly Metrics'!$A:$A,$B$4-1,'Data - Monthly Metrics'!$B:$B,D$8,'Data - Monthly Metrics'!$C:$C,"Pierce",'Data - Monthly Metrics'!$D:$D,"Goal - Penetration %"))</formula>
    </cfRule>
    <cfRule type="expression" rank="0" priority="197" equalAverage="0" aboveAverage="0" dxfId="2" stopIfTrue="1" text="" percent="0" bottom="0">
      <formula>AND(ISNUMBER(D70),COUNTIFS('Data - Monthly Metrics'!$A:$A,$B$4-1,'Data - Monthly Metrics'!$B:$B,D$8,'Data - Monthly Metrics'!$C:$C,"Pierce",'Data - Monthly Metrics'!$D:$D,"Goal - Penetration %")&gt;0,D70&gt;=SUMIFS('Data - Monthly Metrics'!$E:$E,'Data - Monthly Metrics'!$A:$A,$B$4-1,'Data - Monthly Metrics'!$B:$B,D$8,'Data - Monthly Metrics'!$C:$C,"Pierce",'Data - Monthly Metrics'!$D:$D,"Goal - Penetration %")-0.05)</formula>
    </cfRule>
    <cfRule type="expression" rank="0" priority="198" equalAverage="0" aboveAverage="0" dxfId="1" stopIfTrue="1" text="" percent="0" bottom="0">
      <formula>AND(ISNUMBER(D70),COUNTIFS('Data - Monthly Metrics'!$A:$A,$B$4-1,'Data - Monthly Metrics'!$B:$B,D$8,'Data - Monthly Metrics'!$C:$C,"Pierce",'Data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Metrics'!$C:$C,"Pierce",'Data - Monthly Metrics'!$D:$D,"Goal - Penetration %")&gt;0,F70&gt;=SUMIFS('Data - Monthly Metrics'!$E:$E,'Data - Monthly Metrics'!$A:$A,$B$4,'Data - Monthly Metrics'!$B:$B,F$8,'Data - Monthly Metrics'!$C:$C,"Pierce",'Data - Monthly Metrics'!$D:$D,"Goal - Penetration %"))</formula>
    </cfRule>
    <cfRule type="expression" rank="0" priority="200" equalAverage="0" aboveAverage="0" dxfId="2" stopIfTrue="1" text="" percent="0" bottom="0">
      <formula>AND(ISNUMBER(F70),COUNTIFS('Data - Monthly Metrics'!$A:$A,$B$4,'Data - Monthly Metrics'!$B:$B,F$8,'Data - Monthly Metrics'!$C:$C,"Pierce",'Data - Monthly Metrics'!$D:$D,"Goal - Penetration %")&gt;0,F70&gt;=SUMIFS('Data - Monthly Metrics'!$E:$E,'Data - Monthly Metrics'!$A:$A,$B$4,'Data - Monthly Metrics'!$B:$B,F$8,'Data - Monthly Metrics'!$C:$C,"Pierce",'Data - Monthly Metrics'!$D:$D,"Goal - Penetration %")-0.05)</formula>
    </cfRule>
    <cfRule type="expression" rank="0" priority="201" equalAverage="0" aboveAverage="0" dxfId="1" stopIfTrue="1" text="" percent="0" bottom="0">
      <formula>AND(ISNUMBER(F70),COUNTIFS('Data - Monthly Metrics'!$A:$A,$B$4,'Data - Monthly Metrics'!$B:$B,F$8,'Data - Monthly Metrics'!$C:$C,"Pierce",'Data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Metrics'!$C:$C,"Pierce",'Data - Monthly Metrics'!$D:$D,"Goal - Penetration %")&gt;0,G70&gt;=SUMIFS('Data - Monthly Metrics'!$E:$E,'Data - Monthly Metrics'!$A:$A,$B$4,'Data - Monthly Metrics'!$B:$B,G$8,'Data - Monthly Metrics'!$C:$C,"Pierce",'Data - Monthly Metrics'!$D:$D,"Goal - Penetration %"))</formula>
    </cfRule>
    <cfRule type="expression" rank="0" priority="203" equalAverage="0" aboveAverage="0" dxfId="2" stopIfTrue="1" text="" percent="0" bottom="0">
      <formula>AND(ISNUMBER(G70),COUNTIFS('Data - Monthly Metrics'!$A:$A,$B$4,'Data - Monthly Metrics'!$B:$B,G$8,'Data - Monthly Metrics'!$C:$C,"Pierce",'Data - Monthly Metrics'!$D:$D,"Goal - Penetration %")&gt;0,G70&gt;=SUMIFS('Data - Monthly Metrics'!$E:$E,'Data - Monthly Metrics'!$A:$A,$B$4,'Data - Monthly Metrics'!$B:$B,G$8,'Data - Monthly Metrics'!$C:$C,"Pierce",'Data - Monthly Metrics'!$D:$D,"Goal - Penetration %")-0.05)</formula>
    </cfRule>
    <cfRule type="expression" rank="0" priority="204" equalAverage="0" aboveAverage="0" dxfId="1" stopIfTrue="1" text="" percent="0" bottom="0">
      <formula>AND(ISNUMBER(G70),COUNTIFS('Data - Monthly Metrics'!$A:$A,$B$4,'Data - Monthly Metrics'!$B:$B,G$8,'Data - Monthly Metrics'!$C:$C,"Pierce",'Data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Metrics'!$C:$C,"Pierce",'Data - Monthly Metrics'!$D:$D,"Goal - Penetration %")&gt;0,H70&gt;=SUMIFS('Data - Monthly Metrics'!$E:$E,'Data - Monthly Metrics'!$A:$A,$B$4,'Data - Monthly Metrics'!$B:$B,H$8,'Data - Monthly Metrics'!$C:$C,"Pierce",'Data - Monthly Metrics'!$D:$D,"Goal - Penetration %"))</formula>
    </cfRule>
    <cfRule type="expression" rank="0" priority="206" equalAverage="0" aboveAverage="0" dxfId="2" stopIfTrue="1" text="" percent="0" bottom="0">
      <formula>AND(ISNUMBER(H70),COUNTIFS('Data - Monthly Metrics'!$A:$A,$B$4,'Data - Monthly Metrics'!$B:$B,H$8,'Data - Monthly Metrics'!$C:$C,"Pierce",'Data - Monthly Metrics'!$D:$D,"Goal - Penetration %")&gt;0,H70&gt;=SUMIFS('Data - Monthly Metrics'!$E:$E,'Data - Monthly Metrics'!$A:$A,$B$4,'Data - Monthly Metrics'!$B:$B,H$8,'Data - Monthly Metrics'!$C:$C,"Pierce",'Data - Monthly Metrics'!$D:$D,"Goal - Penetration %")-0.05)</formula>
    </cfRule>
    <cfRule type="expression" rank="0" priority="207" equalAverage="0" aboveAverage="0" dxfId="1" stopIfTrue="1" text="" percent="0" bottom="0">
      <formula>AND(ISNUMBER(H70),COUNTIFS('Data - Monthly Metrics'!$A:$A,$B$4,'Data - Monthly Metrics'!$B:$B,H$8,'Data - Monthly Metrics'!$C:$C,"Pierce",'Data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Metrics'!$C:$C,"Pierce",'Data - Monthly Metrics'!$D:$D,"Goal - Penetration %")&gt;0,J70&gt;=SUMIFS('Data - Monthly Metrics'!$E:$E,'Data - Monthly Metrics'!$A:$A,$B$4,'Data - Monthly Metrics'!$B:$B,J$8,'Data - Monthly Metrics'!$C:$C,"Pierce",'Data - Monthly Metrics'!$D:$D,"Goal - Penetration %"))</formula>
    </cfRule>
    <cfRule type="expression" rank="0" priority="209" equalAverage="0" aboveAverage="0" dxfId="2" stopIfTrue="1" text="" percent="0" bottom="0">
      <formula>AND(ISNUMBER(J70),COUNTIFS('Data - Monthly Metrics'!$A:$A,$B$4,'Data - Monthly Metrics'!$B:$B,J$8,'Data - Monthly Metrics'!$C:$C,"Pierce",'Data - Monthly Metrics'!$D:$D,"Goal - Penetration %")&gt;0,J70&gt;=SUMIFS('Data - Monthly Metrics'!$E:$E,'Data - Monthly Metrics'!$A:$A,$B$4,'Data - Monthly Metrics'!$B:$B,J$8,'Data - Monthly Metrics'!$C:$C,"Pierce",'Data - Monthly Metrics'!$D:$D,"Goal - Penetration %")-0.05)</formula>
    </cfRule>
    <cfRule type="expression" rank="0" priority="210" equalAverage="0" aboveAverage="0" dxfId="1" stopIfTrue="1" text="" percent="0" bottom="0">
      <formula>AND(ISNUMBER(J70),COUNTIFS('Data - Monthly Metrics'!$A:$A,$B$4,'Data - Monthly Metrics'!$B:$B,J$8,'Data - Monthly Metrics'!$C:$C,"Pierce",'Data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Metrics'!$C:$C,"Pierce",'Data - Monthly Metrics'!$D:$D,"Goal - Penetration %")&gt;0,K70&gt;=SUMIFS('Data - Monthly Metrics'!$E:$E,'Data - Monthly Metrics'!$A:$A,$B$4,'Data - Monthly Metrics'!$B:$B,K$8,'Data - Monthly Metrics'!$C:$C,"Pierce",'Data - Monthly Metrics'!$D:$D,"Goal - Penetration %"))</formula>
    </cfRule>
    <cfRule type="expression" rank="0" priority="212" equalAverage="0" aboveAverage="0" dxfId="2" stopIfTrue="1" text="" percent="0" bottom="0">
      <formula>AND(ISNUMBER(K70),COUNTIFS('Data - Monthly Metrics'!$A:$A,$B$4,'Data - Monthly Metrics'!$B:$B,K$8,'Data - Monthly Metrics'!$C:$C,"Pierce",'Data - Monthly Metrics'!$D:$D,"Goal - Penetration %")&gt;0,K70&gt;=SUMIFS('Data - Monthly Metrics'!$E:$E,'Data - Monthly Metrics'!$A:$A,$B$4,'Data - Monthly Metrics'!$B:$B,K$8,'Data - Monthly Metrics'!$C:$C,"Pierce",'Data - Monthly Metrics'!$D:$D,"Goal - Penetration %")-0.05)</formula>
    </cfRule>
    <cfRule type="expression" rank="0" priority="213" equalAverage="0" aboveAverage="0" dxfId="1" stopIfTrue="1" text="" percent="0" bottom="0">
      <formula>AND(ISNUMBER(K70),COUNTIFS('Data - Monthly Metrics'!$A:$A,$B$4,'Data - Monthly Metrics'!$B:$B,K$8,'Data - Monthly Metrics'!$C:$C,"Pierce",'Data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Metrics'!$C:$C,"Pierce",'Data - Monthly Metrics'!$D:$D,"Goal - Penetration %")&gt;0,L70&gt;=SUMIFS('Data - Monthly Metrics'!$E:$E,'Data - Monthly Metrics'!$A:$A,$B$4,'Data - Monthly Metrics'!$B:$B,L$8,'Data - Monthly Metrics'!$C:$C,"Pierce",'Data - Monthly Metrics'!$D:$D,"Goal - Penetration %"))</formula>
    </cfRule>
    <cfRule type="expression" rank="0" priority="215" equalAverage="0" aboveAverage="0" dxfId="2" stopIfTrue="1" text="" percent="0" bottom="0">
      <formula>AND(ISNUMBER(L70),COUNTIFS('Data - Monthly Metrics'!$A:$A,$B$4,'Data - Monthly Metrics'!$B:$B,L$8,'Data - Monthly Metrics'!$C:$C,"Pierce",'Data - Monthly Metrics'!$D:$D,"Goal - Penetration %")&gt;0,L70&gt;=SUMIFS('Data - Monthly Metrics'!$E:$E,'Data - Monthly Metrics'!$A:$A,$B$4,'Data - Monthly Metrics'!$B:$B,L$8,'Data - Monthly Metrics'!$C:$C,"Pierce",'Data - Monthly Metrics'!$D:$D,"Goal - Penetration %")-0.05)</formula>
    </cfRule>
    <cfRule type="expression" rank="0" priority="216" equalAverage="0" aboveAverage="0" dxfId="1" stopIfTrue="1" text="" percent="0" bottom="0">
      <formula>AND(ISNUMBER(L70),COUNTIFS('Data - Monthly Metrics'!$A:$A,$B$4,'Data - Monthly Metrics'!$B:$B,L$8,'Data - Monthly Metrics'!$C:$C,"Pierce",'Data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Metrics'!$C:$C,"Pierce",'Data - Monthly Metrics'!$D:$D,"Goal - Penetration %")&gt;0,N70&gt;=SUMIFS('Data - Monthly Metrics'!$E:$E,'Data - Monthly Metrics'!$A:$A,$B$4,'Data - Monthly Metrics'!$B:$B,N$8,'Data - Monthly Metrics'!$C:$C,"Pierce",'Data - Monthly Metrics'!$D:$D,"Goal - Penetration %"))</formula>
    </cfRule>
    <cfRule type="expression" rank="0" priority="218" equalAverage="0" aboveAverage="0" dxfId="2" stopIfTrue="1" text="" percent="0" bottom="0">
      <formula>AND(ISNUMBER(N70),COUNTIFS('Data - Monthly Metrics'!$A:$A,$B$4,'Data - Monthly Metrics'!$B:$B,N$8,'Data - Monthly Metrics'!$C:$C,"Pierce",'Data - Monthly Metrics'!$D:$D,"Goal - Penetration %")&gt;0,N70&gt;=SUMIFS('Data - Monthly Metrics'!$E:$E,'Data - Monthly Metrics'!$A:$A,$B$4,'Data - Monthly Metrics'!$B:$B,N$8,'Data - Monthly Metrics'!$C:$C,"Pierce",'Data - Monthly Metrics'!$D:$D,"Goal - Penetration %")-0.05)</formula>
    </cfRule>
    <cfRule type="expression" rank="0" priority="219" equalAverage="0" aboveAverage="0" dxfId="1" stopIfTrue="1" text="" percent="0" bottom="0">
      <formula>AND(ISNUMBER(N70),COUNTIFS('Data - Monthly Metrics'!$A:$A,$B$4,'Data - Monthly Metrics'!$B:$B,N$8,'Data - Monthly Metrics'!$C:$C,"Pierce",'Data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Metrics'!$C:$C,"Pierce",'Data - Monthly Metrics'!$D:$D,"Goal - Penetration %")&gt;0,O70&gt;=SUMIFS('Data - Monthly Metrics'!$E:$E,'Data - Monthly Metrics'!$A:$A,$B$4,'Data - Monthly Metrics'!$B:$B,O$8,'Data - Monthly Metrics'!$C:$C,"Pierce",'Data - Monthly Metrics'!$D:$D,"Goal - Penetration %"))</formula>
    </cfRule>
    <cfRule type="expression" rank="0" priority="221" equalAverage="0" aboveAverage="0" dxfId="2" stopIfTrue="1" text="" percent="0" bottom="0">
      <formula>AND(ISNUMBER(O70),COUNTIFS('Data - Monthly Metrics'!$A:$A,$B$4,'Data - Monthly Metrics'!$B:$B,O$8,'Data - Monthly Metrics'!$C:$C,"Pierce",'Data - Monthly Metrics'!$D:$D,"Goal - Penetration %")&gt;0,O70&gt;=SUMIFS('Data - Monthly Metrics'!$E:$E,'Data - Monthly Metrics'!$A:$A,$B$4,'Data - Monthly Metrics'!$B:$B,O$8,'Data - Monthly Metrics'!$C:$C,"Pierce",'Data - Monthly Metrics'!$D:$D,"Goal - Penetration %")-0.05)</formula>
    </cfRule>
    <cfRule type="expression" rank="0" priority="222" equalAverage="0" aboveAverage="0" dxfId="1" stopIfTrue="1" text="" percent="0" bottom="0">
      <formula>AND(ISNUMBER(O70),COUNTIFS('Data - Monthly Metrics'!$A:$A,$B$4,'Data - Monthly Metrics'!$B:$B,O$8,'Data - Monthly Metrics'!$C:$C,"Pierce",'Data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Metrics'!$C:$C,"Pierce",'Data - Monthly Metrics'!$D:$D,"Goal - Penetration %")&gt;0,P70&gt;=SUMIFS('Data - Monthly Metrics'!$E:$E,'Data - Monthly Metrics'!$A:$A,$B$4,'Data - Monthly Metrics'!$B:$B,P$8,'Data - Monthly Metrics'!$C:$C,"Pierce",'Data - Monthly Metrics'!$D:$D,"Goal - Penetration %"))</formula>
    </cfRule>
    <cfRule type="expression" rank="0" priority="224" equalAverage="0" aboveAverage="0" dxfId="2" stopIfTrue="1" text="" percent="0" bottom="0">
      <formula>AND(ISNUMBER(P70),COUNTIFS('Data - Monthly Metrics'!$A:$A,$B$4,'Data - Monthly Metrics'!$B:$B,P$8,'Data - Monthly Metrics'!$C:$C,"Pierce",'Data - Monthly Metrics'!$D:$D,"Goal - Penetration %")&gt;0,P70&gt;=SUMIFS('Data - Monthly Metrics'!$E:$E,'Data - Monthly Metrics'!$A:$A,$B$4,'Data - Monthly Metrics'!$B:$B,P$8,'Data - Monthly Metrics'!$C:$C,"Pierce",'Data - Monthly Metrics'!$D:$D,"Goal - Penetration %")-0.05)</formula>
    </cfRule>
    <cfRule type="expression" rank="0" priority="225" equalAverage="0" aboveAverage="0" dxfId="1" stopIfTrue="1" text="" percent="0" bottom="0">
      <formula>AND(ISNUMBER(P70),COUNTIFS('Data - Monthly Metrics'!$A:$A,$B$4,'Data - Monthly Metrics'!$B:$B,P$8,'Data - Monthly Metrics'!$C:$C,"Pierce",'Data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Metrics'!$C:$C,"Pierce",'Data - Monthly Metrics'!$D:$D,"Goal - Penetration %")&gt;0,B105&gt;=SUMIFS('Data - Monthly Metrics'!$E:$E,'Data - Monthly Metrics'!$A:$A,$B$4-1,'Data - Monthly Metrics'!$B:$B,B$8,'Data - Monthly Metrics'!$C:$C,"Pierce",'Data - Monthly Metrics'!$D:$D,"Goal - Penetration %"))</formula>
    </cfRule>
    <cfRule type="expression" rank="0" priority="227" equalAverage="0" aboveAverage="0" dxfId="2" stopIfTrue="1" text="" percent="0" bottom="0">
      <formula>AND(ISNUMBER(B105),COUNTIFS('Data - Monthly Metrics'!$A:$A,$B$4-1,'Data - Monthly Metrics'!$B:$B,B$8,'Data - Monthly Metrics'!$C:$C,"Pierce",'Data - Monthly Metrics'!$D:$D,"Goal - Penetration %")&gt;0,B105&gt;=SUMIFS('Data - Monthly Metrics'!$E:$E,'Data - Monthly Metrics'!$A:$A,$B$4-1,'Data - Monthly Metrics'!$B:$B,B$8,'Data - Monthly Metrics'!$C:$C,"Pierce",'Data - Monthly Metrics'!$D:$D,"Goal - Penetration %")-0.05)</formula>
    </cfRule>
    <cfRule type="expression" rank="0" priority="228" equalAverage="0" aboveAverage="0" dxfId="1" stopIfTrue="1" text="" percent="0" bottom="0">
      <formula>AND(ISNUMBER(B105),COUNTIFS('Data - Monthly Metrics'!$A:$A,$B$4-1,'Data - Monthly Metrics'!$B:$B,B$8,'Data - Monthly Metrics'!$C:$C,"Pierce",'Data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Metrics'!$C:$C,"Pierce",'Data - Monthly Metrics'!$D:$D,"Goal - Penetration %")&gt;0,C105&gt;=SUMIFS('Data - Monthly Metrics'!$E:$E,'Data - Monthly Metrics'!$A:$A,$B$4-1,'Data - Monthly Metrics'!$B:$B,C$8,'Data - Monthly Metrics'!$C:$C,"Pierce",'Data - Monthly Metrics'!$D:$D,"Goal - Penetration %"))</formula>
    </cfRule>
    <cfRule type="expression" rank="0" priority="230" equalAverage="0" aboveAverage="0" dxfId="2" stopIfTrue="1" text="" percent="0" bottom="0">
      <formula>AND(ISNUMBER(C105),COUNTIFS('Data - Monthly Metrics'!$A:$A,$B$4-1,'Data - Monthly Metrics'!$B:$B,C$8,'Data - Monthly Metrics'!$C:$C,"Pierce",'Data - Monthly Metrics'!$D:$D,"Goal - Penetration %")&gt;0,C105&gt;=SUMIFS('Data - Monthly Metrics'!$E:$E,'Data - Monthly Metrics'!$A:$A,$B$4-1,'Data - Monthly Metrics'!$B:$B,C$8,'Data - Monthly Metrics'!$C:$C,"Pierce",'Data - Monthly Metrics'!$D:$D,"Goal - Penetration %")-0.05)</formula>
    </cfRule>
    <cfRule type="expression" rank="0" priority="231" equalAverage="0" aboveAverage="0" dxfId="1" stopIfTrue="1" text="" percent="0" bottom="0">
      <formula>AND(ISNUMBER(C105),COUNTIFS('Data - Monthly Metrics'!$A:$A,$B$4-1,'Data - Monthly Metrics'!$B:$B,C$8,'Data - Monthly Metrics'!$C:$C,"Pierce",'Data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Metrics'!$C:$C,"Pierce",'Data - Monthly Metrics'!$D:$D,"Goal - Penetration %")&gt;0,D105&gt;=SUMIFS('Data - Monthly Metrics'!$E:$E,'Data - Monthly Metrics'!$A:$A,$B$4-1,'Data - Monthly Metrics'!$B:$B,D$8,'Data - Monthly Metrics'!$C:$C,"Pierce",'Data - Monthly Metrics'!$D:$D,"Goal - Penetration %"))</formula>
    </cfRule>
    <cfRule type="expression" rank="0" priority="233" equalAverage="0" aboveAverage="0" dxfId="2" stopIfTrue="1" text="" percent="0" bottom="0">
      <formula>AND(ISNUMBER(D105),COUNTIFS('Data - Monthly Metrics'!$A:$A,$B$4-1,'Data - Monthly Metrics'!$B:$B,D$8,'Data - Monthly Metrics'!$C:$C,"Pierce",'Data - Monthly Metrics'!$D:$D,"Goal - Penetration %")&gt;0,D105&gt;=SUMIFS('Data - Monthly Metrics'!$E:$E,'Data - Monthly Metrics'!$A:$A,$B$4-1,'Data - Monthly Metrics'!$B:$B,D$8,'Data - Monthly Metrics'!$C:$C,"Pierce",'Data - Monthly Metrics'!$D:$D,"Goal - Penetration %")-0.05)</formula>
    </cfRule>
    <cfRule type="expression" rank="0" priority="234" equalAverage="0" aboveAverage="0" dxfId="1" stopIfTrue="1" text="" percent="0" bottom="0">
      <formula>AND(ISNUMBER(D105),COUNTIFS('Data - Monthly Metrics'!$A:$A,$B$4-1,'Data - Monthly Metrics'!$B:$B,D$8,'Data - Monthly Metrics'!$C:$C,"Pierce",'Data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Metrics'!$C:$C,"Pierce",'Data - Monthly Metrics'!$D:$D,"Goal - Penetration %")&gt;0,F105&gt;=SUMIFS('Data - Monthly Metrics'!$E:$E,'Data - Monthly Metrics'!$A:$A,$B$4,'Data - Monthly Metrics'!$B:$B,F$8,'Data - Monthly Metrics'!$C:$C,"Pierce",'Data - Monthly Metrics'!$D:$D,"Goal - Penetration %"))</formula>
    </cfRule>
    <cfRule type="expression" rank="0" priority="236" equalAverage="0" aboveAverage="0" dxfId="2" stopIfTrue="1" text="" percent="0" bottom="0">
      <formula>AND(ISNUMBER(F105),COUNTIFS('Data - Monthly Metrics'!$A:$A,$B$4,'Data - Monthly Metrics'!$B:$B,F$8,'Data - Monthly Metrics'!$C:$C,"Pierce",'Data - Monthly Metrics'!$D:$D,"Goal - Penetration %")&gt;0,F105&gt;=SUMIFS('Data - Monthly Metrics'!$E:$E,'Data - Monthly Metrics'!$A:$A,$B$4,'Data - Monthly Metrics'!$B:$B,F$8,'Data - Monthly Metrics'!$C:$C,"Pierce",'Data - Monthly Metrics'!$D:$D,"Goal - Penetration %")-0.05)</formula>
    </cfRule>
    <cfRule type="expression" rank="0" priority="237" equalAverage="0" aboveAverage="0" dxfId="1" stopIfTrue="1" text="" percent="0" bottom="0">
      <formula>AND(ISNUMBER(F105),COUNTIFS('Data - Monthly Metrics'!$A:$A,$B$4,'Data - Monthly Metrics'!$B:$B,F$8,'Data - Monthly Metrics'!$C:$C,"Pierce",'Data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Metrics'!$C:$C,"Pierce",'Data - Monthly Metrics'!$D:$D,"Goal - Penetration %")&gt;0,G105&gt;=SUMIFS('Data - Monthly Metrics'!$E:$E,'Data - Monthly Metrics'!$A:$A,$B$4,'Data - Monthly Metrics'!$B:$B,G$8,'Data - Monthly Metrics'!$C:$C,"Pierce",'Data - Monthly Metrics'!$D:$D,"Goal - Penetration %"))</formula>
    </cfRule>
    <cfRule type="expression" rank="0" priority="239" equalAverage="0" aboveAverage="0" dxfId="2" stopIfTrue="1" text="" percent="0" bottom="0">
      <formula>AND(ISNUMBER(G105),COUNTIFS('Data - Monthly Metrics'!$A:$A,$B$4,'Data - Monthly Metrics'!$B:$B,G$8,'Data - Monthly Metrics'!$C:$C,"Pierce",'Data - Monthly Metrics'!$D:$D,"Goal - Penetration %")&gt;0,G105&gt;=SUMIFS('Data - Monthly Metrics'!$E:$E,'Data - Monthly Metrics'!$A:$A,$B$4,'Data - Monthly Metrics'!$B:$B,G$8,'Data - Monthly Metrics'!$C:$C,"Pierce",'Data - Monthly Metrics'!$D:$D,"Goal - Penetration %")-0.05)</formula>
    </cfRule>
    <cfRule type="expression" rank="0" priority="240" equalAverage="0" aboveAverage="0" dxfId="1" stopIfTrue="1" text="" percent="0" bottom="0">
      <formula>AND(ISNUMBER(G105),COUNTIFS('Data - Monthly Metrics'!$A:$A,$B$4,'Data - Monthly Metrics'!$B:$B,G$8,'Data - Monthly Metrics'!$C:$C,"Pierce",'Data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Metrics'!$C:$C,"Pierce",'Data - Monthly Metrics'!$D:$D,"Goal - Penetration %")&gt;0,H105&gt;=SUMIFS('Data - Monthly Metrics'!$E:$E,'Data - Monthly Metrics'!$A:$A,$B$4,'Data - Monthly Metrics'!$B:$B,H$8,'Data - Monthly Metrics'!$C:$C,"Pierce",'Data - Monthly Metrics'!$D:$D,"Goal - Penetration %"))</formula>
    </cfRule>
    <cfRule type="expression" rank="0" priority="242" equalAverage="0" aboveAverage="0" dxfId="2" stopIfTrue="1" text="" percent="0" bottom="0">
      <formula>AND(ISNUMBER(H105),COUNTIFS('Data - Monthly Metrics'!$A:$A,$B$4,'Data - Monthly Metrics'!$B:$B,H$8,'Data - Monthly Metrics'!$C:$C,"Pierce",'Data - Monthly Metrics'!$D:$D,"Goal - Penetration %")&gt;0,H105&gt;=SUMIFS('Data - Monthly Metrics'!$E:$E,'Data - Monthly Metrics'!$A:$A,$B$4,'Data - Monthly Metrics'!$B:$B,H$8,'Data - Monthly Metrics'!$C:$C,"Pierce",'Data - Monthly Metrics'!$D:$D,"Goal - Penetration %")-0.05)</formula>
    </cfRule>
    <cfRule type="expression" rank="0" priority="243" equalAverage="0" aboveAverage="0" dxfId="1" stopIfTrue="1" text="" percent="0" bottom="0">
      <formula>AND(ISNUMBER(H105),COUNTIFS('Data - Monthly Metrics'!$A:$A,$B$4,'Data - Monthly Metrics'!$B:$B,H$8,'Data - Monthly Metrics'!$C:$C,"Pierce",'Data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Metrics'!$C:$C,"Pierce",'Data - Monthly Metrics'!$D:$D,"Goal - Penetration %")&gt;0,J105&gt;=SUMIFS('Data - Monthly Metrics'!$E:$E,'Data - Monthly Metrics'!$A:$A,$B$4,'Data - Monthly Metrics'!$B:$B,J$8,'Data - Monthly Metrics'!$C:$C,"Pierce",'Data - Monthly Metrics'!$D:$D,"Goal - Penetration %"))</formula>
    </cfRule>
    <cfRule type="expression" rank="0" priority="245" equalAverage="0" aboveAverage="0" dxfId="2" stopIfTrue="1" text="" percent="0" bottom="0">
      <formula>AND(ISNUMBER(J105),COUNTIFS('Data - Monthly Metrics'!$A:$A,$B$4,'Data - Monthly Metrics'!$B:$B,J$8,'Data - Monthly Metrics'!$C:$C,"Pierce",'Data - Monthly Metrics'!$D:$D,"Goal - Penetration %")&gt;0,J105&gt;=SUMIFS('Data - Monthly Metrics'!$E:$E,'Data - Monthly Metrics'!$A:$A,$B$4,'Data - Monthly Metrics'!$B:$B,J$8,'Data - Monthly Metrics'!$C:$C,"Pierce",'Data - Monthly Metrics'!$D:$D,"Goal - Penetration %")-0.05)</formula>
    </cfRule>
    <cfRule type="expression" rank="0" priority="246" equalAverage="0" aboveAverage="0" dxfId="1" stopIfTrue="1" text="" percent="0" bottom="0">
      <formula>AND(ISNUMBER(J105),COUNTIFS('Data - Monthly Metrics'!$A:$A,$B$4,'Data - Monthly Metrics'!$B:$B,J$8,'Data - Monthly Metrics'!$C:$C,"Pierce",'Data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Metrics'!$C:$C,"Pierce",'Data - Monthly Metrics'!$D:$D,"Goal - Penetration %")&gt;0,K105&gt;=SUMIFS('Data - Monthly Metrics'!$E:$E,'Data - Monthly Metrics'!$A:$A,$B$4,'Data - Monthly Metrics'!$B:$B,K$8,'Data - Monthly Metrics'!$C:$C,"Pierce",'Data - Monthly Metrics'!$D:$D,"Goal - Penetration %"))</formula>
    </cfRule>
    <cfRule type="expression" rank="0" priority="248" equalAverage="0" aboveAverage="0" dxfId="2" stopIfTrue="1" text="" percent="0" bottom="0">
      <formula>AND(ISNUMBER(K105),COUNTIFS('Data - Monthly Metrics'!$A:$A,$B$4,'Data - Monthly Metrics'!$B:$B,K$8,'Data - Monthly Metrics'!$C:$C,"Pierce",'Data - Monthly Metrics'!$D:$D,"Goal - Penetration %")&gt;0,K105&gt;=SUMIFS('Data - Monthly Metrics'!$E:$E,'Data - Monthly Metrics'!$A:$A,$B$4,'Data - Monthly Metrics'!$B:$B,K$8,'Data - Monthly Metrics'!$C:$C,"Pierce",'Data - Monthly Metrics'!$D:$D,"Goal - Penetration %")-0.05)</formula>
    </cfRule>
    <cfRule type="expression" rank="0" priority="249" equalAverage="0" aboveAverage="0" dxfId="1" stopIfTrue="1" text="" percent="0" bottom="0">
      <formula>AND(ISNUMBER(K105),COUNTIFS('Data - Monthly Metrics'!$A:$A,$B$4,'Data - Monthly Metrics'!$B:$B,K$8,'Data - Monthly Metrics'!$C:$C,"Pierce",'Data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Metrics'!$C:$C,"Pierce",'Data - Monthly Metrics'!$D:$D,"Goal - Penetration %")&gt;0,L105&gt;=SUMIFS('Data - Monthly Metrics'!$E:$E,'Data - Monthly Metrics'!$A:$A,$B$4,'Data - Monthly Metrics'!$B:$B,L$8,'Data - Monthly Metrics'!$C:$C,"Pierce",'Data - Monthly Metrics'!$D:$D,"Goal - Penetration %"))</formula>
    </cfRule>
    <cfRule type="expression" rank="0" priority="251" equalAverage="0" aboveAverage="0" dxfId="2" stopIfTrue="1" text="" percent="0" bottom="0">
      <formula>AND(ISNUMBER(L105),COUNTIFS('Data - Monthly Metrics'!$A:$A,$B$4,'Data - Monthly Metrics'!$B:$B,L$8,'Data - Monthly Metrics'!$C:$C,"Pierce",'Data - Monthly Metrics'!$D:$D,"Goal - Penetration %")&gt;0,L105&gt;=SUMIFS('Data - Monthly Metrics'!$E:$E,'Data - Monthly Metrics'!$A:$A,$B$4,'Data - Monthly Metrics'!$B:$B,L$8,'Data - Monthly Metrics'!$C:$C,"Pierce",'Data - Monthly Metrics'!$D:$D,"Goal - Penetration %")-0.05)</formula>
    </cfRule>
    <cfRule type="expression" rank="0" priority="252" equalAverage="0" aboveAverage="0" dxfId="1" stopIfTrue="1" text="" percent="0" bottom="0">
      <formula>AND(ISNUMBER(L105),COUNTIFS('Data - Monthly Metrics'!$A:$A,$B$4,'Data - Monthly Metrics'!$B:$B,L$8,'Data - Monthly Metrics'!$C:$C,"Pierce",'Data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Metrics'!$C:$C,"Pierce",'Data - Monthly Metrics'!$D:$D,"Goal - Penetration %")&gt;0,N105&gt;=SUMIFS('Data - Monthly Metrics'!$E:$E,'Data - Monthly Metrics'!$A:$A,$B$4,'Data - Monthly Metrics'!$B:$B,N$8,'Data - Monthly Metrics'!$C:$C,"Pierce",'Data - Monthly Metrics'!$D:$D,"Goal - Penetration %"))</formula>
    </cfRule>
    <cfRule type="expression" rank="0" priority="254" equalAverage="0" aboveAverage="0" dxfId="2" stopIfTrue="1" text="" percent="0" bottom="0">
      <formula>AND(ISNUMBER(N105),COUNTIFS('Data - Monthly Metrics'!$A:$A,$B$4,'Data - Monthly Metrics'!$B:$B,N$8,'Data - Monthly Metrics'!$C:$C,"Pierce",'Data - Monthly Metrics'!$D:$D,"Goal - Penetration %")&gt;0,N105&gt;=SUMIFS('Data - Monthly Metrics'!$E:$E,'Data - Monthly Metrics'!$A:$A,$B$4,'Data - Monthly Metrics'!$B:$B,N$8,'Data - Monthly Metrics'!$C:$C,"Pierce",'Data - Monthly Metrics'!$D:$D,"Goal - Penetration %")-0.05)</formula>
    </cfRule>
    <cfRule type="expression" rank="0" priority="255" equalAverage="0" aboveAverage="0" dxfId="1" stopIfTrue="1" text="" percent="0" bottom="0">
      <formula>AND(ISNUMBER(N105),COUNTIFS('Data - Monthly Metrics'!$A:$A,$B$4,'Data - Monthly Metrics'!$B:$B,N$8,'Data - Monthly Metrics'!$C:$C,"Pierce",'Data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Metrics'!$C:$C,"Pierce",'Data - Monthly Metrics'!$D:$D,"Goal - Penetration %")&gt;0,O105&gt;=SUMIFS('Data - Monthly Metrics'!$E:$E,'Data - Monthly Metrics'!$A:$A,$B$4,'Data - Monthly Metrics'!$B:$B,O$8,'Data - Monthly Metrics'!$C:$C,"Pierce",'Data - Monthly Metrics'!$D:$D,"Goal - Penetration %"))</formula>
    </cfRule>
    <cfRule type="expression" rank="0" priority="257" equalAverage="0" aboveAverage="0" dxfId="2" stopIfTrue="1" text="" percent="0" bottom="0">
      <formula>AND(ISNUMBER(O105),COUNTIFS('Data - Monthly Metrics'!$A:$A,$B$4,'Data - Monthly Metrics'!$B:$B,O$8,'Data - Monthly Metrics'!$C:$C,"Pierce",'Data - Monthly Metrics'!$D:$D,"Goal - Penetration %")&gt;0,O105&gt;=SUMIFS('Data - Monthly Metrics'!$E:$E,'Data - Monthly Metrics'!$A:$A,$B$4,'Data - Monthly Metrics'!$B:$B,O$8,'Data - Monthly Metrics'!$C:$C,"Pierce",'Data - Monthly Metrics'!$D:$D,"Goal - Penetration %")-0.05)</formula>
    </cfRule>
    <cfRule type="expression" rank="0" priority="258" equalAverage="0" aboveAverage="0" dxfId="1" stopIfTrue="1" text="" percent="0" bottom="0">
      <formula>AND(ISNUMBER(O105),COUNTIFS('Data - Monthly Metrics'!$A:$A,$B$4,'Data - Monthly Metrics'!$B:$B,O$8,'Data - Monthly Metrics'!$C:$C,"Pierce",'Data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Metrics'!$C:$C,"Pierce",'Data - Monthly Metrics'!$D:$D,"Goal - Penetration %")&gt;0,P105&gt;=SUMIFS('Data - Monthly Metrics'!$E:$E,'Data - Monthly Metrics'!$A:$A,$B$4,'Data - Monthly Metrics'!$B:$B,P$8,'Data - Monthly Metrics'!$C:$C,"Pierce",'Data - Monthly Metrics'!$D:$D,"Goal - Penetration %"))</formula>
    </cfRule>
    <cfRule type="expression" rank="0" priority="260" equalAverage="0" aboveAverage="0" dxfId="2" stopIfTrue="1" text="" percent="0" bottom="0">
      <formula>AND(ISNUMBER(P105),COUNTIFS('Data - Monthly Metrics'!$A:$A,$B$4,'Data - Monthly Metrics'!$B:$B,P$8,'Data - Monthly Metrics'!$C:$C,"Pierce",'Data - Monthly Metrics'!$D:$D,"Goal - Penetration %")&gt;0,P105&gt;=SUMIFS('Data - Monthly Metrics'!$E:$E,'Data - Monthly Metrics'!$A:$A,$B$4,'Data - Monthly Metrics'!$B:$B,P$8,'Data - Monthly Metrics'!$C:$C,"Pierce",'Data - Monthly Metrics'!$D:$D,"Goal - Penetration %")-0.05)</formula>
    </cfRule>
    <cfRule type="expression" rank="0" priority="261" equalAverage="0" aboveAverage="0" dxfId="1" stopIfTrue="1" text="" percent="0" bottom="0">
      <formula>AND(ISNUMBER(P105),COUNTIFS('Data - Monthly Metrics'!$A:$A,$B$4,'Data - Monthly Metrics'!$B:$B,P$8,'Data - Monthly Metrics'!$C:$C,"Pierce",'Data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Metrics'!$C:$C,"Pierce",'Data - Monthly Metrics'!$D:$D,"Goal - Penetration %")&gt;0,B106&gt;=SUMIFS('Data - Monthly Metrics'!$E:$E,'Data - Monthly Metrics'!$A:$A,$B$4-1,'Data - Monthly Metrics'!$B:$B,B$8,'Data - Monthly Metrics'!$C:$C,"Pierce",'Data - Monthly Metrics'!$D:$D,"Goal - Penetration %"))</formula>
    </cfRule>
    <cfRule type="expression" rank="0" priority="263" equalAverage="0" aboveAverage="0" dxfId="2" stopIfTrue="1" text="" percent="0" bottom="0">
      <formula>AND(ISNUMBER(B106),COUNTIFS('Data - Monthly Metrics'!$A:$A,$B$4-1,'Data - Monthly Metrics'!$B:$B,B$8,'Data - Monthly Metrics'!$C:$C,"Pierce",'Data - Monthly Metrics'!$D:$D,"Goal - Penetration %")&gt;0,B106&gt;=SUMIFS('Data - Monthly Metrics'!$E:$E,'Data - Monthly Metrics'!$A:$A,$B$4-1,'Data - Monthly Metrics'!$B:$B,B$8,'Data - Monthly Metrics'!$C:$C,"Pierce",'Data - Monthly Metrics'!$D:$D,"Goal - Penetration %")-0.05)</formula>
    </cfRule>
    <cfRule type="expression" rank="0" priority="264" equalAverage="0" aboveAverage="0" dxfId="1" stopIfTrue="1" text="" percent="0" bottom="0">
      <formula>AND(ISNUMBER(B106),COUNTIFS('Data - Monthly Metrics'!$A:$A,$B$4-1,'Data - Monthly Metrics'!$B:$B,B$8,'Data - Monthly Metrics'!$C:$C,"Pierce",'Data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Metrics'!$C:$C,"Pierce",'Data - Monthly Metrics'!$D:$D,"Goal - Penetration %")&gt;0,C106&gt;=SUMIFS('Data - Monthly Metrics'!$E:$E,'Data - Monthly Metrics'!$A:$A,$B$4-1,'Data - Monthly Metrics'!$B:$B,C$8,'Data - Monthly Metrics'!$C:$C,"Pierce",'Data - Monthly Metrics'!$D:$D,"Goal - Penetration %"))</formula>
    </cfRule>
    <cfRule type="expression" rank="0" priority="266" equalAverage="0" aboveAverage="0" dxfId="2" stopIfTrue="1" text="" percent="0" bottom="0">
      <formula>AND(ISNUMBER(C106),COUNTIFS('Data - Monthly Metrics'!$A:$A,$B$4-1,'Data - Monthly Metrics'!$B:$B,C$8,'Data - Monthly Metrics'!$C:$C,"Pierce",'Data - Monthly Metrics'!$D:$D,"Goal - Penetration %")&gt;0,C106&gt;=SUMIFS('Data - Monthly Metrics'!$E:$E,'Data - Monthly Metrics'!$A:$A,$B$4-1,'Data - Monthly Metrics'!$B:$B,C$8,'Data - Monthly Metrics'!$C:$C,"Pierce",'Data - Monthly Metrics'!$D:$D,"Goal - Penetration %")-0.05)</formula>
    </cfRule>
    <cfRule type="expression" rank="0" priority="267" equalAverage="0" aboveAverage="0" dxfId="1" stopIfTrue="1" text="" percent="0" bottom="0">
      <formula>AND(ISNUMBER(C106),COUNTIFS('Data - Monthly Metrics'!$A:$A,$B$4-1,'Data - Monthly Metrics'!$B:$B,C$8,'Data - Monthly Metrics'!$C:$C,"Pierce",'Data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Metrics'!$C:$C,"Pierce",'Data - Monthly Metrics'!$D:$D,"Goal - Penetration %")&gt;0,D106&gt;=SUMIFS('Data - Monthly Metrics'!$E:$E,'Data - Monthly Metrics'!$A:$A,$B$4-1,'Data - Monthly Metrics'!$B:$B,D$8,'Data - Monthly Metrics'!$C:$C,"Pierce",'Data - Monthly Metrics'!$D:$D,"Goal - Penetration %"))</formula>
    </cfRule>
    <cfRule type="expression" rank="0" priority="269" equalAverage="0" aboveAverage="0" dxfId="2" stopIfTrue="1" text="" percent="0" bottom="0">
      <formula>AND(ISNUMBER(D106),COUNTIFS('Data - Monthly Metrics'!$A:$A,$B$4-1,'Data - Monthly Metrics'!$B:$B,D$8,'Data - Monthly Metrics'!$C:$C,"Pierce",'Data - Monthly Metrics'!$D:$D,"Goal - Penetration %")&gt;0,D106&gt;=SUMIFS('Data - Monthly Metrics'!$E:$E,'Data - Monthly Metrics'!$A:$A,$B$4-1,'Data - Monthly Metrics'!$B:$B,D$8,'Data - Monthly Metrics'!$C:$C,"Pierce",'Data - Monthly Metrics'!$D:$D,"Goal - Penetration %")-0.05)</formula>
    </cfRule>
    <cfRule type="expression" rank="0" priority="270" equalAverage="0" aboveAverage="0" dxfId="1" stopIfTrue="1" text="" percent="0" bottom="0">
      <formula>AND(ISNUMBER(D106),COUNTIFS('Data - Monthly Metrics'!$A:$A,$B$4-1,'Data - Monthly Metrics'!$B:$B,D$8,'Data - Monthly Metrics'!$C:$C,"Pierce",'Data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Metrics'!$C:$C,"Pierce",'Data - Monthly Metrics'!$D:$D,"Goal - Penetration %")&gt;0,F106&gt;=SUMIFS('Data - Monthly Metrics'!$E:$E,'Data - Monthly Metrics'!$A:$A,$B$4,'Data - Monthly Metrics'!$B:$B,F$8,'Data - Monthly Metrics'!$C:$C,"Pierce",'Data - Monthly Metrics'!$D:$D,"Goal - Penetration %"))</formula>
    </cfRule>
    <cfRule type="expression" rank="0" priority="272" equalAverage="0" aboveAverage="0" dxfId="2" stopIfTrue="1" text="" percent="0" bottom="0">
      <formula>AND(ISNUMBER(F106),COUNTIFS('Data - Monthly Metrics'!$A:$A,$B$4,'Data - Monthly Metrics'!$B:$B,F$8,'Data - Monthly Metrics'!$C:$C,"Pierce",'Data - Monthly Metrics'!$D:$D,"Goal - Penetration %")&gt;0,F106&gt;=SUMIFS('Data - Monthly Metrics'!$E:$E,'Data - Monthly Metrics'!$A:$A,$B$4,'Data - Monthly Metrics'!$B:$B,F$8,'Data - Monthly Metrics'!$C:$C,"Pierce",'Data - Monthly Metrics'!$D:$D,"Goal - Penetration %")-0.05)</formula>
    </cfRule>
    <cfRule type="expression" rank="0" priority="273" equalAverage="0" aboveAverage="0" dxfId="1" stopIfTrue="1" text="" percent="0" bottom="0">
      <formula>AND(ISNUMBER(F106),COUNTIFS('Data - Monthly Metrics'!$A:$A,$B$4,'Data - Monthly Metrics'!$B:$B,F$8,'Data - Monthly Metrics'!$C:$C,"Pierce",'Data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Metrics'!$C:$C,"Pierce",'Data - Monthly Metrics'!$D:$D,"Goal - Penetration %")&gt;0,G106&gt;=SUMIFS('Data - Monthly Metrics'!$E:$E,'Data - Monthly Metrics'!$A:$A,$B$4,'Data - Monthly Metrics'!$B:$B,G$8,'Data - Monthly Metrics'!$C:$C,"Pierce",'Data - Monthly Metrics'!$D:$D,"Goal - Penetration %"))</formula>
    </cfRule>
    <cfRule type="expression" rank="0" priority="275" equalAverage="0" aboveAverage="0" dxfId="2" stopIfTrue="1" text="" percent="0" bottom="0">
      <formula>AND(ISNUMBER(G106),COUNTIFS('Data - Monthly Metrics'!$A:$A,$B$4,'Data - Monthly Metrics'!$B:$B,G$8,'Data - Monthly Metrics'!$C:$C,"Pierce",'Data - Monthly Metrics'!$D:$D,"Goal - Penetration %")&gt;0,G106&gt;=SUMIFS('Data - Monthly Metrics'!$E:$E,'Data - Monthly Metrics'!$A:$A,$B$4,'Data - Monthly Metrics'!$B:$B,G$8,'Data - Monthly Metrics'!$C:$C,"Pierce",'Data - Monthly Metrics'!$D:$D,"Goal - Penetration %")-0.05)</formula>
    </cfRule>
    <cfRule type="expression" rank="0" priority="276" equalAverage="0" aboveAverage="0" dxfId="1" stopIfTrue="1" text="" percent="0" bottom="0">
      <formula>AND(ISNUMBER(G106),COUNTIFS('Data - Monthly Metrics'!$A:$A,$B$4,'Data - Monthly Metrics'!$B:$B,G$8,'Data - Monthly Metrics'!$C:$C,"Pierce",'Data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Metrics'!$C:$C,"Pierce",'Data - Monthly Metrics'!$D:$D,"Goal - Penetration %")&gt;0,H106&gt;=SUMIFS('Data - Monthly Metrics'!$E:$E,'Data - Monthly Metrics'!$A:$A,$B$4,'Data - Monthly Metrics'!$B:$B,H$8,'Data - Monthly Metrics'!$C:$C,"Pierce",'Data - Monthly Metrics'!$D:$D,"Goal - Penetration %"))</formula>
    </cfRule>
    <cfRule type="expression" rank="0" priority="278" equalAverage="0" aboveAverage="0" dxfId="2" stopIfTrue="1" text="" percent="0" bottom="0">
      <formula>AND(ISNUMBER(H106),COUNTIFS('Data - Monthly Metrics'!$A:$A,$B$4,'Data - Monthly Metrics'!$B:$B,H$8,'Data - Monthly Metrics'!$C:$C,"Pierce",'Data - Monthly Metrics'!$D:$D,"Goal - Penetration %")&gt;0,H106&gt;=SUMIFS('Data - Monthly Metrics'!$E:$E,'Data - Monthly Metrics'!$A:$A,$B$4,'Data - Monthly Metrics'!$B:$B,H$8,'Data - Monthly Metrics'!$C:$C,"Pierce",'Data - Monthly Metrics'!$D:$D,"Goal - Penetration %")-0.05)</formula>
    </cfRule>
    <cfRule type="expression" rank="0" priority="279" equalAverage="0" aboveAverage="0" dxfId="1" stopIfTrue="1" text="" percent="0" bottom="0">
      <formula>AND(ISNUMBER(H106),COUNTIFS('Data - Monthly Metrics'!$A:$A,$B$4,'Data - Monthly Metrics'!$B:$B,H$8,'Data - Monthly Metrics'!$C:$C,"Pierce",'Data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Metrics'!$C:$C,"Pierce",'Data - Monthly Metrics'!$D:$D,"Goal - Penetration %")&gt;0,J106&gt;=SUMIFS('Data - Monthly Metrics'!$E:$E,'Data - Monthly Metrics'!$A:$A,$B$4,'Data - Monthly Metrics'!$B:$B,J$8,'Data - Monthly Metrics'!$C:$C,"Pierce",'Data - Monthly Metrics'!$D:$D,"Goal - Penetration %"))</formula>
    </cfRule>
    <cfRule type="expression" rank="0" priority="281" equalAverage="0" aboveAverage="0" dxfId="2" stopIfTrue="1" text="" percent="0" bottom="0">
      <formula>AND(ISNUMBER(J106),COUNTIFS('Data - Monthly Metrics'!$A:$A,$B$4,'Data - Monthly Metrics'!$B:$B,J$8,'Data - Monthly Metrics'!$C:$C,"Pierce",'Data - Monthly Metrics'!$D:$D,"Goal - Penetration %")&gt;0,J106&gt;=SUMIFS('Data - Monthly Metrics'!$E:$E,'Data - Monthly Metrics'!$A:$A,$B$4,'Data - Monthly Metrics'!$B:$B,J$8,'Data - Monthly Metrics'!$C:$C,"Pierce",'Data - Monthly Metrics'!$D:$D,"Goal - Penetration %")-0.05)</formula>
    </cfRule>
    <cfRule type="expression" rank="0" priority="282" equalAverage="0" aboveAverage="0" dxfId="1" stopIfTrue="1" text="" percent="0" bottom="0">
      <formula>AND(ISNUMBER(J106),COUNTIFS('Data - Monthly Metrics'!$A:$A,$B$4,'Data - Monthly Metrics'!$B:$B,J$8,'Data - Monthly Metrics'!$C:$C,"Pierce",'Data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Metrics'!$C:$C,"Pierce",'Data - Monthly Metrics'!$D:$D,"Goal - Penetration %")&gt;0,K106&gt;=SUMIFS('Data - Monthly Metrics'!$E:$E,'Data - Monthly Metrics'!$A:$A,$B$4,'Data - Monthly Metrics'!$B:$B,K$8,'Data - Monthly Metrics'!$C:$C,"Pierce",'Data - Monthly Metrics'!$D:$D,"Goal - Penetration %"))</formula>
    </cfRule>
    <cfRule type="expression" rank="0" priority="284" equalAverage="0" aboveAverage="0" dxfId="2" stopIfTrue="1" text="" percent="0" bottom="0">
      <formula>AND(ISNUMBER(K106),COUNTIFS('Data - Monthly Metrics'!$A:$A,$B$4,'Data - Monthly Metrics'!$B:$B,K$8,'Data - Monthly Metrics'!$C:$C,"Pierce",'Data - Monthly Metrics'!$D:$D,"Goal - Penetration %")&gt;0,K106&gt;=SUMIFS('Data - Monthly Metrics'!$E:$E,'Data - Monthly Metrics'!$A:$A,$B$4,'Data - Monthly Metrics'!$B:$B,K$8,'Data - Monthly Metrics'!$C:$C,"Pierce",'Data - Monthly Metrics'!$D:$D,"Goal - Penetration %")-0.05)</formula>
    </cfRule>
    <cfRule type="expression" rank="0" priority="285" equalAverage="0" aboveAverage="0" dxfId="1" stopIfTrue="1" text="" percent="0" bottom="0">
      <formula>AND(ISNUMBER(K106),COUNTIFS('Data - Monthly Metrics'!$A:$A,$B$4,'Data - Monthly Metrics'!$B:$B,K$8,'Data - Monthly Metrics'!$C:$C,"Pierce",'Data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Metrics'!$C:$C,"Pierce",'Data - Monthly Metrics'!$D:$D,"Goal - Penetration %")&gt;0,L106&gt;=SUMIFS('Data - Monthly Metrics'!$E:$E,'Data - Monthly Metrics'!$A:$A,$B$4,'Data - Monthly Metrics'!$B:$B,L$8,'Data - Monthly Metrics'!$C:$C,"Pierce",'Data - Monthly Metrics'!$D:$D,"Goal - Penetration %"))</formula>
    </cfRule>
    <cfRule type="expression" rank="0" priority="287" equalAverage="0" aboveAverage="0" dxfId="2" stopIfTrue="1" text="" percent="0" bottom="0">
      <formula>AND(ISNUMBER(L106),COUNTIFS('Data - Monthly Metrics'!$A:$A,$B$4,'Data - Monthly Metrics'!$B:$B,L$8,'Data - Monthly Metrics'!$C:$C,"Pierce",'Data - Monthly Metrics'!$D:$D,"Goal - Penetration %")&gt;0,L106&gt;=SUMIFS('Data - Monthly Metrics'!$E:$E,'Data - Monthly Metrics'!$A:$A,$B$4,'Data - Monthly Metrics'!$B:$B,L$8,'Data - Monthly Metrics'!$C:$C,"Pierce",'Data - Monthly Metrics'!$D:$D,"Goal - Penetration %")-0.05)</formula>
    </cfRule>
    <cfRule type="expression" rank="0" priority="288" equalAverage="0" aboveAverage="0" dxfId="1" stopIfTrue="1" text="" percent="0" bottom="0">
      <formula>AND(ISNUMBER(L106),COUNTIFS('Data - Monthly Metrics'!$A:$A,$B$4,'Data - Monthly Metrics'!$B:$B,L$8,'Data - Monthly Metrics'!$C:$C,"Pierce",'Data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Metrics'!$C:$C,"Pierce",'Data - Monthly Metrics'!$D:$D,"Goal - Penetration %")&gt;0,N106&gt;=SUMIFS('Data - Monthly Metrics'!$E:$E,'Data - Monthly Metrics'!$A:$A,$B$4,'Data - Monthly Metrics'!$B:$B,N$8,'Data - Monthly Metrics'!$C:$C,"Pierce",'Data - Monthly Metrics'!$D:$D,"Goal - Penetration %"))</formula>
    </cfRule>
    <cfRule type="expression" rank="0" priority="290" equalAverage="0" aboveAverage="0" dxfId="2" stopIfTrue="1" text="" percent="0" bottom="0">
      <formula>AND(ISNUMBER(N106),COUNTIFS('Data - Monthly Metrics'!$A:$A,$B$4,'Data - Monthly Metrics'!$B:$B,N$8,'Data - Monthly Metrics'!$C:$C,"Pierce",'Data - Monthly Metrics'!$D:$D,"Goal - Penetration %")&gt;0,N106&gt;=SUMIFS('Data - Monthly Metrics'!$E:$E,'Data - Monthly Metrics'!$A:$A,$B$4,'Data - Monthly Metrics'!$B:$B,N$8,'Data - Monthly Metrics'!$C:$C,"Pierce",'Data - Monthly Metrics'!$D:$D,"Goal - Penetration %")-0.05)</formula>
    </cfRule>
    <cfRule type="expression" rank="0" priority="291" equalAverage="0" aboveAverage="0" dxfId="1" stopIfTrue="1" text="" percent="0" bottom="0">
      <formula>AND(ISNUMBER(N106),COUNTIFS('Data - Monthly Metrics'!$A:$A,$B$4,'Data - Monthly Metrics'!$B:$B,N$8,'Data - Monthly Metrics'!$C:$C,"Pierce",'Data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Metrics'!$C:$C,"Pierce",'Data - Monthly Metrics'!$D:$D,"Goal - Penetration %")&gt;0,O106&gt;=SUMIFS('Data - Monthly Metrics'!$E:$E,'Data - Monthly Metrics'!$A:$A,$B$4,'Data - Monthly Metrics'!$B:$B,O$8,'Data - Monthly Metrics'!$C:$C,"Pierce",'Data - Monthly Metrics'!$D:$D,"Goal - Penetration %"))</formula>
    </cfRule>
    <cfRule type="expression" rank="0" priority="293" equalAverage="0" aboveAverage="0" dxfId="2" stopIfTrue="1" text="" percent="0" bottom="0">
      <formula>AND(ISNUMBER(O106),COUNTIFS('Data - Monthly Metrics'!$A:$A,$B$4,'Data - Monthly Metrics'!$B:$B,O$8,'Data - Monthly Metrics'!$C:$C,"Pierce",'Data - Monthly Metrics'!$D:$D,"Goal - Penetration %")&gt;0,O106&gt;=SUMIFS('Data - Monthly Metrics'!$E:$E,'Data - Monthly Metrics'!$A:$A,$B$4,'Data - Monthly Metrics'!$B:$B,O$8,'Data - Monthly Metrics'!$C:$C,"Pierce",'Data - Monthly Metrics'!$D:$D,"Goal - Penetration %")-0.05)</formula>
    </cfRule>
    <cfRule type="expression" rank="0" priority="294" equalAverage="0" aboveAverage="0" dxfId="1" stopIfTrue="1" text="" percent="0" bottom="0">
      <formula>AND(ISNUMBER(O106),COUNTIFS('Data - Monthly Metrics'!$A:$A,$B$4,'Data - Monthly Metrics'!$B:$B,O$8,'Data - Monthly Metrics'!$C:$C,"Pierce",'Data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Metrics'!$C:$C,"Pierce",'Data - Monthly Metrics'!$D:$D,"Goal - Penetration %")&gt;0,P106&gt;=SUMIFS('Data - Monthly Metrics'!$E:$E,'Data - Monthly Metrics'!$A:$A,$B$4,'Data - Monthly Metrics'!$B:$B,P$8,'Data - Monthly Metrics'!$C:$C,"Pierce",'Data - Monthly Metrics'!$D:$D,"Goal - Penetration %"))</formula>
    </cfRule>
    <cfRule type="expression" rank="0" priority="296" equalAverage="0" aboveAverage="0" dxfId="2" stopIfTrue="1" text="" percent="0" bottom="0">
      <formula>AND(ISNUMBER(P106),COUNTIFS('Data - Monthly Metrics'!$A:$A,$B$4,'Data - Monthly Metrics'!$B:$B,P$8,'Data - Monthly Metrics'!$C:$C,"Pierce",'Data - Monthly Metrics'!$D:$D,"Goal - Penetration %")&gt;0,P106&gt;=SUMIFS('Data - Monthly Metrics'!$E:$E,'Data - Monthly Metrics'!$A:$A,$B$4,'Data - Monthly Metrics'!$B:$B,P$8,'Data - Monthly Metrics'!$C:$C,"Pierce",'Data - Monthly Metrics'!$D:$D,"Goal - Penetration %")-0.05)</formula>
    </cfRule>
    <cfRule type="expression" rank="0" priority="297" equalAverage="0" aboveAverage="0" dxfId="1" stopIfTrue="1" text="" percent="0" bottom="0">
      <formula>AND(ISNUMBER(P106),COUNTIFS('Data - Monthly Metrics'!$A:$A,$B$4,'Data - Monthly Metrics'!$B:$B,P$8,'Data - Monthly Metrics'!$C:$C,"Pierce",'Data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Metrics'!$C:$C,"Pierce",'Data - Monthly Metrics'!$D:$D,"Goal - Penetration %")&gt;0,B107&gt;=SUMIFS('Data - Monthly Metrics'!$E:$E,'Data - Monthly Metrics'!$A:$A,$B$4-1,'Data - Monthly Metrics'!$B:$B,B$8,'Data - Monthly Metrics'!$C:$C,"Pierce",'Data - Monthly Metrics'!$D:$D,"Goal - Penetration %"))</formula>
    </cfRule>
    <cfRule type="expression" rank="0" priority="299" equalAverage="0" aboveAverage="0" dxfId="2" stopIfTrue="1" text="" percent="0" bottom="0">
      <formula>AND(ISNUMBER(B107),COUNTIFS('Data - Monthly Metrics'!$A:$A,$B$4-1,'Data - Monthly Metrics'!$B:$B,B$8,'Data - Monthly Metrics'!$C:$C,"Pierce",'Data - Monthly Metrics'!$D:$D,"Goal - Penetration %")&gt;0,B107&gt;=SUMIFS('Data - Monthly Metrics'!$E:$E,'Data - Monthly Metrics'!$A:$A,$B$4-1,'Data - Monthly Metrics'!$B:$B,B$8,'Data - Monthly Metrics'!$C:$C,"Pierce",'Data - Monthly Metrics'!$D:$D,"Goal - Penetration %")-0.05)</formula>
    </cfRule>
    <cfRule type="expression" rank="0" priority="300" equalAverage="0" aboveAverage="0" dxfId="1" stopIfTrue="1" text="" percent="0" bottom="0">
      <formula>AND(ISNUMBER(B107),COUNTIFS('Data - Monthly Metrics'!$A:$A,$B$4-1,'Data - Monthly Metrics'!$B:$B,B$8,'Data - Monthly Metrics'!$C:$C,"Pierce",'Data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Metrics'!$C:$C,"Pierce",'Data - Monthly Metrics'!$D:$D,"Goal - Penetration %")&gt;0,C107&gt;=SUMIFS('Data - Monthly Metrics'!$E:$E,'Data - Monthly Metrics'!$A:$A,$B$4-1,'Data - Monthly Metrics'!$B:$B,C$8,'Data - Monthly Metrics'!$C:$C,"Pierce",'Data - Monthly Metrics'!$D:$D,"Goal - Penetration %"))</formula>
    </cfRule>
    <cfRule type="expression" rank="0" priority="302" equalAverage="0" aboveAverage="0" dxfId="2" stopIfTrue="1" text="" percent="0" bottom="0">
      <formula>AND(ISNUMBER(C107),COUNTIFS('Data - Monthly Metrics'!$A:$A,$B$4-1,'Data - Monthly Metrics'!$B:$B,C$8,'Data - Monthly Metrics'!$C:$C,"Pierce",'Data - Monthly Metrics'!$D:$D,"Goal - Penetration %")&gt;0,C107&gt;=SUMIFS('Data - Monthly Metrics'!$E:$E,'Data - Monthly Metrics'!$A:$A,$B$4-1,'Data - Monthly Metrics'!$B:$B,C$8,'Data - Monthly Metrics'!$C:$C,"Pierce",'Data - Monthly Metrics'!$D:$D,"Goal - Penetration %")-0.05)</formula>
    </cfRule>
    <cfRule type="expression" rank="0" priority="303" equalAverage="0" aboveAverage="0" dxfId="1" stopIfTrue="1" text="" percent="0" bottom="0">
      <formula>AND(ISNUMBER(C107),COUNTIFS('Data - Monthly Metrics'!$A:$A,$B$4-1,'Data - Monthly Metrics'!$B:$B,C$8,'Data - Monthly Metrics'!$C:$C,"Pierce",'Data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Metrics'!$C:$C,"Pierce",'Data - Monthly Metrics'!$D:$D,"Goal - Penetration %")&gt;0,D107&gt;=SUMIFS('Data - Monthly Metrics'!$E:$E,'Data - Monthly Metrics'!$A:$A,$B$4-1,'Data - Monthly Metrics'!$B:$B,D$8,'Data - Monthly Metrics'!$C:$C,"Pierce",'Data - Monthly Metrics'!$D:$D,"Goal - Penetration %"))</formula>
    </cfRule>
    <cfRule type="expression" rank="0" priority="305" equalAverage="0" aboveAverage="0" dxfId="2" stopIfTrue="1" text="" percent="0" bottom="0">
      <formula>AND(ISNUMBER(D107),COUNTIFS('Data - Monthly Metrics'!$A:$A,$B$4-1,'Data - Monthly Metrics'!$B:$B,D$8,'Data - Monthly Metrics'!$C:$C,"Pierce",'Data - Monthly Metrics'!$D:$D,"Goal - Penetration %")&gt;0,D107&gt;=SUMIFS('Data - Monthly Metrics'!$E:$E,'Data - Monthly Metrics'!$A:$A,$B$4-1,'Data - Monthly Metrics'!$B:$B,D$8,'Data - Monthly Metrics'!$C:$C,"Pierce",'Data - Monthly Metrics'!$D:$D,"Goal - Penetration %")-0.05)</formula>
    </cfRule>
    <cfRule type="expression" rank="0" priority="306" equalAverage="0" aboveAverage="0" dxfId="1" stopIfTrue="1" text="" percent="0" bottom="0">
      <formula>AND(ISNUMBER(D107),COUNTIFS('Data - Monthly Metrics'!$A:$A,$B$4-1,'Data - Monthly Metrics'!$B:$B,D$8,'Data - Monthly Metrics'!$C:$C,"Pierce",'Data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Metrics'!$C:$C,"Pierce",'Data - Monthly Metrics'!$D:$D,"Goal - Penetration %")&gt;0,F107&gt;=SUMIFS('Data - Monthly Metrics'!$E:$E,'Data - Monthly Metrics'!$A:$A,$B$4,'Data - Monthly Metrics'!$B:$B,F$8,'Data - Monthly Metrics'!$C:$C,"Pierce",'Data - Monthly Metrics'!$D:$D,"Goal - Penetration %"))</formula>
    </cfRule>
    <cfRule type="expression" rank="0" priority="308" equalAverage="0" aboveAverage="0" dxfId="2" stopIfTrue="1" text="" percent="0" bottom="0">
      <formula>AND(ISNUMBER(F107),COUNTIFS('Data - Monthly Metrics'!$A:$A,$B$4,'Data - Monthly Metrics'!$B:$B,F$8,'Data - Monthly Metrics'!$C:$C,"Pierce",'Data - Monthly Metrics'!$D:$D,"Goal - Penetration %")&gt;0,F107&gt;=SUMIFS('Data - Monthly Metrics'!$E:$E,'Data - Monthly Metrics'!$A:$A,$B$4,'Data - Monthly Metrics'!$B:$B,F$8,'Data - Monthly Metrics'!$C:$C,"Pierce",'Data - Monthly Metrics'!$D:$D,"Goal - Penetration %")-0.05)</formula>
    </cfRule>
    <cfRule type="expression" rank="0" priority="309" equalAverage="0" aboveAverage="0" dxfId="1" stopIfTrue="1" text="" percent="0" bottom="0">
      <formula>AND(ISNUMBER(F107),COUNTIFS('Data - Monthly Metrics'!$A:$A,$B$4,'Data - Monthly Metrics'!$B:$B,F$8,'Data - Monthly Metrics'!$C:$C,"Pierce",'Data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Metrics'!$C:$C,"Pierce",'Data - Monthly Metrics'!$D:$D,"Goal - Penetration %")&gt;0,G107&gt;=SUMIFS('Data - Monthly Metrics'!$E:$E,'Data - Monthly Metrics'!$A:$A,$B$4,'Data - Monthly Metrics'!$B:$B,G$8,'Data - Monthly Metrics'!$C:$C,"Pierce",'Data - Monthly Metrics'!$D:$D,"Goal - Penetration %"))</formula>
    </cfRule>
    <cfRule type="expression" rank="0" priority="311" equalAverage="0" aboveAverage="0" dxfId="2" stopIfTrue="1" text="" percent="0" bottom="0">
      <formula>AND(ISNUMBER(G107),COUNTIFS('Data - Monthly Metrics'!$A:$A,$B$4,'Data - Monthly Metrics'!$B:$B,G$8,'Data - Monthly Metrics'!$C:$C,"Pierce",'Data - Monthly Metrics'!$D:$D,"Goal - Penetration %")&gt;0,G107&gt;=SUMIFS('Data - Monthly Metrics'!$E:$E,'Data - Monthly Metrics'!$A:$A,$B$4,'Data - Monthly Metrics'!$B:$B,G$8,'Data - Monthly Metrics'!$C:$C,"Pierce",'Data - Monthly Metrics'!$D:$D,"Goal - Penetration %")-0.05)</formula>
    </cfRule>
    <cfRule type="expression" rank="0" priority="312" equalAverage="0" aboveAverage="0" dxfId="1" stopIfTrue="1" text="" percent="0" bottom="0">
      <formula>AND(ISNUMBER(G107),COUNTIFS('Data - Monthly Metrics'!$A:$A,$B$4,'Data - Monthly Metrics'!$B:$B,G$8,'Data - Monthly Metrics'!$C:$C,"Pierce",'Data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Metrics'!$C:$C,"Pierce",'Data - Monthly Metrics'!$D:$D,"Goal - Penetration %")&gt;0,H107&gt;=SUMIFS('Data - Monthly Metrics'!$E:$E,'Data - Monthly Metrics'!$A:$A,$B$4,'Data - Monthly Metrics'!$B:$B,H$8,'Data - Monthly Metrics'!$C:$C,"Pierce",'Data - Monthly Metrics'!$D:$D,"Goal - Penetration %"))</formula>
    </cfRule>
    <cfRule type="expression" rank="0" priority="314" equalAverage="0" aboveAverage="0" dxfId="2" stopIfTrue="1" text="" percent="0" bottom="0">
      <formula>AND(ISNUMBER(H107),COUNTIFS('Data - Monthly Metrics'!$A:$A,$B$4,'Data - Monthly Metrics'!$B:$B,H$8,'Data - Monthly Metrics'!$C:$C,"Pierce",'Data - Monthly Metrics'!$D:$D,"Goal - Penetration %")&gt;0,H107&gt;=SUMIFS('Data - Monthly Metrics'!$E:$E,'Data - Monthly Metrics'!$A:$A,$B$4,'Data - Monthly Metrics'!$B:$B,H$8,'Data - Monthly Metrics'!$C:$C,"Pierce",'Data - Monthly Metrics'!$D:$D,"Goal - Penetration %")-0.05)</formula>
    </cfRule>
    <cfRule type="expression" rank="0" priority="315" equalAverage="0" aboveAverage="0" dxfId="1" stopIfTrue="1" text="" percent="0" bottom="0">
      <formula>AND(ISNUMBER(H107),COUNTIFS('Data - Monthly Metrics'!$A:$A,$B$4,'Data - Monthly Metrics'!$B:$B,H$8,'Data - Monthly Metrics'!$C:$C,"Pierce",'Data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Metrics'!$C:$C,"Pierce",'Data - Monthly Metrics'!$D:$D,"Goal - Penetration %")&gt;0,J107&gt;=SUMIFS('Data - Monthly Metrics'!$E:$E,'Data - Monthly Metrics'!$A:$A,$B$4,'Data - Monthly Metrics'!$B:$B,J$8,'Data - Monthly Metrics'!$C:$C,"Pierce",'Data - Monthly Metrics'!$D:$D,"Goal - Penetration %"))</formula>
    </cfRule>
    <cfRule type="expression" rank="0" priority="317" equalAverage="0" aboveAverage="0" dxfId="2" stopIfTrue="1" text="" percent="0" bottom="0">
      <formula>AND(ISNUMBER(J107),COUNTIFS('Data - Monthly Metrics'!$A:$A,$B$4,'Data - Monthly Metrics'!$B:$B,J$8,'Data - Monthly Metrics'!$C:$C,"Pierce",'Data - Monthly Metrics'!$D:$D,"Goal - Penetration %")&gt;0,J107&gt;=SUMIFS('Data - Monthly Metrics'!$E:$E,'Data - Monthly Metrics'!$A:$A,$B$4,'Data - Monthly Metrics'!$B:$B,J$8,'Data - Monthly Metrics'!$C:$C,"Pierce",'Data - Monthly Metrics'!$D:$D,"Goal - Penetration %")-0.05)</formula>
    </cfRule>
    <cfRule type="expression" rank="0" priority="318" equalAverage="0" aboveAverage="0" dxfId="1" stopIfTrue="1" text="" percent="0" bottom="0">
      <formula>AND(ISNUMBER(J107),COUNTIFS('Data - Monthly Metrics'!$A:$A,$B$4,'Data - Monthly Metrics'!$B:$B,J$8,'Data - Monthly Metrics'!$C:$C,"Pierce",'Data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Metrics'!$C:$C,"Pierce",'Data - Monthly Metrics'!$D:$D,"Goal - Penetration %")&gt;0,K107&gt;=SUMIFS('Data - Monthly Metrics'!$E:$E,'Data - Monthly Metrics'!$A:$A,$B$4,'Data - Monthly Metrics'!$B:$B,K$8,'Data - Monthly Metrics'!$C:$C,"Pierce",'Data - Monthly Metrics'!$D:$D,"Goal - Penetration %"))</formula>
    </cfRule>
    <cfRule type="expression" rank="0" priority="320" equalAverage="0" aboveAverage="0" dxfId="2" stopIfTrue="1" text="" percent="0" bottom="0">
      <formula>AND(ISNUMBER(K107),COUNTIFS('Data - Monthly Metrics'!$A:$A,$B$4,'Data - Monthly Metrics'!$B:$B,K$8,'Data - Monthly Metrics'!$C:$C,"Pierce",'Data - Monthly Metrics'!$D:$D,"Goal - Penetration %")&gt;0,K107&gt;=SUMIFS('Data - Monthly Metrics'!$E:$E,'Data - Monthly Metrics'!$A:$A,$B$4,'Data - Monthly Metrics'!$B:$B,K$8,'Data - Monthly Metrics'!$C:$C,"Pierce",'Data - Monthly Metrics'!$D:$D,"Goal - Penetration %")-0.05)</formula>
    </cfRule>
    <cfRule type="expression" rank="0" priority="321" equalAverage="0" aboveAverage="0" dxfId="1" stopIfTrue="1" text="" percent="0" bottom="0">
      <formula>AND(ISNUMBER(K107),COUNTIFS('Data - Monthly Metrics'!$A:$A,$B$4,'Data - Monthly Metrics'!$B:$B,K$8,'Data - Monthly Metrics'!$C:$C,"Pierce",'Data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Metrics'!$C:$C,"Pierce",'Data - Monthly Metrics'!$D:$D,"Goal - Penetration %")&gt;0,L107&gt;=SUMIFS('Data - Monthly Metrics'!$E:$E,'Data - Monthly Metrics'!$A:$A,$B$4,'Data - Monthly Metrics'!$B:$B,L$8,'Data - Monthly Metrics'!$C:$C,"Pierce",'Data - Monthly Metrics'!$D:$D,"Goal - Penetration %"))</formula>
    </cfRule>
    <cfRule type="expression" rank="0" priority="323" equalAverage="0" aboveAverage="0" dxfId="2" stopIfTrue="1" text="" percent="0" bottom="0">
      <formula>AND(ISNUMBER(L107),COUNTIFS('Data - Monthly Metrics'!$A:$A,$B$4,'Data - Monthly Metrics'!$B:$B,L$8,'Data - Monthly Metrics'!$C:$C,"Pierce",'Data - Monthly Metrics'!$D:$D,"Goal - Penetration %")&gt;0,L107&gt;=SUMIFS('Data - Monthly Metrics'!$E:$E,'Data - Monthly Metrics'!$A:$A,$B$4,'Data - Monthly Metrics'!$B:$B,L$8,'Data - Monthly Metrics'!$C:$C,"Pierce",'Data - Monthly Metrics'!$D:$D,"Goal - Penetration %")-0.05)</formula>
    </cfRule>
    <cfRule type="expression" rank="0" priority="324" equalAverage="0" aboveAverage="0" dxfId="1" stopIfTrue="1" text="" percent="0" bottom="0">
      <formula>AND(ISNUMBER(L107),COUNTIFS('Data - Monthly Metrics'!$A:$A,$B$4,'Data - Monthly Metrics'!$B:$B,L$8,'Data - Monthly Metrics'!$C:$C,"Pierce",'Data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Metrics'!$C:$C,"Pierce",'Data - Monthly Metrics'!$D:$D,"Goal - Penetration %")&gt;0,N107&gt;=SUMIFS('Data - Monthly Metrics'!$E:$E,'Data - Monthly Metrics'!$A:$A,$B$4,'Data - Monthly Metrics'!$B:$B,N$8,'Data - Monthly Metrics'!$C:$C,"Pierce",'Data - Monthly Metrics'!$D:$D,"Goal - Penetration %"))</formula>
    </cfRule>
    <cfRule type="expression" rank="0" priority="326" equalAverage="0" aboveAverage="0" dxfId="2" stopIfTrue="1" text="" percent="0" bottom="0">
      <formula>AND(ISNUMBER(N107),COUNTIFS('Data - Monthly Metrics'!$A:$A,$B$4,'Data - Monthly Metrics'!$B:$B,N$8,'Data - Monthly Metrics'!$C:$C,"Pierce",'Data - Monthly Metrics'!$D:$D,"Goal - Penetration %")&gt;0,N107&gt;=SUMIFS('Data - Monthly Metrics'!$E:$E,'Data - Monthly Metrics'!$A:$A,$B$4,'Data - Monthly Metrics'!$B:$B,N$8,'Data - Monthly Metrics'!$C:$C,"Pierce",'Data - Monthly Metrics'!$D:$D,"Goal - Penetration %")-0.05)</formula>
    </cfRule>
    <cfRule type="expression" rank="0" priority="327" equalAverage="0" aboveAverage="0" dxfId="1" stopIfTrue="1" text="" percent="0" bottom="0">
      <formula>AND(ISNUMBER(N107),COUNTIFS('Data - Monthly Metrics'!$A:$A,$B$4,'Data - Monthly Metrics'!$B:$B,N$8,'Data - Monthly Metrics'!$C:$C,"Pierce",'Data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Metrics'!$C:$C,"Pierce",'Data - Monthly Metrics'!$D:$D,"Goal - Penetration %")&gt;0,O107&gt;=SUMIFS('Data - Monthly Metrics'!$E:$E,'Data - Monthly Metrics'!$A:$A,$B$4,'Data - Monthly Metrics'!$B:$B,O$8,'Data - Monthly Metrics'!$C:$C,"Pierce",'Data - Monthly Metrics'!$D:$D,"Goal - Penetration %"))</formula>
    </cfRule>
    <cfRule type="expression" rank="0" priority="329" equalAverage="0" aboveAverage="0" dxfId="2" stopIfTrue="1" text="" percent="0" bottom="0">
      <formula>AND(ISNUMBER(O107),COUNTIFS('Data - Monthly Metrics'!$A:$A,$B$4,'Data - Monthly Metrics'!$B:$B,O$8,'Data - Monthly Metrics'!$C:$C,"Pierce",'Data - Monthly Metrics'!$D:$D,"Goal - Penetration %")&gt;0,O107&gt;=SUMIFS('Data - Monthly Metrics'!$E:$E,'Data - Monthly Metrics'!$A:$A,$B$4,'Data - Monthly Metrics'!$B:$B,O$8,'Data - Monthly Metrics'!$C:$C,"Pierce",'Data - Monthly Metrics'!$D:$D,"Goal - Penetration %")-0.05)</formula>
    </cfRule>
    <cfRule type="expression" rank="0" priority="330" equalAverage="0" aboveAverage="0" dxfId="1" stopIfTrue="1" text="" percent="0" bottom="0">
      <formula>AND(ISNUMBER(O107),COUNTIFS('Data - Monthly Metrics'!$A:$A,$B$4,'Data - Monthly Metrics'!$B:$B,O$8,'Data - Monthly Metrics'!$C:$C,"Pierce",'Data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Metrics'!$C:$C,"Pierce",'Data - Monthly Metrics'!$D:$D,"Goal - Penetration %")&gt;0,P107&gt;=SUMIFS('Data - Monthly Metrics'!$E:$E,'Data - Monthly Metrics'!$A:$A,$B$4,'Data - Monthly Metrics'!$B:$B,P$8,'Data - Monthly Metrics'!$C:$C,"Pierce",'Data - Monthly Metrics'!$D:$D,"Goal - Penetration %"))</formula>
    </cfRule>
    <cfRule type="expression" rank="0" priority="332" equalAverage="0" aboveAverage="0" dxfId="2" stopIfTrue="1" text="" percent="0" bottom="0">
      <formula>AND(ISNUMBER(P107),COUNTIFS('Data - Monthly Metrics'!$A:$A,$B$4,'Data - Monthly Metrics'!$B:$B,P$8,'Data - Monthly Metrics'!$C:$C,"Pierce",'Data - Monthly Metrics'!$D:$D,"Goal - Penetration %")&gt;0,P107&gt;=SUMIFS('Data - Monthly Metrics'!$E:$E,'Data - Monthly Metrics'!$A:$A,$B$4,'Data - Monthly Metrics'!$B:$B,P$8,'Data - Monthly Metrics'!$C:$C,"Pierce",'Data - Monthly Metrics'!$D:$D,"Goal - Penetration %")-0.05)</formula>
    </cfRule>
    <cfRule type="expression" rank="0" priority="333" equalAverage="0" aboveAverage="0" dxfId="1" stopIfTrue="1" text="" percent="0" bottom="0">
      <formula>AND(ISNUMBER(P107),COUNTIFS('Data - Monthly Metrics'!$A:$A,$B$4,'Data - Monthly Metrics'!$B:$B,P$8,'Data - Monthly Metrics'!$C:$C,"Pierce",'Data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Metrics'!$C:$C,"Pierce",'Data - Monthly Metrics'!$D:$D,"Goal - Retention %")&gt;0,B19&gt;=SUMIFS('Data - Monthly Metrics'!$E:$E,'Data - Monthly Metrics'!$A:$A,$B$4-1,'Data - Monthly Metrics'!$B:$B,B$8,'Data - Monthly Metrics'!$C:$C,"Pierce",'Data - Monthly Metrics'!$D:$D,"Goal - Retention %"))</formula>
    </cfRule>
    <cfRule type="expression" rank="0" priority="335" equalAverage="0" aboveAverage="0" dxfId="2" stopIfTrue="1" text="" percent="0" bottom="0">
      <formula>AND(ISNUMBER(B19),COUNTIFS('Data - Monthly Metrics'!$A:$A,$B$4-1,'Data - Monthly Metrics'!$B:$B,B$8,'Data - Monthly Metrics'!$C:$C,"Pierce",'Data - Monthly Metrics'!$D:$D,"Goal - Retention %")&gt;0,B19&gt;=SUMIFS('Data - Monthly Metrics'!$E:$E,'Data - Monthly Metrics'!$A:$A,$B$4-1,'Data - Monthly Metrics'!$B:$B,B$8,'Data - Monthly Metrics'!$C:$C,"Pierce",'Data - Monthly Metrics'!$D:$D,"Goal - Retention %")-0.05)</formula>
    </cfRule>
    <cfRule type="expression" rank="0" priority="336" equalAverage="0" aboveAverage="0" dxfId="1" stopIfTrue="1" text="" percent="0" bottom="0">
      <formula>AND(ISNUMBER(B19),COUNTIFS('Data - Monthly Metrics'!$A:$A,$B$4-1,'Data - Monthly Metrics'!$B:$B,B$8,'Data - Monthly Metrics'!$C:$C,"Pierce",'Data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Metrics'!$C:$C,"Pierce",'Data - Monthly Metrics'!$D:$D,"Goal - Retention %")&gt;0,C19&gt;=SUMIFS('Data - Monthly Metrics'!$E:$E,'Data - Monthly Metrics'!$A:$A,$B$4-1,'Data - Monthly Metrics'!$B:$B,C$8,'Data - Monthly Metrics'!$C:$C,"Pierce",'Data - Monthly Metrics'!$D:$D,"Goal - Retention %"))</formula>
    </cfRule>
    <cfRule type="expression" rank="0" priority="338" equalAverage="0" aboveAverage="0" dxfId="2" stopIfTrue="1" text="" percent="0" bottom="0">
      <formula>AND(ISNUMBER(C19),COUNTIFS('Data - Monthly Metrics'!$A:$A,$B$4-1,'Data - Monthly Metrics'!$B:$B,C$8,'Data - Monthly Metrics'!$C:$C,"Pierce",'Data - Monthly Metrics'!$D:$D,"Goal - Retention %")&gt;0,C19&gt;=SUMIFS('Data - Monthly Metrics'!$E:$E,'Data - Monthly Metrics'!$A:$A,$B$4-1,'Data - Monthly Metrics'!$B:$B,C$8,'Data - Monthly Metrics'!$C:$C,"Pierce",'Data - Monthly Metrics'!$D:$D,"Goal - Retention %")-0.05)</formula>
    </cfRule>
    <cfRule type="expression" rank="0" priority="339" equalAverage="0" aboveAverage="0" dxfId="1" stopIfTrue="1" text="" percent="0" bottom="0">
      <formula>AND(ISNUMBER(C19),COUNTIFS('Data - Monthly Metrics'!$A:$A,$B$4-1,'Data - Monthly Metrics'!$B:$B,C$8,'Data - Monthly Metrics'!$C:$C,"Pierce",'Data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Metrics'!$C:$C,"Pierce",'Data - Monthly Metrics'!$D:$D,"Goal - Retention %")&gt;0,D19&gt;=SUMIFS('Data - Monthly Metrics'!$E:$E,'Data - Monthly Metrics'!$A:$A,$B$4-1,'Data - Monthly Metrics'!$B:$B,D$8,'Data - Monthly Metrics'!$C:$C,"Pierce",'Data - Monthly Metrics'!$D:$D,"Goal - Retention %"))</formula>
    </cfRule>
    <cfRule type="expression" rank="0" priority="341" equalAverage="0" aboveAverage="0" dxfId="2" stopIfTrue="1" text="" percent="0" bottom="0">
      <formula>AND(ISNUMBER(D19),COUNTIFS('Data - Monthly Metrics'!$A:$A,$B$4-1,'Data - Monthly Metrics'!$B:$B,D$8,'Data - Monthly Metrics'!$C:$C,"Pierce",'Data - Monthly Metrics'!$D:$D,"Goal - Retention %")&gt;0,D19&gt;=SUMIFS('Data - Monthly Metrics'!$E:$E,'Data - Monthly Metrics'!$A:$A,$B$4-1,'Data - Monthly Metrics'!$B:$B,D$8,'Data - Monthly Metrics'!$C:$C,"Pierce",'Data - Monthly Metrics'!$D:$D,"Goal - Retention %")-0.05)</formula>
    </cfRule>
    <cfRule type="expression" rank="0" priority="342" equalAverage="0" aboveAverage="0" dxfId="1" stopIfTrue="1" text="" percent="0" bottom="0">
      <formula>AND(ISNUMBER(D19),COUNTIFS('Data - Monthly Metrics'!$A:$A,$B$4-1,'Data - Monthly Metrics'!$B:$B,D$8,'Data - Monthly Metrics'!$C:$C,"Pierce",'Data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Metrics'!$C:$C,"Pierce",'Data - Monthly Metrics'!$D:$D,"Goal - Retention %")&gt;0,F19&gt;=SUMIFS('Data - Monthly Metrics'!$E:$E,'Data - Monthly Metrics'!$A:$A,$B$4,'Data - Monthly Metrics'!$B:$B,F$8,'Data - Monthly Metrics'!$C:$C,"Pierce",'Data - Monthly Metrics'!$D:$D,"Goal - Retention %"))</formula>
    </cfRule>
    <cfRule type="expression" rank="0" priority="344" equalAverage="0" aboveAverage="0" dxfId="2" stopIfTrue="1" text="" percent="0" bottom="0">
      <formula>AND(ISNUMBER(F19),COUNTIFS('Data - Monthly Metrics'!$A:$A,$B$4,'Data - Monthly Metrics'!$B:$B,F$8,'Data - Monthly Metrics'!$C:$C,"Pierce",'Data - Monthly Metrics'!$D:$D,"Goal - Retention %")&gt;0,F19&gt;=SUMIFS('Data - Monthly Metrics'!$E:$E,'Data - Monthly Metrics'!$A:$A,$B$4,'Data - Monthly Metrics'!$B:$B,F$8,'Data - Monthly Metrics'!$C:$C,"Pierce",'Data - Monthly Metrics'!$D:$D,"Goal - Retention %")-0.05)</formula>
    </cfRule>
    <cfRule type="expression" rank="0" priority="345" equalAverage="0" aboveAverage="0" dxfId="1" stopIfTrue="1" text="" percent="0" bottom="0">
      <formula>AND(ISNUMBER(F19),COUNTIFS('Data - Monthly Metrics'!$A:$A,$B$4,'Data - Monthly Metrics'!$B:$B,F$8,'Data - Monthly Metrics'!$C:$C,"Pierce",'Data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Metrics'!$C:$C,"Pierce",'Data - Monthly Metrics'!$D:$D,"Goal - Retention %")&gt;0,G19&gt;=SUMIFS('Data - Monthly Metrics'!$E:$E,'Data - Monthly Metrics'!$A:$A,$B$4,'Data - Monthly Metrics'!$B:$B,G$8,'Data - Monthly Metrics'!$C:$C,"Pierce",'Data - Monthly Metrics'!$D:$D,"Goal - Retention %"))</formula>
    </cfRule>
    <cfRule type="expression" rank="0" priority="347" equalAverage="0" aboveAverage="0" dxfId="2" stopIfTrue="1" text="" percent="0" bottom="0">
      <formula>AND(ISNUMBER(G19),COUNTIFS('Data - Monthly Metrics'!$A:$A,$B$4,'Data - Monthly Metrics'!$B:$B,G$8,'Data - Monthly Metrics'!$C:$C,"Pierce",'Data - Monthly Metrics'!$D:$D,"Goal - Retention %")&gt;0,G19&gt;=SUMIFS('Data - Monthly Metrics'!$E:$E,'Data - Monthly Metrics'!$A:$A,$B$4,'Data - Monthly Metrics'!$B:$B,G$8,'Data - Monthly Metrics'!$C:$C,"Pierce",'Data - Monthly Metrics'!$D:$D,"Goal - Retention %")-0.05)</formula>
    </cfRule>
    <cfRule type="expression" rank="0" priority="348" equalAverage="0" aboveAverage="0" dxfId="1" stopIfTrue="1" text="" percent="0" bottom="0">
      <formula>AND(ISNUMBER(G19),COUNTIFS('Data - Monthly Metrics'!$A:$A,$B$4,'Data - Monthly Metrics'!$B:$B,G$8,'Data - Monthly Metrics'!$C:$C,"Pierce",'Data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Metrics'!$C:$C,"Pierce",'Data - Monthly Metrics'!$D:$D,"Goal - Retention %")&gt;0,H19&gt;=SUMIFS('Data - Monthly Metrics'!$E:$E,'Data - Monthly Metrics'!$A:$A,$B$4,'Data - Monthly Metrics'!$B:$B,H$8,'Data - Monthly Metrics'!$C:$C,"Pierce",'Data - Monthly Metrics'!$D:$D,"Goal - Retention %"))</formula>
    </cfRule>
    <cfRule type="expression" rank="0" priority="350" equalAverage="0" aboveAverage="0" dxfId="2" stopIfTrue="1" text="" percent="0" bottom="0">
      <formula>AND(ISNUMBER(H19),COUNTIFS('Data - Monthly Metrics'!$A:$A,$B$4,'Data - Monthly Metrics'!$B:$B,H$8,'Data - Monthly Metrics'!$C:$C,"Pierce",'Data - Monthly Metrics'!$D:$D,"Goal - Retention %")&gt;0,H19&gt;=SUMIFS('Data - Monthly Metrics'!$E:$E,'Data - Monthly Metrics'!$A:$A,$B$4,'Data - Monthly Metrics'!$B:$B,H$8,'Data - Monthly Metrics'!$C:$C,"Pierce",'Data - Monthly Metrics'!$D:$D,"Goal - Retention %")-0.05)</formula>
    </cfRule>
    <cfRule type="expression" rank="0" priority="351" equalAverage="0" aboveAverage="0" dxfId="1" stopIfTrue="1" text="" percent="0" bottom="0">
      <formula>AND(ISNUMBER(H19),COUNTIFS('Data - Monthly Metrics'!$A:$A,$B$4,'Data - Monthly Metrics'!$B:$B,H$8,'Data - Monthly Metrics'!$C:$C,"Pierce",'Data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Metrics'!$C:$C,"Pierce",'Data - Monthly Metrics'!$D:$D,"Goal - Retention %")&gt;0,J19&gt;=SUMIFS('Data - Monthly Metrics'!$E:$E,'Data - Monthly Metrics'!$A:$A,$B$4,'Data - Monthly Metrics'!$B:$B,J$8,'Data - Monthly Metrics'!$C:$C,"Pierce",'Data - Monthly Metrics'!$D:$D,"Goal - Retention %"))</formula>
    </cfRule>
    <cfRule type="expression" rank="0" priority="353" equalAverage="0" aboveAverage="0" dxfId="2" stopIfTrue="1" text="" percent="0" bottom="0">
      <formula>AND(ISNUMBER(J19),COUNTIFS('Data - Monthly Metrics'!$A:$A,$B$4,'Data - Monthly Metrics'!$B:$B,J$8,'Data - Monthly Metrics'!$C:$C,"Pierce",'Data - Monthly Metrics'!$D:$D,"Goal - Retention %")&gt;0,J19&gt;=SUMIFS('Data - Monthly Metrics'!$E:$E,'Data - Monthly Metrics'!$A:$A,$B$4,'Data - Monthly Metrics'!$B:$B,J$8,'Data - Monthly Metrics'!$C:$C,"Pierce",'Data - Monthly Metrics'!$D:$D,"Goal - Retention %")-0.05)</formula>
    </cfRule>
    <cfRule type="expression" rank="0" priority="354" equalAverage="0" aboveAverage="0" dxfId="1" stopIfTrue="1" text="" percent="0" bottom="0">
      <formula>AND(ISNUMBER(J19),COUNTIFS('Data - Monthly Metrics'!$A:$A,$B$4,'Data - Monthly Metrics'!$B:$B,J$8,'Data - Monthly Metrics'!$C:$C,"Pierce",'Data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Metrics'!$C:$C,"Pierce",'Data - Monthly Metrics'!$D:$D,"Goal - Retention %")&gt;0,K19&gt;=SUMIFS('Data - Monthly Metrics'!$E:$E,'Data - Monthly Metrics'!$A:$A,$B$4,'Data - Monthly Metrics'!$B:$B,K$8,'Data - Monthly Metrics'!$C:$C,"Pierce",'Data - Monthly Metrics'!$D:$D,"Goal - Retention %"))</formula>
    </cfRule>
    <cfRule type="expression" rank="0" priority="356" equalAverage="0" aboveAverage="0" dxfId="2" stopIfTrue="1" text="" percent="0" bottom="0">
      <formula>AND(ISNUMBER(K19),COUNTIFS('Data - Monthly Metrics'!$A:$A,$B$4,'Data - Monthly Metrics'!$B:$B,K$8,'Data - Monthly Metrics'!$C:$C,"Pierce",'Data - Monthly Metrics'!$D:$D,"Goal - Retention %")&gt;0,K19&gt;=SUMIFS('Data - Monthly Metrics'!$E:$E,'Data - Monthly Metrics'!$A:$A,$B$4,'Data - Monthly Metrics'!$B:$B,K$8,'Data - Monthly Metrics'!$C:$C,"Pierce",'Data - Monthly Metrics'!$D:$D,"Goal - Retention %")-0.05)</formula>
    </cfRule>
    <cfRule type="expression" rank="0" priority="357" equalAverage="0" aboveAverage="0" dxfId="1" stopIfTrue="1" text="" percent="0" bottom="0">
      <formula>AND(ISNUMBER(K19),COUNTIFS('Data - Monthly Metrics'!$A:$A,$B$4,'Data - Monthly Metrics'!$B:$B,K$8,'Data - Monthly Metrics'!$C:$C,"Pierce",'Data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Metrics'!$C:$C,"Pierce",'Data - Monthly Metrics'!$D:$D,"Goal - Retention %")&gt;0,L19&gt;=SUMIFS('Data - Monthly Metrics'!$E:$E,'Data - Monthly Metrics'!$A:$A,$B$4,'Data - Monthly Metrics'!$B:$B,L$8,'Data - Monthly Metrics'!$C:$C,"Pierce",'Data - Monthly Metrics'!$D:$D,"Goal - Retention %"))</formula>
    </cfRule>
    <cfRule type="expression" rank="0" priority="359" equalAverage="0" aboveAverage="0" dxfId="2" stopIfTrue="1" text="" percent="0" bottom="0">
      <formula>AND(ISNUMBER(L19),COUNTIFS('Data - Monthly Metrics'!$A:$A,$B$4,'Data - Monthly Metrics'!$B:$B,L$8,'Data - Monthly Metrics'!$C:$C,"Pierce",'Data - Monthly Metrics'!$D:$D,"Goal - Retention %")&gt;0,L19&gt;=SUMIFS('Data - Monthly Metrics'!$E:$E,'Data - Monthly Metrics'!$A:$A,$B$4,'Data - Monthly Metrics'!$B:$B,L$8,'Data - Monthly Metrics'!$C:$C,"Pierce",'Data - Monthly Metrics'!$D:$D,"Goal - Retention %")-0.05)</formula>
    </cfRule>
    <cfRule type="expression" rank="0" priority="360" equalAverage="0" aboveAverage="0" dxfId="1" stopIfTrue="1" text="" percent="0" bottom="0">
      <formula>AND(ISNUMBER(L19),COUNTIFS('Data - Monthly Metrics'!$A:$A,$B$4,'Data - Monthly Metrics'!$B:$B,L$8,'Data - Monthly Metrics'!$C:$C,"Pierce",'Data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Metrics'!$C:$C,"Pierce",'Data - Monthly Metrics'!$D:$D,"Goal - Retention %")&gt;0,N19&gt;=SUMIFS('Data - Monthly Metrics'!$E:$E,'Data - Monthly Metrics'!$A:$A,$B$4,'Data - Monthly Metrics'!$B:$B,N$8,'Data - Monthly Metrics'!$C:$C,"Pierce",'Data - Monthly Metrics'!$D:$D,"Goal - Retention %"))</formula>
    </cfRule>
    <cfRule type="expression" rank="0" priority="362" equalAverage="0" aboveAverage="0" dxfId="2" stopIfTrue="1" text="" percent="0" bottom="0">
      <formula>AND(ISNUMBER(N19),COUNTIFS('Data - Monthly Metrics'!$A:$A,$B$4,'Data - Monthly Metrics'!$B:$B,N$8,'Data - Monthly Metrics'!$C:$C,"Pierce",'Data - Monthly Metrics'!$D:$D,"Goal - Retention %")&gt;0,N19&gt;=SUMIFS('Data - Monthly Metrics'!$E:$E,'Data - Monthly Metrics'!$A:$A,$B$4,'Data - Monthly Metrics'!$B:$B,N$8,'Data - Monthly Metrics'!$C:$C,"Pierce",'Data - Monthly Metrics'!$D:$D,"Goal - Retention %")-0.05)</formula>
    </cfRule>
    <cfRule type="expression" rank="0" priority="363" equalAverage="0" aboveAverage="0" dxfId="1" stopIfTrue="1" text="" percent="0" bottom="0">
      <formula>AND(ISNUMBER(N19),COUNTIFS('Data - Monthly Metrics'!$A:$A,$B$4,'Data - Monthly Metrics'!$B:$B,N$8,'Data - Monthly Metrics'!$C:$C,"Pierce",'Data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Metrics'!$C:$C,"Pierce",'Data - Monthly Metrics'!$D:$D,"Goal - Retention %")&gt;0,O19&gt;=SUMIFS('Data - Monthly Metrics'!$E:$E,'Data - Monthly Metrics'!$A:$A,$B$4,'Data - Monthly Metrics'!$B:$B,O$8,'Data - Monthly Metrics'!$C:$C,"Pierce",'Data - Monthly Metrics'!$D:$D,"Goal - Retention %"))</formula>
    </cfRule>
    <cfRule type="expression" rank="0" priority="365" equalAverage="0" aboveAverage="0" dxfId="2" stopIfTrue="1" text="" percent="0" bottom="0">
      <formula>AND(ISNUMBER(O19),COUNTIFS('Data - Monthly Metrics'!$A:$A,$B$4,'Data - Monthly Metrics'!$B:$B,O$8,'Data - Monthly Metrics'!$C:$C,"Pierce",'Data - Monthly Metrics'!$D:$D,"Goal - Retention %")&gt;0,O19&gt;=SUMIFS('Data - Monthly Metrics'!$E:$E,'Data - Monthly Metrics'!$A:$A,$B$4,'Data - Monthly Metrics'!$B:$B,O$8,'Data - Monthly Metrics'!$C:$C,"Pierce",'Data - Monthly Metrics'!$D:$D,"Goal - Retention %")-0.05)</formula>
    </cfRule>
    <cfRule type="expression" rank="0" priority="366" equalAverage="0" aboveAverage="0" dxfId="1" stopIfTrue="1" text="" percent="0" bottom="0">
      <formula>AND(ISNUMBER(O19),COUNTIFS('Data - Monthly Metrics'!$A:$A,$B$4,'Data - Monthly Metrics'!$B:$B,O$8,'Data - Monthly Metrics'!$C:$C,"Pierce",'Data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Metrics'!$C:$C,"Pierce",'Data - Monthly Metrics'!$D:$D,"Goal - Retention %")&gt;0,P19&gt;=SUMIFS('Data - Monthly Metrics'!$E:$E,'Data - Monthly Metrics'!$A:$A,$B$4,'Data - Monthly Metrics'!$B:$B,P$8,'Data - Monthly Metrics'!$C:$C,"Pierce",'Data - Monthly Metrics'!$D:$D,"Goal - Retention %"))</formula>
    </cfRule>
    <cfRule type="expression" rank="0" priority="368" equalAverage="0" aboveAverage="0" dxfId="2" stopIfTrue="1" text="" percent="0" bottom="0">
      <formula>AND(ISNUMBER(P19),COUNTIFS('Data - Monthly Metrics'!$A:$A,$B$4,'Data - Monthly Metrics'!$B:$B,P$8,'Data - Monthly Metrics'!$C:$C,"Pierce",'Data - Monthly Metrics'!$D:$D,"Goal - Retention %")&gt;0,P19&gt;=SUMIFS('Data - Monthly Metrics'!$E:$E,'Data - Monthly Metrics'!$A:$A,$B$4,'Data - Monthly Metrics'!$B:$B,P$8,'Data - Monthly Metrics'!$C:$C,"Pierce",'Data - Monthly Metrics'!$D:$D,"Goal - Retention %")-0.05)</formula>
    </cfRule>
    <cfRule type="expression" rank="0" priority="369" equalAverage="0" aboveAverage="0" dxfId="1" stopIfTrue="1" text="" percent="0" bottom="0">
      <formula>AND(ISNUMBER(P19),COUNTIFS('Data - Monthly Metrics'!$A:$A,$B$4,'Data - Monthly Metrics'!$B:$B,P$8,'Data - Monthly Metrics'!$C:$C,"Pierce",'Data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Metrics'!$C:$C,"Pierce",'Data - Monthly Metrics'!$D:$D,"Goal - Retention %")&gt;0,B28&gt;=SUMIFS('Data - Monthly Metrics'!$E:$E,'Data - Monthly Metrics'!$A:$A,$B$4-1,'Data - Monthly Metrics'!$B:$B,B$8,'Data - Monthly Metrics'!$C:$C,"Pierce",'Data - Monthly Metrics'!$D:$D,"Goal - Retention %"))</formula>
    </cfRule>
    <cfRule type="expression" rank="0" priority="371" equalAverage="0" aboveAverage="0" dxfId="2" stopIfTrue="1" text="" percent="0" bottom="0">
      <formula>AND(ISNUMBER(B28),COUNTIFS('Data - Monthly Metrics'!$A:$A,$B$4-1,'Data - Monthly Metrics'!$B:$B,B$8,'Data - Monthly Metrics'!$C:$C,"Pierce",'Data - Monthly Metrics'!$D:$D,"Goal - Retention %")&gt;0,B28&gt;=SUMIFS('Data - Monthly Metrics'!$E:$E,'Data - Monthly Metrics'!$A:$A,$B$4-1,'Data - Monthly Metrics'!$B:$B,B$8,'Data - Monthly Metrics'!$C:$C,"Pierce",'Data - Monthly Metrics'!$D:$D,"Goal - Retention %")-0.05)</formula>
    </cfRule>
    <cfRule type="expression" rank="0" priority="372" equalAverage="0" aboveAverage="0" dxfId="1" stopIfTrue="1" text="" percent="0" bottom="0">
      <formula>AND(ISNUMBER(B28),COUNTIFS('Data - Monthly Metrics'!$A:$A,$B$4-1,'Data - Monthly Metrics'!$B:$B,B$8,'Data - Monthly Metrics'!$C:$C,"Pierce",'Data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Metrics'!$C:$C,"Pierce",'Data - Monthly Metrics'!$D:$D,"Goal - Retention %")&gt;0,C28&gt;=SUMIFS('Data - Monthly Metrics'!$E:$E,'Data - Monthly Metrics'!$A:$A,$B$4-1,'Data - Monthly Metrics'!$B:$B,C$8,'Data - Monthly Metrics'!$C:$C,"Pierce",'Data - Monthly Metrics'!$D:$D,"Goal - Retention %"))</formula>
    </cfRule>
    <cfRule type="expression" rank="0" priority="374" equalAverage="0" aboveAverage="0" dxfId="2" stopIfTrue="1" text="" percent="0" bottom="0">
      <formula>AND(ISNUMBER(C28),COUNTIFS('Data - Monthly Metrics'!$A:$A,$B$4-1,'Data - Monthly Metrics'!$B:$B,C$8,'Data - Monthly Metrics'!$C:$C,"Pierce",'Data - Monthly Metrics'!$D:$D,"Goal - Retention %")&gt;0,C28&gt;=SUMIFS('Data - Monthly Metrics'!$E:$E,'Data - Monthly Metrics'!$A:$A,$B$4-1,'Data - Monthly Metrics'!$B:$B,C$8,'Data - Monthly Metrics'!$C:$C,"Pierce",'Data - Monthly Metrics'!$D:$D,"Goal - Retention %")-0.05)</formula>
    </cfRule>
    <cfRule type="expression" rank="0" priority="375" equalAverage="0" aboveAverage="0" dxfId="1" stopIfTrue="1" text="" percent="0" bottom="0">
      <formula>AND(ISNUMBER(C28),COUNTIFS('Data - Monthly Metrics'!$A:$A,$B$4-1,'Data - Monthly Metrics'!$B:$B,C$8,'Data - Monthly Metrics'!$C:$C,"Pierce",'Data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Metrics'!$C:$C,"Pierce",'Data - Monthly Metrics'!$D:$D,"Goal - Retention %")&gt;0,D28&gt;=SUMIFS('Data - Monthly Metrics'!$E:$E,'Data - Monthly Metrics'!$A:$A,$B$4-1,'Data - Monthly Metrics'!$B:$B,D$8,'Data - Monthly Metrics'!$C:$C,"Pierce",'Data - Monthly Metrics'!$D:$D,"Goal - Retention %"))</formula>
    </cfRule>
    <cfRule type="expression" rank="0" priority="377" equalAverage="0" aboveAverage="0" dxfId="2" stopIfTrue="1" text="" percent="0" bottom="0">
      <formula>AND(ISNUMBER(D28),COUNTIFS('Data - Monthly Metrics'!$A:$A,$B$4-1,'Data - Monthly Metrics'!$B:$B,D$8,'Data - Monthly Metrics'!$C:$C,"Pierce",'Data - Monthly Metrics'!$D:$D,"Goal - Retention %")&gt;0,D28&gt;=SUMIFS('Data - Monthly Metrics'!$E:$E,'Data - Monthly Metrics'!$A:$A,$B$4-1,'Data - Monthly Metrics'!$B:$B,D$8,'Data - Monthly Metrics'!$C:$C,"Pierce",'Data - Monthly Metrics'!$D:$D,"Goal - Retention %")-0.05)</formula>
    </cfRule>
    <cfRule type="expression" rank="0" priority="378" equalAverage="0" aboveAverage="0" dxfId="1" stopIfTrue="1" text="" percent="0" bottom="0">
      <formula>AND(ISNUMBER(D28),COUNTIFS('Data - Monthly Metrics'!$A:$A,$B$4-1,'Data - Monthly Metrics'!$B:$B,D$8,'Data - Monthly Metrics'!$C:$C,"Pierce",'Data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Metrics'!$C:$C,"Pierce",'Data - Monthly Metrics'!$D:$D,"Goal - Retention %")&gt;0,F28&gt;=SUMIFS('Data - Monthly Metrics'!$E:$E,'Data - Monthly Metrics'!$A:$A,$B$4,'Data - Monthly Metrics'!$B:$B,F$8,'Data - Monthly Metrics'!$C:$C,"Pierce",'Data - Monthly Metrics'!$D:$D,"Goal - Retention %"))</formula>
    </cfRule>
    <cfRule type="expression" rank="0" priority="380" equalAverage="0" aboveAverage="0" dxfId="2" stopIfTrue="1" text="" percent="0" bottom="0">
      <formula>AND(ISNUMBER(F28),COUNTIFS('Data - Monthly Metrics'!$A:$A,$B$4,'Data - Monthly Metrics'!$B:$B,F$8,'Data - Monthly Metrics'!$C:$C,"Pierce",'Data - Monthly Metrics'!$D:$D,"Goal - Retention %")&gt;0,F28&gt;=SUMIFS('Data - Monthly Metrics'!$E:$E,'Data - Monthly Metrics'!$A:$A,$B$4,'Data - Monthly Metrics'!$B:$B,F$8,'Data - Monthly Metrics'!$C:$C,"Pierce",'Data - Monthly Metrics'!$D:$D,"Goal - Retention %")-0.05)</formula>
    </cfRule>
    <cfRule type="expression" rank="0" priority="381" equalAverage="0" aboveAverage="0" dxfId="1" stopIfTrue="1" text="" percent="0" bottom="0">
      <formula>AND(ISNUMBER(F28),COUNTIFS('Data - Monthly Metrics'!$A:$A,$B$4,'Data - Monthly Metrics'!$B:$B,F$8,'Data - Monthly Metrics'!$C:$C,"Pierce",'Data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Metrics'!$C:$C,"Pierce",'Data - Monthly Metrics'!$D:$D,"Goal - Retention %")&gt;0,G28&gt;=SUMIFS('Data - Monthly Metrics'!$E:$E,'Data - Monthly Metrics'!$A:$A,$B$4,'Data - Monthly Metrics'!$B:$B,G$8,'Data - Monthly Metrics'!$C:$C,"Pierce",'Data - Monthly Metrics'!$D:$D,"Goal - Retention %"))</formula>
    </cfRule>
    <cfRule type="expression" rank="0" priority="383" equalAverage="0" aboveAverage="0" dxfId="2" stopIfTrue="1" text="" percent="0" bottom="0">
      <formula>AND(ISNUMBER(G28),COUNTIFS('Data - Monthly Metrics'!$A:$A,$B$4,'Data - Monthly Metrics'!$B:$B,G$8,'Data - Monthly Metrics'!$C:$C,"Pierce",'Data - Monthly Metrics'!$D:$D,"Goal - Retention %")&gt;0,G28&gt;=SUMIFS('Data - Monthly Metrics'!$E:$E,'Data - Monthly Metrics'!$A:$A,$B$4,'Data - Monthly Metrics'!$B:$B,G$8,'Data - Monthly Metrics'!$C:$C,"Pierce",'Data - Monthly Metrics'!$D:$D,"Goal - Retention %")-0.05)</formula>
    </cfRule>
    <cfRule type="expression" rank="0" priority="384" equalAverage="0" aboveAverage="0" dxfId="1" stopIfTrue="1" text="" percent="0" bottom="0">
      <formula>AND(ISNUMBER(G28),COUNTIFS('Data - Monthly Metrics'!$A:$A,$B$4,'Data - Monthly Metrics'!$B:$B,G$8,'Data - Monthly Metrics'!$C:$C,"Pierce",'Data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Metrics'!$C:$C,"Pierce",'Data - Monthly Metrics'!$D:$D,"Goal - Retention %")&gt;0,H28&gt;=SUMIFS('Data - Monthly Metrics'!$E:$E,'Data - Monthly Metrics'!$A:$A,$B$4,'Data - Monthly Metrics'!$B:$B,H$8,'Data - Monthly Metrics'!$C:$C,"Pierce",'Data - Monthly Metrics'!$D:$D,"Goal - Retention %"))</formula>
    </cfRule>
    <cfRule type="expression" rank="0" priority="386" equalAverage="0" aboveAverage="0" dxfId="2" stopIfTrue="1" text="" percent="0" bottom="0">
      <formula>AND(ISNUMBER(H28),COUNTIFS('Data - Monthly Metrics'!$A:$A,$B$4,'Data - Monthly Metrics'!$B:$B,H$8,'Data - Monthly Metrics'!$C:$C,"Pierce",'Data - Monthly Metrics'!$D:$D,"Goal - Retention %")&gt;0,H28&gt;=SUMIFS('Data - Monthly Metrics'!$E:$E,'Data - Monthly Metrics'!$A:$A,$B$4,'Data - Monthly Metrics'!$B:$B,H$8,'Data - Monthly Metrics'!$C:$C,"Pierce",'Data - Monthly Metrics'!$D:$D,"Goal - Retention %")-0.05)</formula>
    </cfRule>
    <cfRule type="expression" rank="0" priority="387" equalAverage="0" aboveAverage="0" dxfId="1" stopIfTrue="1" text="" percent="0" bottom="0">
      <formula>AND(ISNUMBER(H28),COUNTIFS('Data - Monthly Metrics'!$A:$A,$B$4,'Data - Monthly Metrics'!$B:$B,H$8,'Data - Monthly Metrics'!$C:$C,"Pierce",'Data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Metrics'!$C:$C,"Pierce",'Data - Monthly Metrics'!$D:$D,"Goal - Retention %")&gt;0,J28&gt;=SUMIFS('Data - Monthly Metrics'!$E:$E,'Data - Monthly Metrics'!$A:$A,$B$4,'Data - Monthly Metrics'!$B:$B,J$8,'Data - Monthly Metrics'!$C:$C,"Pierce",'Data - Monthly Metrics'!$D:$D,"Goal - Retention %"))</formula>
    </cfRule>
    <cfRule type="expression" rank="0" priority="389" equalAverage="0" aboveAverage="0" dxfId="2" stopIfTrue="1" text="" percent="0" bottom="0">
      <formula>AND(ISNUMBER(J28),COUNTIFS('Data - Monthly Metrics'!$A:$A,$B$4,'Data - Monthly Metrics'!$B:$B,J$8,'Data - Monthly Metrics'!$C:$C,"Pierce",'Data - Monthly Metrics'!$D:$D,"Goal - Retention %")&gt;0,J28&gt;=SUMIFS('Data - Monthly Metrics'!$E:$E,'Data - Monthly Metrics'!$A:$A,$B$4,'Data - Monthly Metrics'!$B:$B,J$8,'Data - Monthly Metrics'!$C:$C,"Pierce",'Data - Monthly Metrics'!$D:$D,"Goal - Retention %")-0.05)</formula>
    </cfRule>
    <cfRule type="expression" rank="0" priority="390" equalAverage="0" aboveAverage="0" dxfId="1" stopIfTrue="1" text="" percent="0" bottom="0">
      <formula>AND(ISNUMBER(J28),COUNTIFS('Data - Monthly Metrics'!$A:$A,$B$4,'Data - Monthly Metrics'!$B:$B,J$8,'Data - Monthly Metrics'!$C:$C,"Pierce",'Data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Metrics'!$C:$C,"Pierce",'Data - Monthly Metrics'!$D:$D,"Goal - Retention %")&gt;0,K28&gt;=SUMIFS('Data - Monthly Metrics'!$E:$E,'Data - Monthly Metrics'!$A:$A,$B$4,'Data - Monthly Metrics'!$B:$B,K$8,'Data - Monthly Metrics'!$C:$C,"Pierce",'Data - Monthly Metrics'!$D:$D,"Goal - Retention %"))</formula>
    </cfRule>
    <cfRule type="expression" rank="0" priority="392" equalAverage="0" aboveAverage="0" dxfId="2" stopIfTrue="1" text="" percent="0" bottom="0">
      <formula>AND(ISNUMBER(K28),COUNTIFS('Data - Monthly Metrics'!$A:$A,$B$4,'Data - Monthly Metrics'!$B:$B,K$8,'Data - Monthly Metrics'!$C:$C,"Pierce",'Data - Monthly Metrics'!$D:$D,"Goal - Retention %")&gt;0,K28&gt;=SUMIFS('Data - Monthly Metrics'!$E:$E,'Data - Monthly Metrics'!$A:$A,$B$4,'Data - Monthly Metrics'!$B:$B,K$8,'Data - Monthly Metrics'!$C:$C,"Pierce",'Data - Monthly Metrics'!$D:$D,"Goal - Retention %")-0.05)</formula>
    </cfRule>
    <cfRule type="expression" rank="0" priority="393" equalAverage="0" aboveAverage="0" dxfId="1" stopIfTrue="1" text="" percent="0" bottom="0">
      <formula>AND(ISNUMBER(K28),COUNTIFS('Data - Monthly Metrics'!$A:$A,$B$4,'Data - Monthly Metrics'!$B:$B,K$8,'Data - Monthly Metrics'!$C:$C,"Pierce",'Data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Metrics'!$C:$C,"Pierce",'Data - Monthly Metrics'!$D:$D,"Goal - Retention %")&gt;0,L28&gt;=SUMIFS('Data - Monthly Metrics'!$E:$E,'Data - Monthly Metrics'!$A:$A,$B$4,'Data - Monthly Metrics'!$B:$B,L$8,'Data - Monthly Metrics'!$C:$C,"Pierce",'Data - Monthly Metrics'!$D:$D,"Goal - Retention %"))</formula>
    </cfRule>
    <cfRule type="expression" rank="0" priority="395" equalAverage="0" aboveAverage="0" dxfId="2" stopIfTrue="1" text="" percent="0" bottom="0">
      <formula>AND(ISNUMBER(L28),COUNTIFS('Data - Monthly Metrics'!$A:$A,$B$4,'Data - Monthly Metrics'!$B:$B,L$8,'Data - Monthly Metrics'!$C:$C,"Pierce",'Data - Monthly Metrics'!$D:$D,"Goal - Retention %")&gt;0,L28&gt;=SUMIFS('Data - Monthly Metrics'!$E:$E,'Data - Monthly Metrics'!$A:$A,$B$4,'Data - Monthly Metrics'!$B:$B,L$8,'Data - Monthly Metrics'!$C:$C,"Pierce",'Data - Monthly Metrics'!$D:$D,"Goal - Retention %")-0.05)</formula>
    </cfRule>
    <cfRule type="expression" rank="0" priority="396" equalAverage="0" aboveAverage="0" dxfId="1" stopIfTrue="1" text="" percent="0" bottom="0">
      <formula>AND(ISNUMBER(L28),COUNTIFS('Data - Monthly Metrics'!$A:$A,$B$4,'Data - Monthly Metrics'!$B:$B,L$8,'Data - Monthly Metrics'!$C:$C,"Pierce",'Data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Metrics'!$C:$C,"Pierce",'Data - Monthly Metrics'!$D:$D,"Goal - Retention %")&gt;0,N28&gt;=SUMIFS('Data - Monthly Metrics'!$E:$E,'Data - Monthly Metrics'!$A:$A,$B$4,'Data - Monthly Metrics'!$B:$B,N$8,'Data - Monthly Metrics'!$C:$C,"Pierce",'Data - Monthly Metrics'!$D:$D,"Goal - Retention %"))</formula>
    </cfRule>
    <cfRule type="expression" rank="0" priority="398" equalAverage="0" aboveAverage="0" dxfId="2" stopIfTrue="1" text="" percent="0" bottom="0">
      <formula>AND(ISNUMBER(N28),COUNTIFS('Data - Monthly Metrics'!$A:$A,$B$4,'Data - Monthly Metrics'!$B:$B,N$8,'Data - Monthly Metrics'!$C:$C,"Pierce",'Data - Monthly Metrics'!$D:$D,"Goal - Retention %")&gt;0,N28&gt;=SUMIFS('Data - Monthly Metrics'!$E:$E,'Data - Monthly Metrics'!$A:$A,$B$4,'Data - Monthly Metrics'!$B:$B,N$8,'Data - Monthly Metrics'!$C:$C,"Pierce",'Data - Monthly Metrics'!$D:$D,"Goal - Retention %")-0.05)</formula>
    </cfRule>
    <cfRule type="expression" rank="0" priority="399" equalAverage="0" aboveAverage="0" dxfId="1" stopIfTrue="1" text="" percent="0" bottom="0">
      <formula>AND(ISNUMBER(N28),COUNTIFS('Data - Monthly Metrics'!$A:$A,$B$4,'Data - Monthly Metrics'!$B:$B,N$8,'Data - Monthly Metrics'!$C:$C,"Pierce",'Data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Metrics'!$C:$C,"Pierce",'Data - Monthly Metrics'!$D:$D,"Goal - Retention %")&gt;0,O28&gt;=SUMIFS('Data - Monthly Metrics'!$E:$E,'Data - Monthly Metrics'!$A:$A,$B$4,'Data - Monthly Metrics'!$B:$B,O$8,'Data - Monthly Metrics'!$C:$C,"Pierce",'Data - Monthly Metrics'!$D:$D,"Goal - Retention %"))</formula>
    </cfRule>
    <cfRule type="expression" rank="0" priority="401" equalAverage="0" aboveAverage="0" dxfId="2" stopIfTrue="1" text="" percent="0" bottom="0">
      <formula>AND(ISNUMBER(O28),COUNTIFS('Data - Monthly Metrics'!$A:$A,$B$4,'Data - Monthly Metrics'!$B:$B,O$8,'Data - Monthly Metrics'!$C:$C,"Pierce",'Data - Monthly Metrics'!$D:$D,"Goal - Retention %")&gt;0,O28&gt;=SUMIFS('Data - Monthly Metrics'!$E:$E,'Data - Monthly Metrics'!$A:$A,$B$4,'Data - Monthly Metrics'!$B:$B,O$8,'Data - Monthly Metrics'!$C:$C,"Pierce",'Data - Monthly Metrics'!$D:$D,"Goal - Retention %")-0.05)</formula>
    </cfRule>
    <cfRule type="expression" rank="0" priority="402" equalAverage="0" aboveAverage="0" dxfId="1" stopIfTrue="1" text="" percent="0" bottom="0">
      <formula>AND(ISNUMBER(O28),COUNTIFS('Data - Monthly Metrics'!$A:$A,$B$4,'Data - Monthly Metrics'!$B:$B,O$8,'Data - Monthly Metrics'!$C:$C,"Pierce",'Data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Metrics'!$C:$C,"Pierce",'Data - Monthly Metrics'!$D:$D,"Goal - Retention %")&gt;0,P28&gt;=SUMIFS('Data - Monthly Metrics'!$E:$E,'Data - Monthly Metrics'!$A:$A,$B$4,'Data - Monthly Metrics'!$B:$B,P$8,'Data - Monthly Metrics'!$C:$C,"Pierce",'Data - Monthly Metrics'!$D:$D,"Goal - Retention %"))</formula>
    </cfRule>
    <cfRule type="expression" rank="0" priority="404" equalAverage="0" aboveAverage="0" dxfId="2" stopIfTrue="1" text="" percent="0" bottom="0">
      <formula>AND(ISNUMBER(P28),COUNTIFS('Data - Monthly Metrics'!$A:$A,$B$4,'Data - Monthly Metrics'!$B:$B,P$8,'Data - Monthly Metrics'!$C:$C,"Pierce",'Data - Monthly Metrics'!$D:$D,"Goal - Retention %")&gt;0,P28&gt;=SUMIFS('Data - Monthly Metrics'!$E:$E,'Data - Monthly Metrics'!$A:$A,$B$4,'Data - Monthly Metrics'!$B:$B,P$8,'Data - Monthly Metrics'!$C:$C,"Pierce",'Data - Monthly Metrics'!$D:$D,"Goal - Retention %")-0.05)</formula>
    </cfRule>
    <cfRule type="expression" rank="0" priority="405" equalAverage="0" aboveAverage="0" dxfId="1" stopIfTrue="1" text="" percent="0" bottom="0">
      <formula>AND(ISNUMBER(P28),COUNTIFS('Data - Monthly Metrics'!$A:$A,$B$4,'Data - Monthly Metrics'!$B:$B,P$8,'Data - Monthly Metrics'!$C:$C,"Pierce",'Data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Metrics'!$C:$C,"Pierce",'Data - Monthly Metrics'!$D:$D,"Goal - Penetration %")&gt;0,B29&gt;=SUMIFS('Data - Monthly Metrics'!$E:$E,'Data - Monthly Metrics'!$A:$A,$B$4-1,'Data - Monthly Metrics'!$B:$B,B$8,'Data - Monthly Metrics'!$C:$C,"Pierce",'Data - Monthly Metrics'!$D:$D,"Goal - Penetration %"))</formula>
    </cfRule>
    <cfRule type="expression" rank="0" priority="407" equalAverage="0" aboveAverage="0" dxfId="2" stopIfTrue="1" text="" percent="0" bottom="0">
      <formula>AND(ISNUMBER(B29),COUNTIFS('Data - Monthly Metrics'!$A:$A,$B$4-1,'Data - Monthly Metrics'!$B:$B,B$8,'Data - Monthly Metrics'!$C:$C,"Pierce",'Data - Monthly Metrics'!$D:$D,"Goal - Penetration %")&gt;0,B29&gt;=SUMIFS('Data - Monthly Metrics'!$E:$E,'Data - Monthly Metrics'!$A:$A,$B$4-1,'Data - Monthly Metrics'!$B:$B,B$8,'Data - Monthly Metrics'!$C:$C,"Pierce",'Data - Monthly Metrics'!$D:$D,"Goal - Penetration %")-0.05)</formula>
    </cfRule>
    <cfRule type="expression" rank="0" priority="408" equalAverage="0" aboveAverage="0" dxfId="1" stopIfTrue="1" text="" percent="0" bottom="0">
      <formula>AND(ISNUMBER(B29),COUNTIFS('Data - Monthly Metrics'!$A:$A,$B$4-1,'Data - Monthly Metrics'!$B:$B,B$8,'Data - Monthly Metrics'!$C:$C,"Pierce",'Data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Metrics'!$C:$C,"Pierce",'Data - Monthly Metrics'!$D:$D,"Goal - Penetration %")&gt;0,C29&gt;=SUMIFS('Data - Monthly Metrics'!$E:$E,'Data - Monthly Metrics'!$A:$A,$B$4-1,'Data - Monthly Metrics'!$B:$B,C$8,'Data - Monthly Metrics'!$C:$C,"Pierce",'Data - Monthly Metrics'!$D:$D,"Goal - Penetration %"))</formula>
    </cfRule>
    <cfRule type="expression" rank="0" priority="410" equalAverage="0" aboveAverage="0" dxfId="2" stopIfTrue="1" text="" percent="0" bottom="0">
      <formula>AND(ISNUMBER(C29),COUNTIFS('Data - Monthly Metrics'!$A:$A,$B$4-1,'Data - Monthly Metrics'!$B:$B,C$8,'Data - Monthly Metrics'!$C:$C,"Pierce",'Data - Monthly Metrics'!$D:$D,"Goal - Penetration %")&gt;0,C29&gt;=SUMIFS('Data - Monthly Metrics'!$E:$E,'Data - Monthly Metrics'!$A:$A,$B$4-1,'Data - Monthly Metrics'!$B:$B,C$8,'Data - Monthly Metrics'!$C:$C,"Pierce",'Data - Monthly Metrics'!$D:$D,"Goal - Penetration %")-0.05)</formula>
    </cfRule>
    <cfRule type="expression" rank="0" priority="411" equalAverage="0" aboveAverage="0" dxfId="1" stopIfTrue="1" text="" percent="0" bottom="0">
      <formula>AND(ISNUMBER(C29),COUNTIFS('Data - Monthly Metrics'!$A:$A,$B$4-1,'Data - Monthly Metrics'!$B:$B,C$8,'Data - Monthly Metrics'!$C:$C,"Pierce",'Data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Metrics'!$C:$C,"Pierce",'Data - Monthly Metrics'!$D:$D,"Goal - Penetration %")&gt;0,D29&gt;=SUMIFS('Data - Monthly Metrics'!$E:$E,'Data - Monthly Metrics'!$A:$A,$B$4-1,'Data - Monthly Metrics'!$B:$B,D$8,'Data - Monthly Metrics'!$C:$C,"Pierce",'Data - Monthly Metrics'!$D:$D,"Goal - Penetration %"))</formula>
    </cfRule>
    <cfRule type="expression" rank="0" priority="413" equalAverage="0" aboveAverage="0" dxfId="2" stopIfTrue="1" text="" percent="0" bottom="0">
      <formula>AND(ISNUMBER(D29),COUNTIFS('Data - Monthly Metrics'!$A:$A,$B$4-1,'Data - Monthly Metrics'!$B:$B,D$8,'Data - Monthly Metrics'!$C:$C,"Pierce",'Data - Monthly Metrics'!$D:$D,"Goal - Penetration %")&gt;0,D29&gt;=SUMIFS('Data - Monthly Metrics'!$E:$E,'Data - Monthly Metrics'!$A:$A,$B$4-1,'Data - Monthly Metrics'!$B:$B,D$8,'Data - Monthly Metrics'!$C:$C,"Pierce",'Data - Monthly Metrics'!$D:$D,"Goal - Penetration %")-0.05)</formula>
    </cfRule>
    <cfRule type="expression" rank="0" priority="414" equalAverage="0" aboveAverage="0" dxfId="1" stopIfTrue="1" text="" percent="0" bottom="0">
      <formula>AND(ISNUMBER(D29),COUNTIFS('Data - Monthly Metrics'!$A:$A,$B$4-1,'Data - Monthly Metrics'!$B:$B,D$8,'Data - Monthly Metrics'!$C:$C,"Pierce",'Data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Metrics'!$C:$C,"Pierce",'Data - Monthly Metrics'!$D:$D,"Goal - Penetration %")&gt;0,F29&gt;=SUMIFS('Data - Monthly Metrics'!$E:$E,'Data - Monthly Metrics'!$A:$A,$B$4,'Data - Monthly Metrics'!$B:$B,F$8,'Data - Monthly Metrics'!$C:$C,"Pierce",'Data - Monthly Metrics'!$D:$D,"Goal - Penetration %"))</formula>
    </cfRule>
    <cfRule type="expression" rank="0" priority="416" equalAverage="0" aboveAverage="0" dxfId="2" stopIfTrue="1" text="" percent="0" bottom="0">
      <formula>AND(ISNUMBER(F29),COUNTIFS('Data - Monthly Metrics'!$A:$A,$B$4,'Data - Monthly Metrics'!$B:$B,F$8,'Data - Monthly Metrics'!$C:$C,"Pierce",'Data - Monthly Metrics'!$D:$D,"Goal - Penetration %")&gt;0,F29&gt;=SUMIFS('Data - Monthly Metrics'!$E:$E,'Data - Monthly Metrics'!$A:$A,$B$4,'Data - Monthly Metrics'!$B:$B,F$8,'Data - Monthly Metrics'!$C:$C,"Pierce",'Data - Monthly Metrics'!$D:$D,"Goal - Penetration %")-0.05)</formula>
    </cfRule>
    <cfRule type="expression" rank="0" priority="417" equalAverage="0" aboveAverage="0" dxfId="1" stopIfTrue="1" text="" percent="0" bottom="0">
      <formula>AND(ISNUMBER(F29),COUNTIFS('Data - Monthly Metrics'!$A:$A,$B$4,'Data - Monthly Metrics'!$B:$B,F$8,'Data - Monthly Metrics'!$C:$C,"Pierce",'Data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Metrics'!$C:$C,"Pierce",'Data - Monthly Metrics'!$D:$D,"Goal - Penetration %")&gt;0,G29&gt;=SUMIFS('Data - Monthly Metrics'!$E:$E,'Data - Monthly Metrics'!$A:$A,$B$4,'Data - Monthly Metrics'!$B:$B,G$8,'Data - Monthly Metrics'!$C:$C,"Pierce",'Data - Monthly Metrics'!$D:$D,"Goal - Penetration %"))</formula>
    </cfRule>
    <cfRule type="expression" rank="0" priority="419" equalAverage="0" aboveAverage="0" dxfId="2" stopIfTrue="1" text="" percent="0" bottom="0">
      <formula>AND(ISNUMBER(G29),COUNTIFS('Data - Monthly Metrics'!$A:$A,$B$4,'Data - Monthly Metrics'!$B:$B,G$8,'Data - Monthly Metrics'!$C:$C,"Pierce",'Data - Monthly Metrics'!$D:$D,"Goal - Penetration %")&gt;0,G29&gt;=SUMIFS('Data - Monthly Metrics'!$E:$E,'Data - Monthly Metrics'!$A:$A,$B$4,'Data - Monthly Metrics'!$B:$B,G$8,'Data - Monthly Metrics'!$C:$C,"Pierce",'Data - Monthly Metrics'!$D:$D,"Goal - Penetration %")-0.05)</formula>
    </cfRule>
    <cfRule type="expression" rank="0" priority="420" equalAverage="0" aboveAverage="0" dxfId="1" stopIfTrue="1" text="" percent="0" bottom="0">
      <formula>AND(ISNUMBER(G29),COUNTIFS('Data - Monthly Metrics'!$A:$A,$B$4,'Data - Monthly Metrics'!$B:$B,G$8,'Data - Monthly Metrics'!$C:$C,"Pierce",'Data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Metrics'!$C:$C,"Pierce",'Data - Monthly Metrics'!$D:$D,"Goal - Penetration %")&gt;0,H29&gt;=SUMIFS('Data - Monthly Metrics'!$E:$E,'Data - Monthly Metrics'!$A:$A,$B$4,'Data - Monthly Metrics'!$B:$B,H$8,'Data - Monthly Metrics'!$C:$C,"Pierce",'Data - Monthly Metrics'!$D:$D,"Goal - Penetration %"))</formula>
    </cfRule>
    <cfRule type="expression" rank="0" priority="422" equalAverage="0" aboveAverage="0" dxfId="2" stopIfTrue="1" text="" percent="0" bottom="0">
      <formula>AND(ISNUMBER(H29),COUNTIFS('Data - Monthly Metrics'!$A:$A,$B$4,'Data - Monthly Metrics'!$B:$B,H$8,'Data - Monthly Metrics'!$C:$C,"Pierce",'Data - Monthly Metrics'!$D:$D,"Goal - Penetration %")&gt;0,H29&gt;=SUMIFS('Data - Monthly Metrics'!$E:$E,'Data - Monthly Metrics'!$A:$A,$B$4,'Data - Monthly Metrics'!$B:$B,H$8,'Data - Monthly Metrics'!$C:$C,"Pierce",'Data - Monthly Metrics'!$D:$D,"Goal - Penetration %")-0.05)</formula>
    </cfRule>
    <cfRule type="expression" rank="0" priority="423" equalAverage="0" aboveAverage="0" dxfId="1" stopIfTrue="1" text="" percent="0" bottom="0">
      <formula>AND(ISNUMBER(H29),COUNTIFS('Data - Monthly Metrics'!$A:$A,$B$4,'Data - Monthly Metrics'!$B:$B,H$8,'Data - Monthly Metrics'!$C:$C,"Pierce",'Data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Metrics'!$C:$C,"Pierce",'Data - Monthly Metrics'!$D:$D,"Goal - Penetration %")&gt;0,J29&gt;=SUMIFS('Data - Monthly Metrics'!$E:$E,'Data - Monthly Metrics'!$A:$A,$B$4,'Data - Monthly Metrics'!$B:$B,J$8,'Data - Monthly Metrics'!$C:$C,"Pierce",'Data - Monthly Metrics'!$D:$D,"Goal - Penetration %"))</formula>
    </cfRule>
    <cfRule type="expression" rank="0" priority="425" equalAverage="0" aboveAverage="0" dxfId="2" stopIfTrue="1" text="" percent="0" bottom="0">
      <formula>AND(ISNUMBER(J29),COUNTIFS('Data - Monthly Metrics'!$A:$A,$B$4,'Data - Monthly Metrics'!$B:$B,J$8,'Data - Monthly Metrics'!$C:$C,"Pierce",'Data - Monthly Metrics'!$D:$D,"Goal - Penetration %")&gt;0,J29&gt;=SUMIFS('Data - Monthly Metrics'!$E:$E,'Data - Monthly Metrics'!$A:$A,$B$4,'Data - Monthly Metrics'!$B:$B,J$8,'Data - Monthly Metrics'!$C:$C,"Pierce",'Data - Monthly Metrics'!$D:$D,"Goal - Penetration %")-0.05)</formula>
    </cfRule>
    <cfRule type="expression" rank="0" priority="426" equalAverage="0" aboveAverage="0" dxfId="1" stopIfTrue="1" text="" percent="0" bottom="0">
      <formula>AND(ISNUMBER(J29),COUNTIFS('Data - Monthly Metrics'!$A:$A,$B$4,'Data - Monthly Metrics'!$B:$B,J$8,'Data - Monthly Metrics'!$C:$C,"Pierce",'Data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Metrics'!$C:$C,"Pierce",'Data - Monthly Metrics'!$D:$D,"Goal - Penetration %")&gt;0,K29&gt;=SUMIFS('Data - Monthly Metrics'!$E:$E,'Data - Monthly Metrics'!$A:$A,$B$4,'Data - Monthly Metrics'!$B:$B,K$8,'Data - Monthly Metrics'!$C:$C,"Pierce",'Data - Monthly Metrics'!$D:$D,"Goal - Penetration %"))</formula>
    </cfRule>
    <cfRule type="expression" rank="0" priority="428" equalAverage="0" aboveAverage="0" dxfId="2" stopIfTrue="1" text="" percent="0" bottom="0">
      <formula>AND(ISNUMBER(K29),COUNTIFS('Data - Monthly Metrics'!$A:$A,$B$4,'Data - Monthly Metrics'!$B:$B,K$8,'Data - Monthly Metrics'!$C:$C,"Pierce",'Data - Monthly Metrics'!$D:$D,"Goal - Penetration %")&gt;0,K29&gt;=SUMIFS('Data - Monthly Metrics'!$E:$E,'Data - Monthly Metrics'!$A:$A,$B$4,'Data - Monthly Metrics'!$B:$B,K$8,'Data - Monthly Metrics'!$C:$C,"Pierce",'Data - Monthly Metrics'!$D:$D,"Goal - Penetration %")-0.05)</formula>
    </cfRule>
    <cfRule type="expression" rank="0" priority="429" equalAverage="0" aboveAverage="0" dxfId="1" stopIfTrue="1" text="" percent="0" bottom="0">
      <formula>AND(ISNUMBER(K29),COUNTIFS('Data - Monthly Metrics'!$A:$A,$B$4,'Data - Monthly Metrics'!$B:$B,K$8,'Data - Monthly Metrics'!$C:$C,"Pierce",'Data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Metrics'!$C:$C,"Pierce",'Data - Monthly Metrics'!$D:$D,"Goal - Penetration %")&gt;0,L29&gt;=SUMIFS('Data - Monthly Metrics'!$E:$E,'Data - Monthly Metrics'!$A:$A,$B$4,'Data - Monthly Metrics'!$B:$B,L$8,'Data - Monthly Metrics'!$C:$C,"Pierce",'Data - Monthly Metrics'!$D:$D,"Goal - Penetration %"))</formula>
    </cfRule>
    <cfRule type="expression" rank="0" priority="431" equalAverage="0" aboveAverage="0" dxfId="2" stopIfTrue="1" text="" percent="0" bottom="0">
      <formula>AND(ISNUMBER(L29),COUNTIFS('Data - Monthly Metrics'!$A:$A,$B$4,'Data - Monthly Metrics'!$B:$B,L$8,'Data - Monthly Metrics'!$C:$C,"Pierce",'Data - Monthly Metrics'!$D:$D,"Goal - Penetration %")&gt;0,L29&gt;=SUMIFS('Data - Monthly Metrics'!$E:$E,'Data - Monthly Metrics'!$A:$A,$B$4,'Data - Monthly Metrics'!$B:$B,L$8,'Data - Monthly Metrics'!$C:$C,"Pierce",'Data - Monthly Metrics'!$D:$D,"Goal - Penetration %")-0.05)</formula>
    </cfRule>
    <cfRule type="expression" rank="0" priority="432" equalAverage="0" aboveAverage="0" dxfId="1" stopIfTrue="1" text="" percent="0" bottom="0">
      <formula>AND(ISNUMBER(L29),COUNTIFS('Data - Monthly Metrics'!$A:$A,$B$4,'Data - Monthly Metrics'!$B:$B,L$8,'Data - Monthly Metrics'!$C:$C,"Pierce",'Data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Metrics'!$C:$C,"Pierce",'Data - Monthly Metrics'!$D:$D,"Goal - Penetration %")&gt;0,N29&gt;=SUMIFS('Data - Monthly Metrics'!$E:$E,'Data - Monthly Metrics'!$A:$A,$B$4,'Data - Monthly Metrics'!$B:$B,N$8,'Data - Monthly Metrics'!$C:$C,"Pierce",'Data - Monthly Metrics'!$D:$D,"Goal - Penetration %"))</formula>
    </cfRule>
    <cfRule type="expression" rank="0" priority="434" equalAverage="0" aboveAverage="0" dxfId="2" stopIfTrue="1" text="" percent="0" bottom="0">
      <formula>AND(ISNUMBER(N29),COUNTIFS('Data - Monthly Metrics'!$A:$A,$B$4,'Data - Monthly Metrics'!$B:$B,N$8,'Data - Monthly Metrics'!$C:$C,"Pierce",'Data - Monthly Metrics'!$D:$D,"Goal - Penetration %")&gt;0,N29&gt;=SUMIFS('Data - Monthly Metrics'!$E:$E,'Data - Monthly Metrics'!$A:$A,$B$4,'Data - Monthly Metrics'!$B:$B,N$8,'Data - Monthly Metrics'!$C:$C,"Pierce",'Data - Monthly Metrics'!$D:$D,"Goal - Penetration %")-0.05)</formula>
    </cfRule>
    <cfRule type="expression" rank="0" priority="435" equalAverage="0" aboveAverage="0" dxfId="1" stopIfTrue="1" text="" percent="0" bottom="0">
      <formula>AND(ISNUMBER(N29),COUNTIFS('Data - Monthly Metrics'!$A:$A,$B$4,'Data - Monthly Metrics'!$B:$B,N$8,'Data - Monthly Metrics'!$C:$C,"Pierce",'Data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Metrics'!$C:$C,"Pierce",'Data - Monthly Metrics'!$D:$D,"Goal - Penetration %")&gt;0,O29&gt;=SUMIFS('Data - Monthly Metrics'!$E:$E,'Data - Monthly Metrics'!$A:$A,$B$4,'Data - Monthly Metrics'!$B:$B,O$8,'Data - Monthly Metrics'!$C:$C,"Pierce",'Data - Monthly Metrics'!$D:$D,"Goal - Penetration %"))</formula>
    </cfRule>
    <cfRule type="expression" rank="0" priority="437" equalAverage="0" aboveAverage="0" dxfId="2" stopIfTrue="1" text="" percent="0" bottom="0">
      <formula>AND(ISNUMBER(O29),COUNTIFS('Data - Monthly Metrics'!$A:$A,$B$4,'Data - Monthly Metrics'!$B:$B,O$8,'Data - Monthly Metrics'!$C:$C,"Pierce",'Data - Monthly Metrics'!$D:$D,"Goal - Penetration %")&gt;0,O29&gt;=SUMIFS('Data - Monthly Metrics'!$E:$E,'Data - Monthly Metrics'!$A:$A,$B$4,'Data - Monthly Metrics'!$B:$B,O$8,'Data - Monthly Metrics'!$C:$C,"Pierce",'Data - Monthly Metrics'!$D:$D,"Goal - Penetration %")-0.05)</formula>
    </cfRule>
    <cfRule type="expression" rank="0" priority="438" equalAverage="0" aboveAverage="0" dxfId="1" stopIfTrue="1" text="" percent="0" bottom="0">
      <formula>AND(ISNUMBER(O29),COUNTIFS('Data - Monthly Metrics'!$A:$A,$B$4,'Data - Monthly Metrics'!$B:$B,O$8,'Data - Monthly Metrics'!$C:$C,"Pierce",'Data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Metrics'!$C:$C,"Pierce",'Data - Monthly Metrics'!$D:$D,"Goal - Penetration %")&gt;0,P29&gt;=SUMIFS('Data - Monthly Metrics'!$E:$E,'Data - Monthly Metrics'!$A:$A,$B$4,'Data - Monthly Metrics'!$B:$B,P$8,'Data - Monthly Metrics'!$C:$C,"Pierce",'Data - Monthly Metrics'!$D:$D,"Goal - Penetration %"))</formula>
    </cfRule>
    <cfRule type="expression" rank="0" priority="440" equalAverage="0" aboveAverage="0" dxfId="2" stopIfTrue="1" text="" percent="0" bottom="0">
      <formula>AND(ISNUMBER(P29),COUNTIFS('Data - Monthly Metrics'!$A:$A,$B$4,'Data - Monthly Metrics'!$B:$B,P$8,'Data - Monthly Metrics'!$C:$C,"Pierce",'Data - Monthly Metrics'!$D:$D,"Goal - Penetration %")&gt;0,P29&gt;=SUMIFS('Data - Monthly Metrics'!$E:$E,'Data - Monthly Metrics'!$A:$A,$B$4,'Data - Monthly Metrics'!$B:$B,P$8,'Data - Monthly Metrics'!$C:$C,"Pierce",'Data - Monthly Metrics'!$D:$D,"Goal - Penetration %")-0.05)</formula>
    </cfRule>
    <cfRule type="expression" rank="0" priority="441" equalAverage="0" aboveAverage="0" dxfId="1" stopIfTrue="1" text="" percent="0" bottom="0">
      <formula>AND(ISNUMBER(P29),COUNTIFS('Data - Monthly Metrics'!$A:$A,$B$4,'Data - Monthly Metrics'!$B:$B,P$8,'Data - Monthly Metrics'!$C:$C,"Pierce",'Data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Metrics'!$C:$C,"Pierce",'Data - Monthly Metrics'!$D:$D,"Goal - Penetration %")&gt;0,B30&gt;=SUMIFS('Data - Monthly Metrics'!$E:$E,'Data - Monthly Metrics'!$A:$A,$B$4-1,'Data - Monthly Metrics'!$B:$B,B$8,'Data - Monthly Metrics'!$C:$C,"Pierce",'Data - Monthly Metrics'!$D:$D,"Goal - Penetration %"))</formula>
    </cfRule>
    <cfRule type="expression" rank="0" priority="443" equalAverage="0" aboveAverage="0" dxfId="2" stopIfTrue="1" text="" percent="0" bottom="0">
      <formula>AND(ISNUMBER(B30),COUNTIFS('Data - Monthly Metrics'!$A:$A,$B$4-1,'Data - Monthly Metrics'!$B:$B,B$8,'Data - Monthly Metrics'!$C:$C,"Pierce",'Data - Monthly Metrics'!$D:$D,"Goal - Penetration %")&gt;0,B30&gt;=SUMIFS('Data - Monthly Metrics'!$E:$E,'Data - Monthly Metrics'!$A:$A,$B$4-1,'Data - Monthly Metrics'!$B:$B,B$8,'Data - Monthly Metrics'!$C:$C,"Pierce",'Data - Monthly Metrics'!$D:$D,"Goal - Penetration %")-0.05)</formula>
    </cfRule>
    <cfRule type="expression" rank="0" priority="444" equalAverage="0" aboveAverage="0" dxfId="1" stopIfTrue="1" text="" percent="0" bottom="0">
      <formula>AND(ISNUMBER(B30),COUNTIFS('Data - Monthly Metrics'!$A:$A,$B$4-1,'Data - Monthly Metrics'!$B:$B,B$8,'Data - Monthly Metrics'!$C:$C,"Pierce",'Data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Metrics'!$C:$C,"Pierce",'Data - Monthly Metrics'!$D:$D,"Goal - Penetration %")&gt;0,C30&gt;=SUMIFS('Data - Monthly Metrics'!$E:$E,'Data - Monthly Metrics'!$A:$A,$B$4-1,'Data - Monthly Metrics'!$B:$B,C$8,'Data - Monthly Metrics'!$C:$C,"Pierce",'Data - Monthly Metrics'!$D:$D,"Goal - Penetration %"))</formula>
    </cfRule>
    <cfRule type="expression" rank="0" priority="446" equalAverage="0" aboveAverage="0" dxfId="2" stopIfTrue="1" text="" percent="0" bottom="0">
      <formula>AND(ISNUMBER(C30),COUNTIFS('Data - Monthly Metrics'!$A:$A,$B$4-1,'Data - Monthly Metrics'!$B:$B,C$8,'Data - Monthly Metrics'!$C:$C,"Pierce",'Data - Monthly Metrics'!$D:$D,"Goal - Penetration %")&gt;0,C30&gt;=SUMIFS('Data - Monthly Metrics'!$E:$E,'Data - Monthly Metrics'!$A:$A,$B$4-1,'Data - Monthly Metrics'!$B:$B,C$8,'Data - Monthly Metrics'!$C:$C,"Pierce",'Data - Monthly Metrics'!$D:$D,"Goal - Penetration %")-0.05)</formula>
    </cfRule>
    <cfRule type="expression" rank="0" priority="447" equalAverage="0" aboveAverage="0" dxfId="1" stopIfTrue="1" text="" percent="0" bottom="0">
      <formula>AND(ISNUMBER(C30),COUNTIFS('Data - Monthly Metrics'!$A:$A,$B$4-1,'Data - Monthly Metrics'!$B:$B,C$8,'Data - Monthly Metrics'!$C:$C,"Pierce",'Data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Metrics'!$C:$C,"Pierce",'Data - Monthly Metrics'!$D:$D,"Goal - Penetration %")&gt;0,D30&gt;=SUMIFS('Data - Monthly Metrics'!$E:$E,'Data - Monthly Metrics'!$A:$A,$B$4-1,'Data - Monthly Metrics'!$B:$B,D$8,'Data - Monthly Metrics'!$C:$C,"Pierce",'Data - Monthly Metrics'!$D:$D,"Goal - Penetration %"))</formula>
    </cfRule>
    <cfRule type="expression" rank="0" priority="449" equalAverage="0" aboveAverage="0" dxfId="2" stopIfTrue="1" text="" percent="0" bottom="0">
      <formula>AND(ISNUMBER(D30),COUNTIFS('Data - Monthly Metrics'!$A:$A,$B$4-1,'Data - Monthly Metrics'!$B:$B,D$8,'Data - Monthly Metrics'!$C:$C,"Pierce",'Data - Monthly Metrics'!$D:$D,"Goal - Penetration %")&gt;0,D30&gt;=SUMIFS('Data - Monthly Metrics'!$E:$E,'Data - Monthly Metrics'!$A:$A,$B$4-1,'Data - Monthly Metrics'!$B:$B,D$8,'Data - Monthly Metrics'!$C:$C,"Pierce",'Data - Monthly Metrics'!$D:$D,"Goal - Penetration %")-0.05)</formula>
    </cfRule>
    <cfRule type="expression" rank="0" priority="450" equalAverage="0" aboveAverage="0" dxfId="1" stopIfTrue="1" text="" percent="0" bottom="0">
      <formula>AND(ISNUMBER(D30),COUNTIFS('Data - Monthly Metrics'!$A:$A,$B$4-1,'Data - Monthly Metrics'!$B:$B,D$8,'Data - Monthly Metrics'!$C:$C,"Pierce",'Data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Metrics'!$C:$C,"Pierce",'Data - Monthly Metrics'!$D:$D,"Goal - Penetration %")&gt;0,F30&gt;=SUMIFS('Data - Monthly Metrics'!$E:$E,'Data - Monthly Metrics'!$A:$A,$B$4,'Data - Monthly Metrics'!$B:$B,F$8,'Data - Monthly Metrics'!$C:$C,"Pierce",'Data - Monthly Metrics'!$D:$D,"Goal - Penetration %"))</formula>
    </cfRule>
    <cfRule type="expression" rank="0" priority="452" equalAverage="0" aboveAverage="0" dxfId="2" stopIfTrue="1" text="" percent="0" bottom="0">
      <formula>AND(ISNUMBER(F30),COUNTIFS('Data - Monthly Metrics'!$A:$A,$B$4,'Data - Monthly Metrics'!$B:$B,F$8,'Data - Monthly Metrics'!$C:$C,"Pierce",'Data - Monthly Metrics'!$D:$D,"Goal - Penetration %")&gt;0,F30&gt;=SUMIFS('Data - Monthly Metrics'!$E:$E,'Data - Monthly Metrics'!$A:$A,$B$4,'Data - Monthly Metrics'!$B:$B,F$8,'Data - Monthly Metrics'!$C:$C,"Pierce",'Data - Monthly Metrics'!$D:$D,"Goal - Penetration %")-0.05)</formula>
    </cfRule>
    <cfRule type="expression" rank="0" priority="453" equalAverage="0" aboveAverage="0" dxfId="1" stopIfTrue="1" text="" percent="0" bottom="0">
      <formula>AND(ISNUMBER(F30),COUNTIFS('Data - Monthly Metrics'!$A:$A,$B$4,'Data - Monthly Metrics'!$B:$B,F$8,'Data - Monthly Metrics'!$C:$C,"Pierce",'Data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Metrics'!$C:$C,"Pierce",'Data - Monthly Metrics'!$D:$D,"Goal - Penetration %")&gt;0,G30&gt;=SUMIFS('Data - Monthly Metrics'!$E:$E,'Data - Monthly Metrics'!$A:$A,$B$4,'Data - Monthly Metrics'!$B:$B,G$8,'Data - Monthly Metrics'!$C:$C,"Pierce",'Data - Monthly Metrics'!$D:$D,"Goal - Penetration %"))</formula>
    </cfRule>
    <cfRule type="expression" rank="0" priority="455" equalAverage="0" aboveAverage="0" dxfId="2" stopIfTrue="1" text="" percent="0" bottom="0">
      <formula>AND(ISNUMBER(G30),COUNTIFS('Data - Monthly Metrics'!$A:$A,$B$4,'Data - Monthly Metrics'!$B:$B,G$8,'Data - Monthly Metrics'!$C:$C,"Pierce",'Data - Monthly Metrics'!$D:$D,"Goal - Penetration %")&gt;0,G30&gt;=SUMIFS('Data - Monthly Metrics'!$E:$E,'Data - Monthly Metrics'!$A:$A,$B$4,'Data - Monthly Metrics'!$B:$B,G$8,'Data - Monthly Metrics'!$C:$C,"Pierce",'Data - Monthly Metrics'!$D:$D,"Goal - Penetration %")-0.05)</formula>
    </cfRule>
    <cfRule type="expression" rank="0" priority="456" equalAverage="0" aboveAverage="0" dxfId="1" stopIfTrue="1" text="" percent="0" bottom="0">
      <formula>AND(ISNUMBER(G30),COUNTIFS('Data - Monthly Metrics'!$A:$A,$B$4,'Data - Monthly Metrics'!$B:$B,G$8,'Data - Monthly Metrics'!$C:$C,"Pierce",'Data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Metrics'!$C:$C,"Pierce",'Data - Monthly Metrics'!$D:$D,"Goal - Penetration %")&gt;0,H30&gt;=SUMIFS('Data - Monthly Metrics'!$E:$E,'Data - Monthly Metrics'!$A:$A,$B$4,'Data - Monthly Metrics'!$B:$B,H$8,'Data - Monthly Metrics'!$C:$C,"Pierce",'Data - Monthly Metrics'!$D:$D,"Goal - Penetration %"))</formula>
    </cfRule>
    <cfRule type="expression" rank="0" priority="458" equalAverage="0" aboveAverage="0" dxfId="2" stopIfTrue="1" text="" percent="0" bottom="0">
      <formula>AND(ISNUMBER(H30),COUNTIFS('Data - Monthly Metrics'!$A:$A,$B$4,'Data - Monthly Metrics'!$B:$B,H$8,'Data - Monthly Metrics'!$C:$C,"Pierce",'Data - Monthly Metrics'!$D:$D,"Goal - Penetration %")&gt;0,H30&gt;=SUMIFS('Data - Monthly Metrics'!$E:$E,'Data - Monthly Metrics'!$A:$A,$B$4,'Data - Monthly Metrics'!$B:$B,H$8,'Data - Monthly Metrics'!$C:$C,"Pierce",'Data - Monthly Metrics'!$D:$D,"Goal - Penetration %")-0.05)</formula>
    </cfRule>
    <cfRule type="expression" rank="0" priority="459" equalAverage="0" aboveAverage="0" dxfId="1" stopIfTrue="1" text="" percent="0" bottom="0">
      <formula>AND(ISNUMBER(H30),COUNTIFS('Data - Monthly Metrics'!$A:$A,$B$4,'Data - Monthly Metrics'!$B:$B,H$8,'Data - Monthly Metrics'!$C:$C,"Pierce",'Data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Metrics'!$C:$C,"Pierce",'Data - Monthly Metrics'!$D:$D,"Goal - Penetration %")&gt;0,J30&gt;=SUMIFS('Data - Monthly Metrics'!$E:$E,'Data - Monthly Metrics'!$A:$A,$B$4,'Data - Monthly Metrics'!$B:$B,J$8,'Data - Monthly Metrics'!$C:$C,"Pierce",'Data - Monthly Metrics'!$D:$D,"Goal - Penetration %"))</formula>
    </cfRule>
    <cfRule type="expression" rank="0" priority="461" equalAverage="0" aboveAverage="0" dxfId="2" stopIfTrue="1" text="" percent="0" bottom="0">
      <formula>AND(ISNUMBER(J30),COUNTIFS('Data - Monthly Metrics'!$A:$A,$B$4,'Data - Monthly Metrics'!$B:$B,J$8,'Data - Monthly Metrics'!$C:$C,"Pierce",'Data - Monthly Metrics'!$D:$D,"Goal - Penetration %")&gt;0,J30&gt;=SUMIFS('Data - Monthly Metrics'!$E:$E,'Data - Monthly Metrics'!$A:$A,$B$4,'Data - Monthly Metrics'!$B:$B,J$8,'Data - Monthly Metrics'!$C:$C,"Pierce",'Data - Monthly Metrics'!$D:$D,"Goal - Penetration %")-0.05)</formula>
    </cfRule>
    <cfRule type="expression" rank="0" priority="462" equalAverage="0" aboveAverage="0" dxfId="1" stopIfTrue="1" text="" percent="0" bottom="0">
      <formula>AND(ISNUMBER(J30),COUNTIFS('Data - Monthly Metrics'!$A:$A,$B$4,'Data - Monthly Metrics'!$B:$B,J$8,'Data - Monthly Metrics'!$C:$C,"Pierce",'Data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Metrics'!$C:$C,"Pierce",'Data - Monthly Metrics'!$D:$D,"Goal - Penetration %")&gt;0,K30&gt;=SUMIFS('Data - Monthly Metrics'!$E:$E,'Data - Monthly Metrics'!$A:$A,$B$4,'Data - Monthly Metrics'!$B:$B,K$8,'Data - Monthly Metrics'!$C:$C,"Pierce",'Data - Monthly Metrics'!$D:$D,"Goal - Penetration %"))</formula>
    </cfRule>
    <cfRule type="expression" rank="0" priority="464" equalAverage="0" aboveAverage="0" dxfId="2" stopIfTrue="1" text="" percent="0" bottom="0">
      <formula>AND(ISNUMBER(K30),COUNTIFS('Data - Monthly Metrics'!$A:$A,$B$4,'Data - Monthly Metrics'!$B:$B,K$8,'Data - Monthly Metrics'!$C:$C,"Pierce",'Data - Monthly Metrics'!$D:$D,"Goal - Penetration %")&gt;0,K30&gt;=SUMIFS('Data - Monthly Metrics'!$E:$E,'Data - Monthly Metrics'!$A:$A,$B$4,'Data - Monthly Metrics'!$B:$B,K$8,'Data - Monthly Metrics'!$C:$C,"Pierce",'Data - Monthly Metrics'!$D:$D,"Goal - Penetration %")-0.05)</formula>
    </cfRule>
    <cfRule type="expression" rank="0" priority="465" equalAverage="0" aboveAverage="0" dxfId="1" stopIfTrue="1" text="" percent="0" bottom="0">
      <formula>AND(ISNUMBER(K30),COUNTIFS('Data - Monthly Metrics'!$A:$A,$B$4,'Data - Monthly Metrics'!$B:$B,K$8,'Data - Monthly Metrics'!$C:$C,"Pierce",'Data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Metrics'!$C:$C,"Pierce",'Data - Monthly Metrics'!$D:$D,"Goal - Penetration %")&gt;0,L30&gt;=SUMIFS('Data - Monthly Metrics'!$E:$E,'Data - Monthly Metrics'!$A:$A,$B$4,'Data - Monthly Metrics'!$B:$B,L$8,'Data - Monthly Metrics'!$C:$C,"Pierce",'Data - Monthly Metrics'!$D:$D,"Goal - Penetration %"))</formula>
    </cfRule>
    <cfRule type="expression" rank="0" priority="467" equalAverage="0" aboveAverage="0" dxfId="2" stopIfTrue="1" text="" percent="0" bottom="0">
      <formula>AND(ISNUMBER(L30),COUNTIFS('Data - Monthly Metrics'!$A:$A,$B$4,'Data - Monthly Metrics'!$B:$B,L$8,'Data - Monthly Metrics'!$C:$C,"Pierce",'Data - Monthly Metrics'!$D:$D,"Goal - Penetration %")&gt;0,L30&gt;=SUMIFS('Data - Monthly Metrics'!$E:$E,'Data - Monthly Metrics'!$A:$A,$B$4,'Data - Monthly Metrics'!$B:$B,L$8,'Data - Monthly Metrics'!$C:$C,"Pierce",'Data - Monthly Metrics'!$D:$D,"Goal - Penetration %")-0.05)</formula>
    </cfRule>
    <cfRule type="expression" rank="0" priority="468" equalAverage="0" aboveAverage="0" dxfId="1" stopIfTrue="1" text="" percent="0" bottom="0">
      <formula>AND(ISNUMBER(L30),COUNTIFS('Data - Monthly Metrics'!$A:$A,$B$4,'Data - Monthly Metrics'!$B:$B,L$8,'Data - Monthly Metrics'!$C:$C,"Pierce",'Data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Metrics'!$C:$C,"Pierce",'Data - Monthly Metrics'!$D:$D,"Goal - Penetration %")&gt;0,N30&gt;=SUMIFS('Data - Monthly Metrics'!$E:$E,'Data - Monthly Metrics'!$A:$A,$B$4,'Data - Monthly Metrics'!$B:$B,N$8,'Data - Monthly Metrics'!$C:$C,"Pierce",'Data - Monthly Metrics'!$D:$D,"Goal - Penetration %"))</formula>
    </cfRule>
    <cfRule type="expression" rank="0" priority="470" equalAverage="0" aboveAverage="0" dxfId="2" stopIfTrue="1" text="" percent="0" bottom="0">
      <formula>AND(ISNUMBER(N30),COUNTIFS('Data - Monthly Metrics'!$A:$A,$B$4,'Data - Monthly Metrics'!$B:$B,N$8,'Data - Monthly Metrics'!$C:$C,"Pierce",'Data - Monthly Metrics'!$D:$D,"Goal - Penetration %")&gt;0,N30&gt;=SUMIFS('Data - Monthly Metrics'!$E:$E,'Data - Monthly Metrics'!$A:$A,$B$4,'Data - Monthly Metrics'!$B:$B,N$8,'Data - Monthly Metrics'!$C:$C,"Pierce",'Data - Monthly Metrics'!$D:$D,"Goal - Penetration %")-0.05)</formula>
    </cfRule>
    <cfRule type="expression" rank="0" priority="471" equalAverage="0" aboveAverage="0" dxfId="1" stopIfTrue="1" text="" percent="0" bottom="0">
      <formula>AND(ISNUMBER(N30),COUNTIFS('Data - Monthly Metrics'!$A:$A,$B$4,'Data - Monthly Metrics'!$B:$B,N$8,'Data - Monthly Metrics'!$C:$C,"Pierce",'Data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Metrics'!$C:$C,"Pierce",'Data - Monthly Metrics'!$D:$D,"Goal - Penetration %")&gt;0,O30&gt;=SUMIFS('Data - Monthly Metrics'!$E:$E,'Data - Monthly Metrics'!$A:$A,$B$4,'Data - Monthly Metrics'!$B:$B,O$8,'Data - Monthly Metrics'!$C:$C,"Pierce",'Data - Monthly Metrics'!$D:$D,"Goal - Penetration %"))</formula>
    </cfRule>
    <cfRule type="expression" rank="0" priority="473" equalAverage="0" aboveAverage="0" dxfId="2" stopIfTrue="1" text="" percent="0" bottom="0">
      <formula>AND(ISNUMBER(O30),COUNTIFS('Data - Monthly Metrics'!$A:$A,$B$4,'Data - Monthly Metrics'!$B:$B,O$8,'Data - Monthly Metrics'!$C:$C,"Pierce",'Data - Monthly Metrics'!$D:$D,"Goal - Penetration %")&gt;0,O30&gt;=SUMIFS('Data - Monthly Metrics'!$E:$E,'Data - Monthly Metrics'!$A:$A,$B$4,'Data - Monthly Metrics'!$B:$B,O$8,'Data - Monthly Metrics'!$C:$C,"Pierce",'Data - Monthly Metrics'!$D:$D,"Goal - Penetration %")-0.05)</formula>
    </cfRule>
    <cfRule type="expression" rank="0" priority="474" equalAverage="0" aboveAverage="0" dxfId="1" stopIfTrue="1" text="" percent="0" bottom="0">
      <formula>AND(ISNUMBER(O30),COUNTIFS('Data - Monthly Metrics'!$A:$A,$B$4,'Data - Monthly Metrics'!$B:$B,O$8,'Data - Monthly Metrics'!$C:$C,"Pierce",'Data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Metrics'!$C:$C,"Pierce",'Data - Monthly Metrics'!$D:$D,"Goal - Penetration %")&gt;0,P30&gt;=SUMIFS('Data - Monthly Metrics'!$E:$E,'Data - Monthly Metrics'!$A:$A,$B$4,'Data - Monthly Metrics'!$B:$B,P$8,'Data - Monthly Metrics'!$C:$C,"Pierce",'Data - Monthly Metrics'!$D:$D,"Goal - Penetration %"))</formula>
    </cfRule>
    <cfRule type="expression" rank="0" priority="476" equalAverage="0" aboveAverage="0" dxfId="2" stopIfTrue="1" text="" percent="0" bottom="0">
      <formula>AND(ISNUMBER(P30),COUNTIFS('Data - Monthly Metrics'!$A:$A,$B$4,'Data - Monthly Metrics'!$B:$B,P$8,'Data - Monthly Metrics'!$C:$C,"Pierce",'Data - Monthly Metrics'!$D:$D,"Goal - Penetration %")&gt;0,P30&gt;=SUMIFS('Data - Monthly Metrics'!$E:$E,'Data - Monthly Metrics'!$A:$A,$B$4,'Data - Monthly Metrics'!$B:$B,P$8,'Data - Monthly Metrics'!$C:$C,"Pierce",'Data - Monthly Metrics'!$D:$D,"Goal - Penetration %")-0.05)</formula>
    </cfRule>
    <cfRule type="expression" rank="0" priority="477" equalAverage="0" aboveAverage="0" dxfId="1" stopIfTrue="1" text="" percent="0" bottom="0">
      <formula>AND(ISNUMBER(P30),COUNTIFS('Data - Monthly Metrics'!$A:$A,$B$4,'Data - Monthly Metrics'!$B:$B,P$8,'Data - Monthly Metrics'!$C:$C,"Pierce",'Data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Metrics'!$C:$C,"Pierce",'Data - Monthly Metrics'!$D:$D,"Goal - Penetration %")&gt;0,B31&gt;=SUMIFS('Data - Monthly Metrics'!$E:$E,'Data - Monthly Metrics'!$A:$A,$B$4-1,'Data - Monthly Metrics'!$B:$B,B$8,'Data - Monthly Metrics'!$C:$C,"Pierce",'Data - Monthly Metrics'!$D:$D,"Goal - Penetration %"))</formula>
    </cfRule>
    <cfRule type="expression" rank="0" priority="479" equalAverage="0" aboveAverage="0" dxfId="2" stopIfTrue="1" text="" percent="0" bottom="0">
      <formula>AND(ISNUMBER(B31),COUNTIFS('Data - Monthly Metrics'!$A:$A,$B$4-1,'Data - Monthly Metrics'!$B:$B,B$8,'Data - Monthly Metrics'!$C:$C,"Pierce",'Data - Monthly Metrics'!$D:$D,"Goal - Penetration %")&gt;0,B31&gt;=SUMIFS('Data - Monthly Metrics'!$E:$E,'Data - Monthly Metrics'!$A:$A,$B$4-1,'Data - Monthly Metrics'!$B:$B,B$8,'Data - Monthly Metrics'!$C:$C,"Pierce",'Data - Monthly Metrics'!$D:$D,"Goal - Penetration %")-0.05)</formula>
    </cfRule>
    <cfRule type="expression" rank="0" priority="480" equalAverage="0" aboveAverage="0" dxfId="1" stopIfTrue="1" text="" percent="0" bottom="0">
      <formula>AND(ISNUMBER(B31),COUNTIFS('Data - Monthly Metrics'!$A:$A,$B$4-1,'Data - Monthly Metrics'!$B:$B,B$8,'Data - Monthly Metrics'!$C:$C,"Pierce",'Data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Metrics'!$C:$C,"Pierce",'Data - Monthly Metrics'!$D:$D,"Goal - Penetration %")&gt;0,C31&gt;=SUMIFS('Data - Monthly Metrics'!$E:$E,'Data - Monthly Metrics'!$A:$A,$B$4-1,'Data - Monthly Metrics'!$B:$B,C$8,'Data - Monthly Metrics'!$C:$C,"Pierce",'Data - Monthly Metrics'!$D:$D,"Goal - Penetration %"))</formula>
    </cfRule>
    <cfRule type="expression" rank="0" priority="482" equalAverage="0" aboveAverage="0" dxfId="2" stopIfTrue="1" text="" percent="0" bottom="0">
      <formula>AND(ISNUMBER(C31),COUNTIFS('Data - Monthly Metrics'!$A:$A,$B$4-1,'Data - Monthly Metrics'!$B:$B,C$8,'Data - Monthly Metrics'!$C:$C,"Pierce",'Data - Monthly Metrics'!$D:$D,"Goal - Penetration %")&gt;0,C31&gt;=SUMIFS('Data - Monthly Metrics'!$E:$E,'Data - Monthly Metrics'!$A:$A,$B$4-1,'Data - Monthly Metrics'!$B:$B,C$8,'Data - Monthly Metrics'!$C:$C,"Pierce",'Data - Monthly Metrics'!$D:$D,"Goal - Penetration %")-0.05)</formula>
    </cfRule>
    <cfRule type="expression" rank="0" priority="483" equalAverage="0" aboveAverage="0" dxfId="1" stopIfTrue="1" text="" percent="0" bottom="0">
      <formula>AND(ISNUMBER(C31),COUNTIFS('Data - Monthly Metrics'!$A:$A,$B$4-1,'Data - Monthly Metrics'!$B:$B,C$8,'Data - Monthly Metrics'!$C:$C,"Pierce",'Data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Metrics'!$C:$C,"Pierce",'Data - Monthly Metrics'!$D:$D,"Goal - Penetration %")&gt;0,D31&gt;=SUMIFS('Data - Monthly Metrics'!$E:$E,'Data - Monthly Metrics'!$A:$A,$B$4-1,'Data - Monthly Metrics'!$B:$B,D$8,'Data - Monthly Metrics'!$C:$C,"Pierce",'Data - Monthly Metrics'!$D:$D,"Goal - Penetration %"))</formula>
    </cfRule>
    <cfRule type="expression" rank="0" priority="485" equalAverage="0" aboveAverage="0" dxfId="2" stopIfTrue="1" text="" percent="0" bottom="0">
      <formula>AND(ISNUMBER(D31),COUNTIFS('Data - Monthly Metrics'!$A:$A,$B$4-1,'Data - Monthly Metrics'!$B:$B,D$8,'Data - Monthly Metrics'!$C:$C,"Pierce",'Data - Monthly Metrics'!$D:$D,"Goal - Penetration %")&gt;0,D31&gt;=SUMIFS('Data - Monthly Metrics'!$E:$E,'Data - Monthly Metrics'!$A:$A,$B$4-1,'Data - Monthly Metrics'!$B:$B,D$8,'Data - Monthly Metrics'!$C:$C,"Pierce",'Data - Monthly Metrics'!$D:$D,"Goal - Penetration %")-0.05)</formula>
    </cfRule>
    <cfRule type="expression" rank="0" priority="486" equalAverage="0" aboveAverage="0" dxfId="1" stopIfTrue="1" text="" percent="0" bottom="0">
      <formula>AND(ISNUMBER(D31),COUNTIFS('Data - Monthly Metrics'!$A:$A,$B$4-1,'Data - Monthly Metrics'!$B:$B,D$8,'Data - Monthly Metrics'!$C:$C,"Pierce",'Data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Metrics'!$C:$C,"Pierce",'Data - Monthly Metrics'!$D:$D,"Goal - Penetration %")&gt;0,F31&gt;=SUMIFS('Data - Monthly Metrics'!$E:$E,'Data - Monthly Metrics'!$A:$A,$B$4,'Data - Monthly Metrics'!$B:$B,F$8,'Data - Monthly Metrics'!$C:$C,"Pierce",'Data - Monthly Metrics'!$D:$D,"Goal - Penetration %"))</formula>
    </cfRule>
    <cfRule type="expression" rank="0" priority="488" equalAverage="0" aboveAverage="0" dxfId="2" stopIfTrue="1" text="" percent="0" bottom="0">
      <formula>AND(ISNUMBER(F31),COUNTIFS('Data - Monthly Metrics'!$A:$A,$B$4,'Data - Monthly Metrics'!$B:$B,F$8,'Data - Monthly Metrics'!$C:$C,"Pierce",'Data - Monthly Metrics'!$D:$D,"Goal - Penetration %")&gt;0,F31&gt;=SUMIFS('Data - Monthly Metrics'!$E:$E,'Data - Monthly Metrics'!$A:$A,$B$4,'Data - Monthly Metrics'!$B:$B,F$8,'Data - Monthly Metrics'!$C:$C,"Pierce",'Data - Monthly Metrics'!$D:$D,"Goal - Penetration %")-0.05)</formula>
    </cfRule>
    <cfRule type="expression" rank="0" priority="489" equalAverage="0" aboveAverage="0" dxfId="1" stopIfTrue="1" text="" percent="0" bottom="0">
      <formula>AND(ISNUMBER(F31),COUNTIFS('Data - Monthly Metrics'!$A:$A,$B$4,'Data - Monthly Metrics'!$B:$B,F$8,'Data - Monthly Metrics'!$C:$C,"Pierce",'Data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Metrics'!$C:$C,"Pierce",'Data - Monthly Metrics'!$D:$D,"Goal - Penetration %")&gt;0,G31&gt;=SUMIFS('Data - Monthly Metrics'!$E:$E,'Data - Monthly Metrics'!$A:$A,$B$4,'Data - Monthly Metrics'!$B:$B,G$8,'Data - Monthly Metrics'!$C:$C,"Pierce",'Data - Monthly Metrics'!$D:$D,"Goal - Penetration %"))</formula>
    </cfRule>
    <cfRule type="expression" rank="0" priority="491" equalAverage="0" aboveAverage="0" dxfId="2" stopIfTrue="1" text="" percent="0" bottom="0">
      <formula>AND(ISNUMBER(G31),COUNTIFS('Data - Monthly Metrics'!$A:$A,$B$4,'Data - Monthly Metrics'!$B:$B,G$8,'Data - Monthly Metrics'!$C:$C,"Pierce",'Data - Monthly Metrics'!$D:$D,"Goal - Penetration %")&gt;0,G31&gt;=SUMIFS('Data - Monthly Metrics'!$E:$E,'Data - Monthly Metrics'!$A:$A,$B$4,'Data - Monthly Metrics'!$B:$B,G$8,'Data - Monthly Metrics'!$C:$C,"Pierce",'Data - Monthly Metrics'!$D:$D,"Goal - Penetration %")-0.05)</formula>
    </cfRule>
    <cfRule type="expression" rank="0" priority="492" equalAverage="0" aboveAverage="0" dxfId="1" stopIfTrue="1" text="" percent="0" bottom="0">
      <formula>AND(ISNUMBER(G31),COUNTIFS('Data - Monthly Metrics'!$A:$A,$B$4,'Data - Monthly Metrics'!$B:$B,G$8,'Data - Monthly Metrics'!$C:$C,"Pierce",'Data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Metrics'!$C:$C,"Pierce",'Data - Monthly Metrics'!$D:$D,"Goal - Penetration %")&gt;0,H31&gt;=SUMIFS('Data - Monthly Metrics'!$E:$E,'Data - Monthly Metrics'!$A:$A,$B$4,'Data - Monthly Metrics'!$B:$B,H$8,'Data - Monthly Metrics'!$C:$C,"Pierce",'Data - Monthly Metrics'!$D:$D,"Goal - Penetration %"))</formula>
    </cfRule>
    <cfRule type="expression" rank="0" priority="494" equalAverage="0" aboveAverage="0" dxfId="2" stopIfTrue="1" text="" percent="0" bottom="0">
      <formula>AND(ISNUMBER(H31),COUNTIFS('Data - Monthly Metrics'!$A:$A,$B$4,'Data - Monthly Metrics'!$B:$B,H$8,'Data - Monthly Metrics'!$C:$C,"Pierce",'Data - Monthly Metrics'!$D:$D,"Goal - Penetration %")&gt;0,H31&gt;=SUMIFS('Data - Monthly Metrics'!$E:$E,'Data - Monthly Metrics'!$A:$A,$B$4,'Data - Monthly Metrics'!$B:$B,H$8,'Data - Monthly Metrics'!$C:$C,"Pierce",'Data - Monthly Metrics'!$D:$D,"Goal - Penetration %")-0.05)</formula>
    </cfRule>
    <cfRule type="expression" rank="0" priority="495" equalAverage="0" aboveAverage="0" dxfId="1" stopIfTrue="1" text="" percent="0" bottom="0">
      <formula>AND(ISNUMBER(H31),COUNTIFS('Data - Monthly Metrics'!$A:$A,$B$4,'Data - Monthly Metrics'!$B:$B,H$8,'Data - Monthly Metrics'!$C:$C,"Pierce",'Data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Metrics'!$C:$C,"Pierce",'Data - Monthly Metrics'!$D:$D,"Goal - Penetration %")&gt;0,J31&gt;=SUMIFS('Data - Monthly Metrics'!$E:$E,'Data - Monthly Metrics'!$A:$A,$B$4,'Data - Monthly Metrics'!$B:$B,J$8,'Data - Monthly Metrics'!$C:$C,"Pierce",'Data - Monthly Metrics'!$D:$D,"Goal - Penetration %"))</formula>
    </cfRule>
    <cfRule type="expression" rank="0" priority="497" equalAverage="0" aboveAverage="0" dxfId="2" stopIfTrue="1" text="" percent="0" bottom="0">
      <formula>AND(ISNUMBER(J31),COUNTIFS('Data - Monthly Metrics'!$A:$A,$B$4,'Data - Monthly Metrics'!$B:$B,J$8,'Data - Monthly Metrics'!$C:$C,"Pierce",'Data - Monthly Metrics'!$D:$D,"Goal - Penetration %")&gt;0,J31&gt;=SUMIFS('Data - Monthly Metrics'!$E:$E,'Data - Monthly Metrics'!$A:$A,$B$4,'Data - Monthly Metrics'!$B:$B,J$8,'Data - Monthly Metrics'!$C:$C,"Pierce",'Data - Monthly Metrics'!$D:$D,"Goal - Penetration %")-0.05)</formula>
    </cfRule>
    <cfRule type="expression" rank="0" priority="498" equalAverage="0" aboveAverage="0" dxfId="1" stopIfTrue="1" text="" percent="0" bottom="0">
      <formula>AND(ISNUMBER(J31),COUNTIFS('Data - Monthly Metrics'!$A:$A,$B$4,'Data - Monthly Metrics'!$B:$B,J$8,'Data - Monthly Metrics'!$C:$C,"Pierce",'Data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Metrics'!$C:$C,"Pierce",'Data - Monthly Metrics'!$D:$D,"Goal - Penetration %")&gt;0,K31&gt;=SUMIFS('Data - Monthly Metrics'!$E:$E,'Data - Monthly Metrics'!$A:$A,$B$4,'Data - Monthly Metrics'!$B:$B,K$8,'Data - Monthly Metrics'!$C:$C,"Pierce",'Data - Monthly Metrics'!$D:$D,"Goal - Penetration %"))</formula>
    </cfRule>
    <cfRule type="expression" rank="0" priority="500" equalAverage="0" aboveAverage="0" dxfId="2" stopIfTrue="1" text="" percent="0" bottom="0">
      <formula>AND(ISNUMBER(K31),COUNTIFS('Data - Monthly Metrics'!$A:$A,$B$4,'Data - Monthly Metrics'!$B:$B,K$8,'Data - Monthly Metrics'!$C:$C,"Pierce",'Data - Monthly Metrics'!$D:$D,"Goal - Penetration %")&gt;0,K31&gt;=SUMIFS('Data - Monthly Metrics'!$E:$E,'Data - Monthly Metrics'!$A:$A,$B$4,'Data - Monthly Metrics'!$B:$B,K$8,'Data - Monthly Metrics'!$C:$C,"Pierce",'Data - Monthly Metrics'!$D:$D,"Goal - Penetration %")-0.05)</formula>
    </cfRule>
    <cfRule type="expression" rank="0" priority="501" equalAverage="0" aboveAverage="0" dxfId="1" stopIfTrue="1" text="" percent="0" bottom="0">
      <formula>AND(ISNUMBER(K31),COUNTIFS('Data - Monthly Metrics'!$A:$A,$B$4,'Data - Monthly Metrics'!$B:$B,K$8,'Data - Monthly Metrics'!$C:$C,"Pierce",'Data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Metrics'!$C:$C,"Pierce",'Data - Monthly Metrics'!$D:$D,"Goal - Penetration %")&gt;0,L31&gt;=SUMIFS('Data - Monthly Metrics'!$E:$E,'Data - Monthly Metrics'!$A:$A,$B$4,'Data - Monthly Metrics'!$B:$B,L$8,'Data - Monthly Metrics'!$C:$C,"Pierce",'Data - Monthly Metrics'!$D:$D,"Goal - Penetration %"))</formula>
    </cfRule>
    <cfRule type="expression" rank="0" priority="503" equalAverage="0" aboveAverage="0" dxfId="2" stopIfTrue="1" text="" percent="0" bottom="0">
      <formula>AND(ISNUMBER(L31),COUNTIFS('Data - Monthly Metrics'!$A:$A,$B$4,'Data - Monthly Metrics'!$B:$B,L$8,'Data - Monthly Metrics'!$C:$C,"Pierce",'Data - Monthly Metrics'!$D:$D,"Goal - Penetration %")&gt;0,L31&gt;=SUMIFS('Data - Monthly Metrics'!$E:$E,'Data - Monthly Metrics'!$A:$A,$B$4,'Data - Monthly Metrics'!$B:$B,L$8,'Data - Monthly Metrics'!$C:$C,"Pierce",'Data - Monthly Metrics'!$D:$D,"Goal - Penetration %")-0.05)</formula>
    </cfRule>
    <cfRule type="expression" rank="0" priority="504" equalAverage="0" aboveAverage="0" dxfId="1" stopIfTrue="1" text="" percent="0" bottom="0">
      <formula>AND(ISNUMBER(L31),COUNTIFS('Data - Monthly Metrics'!$A:$A,$B$4,'Data - Monthly Metrics'!$B:$B,L$8,'Data - Monthly Metrics'!$C:$C,"Pierce",'Data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Metrics'!$C:$C,"Pierce",'Data - Monthly Metrics'!$D:$D,"Goal - Penetration %")&gt;0,N31&gt;=SUMIFS('Data - Monthly Metrics'!$E:$E,'Data - Monthly Metrics'!$A:$A,$B$4,'Data - Monthly Metrics'!$B:$B,N$8,'Data - Monthly Metrics'!$C:$C,"Pierce",'Data - Monthly Metrics'!$D:$D,"Goal - Penetration %"))</formula>
    </cfRule>
    <cfRule type="expression" rank="0" priority="506" equalAverage="0" aboveAverage="0" dxfId="2" stopIfTrue="1" text="" percent="0" bottom="0">
      <formula>AND(ISNUMBER(N31),COUNTIFS('Data - Monthly Metrics'!$A:$A,$B$4,'Data - Monthly Metrics'!$B:$B,N$8,'Data - Monthly Metrics'!$C:$C,"Pierce",'Data - Monthly Metrics'!$D:$D,"Goal - Penetration %")&gt;0,N31&gt;=SUMIFS('Data - Monthly Metrics'!$E:$E,'Data - Monthly Metrics'!$A:$A,$B$4,'Data - Monthly Metrics'!$B:$B,N$8,'Data - Monthly Metrics'!$C:$C,"Pierce",'Data - Monthly Metrics'!$D:$D,"Goal - Penetration %")-0.05)</formula>
    </cfRule>
    <cfRule type="expression" rank="0" priority="507" equalAverage="0" aboveAverage="0" dxfId="1" stopIfTrue="1" text="" percent="0" bottom="0">
      <formula>AND(ISNUMBER(N31),COUNTIFS('Data - Monthly Metrics'!$A:$A,$B$4,'Data - Monthly Metrics'!$B:$B,N$8,'Data - Monthly Metrics'!$C:$C,"Pierce",'Data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Metrics'!$C:$C,"Pierce",'Data - Monthly Metrics'!$D:$D,"Goal - Penetration %")&gt;0,O31&gt;=SUMIFS('Data - Monthly Metrics'!$E:$E,'Data - Monthly Metrics'!$A:$A,$B$4,'Data - Monthly Metrics'!$B:$B,O$8,'Data - Monthly Metrics'!$C:$C,"Pierce",'Data - Monthly Metrics'!$D:$D,"Goal - Penetration %"))</formula>
    </cfRule>
    <cfRule type="expression" rank="0" priority="509" equalAverage="0" aboveAverage="0" dxfId="2" stopIfTrue="1" text="" percent="0" bottom="0">
      <formula>AND(ISNUMBER(O31),COUNTIFS('Data - Monthly Metrics'!$A:$A,$B$4,'Data - Monthly Metrics'!$B:$B,O$8,'Data - Monthly Metrics'!$C:$C,"Pierce",'Data - Monthly Metrics'!$D:$D,"Goal - Penetration %")&gt;0,O31&gt;=SUMIFS('Data - Monthly Metrics'!$E:$E,'Data - Monthly Metrics'!$A:$A,$B$4,'Data - Monthly Metrics'!$B:$B,O$8,'Data - Monthly Metrics'!$C:$C,"Pierce",'Data - Monthly Metrics'!$D:$D,"Goal - Penetration %")-0.05)</formula>
    </cfRule>
    <cfRule type="expression" rank="0" priority="510" equalAverage="0" aboveAverage="0" dxfId="1" stopIfTrue="1" text="" percent="0" bottom="0">
      <formula>AND(ISNUMBER(O31),COUNTIFS('Data - Monthly Metrics'!$A:$A,$B$4,'Data - Monthly Metrics'!$B:$B,O$8,'Data - Monthly Metrics'!$C:$C,"Pierce",'Data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Metrics'!$C:$C,"Pierce",'Data - Monthly Metrics'!$D:$D,"Goal - Penetration %")&gt;0,P31&gt;=SUMIFS('Data - Monthly Metrics'!$E:$E,'Data - Monthly Metrics'!$A:$A,$B$4,'Data - Monthly Metrics'!$B:$B,P$8,'Data - Monthly Metrics'!$C:$C,"Pierce",'Data - Monthly Metrics'!$D:$D,"Goal - Penetration %"))</formula>
    </cfRule>
    <cfRule type="expression" rank="0" priority="512" equalAverage="0" aboveAverage="0" dxfId="2" stopIfTrue="1" text="" percent="0" bottom="0">
      <formula>AND(ISNUMBER(P31),COUNTIFS('Data - Monthly Metrics'!$A:$A,$B$4,'Data - Monthly Metrics'!$B:$B,P$8,'Data - Monthly Metrics'!$C:$C,"Pierce",'Data - Monthly Metrics'!$D:$D,"Goal - Penetration %")&gt;0,P31&gt;=SUMIFS('Data - Monthly Metrics'!$E:$E,'Data - Monthly Metrics'!$A:$A,$B$4,'Data - Monthly Metrics'!$B:$B,P$8,'Data - Monthly Metrics'!$C:$C,"Pierce",'Data - Monthly Metrics'!$D:$D,"Goal - Penetration %")-0.05)</formula>
    </cfRule>
    <cfRule type="expression" rank="0" priority="513" equalAverage="0" aboveAverage="0" dxfId="1" stopIfTrue="1" text="" percent="0" bottom="0">
      <formula>AND(ISNUMBER(P31),COUNTIFS('Data - Monthly Metrics'!$A:$A,$B$4,'Data - Monthly Metrics'!$B:$B,P$8,'Data - Monthly Metrics'!$C:$C,"Pierce",'Data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T1" activeCellId="0" sqref="T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Spokane/NE</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Metrics'!C:C,"Spokane/NE",'Data - Monthly Metrics'!D:D,"New Sales Revenue - BOB/Promo ($)")=0,"-",SUMIFS('Data - Monthly Metrics'!E:E,'Data - Monthly Metrics'!A:A,$B$4-1,'Data - Monthly Metrics'!B:B,"Oct",'Data - Monthly Metrics'!C:C,"Spokane/NE",'Data - Monthly Metrics'!D:D,"New Sales Revenue - BOB/Promo ($)"))</f>
        <v/>
      </c>
      <c r="C10" s="91">
        <f>IF(COUNTIFS('Data - Monthly Metrics'!A:A,$B$4-1,'Data - Monthly Metrics'!B:B,"Nov",'Data - Monthly Metrics'!C:C,"Spokane/NE",'Data - Monthly Metrics'!D:D,"New Sales Revenue - BOB/Promo ($)")=0,"-",SUMIFS('Data - Monthly Metrics'!E:E,'Data - Monthly Metrics'!A:A,$B$4-1,'Data - Monthly Metrics'!B:B,"Nov",'Data - Monthly Metrics'!C:C,"Spokane/NE",'Data - Monthly Metrics'!D:D,"New Sales Revenue - BOB/Promo ($)"))</f>
        <v/>
      </c>
      <c r="D10" s="91">
        <f>IF(COUNTIFS('Data - Monthly Metrics'!A:A,$B$4-1,'Data - Monthly Metrics'!B:B,"Dec",'Data - Monthly Metrics'!C:C,"Spokane/NE",'Data - Monthly Metrics'!D:D,"New Sales Revenue - BOB/Promo ($)")=0,"-",SUMIFS('Data - Monthly Metrics'!E:E,'Data - Monthly Metrics'!A:A,$B$4-1,'Data - Monthly Metrics'!B:B,"Dec",'Data - Monthly Metrics'!C:C,"Spokane/NE",'Data - Monthly Metrics'!D:D,"New Sales Revenue - BOB/Promo ($)"))</f>
        <v/>
      </c>
      <c r="E10" s="101">
        <f>SUM(B10,C10,D10)</f>
        <v/>
      </c>
      <c r="F10" s="91">
        <f>IF(COUNTIFS('Data - Monthly Metrics'!A:A,$B$4,'Data - Monthly Metrics'!B:B,"Jan",'Data - Monthly Metrics'!C:C,"Spokane/NE",'Data - Monthly Metrics'!D:D,"New Sales Revenue - BOB/Promo ($)")=0,"-",SUMIFS('Data - Monthly Metrics'!E:E,'Data - Monthly Metrics'!A:A,$B$4,'Data - Monthly Metrics'!B:B,"Jan",'Data - Monthly Metrics'!C:C,"Spokane/NE",'Data - Monthly Metrics'!D:D,"New Sales Revenue - BOB/Promo ($)"))</f>
        <v/>
      </c>
      <c r="G10" s="91">
        <f>IF(COUNTIFS('Data - Monthly Metrics'!A:A,$B$4,'Data - Monthly Metrics'!B:B,"Feb",'Data - Monthly Metrics'!C:C,"Spokane/NE",'Data - Monthly Metrics'!D:D,"New Sales Revenue - BOB/Promo ($)")=0,"-",SUMIFS('Data - Monthly Metrics'!E:E,'Data - Monthly Metrics'!A:A,$B$4,'Data - Monthly Metrics'!B:B,"Feb",'Data - Monthly Metrics'!C:C,"Spokane/NE",'Data - Monthly Metrics'!D:D,"New Sales Revenue - BOB/Promo ($)"))</f>
        <v/>
      </c>
      <c r="H10" s="91">
        <f>IF(COUNTIFS('Data - Monthly Metrics'!A:A,$B$4,'Data - Monthly Metrics'!B:B,"Mar",'Data - Monthly Metrics'!C:C,"Spokane/NE",'Data - Monthly Metrics'!D:D,"New Sales Revenue - BOB/Promo ($)")=0,"-",SUMIFS('Data - Monthly Metrics'!E:E,'Data - Monthly Metrics'!A:A,$B$4,'Data - Monthly Metrics'!B:B,"Mar",'Data - Monthly Metrics'!C:C,"Spokane/NE",'Data - Monthly Metrics'!D:D,"New Sales Revenue - BOB/Promo ($)"))</f>
        <v/>
      </c>
      <c r="I10" s="101">
        <f>SUM(F10,G10,H10)</f>
        <v/>
      </c>
      <c r="J10" s="91">
        <f>IF(COUNTIFS('Data - Monthly Metrics'!A:A,$B$4,'Data - Monthly Metrics'!B:B,"Apr",'Data - Monthly Metrics'!C:C,"Spokane/NE",'Data - Monthly Metrics'!D:D,"New Sales Revenue - BOB/Promo ($)")=0,"-",SUMIFS('Data - Monthly Metrics'!E:E,'Data - Monthly Metrics'!A:A,$B$4,'Data - Monthly Metrics'!B:B,"Apr",'Data - Monthly Metrics'!C:C,"Spokane/NE",'Data - Monthly Metrics'!D:D,"New Sales Revenue - BOB/Promo ($)"))</f>
        <v/>
      </c>
      <c r="K10" s="91">
        <f>IF(COUNTIFS('Data - Monthly Metrics'!A:A,$B$4,'Data - Monthly Metrics'!B:B,"May",'Data - Monthly Metrics'!C:C,"Spokane/NE",'Data - Monthly Metrics'!D:D,"New Sales Revenue - BOB/Promo ($)")=0,"-",SUMIFS('Data - Monthly Metrics'!E:E,'Data - Monthly Metrics'!A:A,$B$4,'Data - Monthly Metrics'!B:B,"May",'Data - Monthly Metrics'!C:C,"Spokane/NE",'Data - Monthly Metrics'!D:D,"New Sales Revenue - BOB/Promo ($)"))</f>
        <v/>
      </c>
      <c r="L10" s="91">
        <f>IF(COUNTIFS('Data - Monthly Metrics'!A:A,$B$4,'Data - Monthly Metrics'!B:B,"Jun",'Data - Monthly Metrics'!C:C,"Spokane/NE",'Data - Monthly Metrics'!D:D,"New Sales Revenue - BOB/Promo ($)")=0,"-",SUMIFS('Data - Monthly Metrics'!E:E,'Data - Monthly Metrics'!A:A,$B$4,'Data - Monthly Metrics'!B:B,"Jun",'Data - Monthly Metrics'!C:C,"Spokane/NE",'Data - Monthly Metrics'!D:D,"New Sales Revenue - BOB/Promo ($)"))</f>
        <v/>
      </c>
      <c r="M10" s="101">
        <f>SUM(J10,K10,L10)</f>
        <v/>
      </c>
      <c r="N10" s="91">
        <f>IF(COUNTIFS('Data - Monthly Metrics'!A:A,$B$4,'Data - Monthly Metrics'!B:B,"Jul",'Data - Monthly Metrics'!C:C,"Spokane/NE",'Data - Monthly Metrics'!D:D,"New Sales Revenue - BOB/Promo ($)")=0,"-",SUMIFS('Data - Monthly Metrics'!E:E,'Data - Monthly Metrics'!A:A,$B$4,'Data - Monthly Metrics'!B:B,"Jul",'Data - Monthly Metrics'!C:C,"Spokane/NE",'Data - Monthly Metrics'!D:D,"New Sales Revenue - BOB/Promo ($)"))</f>
        <v/>
      </c>
      <c r="O10" s="91">
        <f>IF(COUNTIFS('Data - Monthly Metrics'!A:A,$B$4,'Data - Monthly Metrics'!B:B,"Aug",'Data - Monthly Metrics'!C:C,"Spokane/NE",'Data - Monthly Metrics'!D:D,"New Sales Revenue - BOB/Promo ($)")=0,"-",SUMIFS('Data - Monthly Metrics'!E:E,'Data - Monthly Metrics'!A:A,$B$4,'Data - Monthly Metrics'!B:B,"Aug",'Data - Monthly Metrics'!C:C,"Spokane/NE",'Data - Monthly Metrics'!D:D,"New Sales Revenue - BOB/Promo ($)"))</f>
        <v/>
      </c>
      <c r="P10" s="91">
        <f>IF(COUNTIFS('Data - Monthly Metrics'!A:A,$B$4,'Data - Monthly Metrics'!B:B,"Sep",'Data - Monthly Metrics'!C:C,"Spokane/NE",'Data - Monthly Metrics'!D:D,"New Sales Revenue - BOB/Promo ($)")=0,"-",SUMIFS('Data - Monthly Metrics'!E:E,'Data - Monthly Metrics'!A:A,$B$4,'Data - Monthly Metrics'!B:B,"Sep",'Data - Monthly Metrics'!C:C,"Spokane/NE",'Data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Metrics'!C:C,"Spokane/NE",'Data - Monthly Metrics'!D:D,"New Members - BOB (#)")=0,"-",SUMIFS('Data - Monthly Metrics'!E:E,'Data - Monthly Metrics'!A:A,$B$4-1,'Data - Monthly Metrics'!B:B,"Oct",'Data - Monthly Metrics'!C:C,"Spokane/NE",'Data - Monthly Metrics'!D:D,"New Members - BOB (#)"))</f>
        <v/>
      </c>
      <c r="C11" s="93">
        <f>IF(COUNTIFS('Data - Monthly Metrics'!A:A,$B$4-1,'Data - Monthly Metrics'!B:B,"Nov",'Data - Monthly Metrics'!C:C,"Spokane/NE",'Data - Monthly Metrics'!D:D,"New Members - BOB (#)")=0,"-",SUMIFS('Data - Monthly Metrics'!E:E,'Data - Monthly Metrics'!A:A,$B$4-1,'Data - Monthly Metrics'!B:B,"Nov",'Data - Monthly Metrics'!C:C,"Spokane/NE",'Data - Monthly Metrics'!D:D,"New Members - BOB (#)"))</f>
        <v/>
      </c>
      <c r="D11" s="93">
        <f>IF(COUNTIFS('Data - Monthly Metrics'!A:A,$B$4-1,'Data - Monthly Metrics'!B:B,"Dec",'Data - Monthly Metrics'!C:C,"Spokane/NE",'Data - Monthly Metrics'!D:D,"New Members - BOB (#)")=0,"-",SUMIFS('Data - Monthly Metrics'!E:E,'Data - Monthly Metrics'!A:A,$B$4-1,'Data - Monthly Metrics'!B:B,"Dec",'Data - Monthly Metrics'!C:C,"Spokane/NE",'Data - Monthly Metrics'!D:D,"New Members - BOB (#)"))</f>
        <v/>
      </c>
      <c r="E11" s="103">
        <f>SUM(B11,C11,D11)</f>
        <v/>
      </c>
      <c r="F11" s="93">
        <f>IF(COUNTIFS('Data - Monthly Metrics'!A:A,$B$4,'Data - Monthly Metrics'!B:B,"Jan",'Data - Monthly Metrics'!C:C,"Spokane/NE",'Data - Monthly Metrics'!D:D,"New Members - BOB (#)")=0,"-",SUMIFS('Data - Monthly Metrics'!E:E,'Data - Monthly Metrics'!A:A,$B$4,'Data - Monthly Metrics'!B:B,"Jan",'Data - Monthly Metrics'!C:C,"Spokane/NE",'Data - Monthly Metrics'!D:D,"New Members - BOB (#)"))</f>
        <v/>
      </c>
      <c r="G11" s="93">
        <f>IF(COUNTIFS('Data - Monthly Metrics'!A:A,$B$4,'Data - Monthly Metrics'!B:B,"Feb",'Data - Monthly Metrics'!C:C,"Spokane/NE",'Data - Monthly Metrics'!D:D,"New Members - BOB (#)")=0,"-",SUMIFS('Data - Monthly Metrics'!E:E,'Data - Monthly Metrics'!A:A,$B$4,'Data - Monthly Metrics'!B:B,"Feb",'Data - Monthly Metrics'!C:C,"Spokane/NE",'Data - Monthly Metrics'!D:D,"New Members - BOB (#)"))</f>
        <v/>
      </c>
      <c r="H11" s="93">
        <f>IF(COUNTIFS('Data - Monthly Metrics'!A:A,$B$4,'Data - Monthly Metrics'!B:B,"Mar",'Data - Monthly Metrics'!C:C,"Spokane/NE",'Data - Monthly Metrics'!D:D,"New Members - BOB (#)")=0,"-",SUMIFS('Data - Monthly Metrics'!E:E,'Data - Monthly Metrics'!A:A,$B$4,'Data - Monthly Metrics'!B:B,"Mar",'Data - Monthly Metrics'!C:C,"Spokane/NE",'Data - Monthly Metrics'!D:D,"New Members - BOB (#)"))</f>
        <v/>
      </c>
      <c r="I11" s="103">
        <f>SUM(F11,G11,H11)</f>
        <v/>
      </c>
      <c r="J11" s="93">
        <f>IF(COUNTIFS('Data - Monthly Metrics'!A:A,$B$4,'Data - Monthly Metrics'!B:B,"Apr",'Data - Monthly Metrics'!C:C,"Spokane/NE",'Data - Monthly Metrics'!D:D,"New Members - BOB (#)")=0,"-",SUMIFS('Data - Monthly Metrics'!E:E,'Data - Monthly Metrics'!A:A,$B$4,'Data - Monthly Metrics'!B:B,"Apr",'Data - Monthly Metrics'!C:C,"Spokane/NE",'Data - Monthly Metrics'!D:D,"New Members - BOB (#)"))</f>
        <v/>
      </c>
      <c r="K11" s="93">
        <f>IF(COUNTIFS('Data - Monthly Metrics'!A:A,$B$4,'Data - Monthly Metrics'!B:B,"May",'Data - Monthly Metrics'!C:C,"Spokane/NE",'Data - Monthly Metrics'!D:D,"New Members - BOB (#)")=0,"-",SUMIFS('Data - Monthly Metrics'!E:E,'Data - Monthly Metrics'!A:A,$B$4,'Data - Monthly Metrics'!B:B,"May",'Data - Monthly Metrics'!C:C,"Spokane/NE",'Data - Monthly Metrics'!D:D,"New Members - BOB (#)"))</f>
        <v/>
      </c>
      <c r="L11" s="93">
        <f>IF(COUNTIFS('Data - Monthly Metrics'!A:A,$B$4,'Data - Monthly Metrics'!B:B,"Jun",'Data - Monthly Metrics'!C:C,"Spokane/NE",'Data - Monthly Metrics'!D:D,"New Members - BOB (#)")=0,"-",SUMIFS('Data - Monthly Metrics'!E:E,'Data - Monthly Metrics'!A:A,$B$4,'Data - Monthly Metrics'!B:B,"Jun",'Data - Monthly Metrics'!C:C,"Spokane/NE",'Data - Monthly Metrics'!D:D,"New Members - BOB (#)"))</f>
        <v/>
      </c>
      <c r="M11" s="103">
        <f>SUM(J11,K11,L11)</f>
        <v/>
      </c>
      <c r="N11" s="93">
        <f>IF(COUNTIFS('Data - Monthly Metrics'!A:A,$B$4,'Data - Monthly Metrics'!B:B,"Jul",'Data - Monthly Metrics'!C:C,"Spokane/NE",'Data - Monthly Metrics'!D:D,"New Members - BOB (#)")=0,"-",SUMIFS('Data - Monthly Metrics'!E:E,'Data - Monthly Metrics'!A:A,$B$4,'Data - Monthly Metrics'!B:B,"Jul",'Data - Monthly Metrics'!C:C,"Spokane/NE",'Data - Monthly Metrics'!D:D,"New Members - BOB (#)"))</f>
        <v/>
      </c>
      <c r="O11" s="93">
        <f>IF(COUNTIFS('Data - Monthly Metrics'!A:A,$B$4,'Data - Monthly Metrics'!B:B,"Aug",'Data - Monthly Metrics'!C:C,"Spokane/NE",'Data - Monthly Metrics'!D:D,"New Members - BOB (#)")=0,"-",SUMIFS('Data - Monthly Metrics'!E:E,'Data - Monthly Metrics'!A:A,$B$4,'Data - Monthly Metrics'!B:B,"Aug",'Data - Monthly Metrics'!C:C,"Spokane/NE",'Data - Monthly Metrics'!D:D,"New Members - BOB (#)"))</f>
        <v/>
      </c>
      <c r="P11" s="93">
        <f>IF(COUNTIFS('Data - Monthly Metrics'!A:A,$B$4,'Data - Monthly Metrics'!B:B,"Sep",'Data - Monthly Metrics'!C:C,"Spokane/NE",'Data - Monthly Metrics'!D:D,"New Members - BOB (#)")=0,"-",SUMIFS('Data - Monthly Metrics'!E:E,'Data - Monthly Metrics'!A:A,$B$4,'Data - Monthly Metrics'!B:B,"Sep",'Data - Monthly Metrics'!C:C,"Spokane/NE",'Data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Metrics'!C:C,"Spokane/NE",'Data - Monthly Metrics'!D:D,"New Sales - Comped ($)")=0,"-",SUMIFS('Data - Monthly Metrics'!E:E,'Data - Monthly Metrics'!A:A,$B$4-1,'Data - Monthly Metrics'!B:B,"Oct",'Data - Monthly Metrics'!C:C,"Spokane/NE",'Data - Monthly Metrics'!D:D,"New Sales - Comped ($)"))</f>
        <v/>
      </c>
      <c r="C12" s="91">
        <f>IF(COUNTIFS('Data - Monthly Metrics'!A:A,$B$4-1,'Data - Monthly Metrics'!B:B,"Nov",'Data - Monthly Metrics'!C:C,"Spokane/NE",'Data - Monthly Metrics'!D:D,"New Sales - Comped ($)")=0,"-",SUMIFS('Data - Monthly Metrics'!E:E,'Data - Monthly Metrics'!A:A,$B$4-1,'Data - Monthly Metrics'!B:B,"Nov",'Data - Monthly Metrics'!C:C,"Spokane/NE",'Data - Monthly Metrics'!D:D,"New Sales - Comped ($)"))</f>
        <v/>
      </c>
      <c r="D12" s="91">
        <f>IF(COUNTIFS('Data - Monthly Metrics'!A:A,$B$4-1,'Data - Monthly Metrics'!B:B,"Dec",'Data - Monthly Metrics'!C:C,"Spokane/NE",'Data - Monthly Metrics'!D:D,"New Sales - Comped ($)")=0,"-",SUMIFS('Data - Monthly Metrics'!E:E,'Data - Monthly Metrics'!A:A,$B$4-1,'Data - Monthly Metrics'!B:B,"Dec",'Data - Monthly Metrics'!C:C,"Spokane/NE",'Data - Monthly Metrics'!D:D,"New Sales - Comped ($)"))</f>
        <v/>
      </c>
      <c r="E12" s="101">
        <f>SUM(B12,C12,D12)</f>
        <v/>
      </c>
      <c r="F12" s="91">
        <f>IF(COUNTIFS('Data - Monthly Metrics'!A:A,$B$4,'Data - Monthly Metrics'!B:B,"Jan",'Data - Monthly Metrics'!C:C,"Spokane/NE",'Data - Monthly Metrics'!D:D,"New Sales - Comped ($)")=0,"-",SUMIFS('Data - Monthly Metrics'!E:E,'Data - Monthly Metrics'!A:A,$B$4,'Data - Monthly Metrics'!B:B,"Jan",'Data - Monthly Metrics'!C:C,"Spokane/NE",'Data - Monthly Metrics'!D:D,"New Sales - Comped ($)"))</f>
        <v/>
      </c>
      <c r="G12" s="91">
        <f>IF(COUNTIFS('Data - Monthly Metrics'!A:A,$B$4,'Data - Monthly Metrics'!B:B,"Feb",'Data - Monthly Metrics'!C:C,"Spokane/NE",'Data - Monthly Metrics'!D:D,"New Sales - Comped ($)")=0,"-",SUMIFS('Data - Monthly Metrics'!E:E,'Data - Monthly Metrics'!A:A,$B$4,'Data - Monthly Metrics'!B:B,"Feb",'Data - Monthly Metrics'!C:C,"Spokane/NE",'Data - Monthly Metrics'!D:D,"New Sales - Comped ($)"))</f>
        <v/>
      </c>
      <c r="H12" s="91">
        <f>IF(COUNTIFS('Data - Monthly Metrics'!A:A,$B$4,'Data - Monthly Metrics'!B:B,"Mar",'Data - Monthly Metrics'!C:C,"Spokane/NE",'Data - Monthly Metrics'!D:D,"New Sales - Comped ($)")=0,"-",SUMIFS('Data - Monthly Metrics'!E:E,'Data - Monthly Metrics'!A:A,$B$4,'Data - Monthly Metrics'!B:B,"Mar",'Data - Monthly Metrics'!C:C,"Spokane/NE",'Data - Monthly Metrics'!D:D,"New Sales - Comped ($)"))</f>
        <v/>
      </c>
      <c r="I12" s="101">
        <f>SUM(F12,G12,H12)</f>
        <v/>
      </c>
      <c r="J12" s="91">
        <f>IF(COUNTIFS('Data - Monthly Metrics'!A:A,$B$4,'Data - Monthly Metrics'!B:B,"Apr",'Data - Monthly Metrics'!C:C,"Spokane/NE",'Data - Monthly Metrics'!D:D,"New Sales - Comped ($)")=0,"-",SUMIFS('Data - Monthly Metrics'!E:E,'Data - Monthly Metrics'!A:A,$B$4,'Data - Monthly Metrics'!B:B,"Apr",'Data - Monthly Metrics'!C:C,"Spokane/NE",'Data - Monthly Metrics'!D:D,"New Sales - Comped ($)"))</f>
        <v/>
      </c>
      <c r="K12" s="91">
        <f>IF(COUNTIFS('Data - Monthly Metrics'!A:A,$B$4,'Data - Monthly Metrics'!B:B,"May",'Data - Monthly Metrics'!C:C,"Spokane/NE",'Data - Monthly Metrics'!D:D,"New Sales - Comped ($)")=0,"-",SUMIFS('Data - Monthly Metrics'!E:E,'Data - Monthly Metrics'!A:A,$B$4,'Data - Monthly Metrics'!B:B,"May",'Data - Monthly Metrics'!C:C,"Spokane/NE",'Data - Monthly Metrics'!D:D,"New Sales - Comped ($)"))</f>
        <v/>
      </c>
      <c r="L12" s="91">
        <f>IF(COUNTIFS('Data - Monthly Metrics'!A:A,$B$4,'Data - Monthly Metrics'!B:B,"Jun",'Data - Monthly Metrics'!C:C,"Spokane/NE",'Data - Monthly Metrics'!D:D,"New Sales - Comped ($)")=0,"-",SUMIFS('Data - Monthly Metrics'!E:E,'Data - Monthly Metrics'!A:A,$B$4,'Data - Monthly Metrics'!B:B,"Jun",'Data - Monthly Metrics'!C:C,"Spokane/NE",'Data - Monthly Metrics'!D:D,"New Sales - Comped ($)"))</f>
        <v/>
      </c>
      <c r="M12" s="101">
        <f>SUM(J12,K12,L12)</f>
        <v/>
      </c>
      <c r="N12" s="91">
        <f>IF(COUNTIFS('Data - Monthly Metrics'!A:A,$B$4,'Data - Monthly Metrics'!B:B,"Jul",'Data - Monthly Metrics'!C:C,"Spokane/NE",'Data - Monthly Metrics'!D:D,"New Sales - Comped ($)")=0,"-",SUMIFS('Data - Monthly Metrics'!E:E,'Data - Monthly Metrics'!A:A,$B$4,'Data - Monthly Metrics'!B:B,"Jul",'Data - Monthly Metrics'!C:C,"Spokane/NE",'Data - Monthly Metrics'!D:D,"New Sales - Comped ($)"))</f>
        <v/>
      </c>
      <c r="O12" s="91">
        <f>IF(COUNTIFS('Data - Monthly Metrics'!A:A,$B$4,'Data - Monthly Metrics'!B:B,"Aug",'Data - Monthly Metrics'!C:C,"Spokane/NE",'Data - Monthly Metrics'!D:D,"New Sales - Comped ($)")=0,"-",SUMIFS('Data - Monthly Metrics'!E:E,'Data - Monthly Metrics'!A:A,$B$4,'Data - Monthly Metrics'!B:B,"Aug",'Data - Monthly Metrics'!C:C,"Spokane/NE",'Data - Monthly Metrics'!D:D,"New Sales - Comped ($)"))</f>
        <v/>
      </c>
      <c r="P12" s="91">
        <f>IF(COUNTIFS('Data - Monthly Metrics'!A:A,$B$4,'Data - Monthly Metrics'!B:B,"Sep",'Data - Monthly Metrics'!C:C,"Spokane/NE",'Data - Monthly Metrics'!D:D,"New Sales - Comped ($)")=0,"-",SUMIFS('Data - Monthly Metrics'!E:E,'Data - Monthly Metrics'!A:A,$B$4,'Data - Monthly Metrics'!B:B,"Sep",'Data - Monthly Metrics'!C:C,"Spokane/NE",'Data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Metrics'!C:C,"Spokane/NE",'Data - Monthly Metrics'!D:D,"Revenue Up for Renewal - Target ($)")+SUMIFS('Data - Monthly Metrics'!E:E,'Data - Monthly Metrics'!A:A,$B$4-1,'Data - Monthly Metrics'!B:B,"Oct",'Data - Monthly Metrics'!C:C,"Spokane/NE",'Data - Monthly Metrics'!D:D,"Revenue Up for Renewal - Non-Target ($)")</f>
        <v/>
      </c>
      <c r="C22" s="110">
        <f>SUMIFS('Data - Monthly Metrics'!E:E,'Data - Monthly Metrics'!A:A,$B$4-1,'Data - Monthly Metrics'!B:B,"Nov",'Data - Monthly Metrics'!C:C,"Spokane/NE",'Data - Monthly Metrics'!D:D,"Revenue Up for Renewal - Target ($)")+SUMIFS('Data - Monthly Metrics'!E:E,'Data - Monthly Metrics'!A:A,$B$4-1,'Data - Monthly Metrics'!B:B,"Nov",'Data - Monthly Metrics'!C:C,"Spokane/NE",'Data - Monthly Metrics'!D:D,"Revenue Up for Renewal - Non-Target ($)")</f>
        <v/>
      </c>
      <c r="D22" s="110">
        <f>SUMIFS('Data - Monthly Metrics'!E:E,'Data - Monthly Metrics'!A:A,$B$4-1,'Data - Monthly Metrics'!B:B,"Dec",'Data - Monthly Metrics'!C:C,"Spokane/NE",'Data - Monthly Metrics'!D:D,"Revenue Up for Renewal - Target ($)")+SUMIFS('Data - Monthly Metrics'!E:E,'Data - Monthly Metrics'!A:A,$B$4-1,'Data - Monthly Metrics'!B:B,"Dec",'Data - Monthly Metrics'!C:C,"Spokane/NE",'Data - Monthly Metrics'!D:D,"Revenue Up for Renewal - Non-Target ($)")</f>
        <v/>
      </c>
      <c r="E22" s="111">
        <f>SUM(B22,C22,D22)</f>
        <v/>
      </c>
      <c r="F22" s="110">
        <f>SUMIFS('Data - Monthly Metrics'!E:E,'Data - Monthly Metrics'!A:A,$B$4,'Data - Monthly Metrics'!B:B,"Jan",'Data - Monthly Metrics'!C:C,"Spokane/NE",'Data - Monthly Metrics'!D:D,"Revenue Up for Renewal - Target ($)")+SUMIFS('Data - Monthly Metrics'!E:E,'Data - Monthly Metrics'!A:A,$B$4,'Data - Monthly Metrics'!B:B,"Jan",'Data - Monthly Metrics'!C:C,"Spokane/NE",'Data - Monthly Metrics'!D:D,"Revenue Up for Renewal - Non-Target ($)")</f>
        <v/>
      </c>
      <c r="G22" s="110">
        <f>SUMIFS('Data - Monthly Metrics'!E:E,'Data - Monthly Metrics'!A:A,$B$4,'Data - Monthly Metrics'!B:B,"Feb",'Data - Monthly Metrics'!C:C,"Spokane/NE",'Data - Monthly Metrics'!D:D,"Revenue Up for Renewal - Target ($)")+SUMIFS('Data - Monthly Metrics'!E:E,'Data - Monthly Metrics'!A:A,$B$4,'Data - Monthly Metrics'!B:B,"Feb",'Data - Monthly Metrics'!C:C,"Spokane/NE",'Data - Monthly Metrics'!D:D,"Revenue Up for Renewal - Non-Target ($)")</f>
        <v/>
      </c>
      <c r="H22" s="110">
        <f>SUMIFS('Data - Monthly Metrics'!E:E,'Data - Monthly Metrics'!A:A,$B$4,'Data - Monthly Metrics'!B:B,"Mar",'Data - Monthly Metrics'!C:C,"Spokane/NE",'Data - Monthly Metrics'!D:D,"Revenue Up for Renewal - Target ($)")+SUMIFS('Data - Monthly Metrics'!E:E,'Data - Monthly Metrics'!A:A,$B$4,'Data - Monthly Metrics'!B:B,"Mar",'Data - Monthly Metrics'!C:C,"Spokane/NE",'Data - Monthly Metrics'!D:D,"Revenue Up for Renewal - Non-Target ($)")</f>
        <v/>
      </c>
      <c r="I22" s="111">
        <f>SUM(F22,G22,H22)</f>
        <v/>
      </c>
      <c r="J22" s="110">
        <f>SUMIFS('Data - Monthly Metrics'!E:E,'Data - Monthly Metrics'!A:A,$B$4,'Data - Monthly Metrics'!B:B,"Apr",'Data - Monthly Metrics'!C:C,"Spokane/NE",'Data - Monthly Metrics'!D:D,"Revenue Up for Renewal - Target ($)")+SUMIFS('Data - Monthly Metrics'!E:E,'Data - Monthly Metrics'!A:A,$B$4,'Data - Monthly Metrics'!B:B,"Apr",'Data - Monthly Metrics'!C:C,"Spokane/NE",'Data - Monthly Metrics'!D:D,"Revenue Up for Renewal - Non-Target ($)")</f>
        <v/>
      </c>
      <c r="K22" s="110">
        <f>SUMIFS('Data - Monthly Metrics'!E:E,'Data - Monthly Metrics'!A:A,$B$4,'Data - Monthly Metrics'!B:B,"May",'Data - Monthly Metrics'!C:C,"Spokane/NE",'Data - Monthly Metrics'!D:D,"Revenue Up for Renewal - Target ($)")+SUMIFS('Data - Monthly Metrics'!E:E,'Data - Monthly Metrics'!A:A,$B$4,'Data - Monthly Metrics'!B:B,"May",'Data - Monthly Metrics'!C:C,"Spokane/NE",'Data - Monthly Metrics'!D:D,"Revenue Up for Renewal - Non-Target ($)")</f>
        <v/>
      </c>
      <c r="L22" s="110">
        <f>SUMIFS('Data - Monthly Metrics'!E:E,'Data - Monthly Metrics'!A:A,$B$4,'Data - Monthly Metrics'!B:B,"Jun",'Data - Monthly Metrics'!C:C,"Spokane/NE",'Data - Monthly Metrics'!D:D,"Revenue Up for Renewal - Target ($)")+SUMIFS('Data - Monthly Metrics'!E:E,'Data - Monthly Metrics'!A:A,$B$4,'Data - Monthly Metrics'!B:B,"Jun",'Data - Monthly Metrics'!C:C,"Spokane/NE",'Data - Monthly Metrics'!D:D,"Revenue Up for Renewal - Non-Target ($)")</f>
        <v/>
      </c>
      <c r="M22" s="111">
        <f>SUM(J22,K22,L22)</f>
        <v/>
      </c>
      <c r="N22" s="110">
        <f>SUMIFS('Data - Monthly Metrics'!E:E,'Data - Monthly Metrics'!A:A,$B$4,'Data - Monthly Metrics'!B:B,"Jul",'Data - Monthly Metrics'!C:C,"Spokane/NE",'Data - Monthly Metrics'!D:D,"Revenue Up for Renewal - Target ($)")+SUMIFS('Data - Monthly Metrics'!E:E,'Data - Monthly Metrics'!A:A,$B$4,'Data - Monthly Metrics'!B:B,"Jul",'Data - Monthly Metrics'!C:C,"Spokane/NE",'Data - Monthly Metrics'!D:D,"Revenue Up for Renewal - Non-Target ($)")</f>
        <v/>
      </c>
      <c r="O22" s="110">
        <f>SUMIFS('Data - Monthly Metrics'!E:E,'Data - Monthly Metrics'!A:A,$B$4,'Data - Monthly Metrics'!B:B,"Aug",'Data - Monthly Metrics'!C:C,"Spokane/NE",'Data - Monthly Metrics'!D:D,"Revenue Up for Renewal - Target ($)")+SUMIFS('Data - Monthly Metrics'!E:E,'Data - Monthly Metrics'!A:A,$B$4,'Data - Monthly Metrics'!B:B,"Aug",'Data - Monthly Metrics'!C:C,"Spokane/NE",'Data - Monthly Metrics'!D:D,"Revenue Up for Renewal - Non-Target ($)")</f>
        <v/>
      </c>
      <c r="P22" s="110">
        <f>SUMIFS('Data - Monthly Metrics'!E:E,'Data - Monthly Metrics'!A:A,$B$4,'Data - Monthly Metrics'!B:B,"Sep",'Data - Monthly Metrics'!C:C,"Spokane/NE",'Data - Monthly Metrics'!D:D,"Revenue Up for Renewal - Target ($)")+SUMIFS('Data - Monthly Metrics'!E:E,'Data - Monthly Metrics'!A:A,$B$4,'Data - Monthly Metrics'!B:B,"Sep",'Data - Monthly Metrics'!C:C,"Spokane/NE",'Data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Metrics'!C:C,"Spokane/NE",'Data - Monthly Metrics'!D:D,"Revenue Retained - Target ($)")+SUMIFS('Data - Monthly Metrics'!E:E,'Data - Monthly Metrics'!A:A,$B$4-1,'Data - Monthly Metrics'!B:B,"Oct",'Data - Monthly Metrics'!C:C,"Spokane/NE",'Data - Monthly Metrics'!D:D,"Revenue Retained - Non-Target ($)")</f>
        <v/>
      </c>
      <c r="C23" s="112">
        <f>SUMIFS('Data - Monthly Metrics'!E:E,'Data - Monthly Metrics'!A:A,$B$4-1,'Data - Monthly Metrics'!B:B,"Nov",'Data - Monthly Metrics'!C:C,"Spokane/NE",'Data - Monthly Metrics'!D:D,"Revenue Retained - Target ($)")+SUMIFS('Data - Monthly Metrics'!E:E,'Data - Monthly Metrics'!A:A,$B$4-1,'Data - Monthly Metrics'!B:B,"Nov",'Data - Monthly Metrics'!C:C,"Spokane/NE",'Data - Monthly Metrics'!D:D,"Revenue Retained - Non-Target ($)")</f>
        <v/>
      </c>
      <c r="D23" s="112">
        <f>SUMIFS('Data - Monthly Metrics'!E:E,'Data - Monthly Metrics'!A:A,$B$4-1,'Data - Monthly Metrics'!B:B,"Dec",'Data - Monthly Metrics'!C:C,"Spokane/NE",'Data - Monthly Metrics'!D:D,"Revenue Retained - Target ($)")+SUMIFS('Data - Monthly Metrics'!E:E,'Data - Monthly Metrics'!A:A,$B$4-1,'Data - Monthly Metrics'!B:B,"Dec",'Data - Monthly Metrics'!C:C,"Spokane/NE",'Data - Monthly Metrics'!D:D,"Revenue Retained - Non-Target ($)")</f>
        <v/>
      </c>
      <c r="E23" s="111">
        <f>SUM(B23,C23,D23)</f>
        <v/>
      </c>
      <c r="F23" s="112">
        <f>SUMIFS('Data - Monthly Metrics'!E:E,'Data - Monthly Metrics'!A:A,$B$4,'Data - Monthly Metrics'!B:B,"Jan",'Data - Monthly Metrics'!C:C,"Spokane/NE",'Data - Monthly Metrics'!D:D,"Revenue Retained - Target ($)")+SUMIFS('Data - Monthly Metrics'!E:E,'Data - Monthly Metrics'!A:A,$B$4,'Data - Monthly Metrics'!B:B,"Jan",'Data - Monthly Metrics'!C:C,"Spokane/NE",'Data - Monthly Metrics'!D:D,"Revenue Retained - Non-Target ($)")</f>
        <v/>
      </c>
      <c r="G23" s="112">
        <f>SUMIFS('Data - Monthly Metrics'!E:E,'Data - Monthly Metrics'!A:A,$B$4,'Data - Monthly Metrics'!B:B,"Feb",'Data - Monthly Metrics'!C:C,"Spokane/NE",'Data - Monthly Metrics'!D:D,"Revenue Retained - Target ($)")+SUMIFS('Data - Monthly Metrics'!E:E,'Data - Monthly Metrics'!A:A,$B$4,'Data - Monthly Metrics'!B:B,"Feb",'Data - Monthly Metrics'!C:C,"Spokane/NE",'Data - Monthly Metrics'!D:D,"Revenue Retained - Non-Target ($)")</f>
        <v/>
      </c>
      <c r="H23" s="112">
        <f>SUMIFS('Data - Monthly Metrics'!E:E,'Data - Monthly Metrics'!A:A,$B$4,'Data - Monthly Metrics'!B:B,"Mar",'Data - Monthly Metrics'!C:C,"Spokane/NE",'Data - Monthly Metrics'!D:D,"Revenue Retained - Target ($)")+SUMIFS('Data - Monthly Metrics'!E:E,'Data - Monthly Metrics'!A:A,$B$4,'Data - Monthly Metrics'!B:B,"Mar",'Data - Monthly Metrics'!C:C,"Spokane/NE",'Data - Monthly Metrics'!D:D,"Revenue Retained - Non-Target ($)")</f>
        <v/>
      </c>
      <c r="I23" s="111">
        <f>SUM(F23,G23,H23)</f>
        <v/>
      </c>
      <c r="J23" s="112">
        <f>SUMIFS('Data - Monthly Metrics'!E:E,'Data - Monthly Metrics'!A:A,$B$4,'Data - Monthly Metrics'!B:B,"Apr",'Data - Monthly Metrics'!C:C,"Spokane/NE",'Data - Monthly Metrics'!D:D,"Revenue Retained - Target ($)")+SUMIFS('Data - Monthly Metrics'!E:E,'Data - Monthly Metrics'!A:A,$B$4,'Data - Monthly Metrics'!B:B,"Apr",'Data - Monthly Metrics'!C:C,"Spokane/NE",'Data - Monthly Metrics'!D:D,"Revenue Retained - Non-Target ($)")</f>
        <v/>
      </c>
      <c r="K23" s="112">
        <f>SUMIFS('Data - Monthly Metrics'!E:E,'Data - Monthly Metrics'!A:A,$B$4,'Data - Monthly Metrics'!B:B,"May",'Data - Monthly Metrics'!C:C,"Spokane/NE",'Data - Monthly Metrics'!D:D,"Revenue Retained - Target ($)")+SUMIFS('Data - Monthly Metrics'!E:E,'Data - Monthly Metrics'!A:A,$B$4,'Data - Monthly Metrics'!B:B,"May",'Data - Monthly Metrics'!C:C,"Spokane/NE",'Data - Monthly Metrics'!D:D,"Revenue Retained - Non-Target ($)")</f>
        <v/>
      </c>
      <c r="L23" s="112">
        <f>SUMIFS('Data - Monthly Metrics'!E:E,'Data - Monthly Metrics'!A:A,$B$4,'Data - Monthly Metrics'!B:B,"Jun",'Data - Monthly Metrics'!C:C,"Spokane/NE",'Data - Monthly Metrics'!D:D,"Revenue Retained - Target ($)")+SUMIFS('Data - Monthly Metrics'!E:E,'Data - Monthly Metrics'!A:A,$B$4,'Data - Monthly Metrics'!B:B,"Jun",'Data - Monthly Metrics'!C:C,"Spokane/NE",'Data - Monthly Metrics'!D:D,"Revenue Retained - Non-Target ($)")</f>
        <v/>
      </c>
      <c r="M23" s="111">
        <f>SUM(J23,K23,L23)</f>
        <v/>
      </c>
      <c r="N23" s="112">
        <f>SUMIFS('Data - Monthly Metrics'!E:E,'Data - Monthly Metrics'!A:A,$B$4,'Data - Monthly Metrics'!B:B,"Jul",'Data - Monthly Metrics'!C:C,"Spokane/NE",'Data - Monthly Metrics'!D:D,"Revenue Retained - Target ($)")+SUMIFS('Data - Monthly Metrics'!E:E,'Data - Monthly Metrics'!A:A,$B$4,'Data - Monthly Metrics'!B:B,"Jul",'Data - Monthly Metrics'!C:C,"Spokane/NE",'Data - Monthly Metrics'!D:D,"Revenue Retained - Non-Target ($)")</f>
        <v/>
      </c>
      <c r="O23" s="112">
        <f>SUMIFS('Data - Monthly Metrics'!E:E,'Data - Monthly Metrics'!A:A,$B$4,'Data - Monthly Metrics'!B:B,"Aug",'Data - Monthly Metrics'!C:C,"Spokane/NE",'Data - Monthly Metrics'!D:D,"Revenue Retained - Target ($)")+SUMIFS('Data - Monthly Metrics'!E:E,'Data - Monthly Metrics'!A:A,$B$4,'Data - Monthly Metrics'!B:B,"Aug",'Data - Monthly Metrics'!C:C,"Spokane/NE",'Data - Monthly Metrics'!D:D,"Revenue Retained - Non-Target ($)")</f>
        <v/>
      </c>
      <c r="P23" s="112">
        <f>SUMIFS('Data - Monthly Metrics'!E:E,'Data - Monthly Metrics'!A:A,$B$4,'Data - Monthly Metrics'!B:B,"Sep",'Data - Monthly Metrics'!C:C,"Spokane/NE",'Data - Monthly Metrics'!D:D,"Revenue Retained - Target ($)")+SUMIFS('Data - Monthly Metrics'!E:E,'Data - Monthly Metrics'!A:A,$B$4,'Data - Monthly Metrics'!B:B,"Sep",'Data - Monthly Metrics'!C:C,"Spokane/NE",'Data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Metrics'!C:C,"Spokane/NE",'Data - Monthly Metrics'!D:D,"Retention - Comped ($)")</f>
        <v/>
      </c>
      <c r="C24" s="112">
        <f>SUMIFS('Data - Monthly Metrics'!E:E,'Data - Monthly Metrics'!A:A,$B$4-1,'Data - Monthly Metrics'!B:B,"Nov",'Data - Monthly Metrics'!C:C,"Spokane/NE",'Data - Monthly Metrics'!D:D,"Retention - Comped ($)")</f>
        <v/>
      </c>
      <c r="D24" s="112">
        <f>SUMIFS('Data - Monthly Metrics'!E:E,'Data - Monthly Metrics'!A:A,$B$4-1,'Data - Monthly Metrics'!B:B,"Dec",'Data - Monthly Metrics'!C:C,"Spokane/NE",'Data - Monthly Metrics'!D:D,"Retention - Comped ($)")</f>
        <v/>
      </c>
      <c r="E24" s="111">
        <f>SUM(B24,C24,D24)</f>
        <v/>
      </c>
      <c r="F24" s="112">
        <f>SUMIFS('Data - Monthly Metrics'!E:E,'Data - Monthly Metrics'!A:A,$B$4,'Data - Monthly Metrics'!B:B,"Jan",'Data - Monthly Metrics'!C:C,"Spokane/NE",'Data - Monthly Metrics'!D:D,"Retention - Comped ($)")</f>
        <v/>
      </c>
      <c r="G24" s="112">
        <f>SUMIFS('Data - Monthly Metrics'!E:E,'Data - Monthly Metrics'!A:A,$B$4,'Data - Monthly Metrics'!B:B,"Feb",'Data - Monthly Metrics'!C:C,"Spokane/NE",'Data - Monthly Metrics'!D:D,"Retention - Comped ($)")</f>
        <v/>
      </c>
      <c r="H24" s="112">
        <f>SUMIFS('Data - Monthly Metrics'!E:E,'Data - Monthly Metrics'!A:A,$B$4,'Data - Monthly Metrics'!B:B,"Mar",'Data - Monthly Metrics'!C:C,"Spokane/NE",'Data - Monthly Metrics'!D:D,"Retention - Comped ($)")</f>
        <v/>
      </c>
      <c r="I24" s="111">
        <f>SUM(F24,G24,H24)</f>
        <v/>
      </c>
      <c r="J24" s="112">
        <f>SUMIFS('Data - Monthly Metrics'!E:E,'Data - Monthly Metrics'!A:A,$B$4,'Data - Monthly Metrics'!B:B,"Apr",'Data - Monthly Metrics'!C:C,"Spokane/NE",'Data - Monthly Metrics'!D:D,"Retention - Comped ($)")</f>
        <v/>
      </c>
      <c r="K24" s="112">
        <f>SUMIFS('Data - Monthly Metrics'!E:E,'Data - Monthly Metrics'!A:A,$B$4,'Data - Monthly Metrics'!B:B,"May",'Data - Monthly Metrics'!C:C,"Spokane/NE",'Data - Monthly Metrics'!D:D,"Retention - Comped ($)")</f>
        <v/>
      </c>
      <c r="L24" s="112">
        <f>SUMIFS('Data - Monthly Metrics'!E:E,'Data - Monthly Metrics'!A:A,$B$4,'Data - Monthly Metrics'!B:B,"Jun",'Data - Monthly Metrics'!C:C,"Spokane/NE",'Data - Monthly Metrics'!D:D,"Retention - Comped ($)")</f>
        <v/>
      </c>
      <c r="M24" s="111">
        <f>SUM(J24,K24,L24)</f>
        <v/>
      </c>
      <c r="N24" s="112">
        <f>SUMIFS('Data - Monthly Metrics'!E:E,'Data - Monthly Metrics'!A:A,$B$4,'Data - Monthly Metrics'!B:B,"Jul",'Data - Monthly Metrics'!C:C,"Spokane/NE",'Data - Monthly Metrics'!D:D,"Retention - Comped ($)")</f>
        <v/>
      </c>
      <c r="O24" s="112">
        <f>SUMIFS('Data - Monthly Metrics'!E:E,'Data - Monthly Metrics'!A:A,$B$4,'Data - Monthly Metrics'!B:B,"Aug",'Data - Monthly Metrics'!C:C,"Spokane/NE",'Data - Monthly Metrics'!D:D,"Retention - Comped ($)")</f>
        <v/>
      </c>
      <c r="P24" s="112">
        <f>SUMIFS('Data - Monthly Metrics'!E:E,'Data - Monthly Metrics'!A:A,$B$4,'Data - Monthly Metrics'!B:B,"Sep",'Data - Monthly Metrics'!C:C,"Spokane/NE",'Data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Metrics'!C:C,"Spokane/NE",'Data - Monthly Metrics'!D:D,"Retention - Comped (#)")</f>
        <v/>
      </c>
      <c r="C25" s="113">
        <f>SUMIFS('Data - Monthly Metrics'!E:E,'Data - Monthly Metrics'!A:A,$B$4-1,'Data - Monthly Metrics'!B:B,"Nov",'Data - Monthly Metrics'!C:C,"Spokane/NE",'Data - Monthly Metrics'!D:D,"Retention - Comped (#)")</f>
        <v/>
      </c>
      <c r="D25" s="113">
        <f>SUMIFS('Data - Monthly Metrics'!E:E,'Data - Monthly Metrics'!A:A,$B$4-1,'Data - Monthly Metrics'!B:B,"Dec",'Data - Monthly Metrics'!C:C,"Spokane/NE",'Data - Monthly Metrics'!D:D,"Retention - Comped (#)")</f>
        <v/>
      </c>
      <c r="E25" s="114">
        <f>SUM(B25,C25,D25)</f>
        <v/>
      </c>
      <c r="F25" s="113">
        <f>SUMIFS('Data - Monthly Metrics'!E:E,'Data - Monthly Metrics'!A:A,$B$4,'Data - Monthly Metrics'!B:B,"Jan",'Data - Monthly Metrics'!C:C,"Spokane/NE",'Data - Monthly Metrics'!D:D,"Retention - Comped (#)")</f>
        <v/>
      </c>
      <c r="G25" s="113">
        <f>SUMIFS('Data - Monthly Metrics'!E:E,'Data - Monthly Metrics'!A:A,$B$4,'Data - Monthly Metrics'!B:B,"Feb",'Data - Monthly Metrics'!C:C,"Spokane/NE",'Data - Monthly Metrics'!D:D,"Retention - Comped (#)")</f>
        <v/>
      </c>
      <c r="H25" s="113">
        <f>SUMIFS('Data - Monthly Metrics'!E:E,'Data - Monthly Metrics'!A:A,$B$4,'Data - Monthly Metrics'!B:B,"Mar",'Data - Monthly Metrics'!C:C,"Spokane/NE",'Data - Monthly Metrics'!D:D,"Retention - Comped (#)")</f>
        <v/>
      </c>
      <c r="I25" s="114">
        <f>SUM(F25,G25,H25)</f>
        <v/>
      </c>
      <c r="J25" s="113">
        <f>SUMIFS('Data - Monthly Metrics'!E:E,'Data - Monthly Metrics'!A:A,$B$4,'Data - Monthly Metrics'!B:B,"Apr",'Data - Monthly Metrics'!C:C,"Spokane/NE",'Data - Monthly Metrics'!D:D,"Retention - Comped (#)")</f>
        <v/>
      </c>
      <c r="K25" s="113">
        <f>SUMIFS('Data - Monthly Metrics'!E:E,'Data - Monthly Metrics'!A:A,$B$4,'Data - Monthly Metrics'!B:B,"May",'Data - Monthly Metrics'!C:C,"Spokane/NE",'Data - Monthly Metrics'!D:D,"Retention - Comped (#)")</f>
        <v/>
      </c>
      <c r="L25" s="113">
        <f>SUMIFS('Data - Monthly Metrics'!E:E,'Data - Monthly Metrics'!A:A,$B$4,'Data - Monthly Metrics'!B:B,"Jun",'Data - Monthly Metrics'!C:C,"Spokane/NE",'Data - Monthly Metrics'!D:D,"Retention - Comped (#)")</f>
        <v/>
      </c>
      <c r="M25" s="114">
        <f>SUM(J25,K25,L25)</f>
        <v/>
      </c>
      <c r="N25" s="113">
        <f>SUMIFS('Data - Monthly Metrics'!E:E,'Data - Monthly Metrics'!A:A,$B$4,'Data - Monthly Metrics'!B:B,"Jul",'Data - Monthly Metrics'!C:C,"Spokane/NE",'Data - Monthly Metrics'!D:D,"Retention - Comped (#)")</f>
        <v/>
      </c>
      <c r="O25" s="113">
        <f>SUMIFS('Data - Monthly Metrics'!E:E,'Data - Monthly Metrics'!A:A,$B$4,'Data - Monthly Metrics'!B:B,"Aug",'Data - Monthly Metrics'!C:C,"Spokane/NE",'Data - Monthly Metrics'!D:D,"Retention - Comped (#)")</f>
        <v/>
      </c>
      <c r="P25" s="113">
        <f>SUMIFS('Data - Monthly Metrics'!E:E,'Data - Monthly Metrics'!A:A,$B$4,'Data - Monthly Metrics'!B:B,"Sep",'Data - Monthly Metrics'!C:C,"Spokane/NE",'Data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Metrics'!C:C,"Spokane/NE",'Data - Monthly Metrics'!D:D,"Retention - BOB ($)")</f>
        <v/>
      </c>
      <c r="C26" s="112">
        <f>SUMIFS('Data - Monthly Metrics'!E:E,'Data - Monthly Metrics'!A:A,$B$4-1,'Data - Monthly Metrics'!B:B,"Nov",'Data - Monthly Metrics'!C:C,"Spokane/NE",'Data - Monthly Metrics'!D:D,"Retention - BOB ($)")</f>
        <v/>
      </c>
      <c r="D26" s="112">
        <f>SUMIFS('Data - Monthly Metrics'!E:E,'Data - Monthly Metrics'!A:A,$B$4-1,'Data - Monthly Metrics'!B:B,"Dec",'Data - Monthly Metrics'!C:C,"Spokane/NE",'Data - Monthly Metrics'!D:D,"Retention - BOB ($)")</f>
        <v/>
      </c>
      <c r="E26" s="111">
        <f>SUM(B26,C26,D26)</f>
        <v/>
      </c>
      <c r="F26" s="112">
        <f>SUMIFS('Data - Monthly Metrics'!E:E,'Data - Monthly Metrics'!A:A,$B$4,'Data - Monthly Metrics'!B:B,"Jan",'Data - Monthly Metrics'!C:C,"Spokane/NE",'Data - Monthly Metrics'!D:D,"Retention - BOB ($)")</f>
        <v/>
      </c>
      <c r="G26" s="112">
        <f>SUMIFS('Data - Monthly Metrics'!E:E,'Data - Monthly Metrics'!A:A,$B$4,'Data - Monthly Metrics'!B:B,"Feb",'Data - Monthly Metrics'!C:C,"Spokane/NE",'Data - Monthly Metrics'!D:D,"Retention - BOB ($)")</f>
        <v/>
      </c>
      <c r="H26" s="112">
        <f>SUMIFS('Data - Monthly Metrics'!E:E,'Data - Monthly Metrics'!A:A,$B$4,'Data - Monthly Metrics'!B:B,"Mar",'Data - Monthly Metrics'!C:C,"Spokane/NE",'Data - Monthly Metrics'!D:D,"Retention - BOB ($)")</f>
        <v/>
      </c>
      <c r="I26" s="111">
        <f>SUM(F26,G26,H26)</f>
        <v/>
      </c>
      <c r="J26" s="112">
        <f>SUMIFS('Data - Monthly Metrics'!E:E,'Data - Monthly Metrics'!A:A,$B$4,'Data - Monthly Metrics'!B:B,"Apr",'Data - Monthly Metrics'!C:C,"Spokane/NE",'Data - Monthly Metrics'!D:D,"Retention - BOB ($)")</f>
        <v/>
      </c>
      <c r="K26" s="112">
        <f>SUMIFS('Data - Monthly Metrics'!E:E,'Data - Monthly Metrics'!A:A,$B$4,'Data - Monthly Metrics'!B:B,"May",'Data - Monthly Metrics'!C:C,"Spokane/NE",'Data - Monthly Metrics'!D:D,"Retention - BOB ($)")</f>
        <v/>
      </c>
      <c r="L26" s="112">
        <f>SUMIFS('Data - Monthly Metrics'!E:E,'Data - Monthly Metrics'!A:A,$B$4,'Data - Monthly Metrics'!B:B,"Jun",'Data - Monthly Metrics'!C:C,"Spokane/NE",'Data - Monthly Metrics'!D:D,"Retention - BOB ($)")</f>
        <v/>
      </c>
      <c r="M26" s="111">
        <f>SUM(J26,K26,L26)</f>
        <v/>
      </c>
      <c r="N26" s="112">
        <f>SUMIFS('Data - Monthly Metrics'!E:E,'Data - Monthly Metrics'!A:A,$B$4,'Data - Monthly Metrics'!B:B,"Jul",'Data - Monthly Metrics'!C:C,"Spokane/NE",'Data - Monthly Metrics'!D:D,"Retention - BOB ($)")</f>
        <v/>
      </c>
      <c r="O26" s="112">
        <f>SUMIFS('Data - Monthly Metrics'!E:E,'Data - Monthly Metrics'!A:A,$B$4,'Data - Monthly Metrics'!B:B,"Aug",'Data - Monthly Metrics'!C:C,"Spokane/NE",'Data - Monthly Metrics'!D:D,"Retention - BOB ($)")</f>
        <v/>
      </c>
      <c r="P26" s="112">
        <f>SUMIFS('Data - Monthly Metrics'!E:E,'Data - Monthly Metrics'!A:A,$B$4,'Data - Monthly Metrics'!B:B,"Sep",'Data - Monthly Metrics'!C:C,"Spokane/NE",'Data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Metrics'!C:C,"Spokane/NE",'Data - Monthly Metrics'!D:D,"Retention - BOB (#)")</f>
        <v/>
      </c>
      <c r="C27" s="113">
        <f>SUMIFS('Data - Monthly Metrics'!E:E,'Data - Monthly Metrics'!A:A,$B$4-1,'Data - Monthly Metrics'!B:B,"Nov",'Data - Monthly Metrics'!C:C,"Spokane/NE",'Data - Monthly Metrics'!D:D,"Retention - BOB (#)")</f>
        <v/>
      </c>
      <c r="D27" s="113">
        <f>SUMIFS('Data - Monthly Metrics'!E:E,'Data - Monthly Metrics'!A:A,$B$4-1,'Data - Monthly Metrics'!B:B,"Dec",'Data - Monthly Metrics'!C:C,"Spokane/NE",'Data - Monthly Metrics'!D:D,"Retention - BOB (#)")</f>
        <v/>
      </c>
      <c r="E27" s="114">
        <f>SUM(B27,C27,D27)</f>
        <v/>
      </c>
      <c r="F27" s="113">
        <f>SUMIFS('Data - Monthly Metrics'!E:E,'Data - Monthly Metrics'!A:A,$B$4,'Data - Monthly Metrics'!B:B,"Jan",'Data - Monthly Metrics'!C:C,"Spokane/NE",'Data - Monthly Metrics'!D:D,"Retention - BOB (#)")</f>
        <v/>
      </c>
      <c r="G27" s="113">
        <f>SUMIFS('Data - Monthly Metrics'!E:E,'Data - Monthly Metrics'!A:A,$B$4,'Data - Monthly Metrics'!B:B,"Feb",'Data - Monthly Metrics'!C:C,"Spokane/NE",'Data - Monthly Metrics'!D:D,"Retention - BOB (#)")</f>
        <v/>
      </c>
      <c r="H27" s="113">
        <f>SUMIFS('Data - Monthly Metrics'!E:E,'Data - Monthly Metrics'!A:A,$B$4,'Data - Monthly Metrics'!B:B,"Mar",'Data - Monthly Metrics'!C:C,"Spokane/NE",'Data - Monthly Metrics'!D:D,"Retention - BOB (#)")</f>
        <v/>
      </c>
      <c r="I27" s="114">
        <f>SUM(F27,G27,H27)</f>
        <v/>
      </c>
      <c r="J27" s="113">
        <f>SUMIFS('Data - Monthly Metrics'!E:E,'Data - Monthly Metrics'!A:A,$B$4,'Data - Monthly Metrics'!B:B,"Apr",'Data - Monthly Metrics'!C:C,"Spokane/NE",'Data - Monthly Metrics'!D:D,"Retention - BOB (#)")</f>
        <v/>
      </c>
      <c r="K27" s="113">
        <f>SUMIFS('Data - Monthly Metrics'!E:E,'Data - Monthly Metrics'!A:A,$B$4,'Data - Monthly Metrics'!B:B,"May",'Data - Monthly Metrics'!C:C,"Spokane/NE",'Data - Monthly Metrics'!D:D,"Retention - BOB (#)")</f>
        <v/>
      </c>
      <c r="L27" s="113">
        <f>SUMIFS('Data - Monthly Metrics'!E:E,'Data - Monthly Metrics'!A:A,$B$4,'Data - Monthly Metrics'!B:B,"Jun",'Data - Monthly Metrics'!C:C,"Spokane/NE",'Data - Monthly Metrics'!D:D,"Retention - BOB (#)")</f>
        <v/>
      </c>
      <c r="M27" s="114">
        <f>SUM(J27,K27,L27)</f>
        <v/>
      </c>
      <c r="N27" s="113">
        <f>SUMIFS('Data - Monthly Metrics'!E:E,'Data - Monthly Metrics'!A:A,$B$4,'Data - Monthly Metrics'!B:B,"Jul",'Data - Monthly Metrics'!C:C,"Spokane/NE",'Data - Monthly Metrics'!D:D,"Retention - BOB (#)")</f>
        <v/>
      </c>
      <c r="O27" s="113">
        <f>SUMIFS('Data - Monthly Metrics'!E:E,'Data - Monthly Metrics'!A:A,$B$4,'Data - Monthly Metrics'!B:B,"Aug",'Data - Monthly Metrics'!C:C,"Spokane/NE",'Data - Monthly Metrics'!D:D,"Retention - BOB (#)")</f>
        <v/>
      </c>
      <c r="P27" s="113">
        <f>SUMIFS('Data - Monthly Metrics'!E:E,'Data - Monthly Metrics'!A:A,$B$4,'Data - Monthly Metrics'!B:B,"Sep",'Data - Monthly Metrics'!C:C,"Spokane/NE",'Data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Metrics'!C:C,"Spokane/NE",'Data - Monthly Metrics'!D:D,"Revenue Up for Renewal - Target ($)")+SUMIFS('Data - Monthly Metrics'!E:E,'Data - Monthly Metrics'!A:A,$B$4-1,'Data - Monthly Metrics'!B:B,"Oct",'Data - Monthly Metrics'!C:C,"Spokane/NE",'Data - Monthly Metrics'!D:D,"Revenue Up for Renewal - Non-Target ($)"))=0,"-",(SUMIFS('Data - Monthly Metrics'!E:E,'Data - Monthly Metrics'!A:A,$B$4-1,'Data - Monthly Metrics'!B:B,"Oct",'Data - Monthly Metrics'!C:C,"Spokane/NE",'Data - Monthly Metrics'!D:D,"Revenue Retained - Target ($)")+SUMIFS('Data - Monthly Metrics'!E:E,'Data - Monthly Metrics'!A:A,$B$4-1,'Data - Monthly Metrics'!B:B,"Oct",'Data - Monthly Metrics'!C:C,"Spokane/NE",'Data - Monthly Metrics'!D:D,"Revenue Retained - Non-Target ($)"))/(SUMIFS('Data - Monthly Metrics'!E:E,'Data - Monthly Metrics'!A:A,$B$4-1,'Data - Monthly Metrics'!B:B,"Oct",'Data - Monthly Metrics'!C:C,"Spokane/NE",'Data - Monthly Metrics'!D:D,"Revenue Up for Renewal - Target ($)")+SUMIFS('Data - Monthly Metrics'!E:E,'Data - Monthly Metrics'!A:A,$B$4-1,'Data - Monthly Metrics'!B:B,"Oct",'Data - Monthly Metrics'!C:C,"Spokane/NE",'Data - Monthly Metrics'!D:D,"Revenue Up for Renewal - Non-Target ($)")))</f>
        <v/>
      </c>
      <c r="C28" s="115">
        <f>IF((SUMIFS('Data - Monthly Metrics'!E:E,'Data - Monthly Metrics'!A:A,$B$4-1,'Data - Monthly Metrics'!B:B,"Nov",'Data - Monthly Metrics'!C:C,"Spokane/NE",'Data - Monthly Metrics'!D:D,"Revenue Up for Renewal - Target ($)")+SUMIFS('Data - Monthly Metrics'!E:E,'Data - Monthly Metrics'!A:A,$B$4-1,'Data - Monthly Metrics'!B:B,"Nov",'Data - Monthly Metrics'!C:C,"Spokane/NE",'Data - Monthly Metrics'!D:D,"Revenue Up for Renewal - Non-Target ($)"))=0,"-",(SUMIFS('Data - Monthly Metrics'!E:E,'Data - Monthly Metrics'!A:A,$B$4-1,'Data - Monthly Metrics'!B:B,"Nov",'Data - Monthly Metrics'!C:C,"Spokane/NE",'Data - Monthly Metrics'!D:D,"Revenue Retained - Target ($)")+SUMIFS('Data - Monthly Metrics'!E:E,'Data - Monthly Metrics'!A:A,$B$4-1,'Data - Monthly Metrics'!B:B,"Nov",'Data - Monthly Metrics'!C:C,"Spokane/NE",'Data - Monthly Metrics'!D:D,"Revenue Retained - Non-Target ($)"))/(SUMIFS('Data - Monthly Metrics'!E:E,'Data - Monthly Metrics'!A:A,$B$4-1,'Data - Monthly Metrics'!B:B,"Nov",'Data - Monthly Metrics'!C:C,"Spokane/NE",'Data - Monthly Metrics'!D:D,"Revenue Up for Renewal - Target ($)")+SUMIFS('Data - Monthly Metrics'!E:E,'Data - Monthly Metrics'!A:A,$B$4-1,'Data - Monthly Metrics'!B:B,"Nov",'Data - Monthly Metrics'!C:C,"Spokane/NE",'Data - Monthly Metrics'!D:D,"Revenue Up for Renewal - Non-Target ($)")))</f>
        <v/>
      </c>
      <c r="D28" s="115">
        <f>IF((SUMIFS('Data - Monthly Metrics'!E:E,'Data - Monthly Metrics'!A:A,$B$4-1,'Data - Monthly Metrics'!B:B,"Dec",'Data - Monthly Metrics'!C:C,"Spokane/NE",'Data - Monthly Metrics'!D:D,"Revenue Up for Renewal - Target ($)")+SUMIFS('Data - Monthly Metrics'!E:E,'Data - Monthly Metrics'!A:A,$B$4-1,'Data - Monthly Metrics'!B:B,"Dec",'Data - Monthly Metrics'!C:C,"Spokane/NE",'Data - Monthly Metrics'!D:D,"Revenue Up for Renewal - Non-Target ($)"))=0,"-",(SUMIFS('Data - Monthly Metrics'!E:E,'Data - Monthly Metrics'!A:A,$B$4-1,'Data - Monthly Metrics'!B:B,"Dec",'Data - Monthly Metrics'!C:C,"Spokane/NE",'Data - Monthly Metrics'!D:D,"Revenue Retained - Target ($)")+SUMIFS('Data - Monthly Metrics'!E:E,'Data - Monthly Metrics'!A:A,$B$4-1,'Data - Monthly Metrics'!B:B,"Dec",'Data - Monthly Metrics'!C:C,"Spokane/NE",'Data - Monthly Metrics'!D:D,"Revenue Retained - Non-Target ($)"))/(SUMIFS('Data - Monthly Metrics'!E:E,'Data - Monthly Metrics'!A:A,$B$4-1,'Data - Monthly Metrics'!B:B,"Dec",'Data - Monthly Metrics'!C:C,"Spokane/NE",'Data - Monthly Metrics'!D:D,"Revenue Up for Renewal - Target ($)")+SUMIFS('Data - Monthly Metrics'!E:E,'Data - Monthly Metrics'!A:A,$B$4-1,'Data - Monthly Metrics'!B:B,"Dec",'Data - Monthly Metrics'!C:C,"Spokane/NE",'Data - Monthly Metrics'!D:D,"Revenue Up for Renewal - Non-Target ($)")))</f>
        <v/>
      </c>
      <c r="E28" s="116">
        <f>IF(E22=0,0,E23/E22)</f>
        <v/>
      </c>
      <c r="F28" s="115">
        <f>IF((SUMIFS('Data - Monthly Metrics'!E:E,'Data - Monthly Metrics'!A:A,$B$4,'Data - Monthly Metrics'!B:B,"Jan",'Data - Monthly Metrics'!C:C,"Spokane/NE",'Data - Monthly Metrics'!D:D,"Revenue Up for Renewal - Target ($)")+SUMIFS('Data - Monthly Metrics'!E:E,'Data - Monthly Metrics'!A:A,$B$4,'Data - Monthly Metrics'!B:B,"Jan",'Data - Monthly Metrics'!C:C,"Spokane/NE",'Data - Monthly Metrics'!D:D,"Revenue Up for Renewal - Non-Target ($)"))=0,"-",(SUMIFS('Data - Monthly Metrics'!E:E,'Data - Monthly Metrics'!A:A,$B$4,'Data - Monthly Metrics'!B:B,"Jan",'Data - Monthly Metrics'!C:C,"Spokane/NE",'Data - Monthly Metrics'!D:D,"Revenue Retained - Target ($)")+SUMIFS('Data - Monthly Metrics'!E:E,'Data - Monthly Metrics'!A:A,$B$4,'Data - Monthly Metrics'!B:B,"Jan",'Data - Monthly Metrics'!C:C,"Spokane/NE",'Data - Monthly Metrics'!D:D,"Revenue Retained - Non-Target ($)"))/(SUMIFS('Data - Monthly Metrics'!E:E,'Data - Monthly Metrics'!A:A,$B$4,'Data - Monthly Metrics'!B:B,"Jan",'Data - Monthly Metrics'!C:C,"Spokane/NE",'Data - Monthly Metrics'!D:D,"Revenue Up for Renewal - Target ($)")+SUMIFS('Data - Monthly Metrics'!E:E,'Data - Monthly Metrics'!A:A,$B$4,'Data - Monthly Metrics'!B:B,"Jan",'Data - Monthly Metrics'!C:C,"Spokane/NE",'Data - Monthly Metrics'!D:D,"Revenue Up for Renewal - Non-Target ($)")))</f>
        <v/>
      </c>
      <c r="G28" s="115">
        <f>IF((SUMIFS('Data - Monthly Metrics'!E:E,'Data - Monthly Metrics'!A:A,$B$4,'Data - Monthly Metrics'!B:B,"Feb",'Data - Monthly Metrics'!C:C,"Spokane/NE",'Data - Monthly Metrics'!D:D,"Revenue Up for Renewal - Target ($)")+SUMIFS('Data - Monthly Metrics'!E:E,'Data - Monthly Metrics'!A:A,$B$4,'Data - Monthly Metrics'!B:B,"Feb",'Data - Monthly Metrics'!C:C,"Spokane/NE",'Data - Monthly Metrics'!D:D,"Revenue Up for Renewal - Non-Target ($)"))=0,"-",(SUMIFS('Data - Monthly Metrics'!E:E,'Data - Monthly Metrics'!A:A,$B$4,'Data - Monthly Metrics'!B:B,"Feb",'Data - Monthly Metrics'!C:C,"Spokane/NE",'Data - Monthly Metrics'!D:D,"Revenue Retained - Target ($)")+SUMIFS('Data - Monthly Metrics'!E:E,'Data - Monthly Metrics'!A:A,$B$4,'Data - Monthly Metrics'!B:B,"Feb",'Data - Monthly Metrics'!C:C,"Spokane/NE",'Data - Monthly Metrics'!D:D,"Revenue Retained - Non-Target ($)"))/(SUMIFS('Data - Monthly Metrics'!E:E,'Data - Monthly Metrics'!A:A,$B$4,'Data - Monthly Metrics'!B:B,"Feb",'Data - Monthly Metrics'!C:C,"Spokane/NE",'Data - Monthly Metrics'!D:D,"Revenue Up for Renewal - Target ($)")+SUMIFS('Data - Monthly Metrics'!E:E,'Data - Monthly Metrics'!A:A,$B$4,'Data - Monthly Metrics'!B:B,"Feb",'Data - Monthly Metrics'!C:C,"Spokane/NE",'Data - Monthly Metrics'!D:D,"Revenue Up for Renewal - Non-Target ($)")))</f>
        <v/>
      </c>
      <c r="H28" s="115">
        <f>IF((SUMIFS('Data - Monthly Metrics'!E:E,'Data - Monthly Metrics'!A:A,$B$4,'Data - Monthly Metrics'!B:B,"Mar",'Data - Monthly Metrics'!C:C,"Spokane/NE",'Data - Monthly Metrics'!D:D,"Revenue Up for Renewal - Target ($)")+SUMIFS('Data - Monthly Metrics'!E:E,'Data - Monthly Metrics'!A:A,$B$4,'Data - Monthly Metrics'!B:B,"Mar",'Data - Monthly Metrics'!C:C,"Spokane/NE",'Data - Monthly Metrics'!D:D,"Revenue Up for Renewal - Non-Target ($)"))=0,"-",(SUMIFS('Data - Monthly Metrics'!E:E,'Data - Monthly Metrics'!A:A,$B$4,'Data - Monthly Metrics'!B:B,"Mar",'Data - Monthly Metrics'!C:C,"Spokane/NE",'Data - Monthly Metrics'!D:D,"Revenue Retained - Target ($)")+SUMIFS('Data - Monthly Metrics'!E:E,'Data - Monthly Metrics'!A:A,$B$4,'Data - Monthly Metrics'!B:B,"Mar",'Data - Monthly Metrics'!C:C,"Spokane/NE",'Data - Monthly Metrics'!D:D,"Revenue Retained - Non-Target ($)"))/(SUMIFS('Data - Monthly Metrics'!E:E,'Data - Monthly Metrics'!A:A,$B$4,'Data - Monthly Metrics'!B:B,"Mar",'Data - Monthly Metrics'!C:C,"Spokane/NE",'Data - Monthly Metrics'!D:D,"Revenue Up for Renewal - Target ($)")+SUMIFS('Data - Monthly Metrics'!E:E,'Data - Monthly Metrics'!A:A,$B$4,'Data - Monthly Metrics'!B:B,"Mar",'Data - Monthly Metrics'!C:C,"Spokane/NE",'Data - Monthly Metrics'!D:D,"Revenue Up for Renewal - Non-Target ($)")))</f>
        <v/>
      </c>
      <c r="I28" s="116">
        <f>IF(I22=0,0,I23/I22)</f>
        <v/>
      </c>
      <c r="J28" s="115">
        <f>IF((SUMIFS('Data - Monthly Metrics'!E:E,'Data - Monthly Metrics'!A:A,$B$4,'Data - Monthly Metrics'!B:B,"Apr",'Data - Monthly Metrics'!C:C,"Spokane/NE",'Data - Monthly Metrics'!D:D,"Revenue Up for Renewal - Target ($)")+SUMIFS('Data - Monthly Metrics'!E:E,'Data - Monthly Metrics'!A:A,$B$4,'Data - Monthly Metrics'!B:B,"Apr",'Data - Monthly Metrics'!C:C,"Spokane/NE",'Data - Monthly Metrics'!D:D,"Revenue Up for Renewal - Non-Target ($)"))=0,"-",(SUMIFS('Data - Monthly Metrics'!E:E,'Data - Monthly Metrics'!A:A,$B$4,'Data - Monthly Metrics'!B:B,"Apr",'Data - Monthly Metrics'!C:C,"Spokane/NE",'Data - Monthly Metrics'!D:D,"Revenue Retained - Target ($)")+SUMIFS('Data - Monthly Metrics'!E:E,'Data - Monthly Metrics'!A:A,$B$4,'Data - Monthly Metrics'!B:B,"Apr",'Data - Monthly Metrics'!C:C,"Spokane/NE",'Data - Monthly Metrics'!D:D,"Revenue Retained - Non-Target ($)"))/(SUMIFS('Data - Monthly Metrics'!E:E,'Data - Monthly Metrics'!A:A,$B$4,'Data - Monthly Metrics'!B:B,"Apr",'Data - Monthly Metrics'!C:C,"Spokane/NE",'Data - Monthly Metrics'!D:D,"Revenue Up for Renewal - Target ($)")+SUMIFS('Data - Monthly Metrics'!E:E,'Data - Monthly Metrics'!A:A,$B$4,'Data - Monthly Metrics'!B:B,"Apr",'Data - Monthly Metrics'!C:C,"Spokane/NE",'Data - Monthly Metrics'!D:D,"Revenue Up for Renewal - Non-Target ($)")))</f>
        <v/>
      </c>
      <c r="K28" s="115">
        <f>IF((SUMIFS('Data - Monthly Metrics'!E:E,'Data - Monthly Metrics'!A:A,$B$4,'Data - Monthly Metrics'!B:B,"May",'Data - Monthly Metrics'!C:C,"Spokane/NE",'Data - Monthly Metrics'!D:D,"Revenue Up for Renewal - Target ($)")+SUMIFS('Data - Monthly Metrics'!E:E,'Data - Monthly Metrics'!A:A,$B$4,'Data - Monthly Metrics'!B:B,"May",'Data - Monthly Metrics'!C:C,"Spokane/NE",'Data - Monthly Metrics'!D:D,"Revenue Up for Renewal - Non-Target ($)"))=0,"-",(SUMIFS('Data - Monthly Metrics'!E:E,'Data - Monthly Metrics'!A:A,$B$4,'Data - Monthly Metrics'!B:B,"May",'Data - Monthly Metrics'!C:C,"Spokane/NE",'Data - Monthly Metrics'!D:D,"Revenue Retained - Target ($)")+SUMIFS('Data - Monthly Metrics'!E:E,'Data - Monthly Metrics'!A:A,$B$4,'Data - Monthly Metrics'!B:B,"May",'Data - Monthly Metrics'!C:C,"Spokane/NE",'Data - Monthly Metrics'!D:D,"Revenue Retained - Non-Target ($)"))/(SUMIFS('Data - Monthly Metrics'!E:E,'Data - Monthly Metrics'!A:A,$B$4,'Data - Monthly Metrics'!B:B,"May",'Data - Monthly Metrics'!C:C,"Spokane/NE",'Data - Monthly Metrics'!D:D,"Revenue Up for Renewal - Target ($)")+SUMIFS('Data - Monthly Metrics'!E:E,'Data - Monthly Metrics'!A:A,$B$4,'Data - Monthly Metrics'!B:B,"May",'Data - Monthly Metrics'!C:C,"Spokane/NE",'Data - Monthly Metrics'!D:D,"Revenue Up for Renewal - Non-Target ($)")))</f>
        <v/>
      </c>
      <c r="L28" s="115">
        <f>IF((SUMIFS('Data - Monthly Metrics'!E:E,'Data - Monthly Metrics'!A:A,$B$4,'Data - Monthly Metrics'!B:B,"Jun",'Data - Monthly Metrics'!C:C,"Spokane/NE",'Data - Monthly Metrics'!D:D,"Revenue Up for Renewal - Target ($)")+SUMIFS('Data - Monthly Metrics'!E:E,'Data - Monthly Metrics'!A:A,$B$4,'Data - Monthly Metrics'!B:B,"Jun",'Data - Monthly Metrics'!C:C,"Spokane/NE",'Data - Monthly Metrics'!D:D,"Revenue Up for Renewal - Non-Target ($)"))=0,"-",(SUMIFS('Data - Monthly Metrics'!E:E,'Data - Monthly Metrics'!A:A,$B$4,'Data - Monthly Metrics'!B:B,"Jun",'Data - Monthly Metrics'!C:C,"Spokane/NE",'Data - Monthly Metrics'!D:D,"Revenue Retained - Target ($)")+SUMIFS('Data - Monthly Metrics'!E:E,'Data - Monthly Metrics'!A:A,$B$4,'Data - Monthly Metrics'!B:B,"Jun",'Data - Monthly Metrics'!C:C,"Spokane/NE",'Data - Monthly Metrics'!D:D,"Revenue Retained - Non-Target ($)"))/(SUMIFS('Data - Monthly Metrics'!E:E,'Data - Monthly Metrics'!A:A,$B$4,'Data - Monthly Metrics'!B:B,"Jun",'Data - Monthly Metrics'!C:C,"Spokane/NE",'Data - Monthly Metrics'!D:D,"Revenue Up for Renewal - Target ($)")+SUMIFS('Data - Monthly Metrics'!E:E,'Data - Monthly Metrics'!A:A,$B$4,'Data - Monthly Metrics'!B:B,"Jun",'Data - Monthly Metrics'!C:C,"Spokane/NE",'Data - Monthly Metrics'!D:D,"Revenue Up for Renewal - Non-Target ($)")))</f>
        <v/>
      </c>
      <c r="M28" s="116">
        <f>IF(M22=0,0,M23/M22)</f>
        <v/>
      </c>
      <c r="N28" s="115">
        <f>IF((SUMIFS('Data - Monthly Metrics'!E:E,'Data - Monthly Metrics'!A:A,$B$4,'Data - Monthly Metrics'!B:B,"Jul",'Data - Monthly Metrics'!C:C,"Spokane/NE",'Data - Monthly Metrics'!D:D,"Revenue Up for Renewal - Target ($)")+SUMIFS('Data - Monthly Metrics'!E:E,'Data - Monthly Metrics'!A:A,$B$4,'Data - Monthly Metrics'!B:B,"Jul",'Data - Monthly Metrics'!C:C,"Spokane/NE",'Data - Monthly Metrics'!D:D,"Revenue Up for Renewal - Non-Target ($)"))=0,"-",(SUMIFS('Data - Monthly Metrics'!E:E,'Data - Monthly Metrics'!A:A,$B$4,'Data - Monthly Metrics'!B:B,"Jul",'Data - Monthly Metrics'!C:C,"Spokane/NE",'Data - Monthly Metrics'!D:D,"Revenue Retained - Target ($)")+SUMIFS('Data - Monthly Metrics'!E:E,'Data - Monthly Metrics'!A:A,$B$4,'Data - Monthly Metrics'!B:B,"Jul",'Data - Monthly Metrics'!C:C,"Spokane/NE",'Data - Monthly Metrics'!D:D,"Revenue Retained - Non-Target ($)"))/(SUMIFS('Data - Monthly Metrics'!E:E,'Data - Monthly Metrics'!A:A,$B$4,'Data - Monthly Metrics'!B:B,"Jul",'Data - Monthly Metrics'!C:C,"Spokane/NE",'Data - Monthly Metrics'!D:D,"Revenue Up for Renewal - Target ($)")+SUMIFS('Data - Monthly Metrics'!E:E,'Data - Monthly Metrics'!A:A,$B$4,'Data - Monthly Metrics'!B:B,"Jul",'Data - Monthly Metrics'!C:C,"Spokane/NE",'Data - Monthly Metrics'!D:D,"Revenue Up for Renewal - Non-Target ($)")))</f>
        <v/>
      </c>
      <c r="O28" s="115">
        <f>IF((SUMIFS('Data - Monthly Metrics'!E:E,'Data - Monthly Metrics'!A:A,$B$4,'Data - Monthly Metrics'!B:B,"Aug",'Data - Monthly Metrics'!C:C,"Spokane/NE",'Data - Monthly Metrics'!D:D,"Revenue Up for Renewal - Target ($)")+SUMIFS('Data - Monthly Metrics'!E:E,'Data - Monthly Metrics'!A:A,$B$4,'Data - Monthly Metrics'!B:B,"Aug",'Data - Monthly Metrics'!C:C,"Spokane/NE",'Data - Monthly Metrics'!D:D,"Revenue Up for Renewal - Non-Target ($)"))=0,"-",(SUMIFS('Data - Monthly Metrics'!E:E,'Data - Monthly Metrics'!A:A,$B$4,'Data - Monthly Metrics'!B:B,"Aug",'Data - Monthly Metrics'!C:C,"Spokane/NE",'Data - Monthly Metrics'!D:D,"Revenue Retained - Target ($)")+SUMIFS('Data - Monthly Metrics'!E:E,'Data - Monthly Metrics'!A:A,$B$4,'Data - Monthly Metrics'!B:B,"Aug",'Data - Monthly Metrics'!C:C,"Spokane/NE",'Data - Monthly Metrics'!D:D,"Revenue Retained - Non-Target ($)"))/(SUMIFS('Data - Monthly Metrics'!E:E,'Data - Monthly Metrics'!A:A,$B$4,'Data - Monthly Metrics'!B:B,"Aug",'Data - Monthly Metrics'!C:C,"Spokane/NE",'Data - Monthly Metrics'!D:D,"Revenue Up for Renewal - Target ($)")+SUMIFS('Data - Monthly Metrics'!E:E,'Data - Monthly Metrics'!A:A,$B$4,'Data - Monthly Metrics'!B:B,"Aug",'Data - Monthly Metrics'!C:C,"Spokane/NE",'Data - Monthly Metrics'!D:D,"Revenue Up for Renewal - Non-Target ($)")))</f>
        <v/>
      </c>
      <c r="P28" s="115">
        <f>IF((SUMIFS('Data - Monthly Metrics'!E:E,'Data - Monthly Metrics'!A:A,$B$4,'Data - Monthly Metrics'!B:B,"Sep",'Data - Monthly Metrics'!C:C,"Spokane/NE",'Data - Monthly Metrics'!D:D,"Revenue Up for Renewal - Target ($)")+SUMIFS('Data - Monthly Metrics'!E:E,'Data - Monthly Metrics'!A:A,$B$4,'Data - Monthly Metrics'!B:B,"Sep",'Data - Monthly Metrics'!C:C,"Spokane/NE",'Data - Monthly Metrics'!D:D,"Revenue Up for Renewal - Non-Target ($)"))=0,"-",(SUMIFS('Data - Monthly Metrics'!E:E,'Data - Monthly Metrics'!A:A,$B$4,'Data - Monthly Metrics'!B:B,"Sep",'Data - Monthly Metrics'!C:C,"Spokane/NE",'Data - Monthly Metrics'!D:D,"Revenue Retained - Target ($)")+SUMIFS('Data - Monthly Metrics'!E:E,'Data - Monthly Metrics'!A:A,$B$4,'Data - Monthly Metrics'!B:B,"Sep",'Data - Monthly Metrics'!C:C,"Spokane/NE",'Data - Monthly Metrics'!D:D,"Revenue Retained - Non-Target ($)"))/(SUMIFS('Data - Monthly Metrics'!E:E,'Data - Monthly Metrics'!A:A,$B$4,'Data - Monthly Metrics'!B:B,"Sep",'Data - Monthly Metrics'!C:C,"Spokane/NE",'Data - Monthly Metrics'!D:D,"Revenue Up for Renewal - Target ($)")+SUMIFS('Data - Monthly Metrics'!E:E,'Data - Monthly Metrics'!A:A,$B$4,'Data - Monthly Metrics'!B:B,"Sep",'Data - Monthly Metrics'!C:C,"Spokane/NE",'Data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Metrics'!C:C,"Spokane/NE",'Data - Monthly Metrics'!D:D,"Total Target Locations - Restaurant (#)")+SUMIFS('Data - Monthly Metrics'!E:E,'Data - Monthly Metrics'!A:A,$B$4-1,'Data - Monthly Metrics'!B:B,"Oct",'Data - Monthly Metrics'!C:C,"Spokane/NE",'Data - Monthly Metrics'!D:D,"Non-Target Locations - Restaurant (#)"))=0,"-",(SUMIFS('Data - Monthly Metrics'!E:E,'Data - Monthly Metrics'!A:A,$B$4-1,'Data - Monthly Metrics'!B:B,"Oct",'Data - Monthly Metrics'!C:C,"Spokane/NE",'Data - Monthly Metrics'!D:D,"Target Members - Restaurant (#)")+SUMIFS('Data - Monthly Metrics'!E:E,'Data - Monthly Metrics'!A:A,$B$4-1,'Data - Monthly Metrics'!B:B,"Oct",'Data - Monthly Metrics'!C:C,"Spokane/NE",'Data - Monthly Metrics'!D:D,"Non-Target Members - Restaurant (#)"))/(SUMIFS('Data - Monthly Metrics'!E:E,'Data - Monthly Metrics'!A:A,$B$4-1,'Data - Monthly Metrics'!B:B,"Oct",'Data - Monthly Metrics'!C:C,"Spokane/NE",'Data - Monthly Metrics'!D:D,"Total Target Locations - Restaurant (#)")+SUMIFS('Data - Monthly Metrics'!E:E,'Data - Monthly Metrics'!A:A,$B$4-1,'Data - Monthly Metrics'!B:B,"Oct",'Data - Monthly Metrics'!C:C,"Spokane/NE",'Data - Monthly Metrics'!D:D,"Non-Target Locations - Restaurant (#)")))</f>
        <v/>
      </c>
      <c r="C29" s="115">
        <f>IF((SUMIFS('Data - Monthly Metrics'!E:E,'Data - Monthly Metrics'!A:A,$B$4-1,'Data - Monthly Metrics'!B:B,"Nov",'Data - Monthly Metrics'!C:C,"Spokane/NE",'Data - Monthly Metrics'!D:D,"Total Target Locations - Restaurant (#)")+SUMIFS('Data - Monthly Metrics'!E:E,'Data - Monthly Metrics'!A:A,$B$4-1,'Data - Monthly Metrics'!B:B,"Nov",'Data - Monthly Metrics'!C:C,"Spokane/NE",'Data - Monthly Metrics'!D:D,"Non-Target Locations - Restaurant (#)"))=0,"-",(SUMIFS('Data - Monthly Metrics'!E:E,'Data - Monthly Metrics'!A:A,$B$4-1,'Data - Monthly Metrics'!B:B,"Nov",'Data - Monthly Metrics'!C:C,"Spokane/NE",'Data - Monthly Metrics'!D:D,"Target Members - Restaurant (#)")+SUMIFS('Data - Monthly Metrics'!E:E,'Data - Monthly Metrics'!A:A,$B$4-1,'Data - Monthly Metrics'!B:B,"Nov",'Data - Monthly Metrics'!C:C,"Spokane/NE",'Data - Monthly Metrics'!D:D,"Non-Target Members - Restaurant (#)"))/(SUMIFS('Data - Monthly Metrics'!E:E,'Data - Monthly Metrics'!A:A,$B$4-1,'Data - Monthly Metrics'!B:B,"Nov",'Data - Monthly Metrics'!C:C,"Spokane/NE",'Data - Monthly Metrics'!D:D,"Total Target Locations - Restaurant (#)")+SUMIFS('Data - Monthly Metrics'!E:E,'Data - Monthly Metrics'!A:A,$B$4-1,'Data - Monthly Metrics'!B:B,"Nov",'Data - Monthly Metrics'!C:C,"Spokane/NE",'Data - Monthly Metrics'!D:D,"Non-Target Locations - Restaurant (#)")))</f>
        <v/>
      </c>
      <c r="D29" s="115">
        <f>IF((SUMIFS('Data - Monthly Metrics'!E:E,'Data - Monthly Metrics'!A:A,$B$4-1,'Data - Monthly Metrics'!B:B,"Dec",'Data - Monthly Metrics'!C:C,"Spokane/NE",'Data - Monthly Metrics'!D:D,"Total Target Locations - Restaurant (#)")+SUMIFS('Data - Monthly Metrics'!E:E,'Data - Monthly Metrics'!A:A,$B$4-1,'Data - Monthly Metrics'!B:B,"Dec",'Data - Monthly Metrics'!C:C,"Spokane/NE",'Data - Monthly Metrics'!D:D,"Non-Target Locations - Restaurant (#)"))=0,"-",(SUMIFS('Data - Monthly Metrics'!E:E,'Data - Monthly Metrics'!A:A,$B$4-1,'Data - Monthly Metrics'!B:B,"Dec",'Data - Monthly Metrics'!C:C,"Spokane/NE",'Data - Monthly Metrics'!D:D,"Target Members - Restaurant (#)")+SUMIFS('Data - Monthly Metrics'!E:E,'Data - Monthly Metrics'!A:A,$B$4-1,'Data - Monthly Metrics'!B:B,"Dec",'Data - Monthly Metrics'!C:C,"Spokane/NE",'Data - Monthly Metrics'!D:D,"Non-Target Members - Restaurant (#)"))/(SUMIFS('Data - Monthly Metrics'!E:E,'Data - Monthly Metrics'!A:A,$B$4-1,'Data - Monthly Metrics'!B:B,"Dec",'Data - Monthly Metrics'!C:C,"Spokane/NE",'Data - Monthly Metrics'!D:D,"Total Target Locations - Restaurant (#)")+SUMIFS('Data - Monthly Metrics'!E:E,'Data - Monthly Metrics'!A:A,$B$4-1,'Data - Monthly Metrics'!B:B,"Dec",'Data - Monthly Metrics'!C:C,"Spokane/NE",'Data - Monthly Metrics'!D:D,"Non-Target Locations - Restaurant (#)")))</f>
        <v/>
      </c>
      <c r="E29" s="116">
        <f>IF(ISNUMBER(D29),D29,IF(ISNUMBER(C29),C29,IF(ISNUMBER(B29),B29,"-")))</f>
        <v/>
      </c>
      <c r="F29" s="115">
        <f>IF((SUMIFS('Data - Monthly Metrics'!E:E,'Data - Monthly Metrics'!A:A,$B$4,'Data - Monthly Metrics'!B:B,"Jan",'Data - Monthly Metrics'!C:C,"Spokane/NE",'Data - Monthly Metrics'!D:D,"Total Target Locations - Restaurant (#)")+SUMIFS('Data - Monthly Metrics'!E:E,'Data - Monthly Metrics'!A:A,$B$4,'Data - Monthly Metrics'!B:B,"Jan",'Data - Monthly Metrics'!C:C,"Spokane/NE",'Data - Monthly Metrics'!D:D,"Non-Target Locations - Restaurant (#)"))=0,"-",(SUMIFS('Data - Monthly Metrics'!E:E,'Data - Monthly Metrics'!A:A,$B$4,'Data - Monthly Metrics'!B:B,"Jan",'Data - Monthly Metrics'!C:C,"Spokane/NE",'Data - Monthly Metrics'!D:D,"Target Members - Restaurant (#)")+SUMIFS('Data - Monthly Metrics'!E:E,'Data - Monthly Metrics'!A:A,$B$4,'Data - Monthly Metrics'!B:B,"Jan",'Data - Monthly Metrics'!C:C,"Spokane/NE",'Data - Monthly Metrics'!D:D,"Non-Target Members - Restaurant (#)"))/(SUMIFS('Data - Monthly Metrics'!E:E,'Data - Monthly Metrics'!A:A,$B$4,'Data - Monthly Metrics'!B:B,"Jan",'Data - Monthly Metrics'!C:C,"Spokane/NE",'Data - Monthly Metrics'!D:D,"Total Target Locations - Restaurant (#)")+SUMIFS('Data - Monthly Metrics'!E:E,'Data - Monthly Metrics'!A:A,$B$4,'Data - Monthly Metrics'!B:B,"Jan",'Data - Monthly Metrics'!C:C,"Spokane/NE",'Data - Monthly Metrics'!D:D,"Non-Target Locations - Restaurant (#)")))</f>
        <v/>
      </c>
      <c r="G29" s="115">
        <f>IF((SUMIFS('Data - Monthly Metrics'!E:E,'Data - Monthly Metrics'!A:A,$B$4,'Data - Monthly Metrics'!B:B,"Feb",'Data - Monthly Metrics'!C:C,"Spokane/NE",'Data - Monthly Metrics'!D:D,"Total Target Locations - Restaurant (#)")+SUMIFS('Data - Monthly Metrics'!E:E,'Data - Monthly Metrics'!A:A,$B$4,'Data - Monthly Metrics'!B:B,"Feb",'Data - Monthly Metrics'!C:C,"Spokane/NE",'Data - Monthly Metrics'!D:D,"Non-Target Locations - Restaurant (#)"))=0,"-",(SUMIFS('Data - Monthly Metrics'!E:E,'Data - Monthly Metrics'!A:A,$B$4,'Data - Monthly Metrics'!B:B,"Feb",'Data - Monthly Metrics'!C:C,"Spokane/NE",'Data - Monthly Metrics'!D:D,"Target Members - Restaurant (#)")+SUMIFS('Data - Monthly Metrics'!E:E,'Data - Monthly Metrics'!A:A,$B$4,'Data - Monthly Metrics'!B:B,"Feb",'Data - Monthly Metrics'!C:C,"Spokane/NE",'Data - Monthly Metrics'!D:D,"Non-Target Members - Restaurant (#)"))/(SUMIFS('Data - Monthly Metrics'!E:E,'Data - Monthly Metrics'!A:A,$B$4,'Data - Monthly Metrics'!B:B,"Feb",'Data - Monthly Metrics'!C:C,"Spokane/NE",'Data - Monthly Metrics'!D:D,"Total Target Locations - Restaurant (#)")+SUMIFS('Data - Monthly Metrics'!E:E,'Data - Monthly Metrics'!A:A,$B$4,'Data - Monthly Metrics'!B:B,"Feb",'Data - Monthly Metrics'!C:C,"Spokane/NE",'Data - Monthly Metrics'!D:D,"Non-Target Locations - Restaurant (#)")))</f>
        <v/>
      </c>
      <c r="H29" s="115">
        <f>IF((SUMIFS('Data - Monthly Metrics'!E:E,'Data - Monthly Metrics'!A:A,$B$4,'Data - Monthly Metrics'!B:B,"Mar",'Data - Monthly Metrics'!C:C,"Spokane/NE",'Data - Monthly Metrics'!D:D,"Total Target Locations - Restaurant (#)")+SUMIFS('Data - Monthly Metrics'!E:E,'Data - Monthly Metrics'!A:A,$B$4,'Data - Monthly Metrics'!B:B,"Mar",'Data - Monthly Metrics'!C:C,"Spokane/NE",'Data - Monthly Metrics'!D:D,"Non-Target Locations - Restaurant (#)"))=0,"-",(SUMIFS('Data - Monthly Metrics'!E:E,'Data - Monthly Metrics'!A:A,$B$4,'Data - Monthly Metrics'!B:B,"Mar",'Data - Monthly Metrics'!C:C,"Spokane/NE",'Data - Monthly Metrics'!D:D,"Target Members - Restaurant (#)")+SUMIFS('Data - Monthly Metrics'!E:E,'Data - Monthly Metrics'!A:A,$B$4,'Data - Monthly Metrics'!B:B,"Mar",'Data - Monthly Metrics'!C:C,"Spokane/NE",'Data - Monthly Metrics'!D:D,"Non-Target Members - Restaurant (#)"))/(SUMIFS('Data - Monthly Metrics'!E:E,'Data - Monthly Metrics'!A:A,$B$4,'Data - Monthly Metrics'!B:B,"Mar",'Data - Monthly Metrics'!C:C,"Spokane/NE",'Data - Monthly Metrics'!D:D,"Total Target Locations - Restaurant (#)")+SUMIFS('Data - Monthly Metrics'!E:E,'Data - Monthly Metrics'!A:A,$B$4,'Data - Monthly Metrics'!B:B,"Mar",'Data - Monthly Metrics'!C:C,"Spokane/NE",'Data - Monthly Metrics'!D:D,"Non-Target Locations - Restaurant (#)")))</f>
        <v/>
      </c>
      <c r="I29" s="116">
        <f>IF(ISNUMBER(H29),H29,IF(ISNUMBER(G29),G29,IF(ISNUMBER(F29),F29,"-")))</f>
        <v/>
      </c>
      <c r="J29" s="115">
        <f>IF((SUMIFS('Data - Monthly Metrics'!E:E,'Data - Monthly Metrics'!A:A,$B$4,'Data - Monthly Metrics'!B:B,"Apr",'Data - Monthly Metrics'!C:C,"Spokane/NE",'Data - Monthly Metrics'!D:D,"Total Target Locations - Restaurant (#)")+SUMIFS('Data - Monthly Metrics'!E:E,'Data - Monthly Metrics'!A:A,$B$4,'Data - Monthly Metrics'!B:B,"Apr",'Data - Monthly Metrics'!C:C,"Spokane/NE",'Data - Monthly Metrics'!D:D,"Non-Target Locations - Restaurant (#)"))=0,"-",(SUMIFS('Data - Monthly Metrics'!E:E,'Data - Monthly Metrics'!A:A,$B$4,'Data - Monthly Metrics'!B:B,"Apr",'Data - Monthly Metrics'!C:C,"Spokane/NE",'Data - Monthly Metrics'!D:D,"Target Members - Restaurant (#)")+SUMIFS('Data - Monthly Metrics'!E:E,'Data - Monthly Metrics'!A:A,$B$4,'Data - Monthly Metrics'!B:B,"Apr",'Data - Monthly Metrics'!C:C,"Spokane/NE",'Data - Monthly Metrics'!D:D,"Non-Target Members - Restaurant (#)"))/(SUMIFS('Data - Monthly Metrics'!E:E,'Data - Monthly Metrics'!A:A,$B$4,'Data - Monthly Metrics'!B:B,"Apr",'Data - Monthly Metrics'!C:C,"Spokane/NE",'Data - Monthly Metrics'!D:D,"Total Target Locations - Restaurant (#)")+SUMIFS('Data - Monthly Metrics'!E:E,'Data - Monthly Metrics'!A:A,$B$4,'Data - Monthly Metrics'!B:B,"Apr",'Data - Monthly Metrics'!C:C,"Spokane/NE",'Data - Monthly Metrics'!D:D,"Non-Target Locations - Restaurant (#)")))</f>
        <v/>
      </c>
      <c r="K29" s="115">
        <f>IF((SUMIFS('Data - Monthly Metrics'!E:E,'Data - Monthly Metrics'!A:A,$B$4,'Data - Monthly Metrics'!B:B,"May",'Data - Monthly Metrics'!C:C,"Spokane/NE",'Data - Monthly Metrics'!D:D,"Total Target Locations - Restaurant (#)")+SUMIFS('Data - Monthly Metrics'!E:E,'Data - Monthly Metrics'!A:A,$B$4,'Data - Monthly Metrics'!B:B,"May",'Data - Monthly Metrics'!C:C,"Spokane/NE",'Data - Monthly Metrics'!D:D,"Non-Target Locations - Restaurant (#)"))=0,"-",(SUMIFS('Data - Monthly Metrics'!E:E,'Data - Monthly Metrics'!A:A,$B$4,'Data - Monthly Metrics'!B:B,"May",'Data - Monthly Metrics'!C:C,"Spokane/NE",'Data - Monthly Metrics'!D:D,"Target Members - Restaurant (#)")+SUMIFS('Data - Monthly Metrics'!E:E,'Data - Monthly Metrics'!A:A,$B$4,'Data - Monthly Metrics'!B:B,"May",'Data - Monthly Metrics'!C:C,"Spokane/NE",'Data - Monthly Metrics'!D:D,"Non-Target Members - Restaurant (#)"))/(SUMIFS('Data - Monthly Metrics'!E:E,'Data - Monthly Metrics'!A:A,$B$4,'Data - Monthly Metrics'!B:B,"May",'Data - Monthly Metrics'!C:C,"Spokane/NE",'Data - Monthly Metrics'!D:D,"Total Target Locations - Restaurant (#)")+SUMIFS('Data - Monthly Metrics'!E:E,'Data - Monthly Metrics'!A:A,$B$4,'Data - Monthly Metrics'!B:B,"May",'Data - Monthly Metrics'!C:C,"Spokane/NE",'Data - Monthly Metrics'!D:D,"Non-Target Locations - Restaurant (#)")))</f>
        <v/>
      </c>
      <c r="L29" s="115">
        <f>IF((SUMIFS('Data - Monthly Metrics'!E:E,'Data - Monthly Metrics'!A:A,$B$4,'Data - Monthly Metrics'!B:B,"Jun",'Data - Monthly Metrics'!C:C,"Spokane/NE",'Data - Monthly Metrics'!D:D,"Total Target Locations - Restaurant (#)")+SUMIFS('Data - Monthly Metrics'!E:E,'Data - Monthly Metrics'!A:A,$B$4,'Data - Monthly Metrics'!B:B,"Jun",'Data - Monthly Metrics'!C:C,"Spokane/NE",'Data - Monthly Metrics'!D:D,"Non-Target Locations - Restaurant (#)"))=0,"-",(SUMIFS('Data - Monthly Metrics'!E:E,'Data - Monthly Metrics'!A:A,$B$4,'Data - Monthly Metrics'!B:B,"Jun",'Data - Monthly Metrics'!C:C,"Spokane/NE",'Data - Monthly Metrics'!D:D,"Target Members - Restaurant (#)")+SUMIFS('Data - Monthly Metrics'!E:E,'Data - Monthly Metrics'!A:A,$B$4,'Data - Monthly Metrics'!B:B,"Jun",'Data - Monthly Metrics'!C:C,"Spokane/NE",'Data - Monthly Metrics'!D:D,"Non-Target Members - Restaurant (#)"))/(SUMIFS('Data - Monthly Metrics'!E:E,'Data - Monthly Metrics'!A:A,$B$4,'Data - Monthly Metrics'!B:B,"Jun",'Data - Monthly Metrics'!C:C,"Spokane/NE",'Data - Monthly Metrics'!D:D,"Total Target Locations - Restaurant (#)")+SUMIFS('Data - Monthly Metrics'!E:E,'Data - Monthly Metrics'!A:A,$B$4,'Data - Monthly Metrics'!B:B,"Jun",'Data - Monthly Metrics'!C:C,"Spokane/NE",'Data - Monthly Metrics'!D:D,"Non-Target Locations - Restaurant (#)")))</f>
        <v/>
      </c>
      <c r="M29" s="116">
        <f>IF(ISNUMBER(L29),L29,IF(ISNUMBER(K29),K29,IF(ISNUMBER(J29),J29,"-")))</f>
        <v/>
      </c>
      <c r="N29" s="115">
        <f>IF((SUMIFS('Data - Monthly Metrics'!E:E,'Data - Monthly Metrics'!A:A,$B$4,'Data - Monthly Metrics'!B:B,"Jul",'Data - Monthly Metrics'!C:C,"Spokane/NE",'Data - Monthly Metrics'!D:D,"Total Target Locations - Restaurant (#)")+SUMIFS('Data - Monthly Metrics'!E:E,'Data - Monthly Metrics'!A:A,$B$4,'Data - Monthly Metrics'!B:B,"Jul",'Data - Monthly Metrics'!C:C,"Spokane/NE",'Data - Monthly Metrics'!D:D,"Non-Target Locations - Restaurant (#)"))=0,"-",(SUMIFS('Data - Monthly Metrics'!E:E,'Data - Monthly Metrics'!A:A,$B$4,'Data - Monthly Metrics'!B:B,"Jul",'Data - Monthly Metrics'!C:C,"Spokane/NE",'Data - Monthly Metrics'!D:D,"Target Members - Restaurant (#)")+SUMIFS('Data - Monthly Metrics'!E:E,'Data - Monthly Metrics'!A:A,$B$4,'Data - Monthly Metrics'!B:B,"Jul",'Data - Monthly Metrics'!C:C,"Spokane/NE",'Data - Monthly Metrics'!D:D,"Non-Target Members - Restaurant (#)"))/(SUMIFS('Data - Monthly Metrics'!E:E,'Data - Monthly Metrics'!A:A,$B$4,'Data - Monthly Metrics'!B:B,"Jul",'Data - Monthly Metrics'!C:C,"Spokane/NE",'Data - Monthly Metrics'!D:D,"Total Target Locations - Restaurant (#)")+SUMIFS('Data - Monthly Metrics'!E:E,'Data - Monthly Metrics'!A:A,$B$4,'Data - Monthly Metrics'!B:B,"Jul",'Data - Monthly Metrics'!C:C,"Spokane/NE",'Data - Monthly Metrics'!D:D,"Non-Target Locations - Restaurant (#)")))</f>
        <v/>
      </c>
      <c r="O29" s="115">
        <f>IF((SUMIFS('Data - Monthly Metrics'!E:E,'Data - Monthly Metrics'!A:A,$B$4,'Data - Monthly Metrics'!B:B,"Aug",'Data - Monthly Metrics'!C:C,"Spokane/NE",'Data - Monthly Metrics'!D:D,"Total Target Locations - Restaurant (#)")+SUMIFS('Data - Monthly Metrics'!E:E,'Data - Monthly Metrics'!A:A,$B$4,'Data - Monthly Metrics'!B:B,"Aug",'Data - Monthly Metrics'!C:C,"Spokane/NE",'Data - Monthly Metrics'!D:D,"Non-Target Locations - Restaurant (#)"))=0,"-",(SUMIFS('Data - Monthly Metrics'!E:E,'Data - Monthly Metrics'!A:A,$B$4,'Data - Monthly Metrics'!B:B,"Aug",'Data - Monthly Metrics'!C:C,"Spokane/NE",'Data - Monthly Metrics'!D:D,"Target Members - Restaurant (#)")+SUMIFS('Data - Monthly Metrics'!E:E,'Data - Monthly Metrics'!A:A,$B$4,'Data - Monthly Metrics'!B:B,"Aug",'Data - Monthly Metrics'!C:C,"Spokane/NE",'Data - Monthly Metrics'!D:D,"Non-Target Members - Restaurant (#)"))/(SUMIFS('Data - Monthly Metrics'!E:E,'Data - Monthly Metrics'!A:A,$B$4,'Data - Monthly Metrics'!B:B,"Aug",'Data - Monthly Metrics'!C:C,"Spokane/NE",'Data - Monthly Metrics'!D:D,"Total Target Locations - Restaurant (#)")+SUMIFS('Data - Monthly Metrics'!E:E,'Data - Monthly Metrics'!A:A,$B$4,'Data - Monthly Metrics'!B:B,"Aug",'Data - Monthly Metrics'!C:C,"Spokane/NE",'Data - Monthly Metrics'!D:D,"Non-Target Locations - Restaurant (#)")))</f>
        <v/>
      </c>
      <c r="P29" s="115">
        <f>IF((SUMIFS('Data - Monthly Metrics'!E:E,'Data - Monthly Metrics'!A:A,$B$4,'Data - Monthly Metrics'!B:B,"Sep",'Data - Monthly Metrics'!C:C,"Spokane/NE",'Data - Monthly Metrics'!D:D,"Total Target Locations - Restaurant (#)")+SUMIFS('Data - Monthly Metrics'!E:E,'Data - Monthly Metrics'!A:A,$B$4,'Data - Monthly Metrics'!B:B,"Sep",'Data - Monthly Metrics'!C:C,"Spokane/NE",'Data - Monthly Metrics'!D:D,"Non-Target Locations - Restaurant (#)"))=0,"-",(SUMIFS('Data - Monthly Metrics'!E:E,'Data - Monthly Metrics'!A:A,$B$4,'Data - Monthly Metrics'!B:B,"Sep",'Data - Monthly Metrics'!C:C,"Spokane/NE",'Data - Monthly Metrics'!D:D,"Target Members - Restaurant (#)")+SUMIFS('Data - Monthly Metrics'!E:E,'Data - Monthly Metrics'!A:A,$B$4,'Data - Monthly Metrics'!B:B,"Sep",'Data - Monthly Metrics'!C:C,"Spokane/NE",'Data - Monthly Metrics'!D:D,"Non-Target Members - Restaurant (#)"))/(SUMIFS('Data - Monthly Metrics'!E:E,'Data - Monthly Metrics'!A:A,$B$4,'Data - Monthly Metrics'!B:B,"Sep",'Data - Monthly Metrics'!C:C,"Spokane/NE",'Data - Monthly Metrics'!D:D,"Total Target Locations - Restaurant (#)")+SUMIFS('Data - Monthly Metrics'!E:E,'Data - Monthly Metrics'!A:A,$B$4,'Data - Monthly Metrics'!B:B,"Sep",'Data - Monthly Metrics'!C:C,"Spokane/NE",'Data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Metrics'!C:C,"Spokane/NE",'Data - Monthly Metrics'!D:D,"Total Target Locations - Lodging (#)")+SUMIFS('Data - Monthly Metrics'!E:E,'Data - Monthly Metrics'!A:A,$B$4-1,'Data - Monthly Metrics'!B:B,"Oct",'Data - Monthly Metrics'!C:C,"Spokane/NE",'Data - Monthly Metrics'!D:D,"Non-Target Locations - Lodging (#)"))=0,"-",(SUMIFS('Data - Monthly Metrics'!E:E,'Data - Monthly Metrics'!A:A,$B$4-1,'Data - Monthly Metrics'!B:B,"Oct",'Data - Monthly Metrics'!C:C,"Spokane/NE",'Data - Monthly Metrics'!D:D,"Target Members - Lodging (#)")+SUMIFS('Data - Monthly Metrics'!E:E,'Data - Monthly Metrics'!A:A,$B$4-1,'Data - Monthly Metrics'!B:B,"Oct",'Data - Monthly Metrics'!C:C,"Spokane/NE",'Data - Monthly Metrics'!D:D,"Non-Target Members - Lodging (#)"))/(SUMIFS('Data - Monthly Metrics'!E:E,'Data - Monthly Metrics'!A:A,$B$4-1,'Data - Monthly Metrics'!B:B,"Oct",'Data - Monthly Metrics'!C:C,"Spokane/NE",'Data - Monthly Metrics'!D:D,"Total Target Locations - Lodging (#)")+SUMIFS('Data - Monthly Metrics'!E:E,'Data - Monthly Metrics'!A:A,$B$4-1,'Data - Monthly Metrics'!B:B,"Oct",'Data - Monthly Metrics'!C:C,"Spokane/NE",'Data - Monthly Metrics'!D:D,"Non-Target Locations - Lodging (#)")))</f>
        <v/>
      </c>
      <c r="C30" s="118">
        <f>IF((SUMIFS('Data - Monthly Metrics'!E:E,'Data - Monthly Metrics'!A:A,$B$4-1,'Data - Monthly Metrics'!B:B,"Nov",'Data - Monthly Metrics'!C:C,"Spokane/NE",'Data - Monthly Metrics'!D:D,"Total Target Locations - Lodging (#)")+SUMIFS('Data - Monthly Metrics'!E:E,'Data - Monthly Metrics'!A:A,$B$4-1,'Data - Monthly Metrics'!B:B,"Nov",'Data - Monthly Metrics'!C:C,"Spokane/NE",'Data - Monthly Metrics'!D:D,"Non-Target Locations - Lodging (#)"))=0,"-",(SUMIFS('Data - Monthly Metrics'!E:E,'Data - Monthly Metrics'!A:A,$B$4-1,'Data - Monthly Metrics'!B:B,"Nov",'Data - Monthly Metrics'!C:C,"Spokane/NE",'Data - Monthly Metrics'!D:D,"Target Members - Lodging (#)")+SUMIFS('Data - Monthly Metrics'!E:E,'Data - Monthly Metrics'!A:A,$B$4-1,'Data - Monthly Metrics'!B:B,"Nov",'Data - Monthly Metrics'!C:C,"Spokane/NE",'Data - Monthly Metrics'!D:D,"Non-Target Members - Lodging (#)"))/(SUMIFS('Data - Monthly Metrics'!E:E,'Data - Monthly Metrics'!A:A,$B$4-1,'Data - Monthly Metrics'!B:B,"Nov",'Data - Monthly Metrics'!C:C,"Spokane/NE",'Data - Monthly Metrics'!D:D,"Total Target Locations - Lodging (#)")+SUMIFS('Data - Monthly Metrics'!E:E,'Data - Monthly Metrics'!A:A,$B$4-1,'Data - Monthly Metrics'!B:B,"Nov",'Data - Monthly Metrics'!C:C,"Spokane/NE",'Data - Monthly Metrics'!D:D,"Non-Target Locations - Lodging (#)")))</f>
        <v/>
      </c>
      <c r="D30" s="118">
        <f>IF((SUMIFS('Data - Monthly Metrics'!E:E,'Data - Monthly Metrics'!A:A,$B$4-1,'Data - Monthly Metrics'!B:B,"Dec",'Data - Monthly Metrics'!C:C,"Spokane/NE",'Data - Monthly Metrics'!D:D,"Total Target Locations - Lodging (#)")+SUMIFS('Data - Monthly Metrics'!E:E,'Data - Monthly Metrics'!A:A,$B$4-1,'Data - Monthly Metrics'!B:B,"Dec",'Data - Monthly Metrics'!C:C,"Spokane/NE",'Data - Monthly Metrics'!D:D,"Non-Target Locations - Lodging (#)"))=0,"-",(SUMIFS('Data - Monthly Metrics'!E:E,'Data - Monthly Metrics'!A:A,$B$4-1,'Data - Monthly Metrics'!B:B,"Dec",'Data - Monthly Metrics'!C:C,"Spokane/NE",'Data - Monthly Metrics'!D:D,"Target Members - Lodging (#)")+SUMIFS('Data - Monthly Metrics'!E:E,'Data - Monthly Metrics'!A:A,$B$4-1,'Data - Monthly Metrics'!B:B,"Dec",'Data - Monthly Metrics'!C:C,"Spokane/NE",'Data - Monthly Metrics'!D:D,"Non-Target Members - Lodging (#)"))/(SUMIFS('Data - Monthly Metrics'!E:E,'Data - Monthly Metrics'!A:A,$B$4-1,'Data - Monthly Metrics'!B:B,"Dec",'Data - Monthly Metrics'!C:C,"Spokane/NE",'Data - Monthly Metrics'!D:D,"Total Target Locations - Lodging (#)")+SUMIFS('Data - Monthly Metrics'!E:E,'Data - Monthly Metrics'!A:A,$B$4-1,'Data - Monthly Metrics'!B:B,"Dec",'Data - Monthly Metrics'!C:C,"Spokane/NE",'Data - Monthly Metrics'!D:D,"Non-Target Locations - Lodging (#)")))</f>
        <v/>
      </c>
      <c r="E30" s="116">
        <f>IF(ISNUMBER(D30),D30,IF(ISNUMBER(C30),C30,IF(ISNUMBER(B30),B30,"-")))</f>
        <v/>
      </c>
      <c r="F30" s="118">
        <f>IF((SUMIFS('Data - Monthly Metrics'!E:E,'Data - Monthly Metrics'!A:A,$B$4,'Data - Monthly Metrics'!B:B,"Jan",'Data - Monthly Metrics'!C:C,"Spokane/NE",'Data - Monthly Metrics'!D:D,"Total Target Locations - Lodging (#)")+SUMIFS('Data - Monthly Metrics'!E:E,'Data - Monthly Metrics'!A:A,$B$4,'Data - Monthly Metrics'!B:B,"Jan",'Data - Monthly Metrics'!C:C,"Spokane/NE",'Data - Monthly Metrics'!D:D,"Non-Target Locations - Lodging (#)"))=0,"-",(SUMIFS('Data - Monthly Metrics'!E:E,'Data - Monthly Metrics'!A:A,$B$4,'Data - Monthly Metrics'!B:B,"Jan",'Data - Monthly Metrics'!C:C,"Spokane/NE",'Data - Monthly Metrics'!D:D,"Target Members - Lodging (#)")+SUMIFS('Data - Monthly Metrics'!E:E,'Data - Monthly Metrics'!A:A,$B$4,'Data - Monthly Metrics'!B:B,"Jan",'Data - Monthly Metrics'!C:C,"Spokane/NE",'Data - Monthly Metrics'!D:D,"Non-Target Members - Lodging (#)"))/(SUMIFS('Data - Monthly Metrics'!E:E,'Data - Monthly Metrics'!A:A,$B$4,'Data - Monthly Metrics'!B:B,"Jan",'Data - Monthly Metrics'!C:C,"Spokane/NE",'Data - Monthly Metrics'!D:D,"Total Target Locations - Lodging (#)")+SUMIFS('Data - Monthly Metrics'!E:E,'Data - Monthly Metrics'!A:A,$B$4,'Data - Monthly Metrics'!B:B,"Jan",'Data - Monthly Metrics'!C:C,"Spokane/NE",'Data - Monthly Metrics'!D:D,"Non-Target Locations - Lodging (#)")))</f>
        <v/>
      </c>
      <c r="G30" s="118">
        <f>IF((SUMIFS('Data - Monthly Metrics'!E:E,'Data - Monthly Metrics'!A:A,$B$4,'Data - Monthly Metrics'!B:B,"Feb",'Data - Monthly Metrics'!C:C,"Spokane/NE",'Data - Monthly Metrics'!D:D,"Total Target Locations - Lodging (#)")+SUMIFS('Data - Monthly Metrics'!E:E,'Data - Monthly Metrics'!A:A,$B$4,'Data - Monthly Metrics'!B:B,"Feb",'Data - Monthly Metrics'!C:C,"Spokane/NE",'Data - Monthly Metrics'!D:D,"Non-Target Locations - Lodging (#)"))=0,"-",(SUMIFS('Data - Monthly Metrics'!E:E,'Data - Monthly Metrics'!A:A,$B$4,'Data - Monthly Metrics'!B:B,"Feb",'Data - Monthly Metrics'!C:C,"Spokane/NE",'Data - Monthly Metrics'!D:D,"Target Members - Lodging (#)")+SUMIFS('Data - Monthly Metrics'!E:E,'Data - Monthly Metrics'!A:A,$B$4,'Data - Monthly Metrics'!B:B,"Feb",'Data - Monthly Metrics'!C:C,"Spokane/NE",'Data - Monthly Metrics'!D:D,"Non-Target Members - Lodging (#)"))/(SUMIFS('Data - Monthly Metrics'!E:E,'Data - Monthly Metrics'!A:A,$B$4,'Data - Monthly Metrics'!B:B,"Feb",'Data - Monthly Metrics'!C:C,"Spokane/NE",'Data - Monthly Metrics'!D:D,"Total Target Locations - Lodging (#)")+SUMIFS('Data - Monthly Metrics'!E:E,'Data - Monthly Metrics'!A:A,$B$4,'Data - Monthly Metrics'!B:B,"Feb",'Data - Monthly Metrics'!C:C,"Spokane/NE",'Data - Monthly Metrics'!D:D,"Non-Target Locations - Lodging (#)")))</f>
        <v/>
      </c>
      <c r="H30" s="118">
        <f>IF((SUMIFS('Data - Monthly Metrics'!E:E,'Data - Monthly Metrics'!A:A,$B$4,'Data - Monthly Metrics'!B:B,"Mar",'Data - Monthly Metrics'!C:C,"Spokane/NE",'Data - Monthly Metrics'!D:D,"Total Target Locations - Lodging (#)")+SUMIFS('Data - Monthly Metrics'!E:E,'Data - Monthly Metrics'!A:A,$B$4,'Data - Monthly Metrics'!B:B,"Mar",'Data - Monthly Metrics'!C:C,"Spokane/NE",'Data - Monthly Metrics'!D:D,"Non-Target Locations - Lodging (#)"))=0,"-",(SUMIFS('Data - Monthly Metrics'!E:E,'Data - Monthly Metrics'!A:A,$B$4,'Data - Monthly Metrics'!B:B,"Mar",'Data - Monthly Metrics'!C:C,"Spokane/NE",'Data - Monthly Metrics'!D:D,"Target Members - Lodging (#)")+SUMIFS('Data - Monthly Metrics'!E:E,'Data - Monthly Metrics'!A:A,$B$4,'Data - Monthly Metrics'!B:B,"Mar",'Data - Monthly Metrics'!C:C,"Spokane/NE",'Data - Monthly Metrics'!D:D,"Non-Target Members - Lodging (#)"))/(SUMIFS('Data - Monthly Metrics'!E:E,'Data - Monthly Metrics'!A:A,$B$4,'Data - Monthly Metrics'!B:B,"Mar",'Data - Monthly Metrics'!C:C,"Spokane/NE",'Data - Monthly Metrics'!D:D,"Total Target Locations - Lodging (#)")+SUMIFS('Data - Monthly Metrics'!E:E,'Data - Monthly Metrics'!A:A,$B$4,'Data - Monthly Metrics'!B:B,"Mar",'Data - Monthly Metrics'!C:C,"Spokane/NE",'Data - Monthly Metrics'!D:D,"Non-Target Locations - Lodging (#)")))</f>
        <v/>
      </c>
      <c r="I30" s="116">
        <f>IF(ISNUMBER(H30),H30,IF(ISNUMBER(G30),G30,IF(ISNUMBER(F30),F30,"-")))</f>
        <v/>
      </c>
      <c r="J30" s="118">
        <f>IF((SUMIFS('Data - Monthly Metrics'!E:E,'Data - Monthly Metrics'!A:A,$B$4,'Data - Monthly Metrics'!B:B,"Apr",'Data - Monthly Metrics'!C:C,"Spokane/NE",'Data - Monthly Metrics'!D:D,"Total Target Locations - Lodging (#)")+SUMIFS('Data - Monthly Metrics'!E:E,'Data - Monthly Metrics'!A:A,$B$4,'Data - Monthly Metrics'!B:B,"Apr",'Data - Monthly Metrics'!C:C,"Spokane/NE",'Data - Monthly Metrics'!D:D,"Non-Target Locations - Lodging (#)"))=0,"-",(SUMIFS('Data - Monthly Metrics'!E:E,'Data - Monthly Metrics'!A:A,$B$4,'Data - Monthly Metrics'!B:B,"Apr",'Data - Monthly Metrics'!C:C,"Spokane/NE",'Data - Monthly Metrics'!D:D,"Target Members - Lodging (#)")+SUMIFS('Data - Monthly Metrics'!E:E,'Data - Monthly Metrics'!A:A,$B$4,'Data - Monthly Metrics'!B:B,"Apr",'Data - Monthly Metrics'!C:C,"Spokane/NE",'Data - Monthly Metrics'!D:D,"Non-Target Members - Lodging (#)"))/(SUMIFS('Data - Monthly Metrics'!E:E,'Data - Monthly Metrics'!A:A,$B$4,'Data - Monthly Metrics'!B:B,"Apr",'Data - Monthly Metrics'!C:C,"Spokane/NE",'Data - Monthly Metrics'!D:D,"Total Target Locations - Lodging (#)")+SUMIFS('Data - Monthly Metrics'!E:E,'Data - Monthly Metrics'!A:A,$B$4,'Data - Monthly Metrics'!B:B,"Apr",'Data - Monthly Metrics'!C:C,"Spokane/NE",'Data - Monthly Metrics'!D:D,"Non-Target Locations - Lodging (#)")))</f>
        <v/>
      </c>
      <c r="K30" s="118">
        <f>IF((SUMIFS('Data - Monthly Metrics'!E:E,'Data - Monthly Metrics'!A:A,$B$4,'Data - Monthly Metrics'!B:B,"May",'Data - Monthly Metrics'!C:C,"Spokane/NE",'Data - Monthly Metrics'!D:D,"Total Target Locations - Lodging (#)")+SUMIFS('Data - Monthly Metrics'!E:E,'Data - Monthly Metrics'!A:A,$B$4,'Data - Monthly Metrics'!B:B,"May",'Data - Monthly Metrics'!C:C,"Spokane/NE",'Data - Monthly Metrics'!D:D,"Non-Target Locations - Lodging (#)"))=0,"-",(SUMIFS('Data - Monthly Metrics'!E:E,'Data - Monthly Metrics'!A:A,$B$4,'Data - Monthly Metrics'!B:B,"May",'Data - Monthly Metrics'!C:C,"Spokane/NE",'Data - Monthly Metrics'!D:D,"Target Members - Lodging (#)")+SUMIFS('Data - Monthly Metrics'!E:E,'Data - Monthly Metrics'!A:A,$B$4,'Data - Monthly Metrics'!B:B,"May",'Data - Monthly Metrics'!C:C,"Spokane/NE",'Data - Monthly Metrics'!D:D,"Non-Target Members - Lodging (#)"))/(SUMIFS('Data - Monthly Metrics'!E:E,'Data - Monthly Metrics'!A:A,$B$4,'Data - Monthly Metrics'!B:B,"May",'Data - Monthly Metrics'!C:C,"Spokane/NE",'Data - Monthly Metrics'!D:D,"Total Target Locations - Lodging (#)")+SUMIFS('Data - Monthly Metrics'!E:E,'Data - Monthly Metrics'!A:A,$B$4,'Data - Monthly Metrics'!B:B,"May",'Data - Monthly Metrics'!C:C,"Spokane/NE",'Data - Monthly Metrics'!D:D,"Non-Target Locations - Lodging (#)")))</f>
        <v/>
      </c>
      <c r="L30" s="118">
        <f>IF((SUMIFS('Data - Monthly Metrics'!E:E,'Data - Monthly Metrics'!A:A,$B$4,'Data - Monthly Metrics'!B:B,"Jun",'Data - Monthly Metrics'!C:C,"Spokane/NE",'Data - Monthly Metrics'!D:D,"Total Target Locations - Lodging (#)")+SUMIFS('Data - Monthly Metrics'!E:E,'Data - Monthly Metrics'!A:A,$B$4,'Data - Monthly Metrics'!B:B,"Jun",'Data - Monthly Metrics'!C:C,"Spokane/NE",'Data - Monthly Metrics'!D:D,"Non-Target Locations - Lodging (#)"))=0,"-",(SUMIFS('Data - Monthly Metrics'!E:E,'Data - Monthly Metrics'!A:A,$B$4,'Data - Monthly Metrics'!B:B,"Jun",'Data - Monthly Metrics'!C:C,"Spokane/NE",'Data - Monthly Metrics'!D:D,"Target Members - Lodging (#)")+SUMIFS('Data - Monthly Metrics'!E:E,'Data - Monthly Metrics'!A:A,$B$4,'Data - Monthly Metrics'!B:B,"Jun",'Data - Monthly Metrics'!C:C,"Spokane/NE",'Data - Monthly Metrics'!D:D,"Non-Target Members - Lodging (#)"))/(SUMIFS('Data - Monthly Metrics'!E:E,'Data - Monthly Metrics'!A:A,$B$4,'Data - Monthly Metrics'!B:B,"Jun",'Data - Monthly Metrics'!C:C,"Spokane/NE",'Data - Monthly Metrics'!D:D,"Total Target Locations - Lodging (#)")+SUMIFS('Data - Monthly Metrics'!E:E,'Data - Monthly Metrics'!A:A,$B$4,'Data - Monthly Metrics'!B:B,"Jun",'Data - Monthly Metrics'!C:C,"Spokane/NE",'Data - Monthly Metrics'!D:D,"Non-Target Locations - Lodging (#)")))</f>
        <v/>
      </c>
      <c r="M30" s="116">
        <f>IF(ISNUMBER(L30),L30,IF(ISNUMBER(K30),K30,IF(ISNUMBER(J30),J30,"-")))</f>
        <v/>
      </c>
      <c r="N30" s="118">
        <f>IF((SUMIFS('Data - Monthly Metrics'!E:E,'Data - Monthly Metrics'!A:A,$B$4,'Data - Monthly Metrics'!B:B,"Jul",'Data - Monthly Metrics'!C:C,"Spokane/NE",'Data - Monthly Metrics'!D:D,"Total Target Locations - Lodging (#)")+SUMIFS('Data - Monthly Metrics'!E:E,'Data - Monthly Metrics'!A:A,$B$4,'Data - Monthly Metrics'!B:B,"Jul",'Data - Monthly Metrics'!C:C,"Spokane/NE",'Data - Monthly Metrics'!D:D,"Non-Target Locations - Lodging (#)"))=0,"-",(SUMIFS('Data - Monthly Metrics'!E:E,'Data - Monthly Metrics'!A:A,$B$4,'Data - Monthly Metrics'!B:B,"Jul",'Data - Monthly Metrics'!C:C,"Spokane/NE",'Data - Monthly Metrics'!D:D,"Target Members - Lodging (#)")+SUMIFS('Data - Monthly Metrics'!E:E,'Data - Monthly Metrics'!A:A,$B$4,'Data - Monthly Metrics'!B:B,"Jul",'Data - Monthly Metrics'!C:C,"Spokane/NE",'Data - Monthly Metrics'!D:D,"Non-Target Members - Lodging (#)"))/(SUMIFS('Data - Monthly Metrics'!E:E,'Data - Monthly Metrics'!A:A,$B$4,'Data - Monthly Metrics'!B:B,"Jul",'Data - Monthly Metrics'!C:C,"Spokane/NE",'Data - Monthly Metrics'!D:D,"Total Target Locations - Lodging (#)")+SUMIFS('Data - Monthly Metrics'!E:E,'Data - Monthly Metrics'!A:A,$B$4,'Data - Monthly Metrics'!B:B,"Jul",'Data - Monthly Metrics'!C:C,"Spokane/NE",'Data - Monthly Metrics'!D:D,"Non-Target Locations - Lodging (#)")))</f>
        <v/>
      </c>
      <c r="O30" s="118">
        <f>IF((SUMIFS('Data - Monthly Metrics'!E:E,'Data - Monthly Metrics'!A:A,$B$4,'Data - Monthly Metrics'!B:B,"Aug",'Data - Monthly Metrics'!C:C,"Spokane/NE",'Data - Monthly Metrics'!D:D,"Total Target Locations - Lodging (#)")+SUMIFS('Data - Monthly Metrics'!E:E,'Data - Monthly Metrics'!A:A,$B$4,'Data - Monthly Metrics'!B:B,"Aug",'Data - Monthly Metrics'!C:C,"Spokane/NE",'Data - Monthly Metrics'!D:D,"Non-Target Locations - Lodging (#)"))=0,"-",(SUMIFS('Data - Monthly Metrics'!E:E,'Data - Monthly Metrics'!A:A,$B$4,'Data - Monthly Metrics'!B:B,"Aug",'Data - Monthly Metrics'!C:C,"Spokane/NE",'Data - Monthly Metrics'!D:D,"Target Members - Lodging (#)")+SUMIFS('Data - Monthly Metrics'!E:E,'Data - Monthly Metrics'!A:A,$B$4,'Data - Monthly Metrics'!B:B,"Aug",'Data - Monthly Metrics'!C:C,"Spokane/NE",'Data - Monthly Metrics'!D:D,"Non-Target Members - Lodging (#)"))/(SUMIFS('Data - Monthly Metrics'!E:E,'Data - Monthly Metrics'!A:A,$B$4,'Data - Monthly Metrics'!B:B,"Aug",'Data - Monthly Metrics'!C:C,"Spokane/NE",'Data - Monthly Metrics'!D:D,"Total Target Locations - Lodging (#)")+SUMIFS('Data - Monthly Metrics'!E:E,'Data - Monthly Metrics'!A:A,$B$4,'Data - Monthly Metrics'!B:B,"Aug",'Data - Monthly Metrics'!C:C,"Spokane/NE",'Data - Monthly Metrics'!D:D,"Non-Target Locations - Lodging (#)")))</f>
        <v/>
      </c>
      <c r="P30" s="118">
        <f>IF((SUMIFS('Data - Monthly Metrics'!E:E,'Data - Monthly Metrics'!A:A,$B$4,'Data - Monthly Metrics'!B:B,"Sep",'Data - Monthly Metrics'!C:C,"Spokane/NE",'Data - Monthly Metrics'!D:D,"Total Target Locations - Lodging (#)")+SUMIFS('Data - Monthly Metrics'!E:E,'Data - Monthly Metrics'!A:A,$B$4,'Data - Monthly Metrics'!B:B,"Sep",'Data - Monthly Metrics'!C:C,"Spokane/NE",'Data - Monthly Metrics'!D:D,"Non-Target Locations - Lodging (#)"))=0,"-",(SUMIFS('Data - Monthly Metrics'!E:E,'Data - Monthly Metrics'!A:A,$B$4,'Data - Monthly Metrics'!B:B,"Sep",'Data - Monthly Metrics'!C:C,"Spokane/NE",'Data - Monthly Metrics'!D:D,"Target Members - Lodging (#)")+SUMIFS('Data - Monthly Metrics'!E:E,'Data - Monthly Metrics'!A:A,$B$4,'Data - Monthly Metrics'!B:B,"Sep",'Data - Monthly Metrics'!C:C,"Spokane/NE",'Data - Monthly Metrics'!D:D,"Non-Target Members - Lodging (#)"))/(SUMIFS('Data - Monthly Metrics'!E:E,'Data - Monthly Metrics'!A:A,$B$4,'Data - Monthly Metrics'!B:B,"Sep",'Data - Monthly Metrics'!C:C,"Spokane/NE",'Data - Monthly Metrics'!D:D,"Total Target Locations - Lodging (#)")+SUMIFS('Data - Monthly Metrics'!E:E,'Data - Monthly Metrics'!A:A,$B$4,'Data - Monthly Metrics'!B:B,"Sep",'Data - Monthly Metrics'!C:C,"Spokane/NE",'Data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Metrics'!C:C,"Spokane/NE",'Data - Monthly Metrics'!D:D,"Total Target Locations - Restaurant (#)")+SUMIFS('Data - Monthly Metrics'!E:E,'Data - Monthly Metrics'!A:A,$B$4-1,'Data - Monthly Metrics'!B:B,"Oct",'Data - Monthly Metrics'!C:C,"Spokane/NE",'Data - Monthly Metrics'!D:D,"Total Target Locations - Lodging (#)")+SUMIFS('Data - Monthly Metrics'!E:E,'Data - Monthly Metrics'!A:A,$B$4-1,'Data - Monthly Metrics'!B:B,"Oct",'Data - Monthly Metrics'!C:C,"Spokane/NE",'Data - Monthly Metrics'!D:D,"Non-Target Locations - Restaurant (#)")+SUMIFS('Data - Monthly Metrics'!E:E,'Data - Monthly Metrics'!A:A,$B$4-1,'Data - Monthly Metrics'!B:B,"Oct",'Data - Monthly Metrics'!C:C,"Spokane/NE",'Data - Monthly Metrics'!D:D,"Non-Target Locations - Lodging (#)"))=0,"-",(SUMIFS('Data - Monthly Metrics'!E:E,'Data - Monthly Metrics'!A:A,$B$4-1,'Data - Monthly Metrics'!B:B,"Oct",'Data - Monthly Metrics'!C:C,"Spokane/NE",'Data - Monthly Metrics'!D:D,"Target Members - Restaurant (#)")+SUMIFS('Data - Monthly Metrics'!E:E,'Data - Monthly Metrics'!A:A,$B$4-1,'Data - Monthly Metrics'!B:B,"Oct",'Data - Monthly Metrics'!C:C,"Spokane/NE",'Data - Monthly Metrics'!D:D,"Target Members - Lodging (#)")+SUMIFS('Data - Monthly Metrics'!E:E,'Data - Monthly Metrics'!A:A,$B$4-1,'Data - Monthly Metrics'!B:B,"Oct",'Data - Monthly Metrics'!C:C,"Spokane/NE",'Data - Monthly Metrics'!D:D,"Non-Target Members - Restaurant (#)")+SUMIFS('Data - Monthly Metrics'!E:E,'Data - Monthly Metrics'!A:A,$B$4-1,'Data - Monthly Metrics'!B:B,"Oct",'Data - Monthly Metrics'!C:C,"Spokane/NE",'Data - Monthly Metrics'!D:D,"Non-Target Members - Lodging (#)"))/(SUMIFS('Data - Monthly Metrics'!E:E,'Data - Monthly Metrics'!A:A,$B$4-1,'Data - Monthly Metrics'!B:B,"Oct",'Data - Monthly Metrics'!C:C,"Spokane/NE",'Data - Monthly Metrics'!D:D,"Total Target Locations - Restaurant (#)")+SUMIFS('Data - Monthly Metrics'!E:E,'Data - Monthly Metrics'!A:A,$B$4-1,'Data - Monthly Metrics'!B:B,"Oct",'Data - Monthly Metrics'!C:C,"Spokane/NE",'Data - Monthly Metrics'!D:D,"Total Target Locations - Lodging (#)")+SUMIFS('Data - Monthly Metrics'!E:E,'Data - Monthly Metrics'!A:A,$B$4-1,'Data - Monthly Metrics'!B:B,"Oct",'Data - Monthly Metrics'!C:C,"Spokane/NE",'Data - Monthly Metrics'!D:D,"Non-Target Locations - Restaurant (#)")+SUMIFS('Data - Monthly Metrics'!E:E,'Data - Monthly Metrics'!A:A,$B$4-1,'Data - Monthly Metrics'!B:B,"Oct",'Data - Monthly Metrics'!C:C,"Spokane/NE",'Data - Monthly Metrics'!D:D,"Non-Target Locations - Lodging (#)")))</f>
        <v/>
      </c>
      <c r="C31" s="115">
        <f>IF((SUMIFS('Data - Monthly Metrics'!E:E,'Data - Monthly Metrics'!A:A,$B$4-1,'Data - Monthly Metrics'!B:B,"Nov",'Data - Monthly Metrics'!C:C,"Spokane/NE",'Data - Monthly Metrics'!D:D,"Total Target Locations - Restaurant (#)")+SUMIFS('Data - Monthly Metrics'!E:E,'Data - Monthly Metrics'!A:A,$B$4-1,'Data - Monthly Metrics'!B:B,"Nov",'Data - Monthly Metrics'!C:C,"Spokane/NE",'Data - Monthly Metrics'!D:D,"Total Target Locations - Lodging (#)")+SUMIFS('Data - Monthly Metrics'!E:E,'Data - Monthly Metrics'!A:A,$B$4-1,'Data - Monthly Metrics'!B:B,"Nov",'Data - Monthly Metrics'!C:C,"Spokane/NE",'Data - Monthly Metrics'!D:D,"Non-Target Locations - Restaurant (#)")+SUMIFS('Data - Monthly Metrics'!E:E,'Data - Monthly Metrics'!A:A,$B$4-1,'Data - Monthly Metrics'!B:B,"Nov",'Data - Monthly Metrics'!C:C,"Spokane/NE",'Data - Monthly Metrics'!D:D,"Non-Target Locations - Lodging (#)"))=0,"-",(SUMIFS('Data - Monthly Metrics'!E:E,'Data - Monthly Metrics'!A:A,$B$4-1,'Data - Monthly Metrics'!B:B,"Nov",'Data - Monthly Metrics'!C:C,"Spokane/NE",'Data - Monthly Metrics'!D:D,"Target Members - Restaurant (#)")+SUMIFS('Data - Monthly Metrics'!E:E,'Data - Monthly Metrics'!A:A,$B$4-1,'Data - Monthly Metrics'!B:B,"Nov",'Data - Monthly Metrics'!C:C,"Spokane/NE",'Data - Monthly Metrics'!D:D,"Target Members - Lodging (#)")+SUMIFS('Data - Monthly Metrics'!E:E,'Data - Monthly Metrics'!A:A,$B$4-1,'Data - Monthly Metrics'!B:B,"Nov",'Data - Monthly Metrics'!C:C,"Spokane/NE",'Data - Monthly Metrics'!D:D,"Non-Target Members - Restaurant (#)")+SUMIFS('Data - Monthly Metrics'!E:E,'Data - Monthly Metrics'!A:A,$B$4-1,'Data - Monthly Metrics'!B:B,"Nov",'Data - Monthly Metrics'!C:C,"Spokane/NE",'Data - Monthly Metrics'!D:D,"Non-Target Members - Lodging (#)"))/(SUMIFS('Data - Monthly Metrics'!E:E,'Data - Monthly Metrics'!A:A,$B$4-1,'Data - Monthly Metrics'!B:B,"Nov",'Data - Monthly Metrics'!C:C,"Spokane/NE",'Data - Monthly Metrics'!D:D,"Total Target Locations - Restaurant (#)")+SUMIFS('Data - Monthly Metrics'!E:E,'Data - Monthly Metrics'!A:A,$B$4-1,'Data - Monthly Metrics'!B:B,"Nov",'Data - Monthly Metrics'!C:C,"Spokane/NE",'Data - Monthly Metrics'!D:D,"Total Target Locations - Lodging (#)")+SUMIFS('Data - Monthly Metrics'!E:E,'Data - Monthly Metrics'!A:A,$B$4-1,'Data - Monthly Metrics'!B:B,"Nov",'Data - Monthly Metrics'!C:C,"Spokane/NE",'Data - Monthly Metrics'!D:D,"Non-Target Locations - Restaurant (#)")+SUMIFS('Data - Monthly Metrics'!E:E,'Data - Monthly Metrics'!A:A,$B$4-1,'Data - Monthly Metrics'!B:B,"Nov",'Data - Monthly Metrics'!C:C,"Spokane/NE",'Data - Monthly Metrics'!D:D,"Non-Target Locations - Lodging (#)")))</f>
        <v/>
      </c>
      <c r="D31" s="115">
        <f>IF((SUMIFS('Data - Monthly Metrics'!E:E,'Data - Monthly Metrics'!A:A,$B$4-1,'Data - Monthly Metrics'!B:B,"Dec",'Data - Monthly Metrics'!C:C,"Spokane/NE",'Data - Monthly Metrics'!D:D,"Total Target Locations - Restaurant (#)")+SUMIFS('Data - Monthly Metrics'!E:E,'Data - Monthly Metrics'!A:A,$B$4-1,'Data - Monthly Metrics'!B:B,"Dec",'Data - Monthly Metrics'!C:C,"Spokane/NE",'Data - Monthly Metrics'!D:D,"Total Target Locations - Lodging (#)")+SUMIFS('Data - Monthly Metrics'!E:E,'Data - Monthly Metrics'!A:A,$B$4-1,'Data - Monthly Metrics'!B:B,"Dec",'Data - Monthly Metrics'!C:C,"Spokane/NE",'Data - Monthly Metrics'!D:D,"Non-Target Locations - Restaurant (#)")+SUMIFS('Data - Monthly Metrics'!E:E,'Data - Monthly Metrics'!A:A,$B$4-1,'Data - Monthly Metrics'!B:B,"Dec",'Data - Monthly Metrics'!C:C,"Spokane/NE",'Data - Monthly Metrics'!D:D,"Non-Target Locations - Lodging (#)"))=0,"-",(SUMIFS('Data - Monthly Metrics'!E:E,'Data - Monthly Metrics'!A:A,$B$4-1,'Data - Monthly Metrics'!B:B,"Dec",'Data - Monthly Metrics'!C:C,"Spokane/NE",'Data - Monthly Metrics'!D:D,"Target Members - Restaurant (#)")+SUMIFS('Data - Monthly Metrics'!E:E,'Data - Monthly Metrics'!A:A,$B$4-1,'Data - Monthly Metrics'!B:B,"Dec",'Data - Monthly Metrics'!C:C,"Spokane/NE",'Data - Monthly Metrics'!D:D,"Target Members - Lodging (#)")+SUMIFS('Data - Monthly Metrics'!E:E,'Data - Monthly Metrics'!A:A,$B$4-1,'Data - Monthly Metrics'!B:B,"Dec",'Data - Monthly Metrics'!C:C,"Spokane/NE",'Data - Monthly Metrics'!D:D,"Non-Target Members - Restaurant (#)")+SUMIFS('Data - Monthly Metrics'!E:E,'Data - Monthly Metrics'!A:A,$B$4-1,'Data - Monthly Metrics'!B:B,"Dec",'Data - Monthly Metrics'!C:C,"Spokane/NE",'Data - Monthly Metrics'!D:D,"Non-Target Members - Lodging (#)"))/(SUMIFS('Data - Monthly Metrics'!E:E,'Data - Monthly Metrics'!A:A,$B$4-1,'Data - Monthly Metrics'!B:B,"Dec",'Data - Monthly Metrics'!C:C,"Spokane/NE",'Data - Monthly Metrics'!D:D,"Total Target Locations - Restaurant (#)")+SUMIFS('Data - Monthly Metrics'!E:E,'Data - Monthly Metrics'!A:A,$B$4-1,'Data - Monthly Metrics'!B:B,"Dec",'Data - Monthly Metrics'!C:C,"Spokane/NE",'Data - Monthly Metrics'!D:D,"Total Target Locations - Lodging (#)")+SUMIFS('Data - Monthly Metrics'!E:E,'Data - Monthly Metrics'!A:A,$B$4-1,'Data - Monthly Metrics'!B:B,"Dec",'Data - Monthly Metrics'!C:C,"Spokane/NE",'Data - Monthly Metrics'!D:D,"Non-Target Locations - Restaurant (#)")+SUMIFS('Data - Monthly Metrics'!E:E,'Data - Monthly Metrics'!A:A,$B$4-1,'Data - Monthly Metrics'!B:B,"Dec",'Data - Monthly Metrics'!C:C,"Spokane/NE",'Data - Monthly Metrics'!D:D,"Non-Target Locations - Lodging (#)")))</f>
        <v/>
      </c>
      <c r="E31" s="116">
        <f>IF(ISNUMBER(D31),D31,IF(ISNUMBER(C31),C31,IF(ISNUMBER(B31),B31,"-")))</f>
        <v/>
      </c>
      <c r="F31" s="115">
        <f>IF((SUMIFS('Data - Monthly Metrics'!E:E,'Data - Monthly Metrics'!A:A,$B$4,'Data - Monthly Metrics'!B:B,"Jan",'Data - Monthly Metrics'!C:C,"Spokane/NE",'Data - Monthly Metrics'!D:D,"Total Target Locations - Restaurant (#)")+SUMIFS('Data - Monthly Metrics'!E:E,'Data - Monthly Metrics'!A:A,$B$4,'Data - Monthly Metrics'!B:B,"Jan",'Data - Monthly Metrics'!C:C,"Spokane/NE",'Data - Monthly Metrics'!D:D,"Total Target Locations - Lodging (#)")+SUMIFS('Data - Monthly Metrics'!E:E,'Data - Monthly Metrics'!A:A,$B$4,'Data - Monthly Metrics'!B:B,"Jan",'Data - Monthly Metrics'!C:C,"Spokane/NE",'Data - Monthly Metrics'!D:D,"Non-Target Locations - Restaurant (#)")+SUMIFS('Data - Monthly Metrics'!E:E,'Data - Monthly Metrics'!A:A,$B$4,'Data - Monthly Metrics'!B:B,"Jan",'Data - Monthly Metrics'!C:C,"Spokane/NE",'Data - Monthly Metrics'!D:D,"Non-Target Locations - Lodging (#)"))=0,"-",(SUMIFS('Data - Monthly Metrics'!E:E,'Data - Monthly Metrics'!A:A,$B$4,'Data - Monthly Metrics'!B:B,"Jan",'Data - Monthly Metrics'!C:C,"Spokane/NE",'Data - Monthly Metrics'!D:D,"Target Members - Restaurant (#)")+SUMIFS('Data - Monthly Metrics'!E:E,'Data - Monthly Metrics'!A:A,$B$4,'Data - Monthly Metrics'!B:B,"Jan",'Data - Monthly Metrics'!C:C,"Spokane/NE",'Data - Monthly Metrics'!D:D,"Target Members - Lodging (#)")+SUMIFS('Data - Monthly Metrics'!E:E,'Data - Monthly Metrics'!A:A,$B$4,'Data - Monthly Metrics'!B:B,"Jan",'Data - Monthly Metrics'!C:C,"Spokane/NE",'Data - Monthly Metrics'!D:D,"Non-Target Members - Restaurant (#)")+SUMIFS('Data - Monthly Metrics'!E:E,'Data - Monthly Metrics'!A:A,$B$4,'Data - Monthly Metrics'!B:B,"Jan",'Data - Monthly Metrics'!C:C,"Spokane/NE",'Data - Monthly Metrics'!D:D,"Non-Target Members - Lodging (#)"))/(SUMIFS('Data - Monthly Metrics'!E:E,'Data - Monthly Metrics'!A:A,$B$4,'Data - Monthly Metrics'!B:B,"Jan",'Data - Monthly Metrics'!C:C,"Spokane/NE",'Data - Monthly Metrics'!D:D,"Total Target Locations - Restaurant (#)")+SUMIFS('Data - Monthly Metrics'!E:E,'Data - Monthly Metrics'!A:A,$B$4,'Data - Monthly Metrics'!B:B,"Jan",'Data - Monthly Metrics'!C:C,"Spokane/NE",'Data - Monthly Metrics'!D:D,"Total Target Locations - Lodging (#)")+SUMIFS('Data - Monthly Metrics'!E:E,'Data - Monthly Metrics'!A:A,$B$4,'Data - Monthly Metrics'!B:B,"Jan",'Data - Monthly Metrics'!C:C,"Spokane/NE",'Data - Monthly Metrics'!D:D,"Non-Target Locations - Restaurant (#)")+SUMIFS('Data - Monthly Metrics'!E:E,'Data - Monthly Metrics'!A:A,$B$4,'Data - Monthly Metrics'!B:B,"Jan",'Data - Monthly Metrics'!C:C,"Spokane/NE",'Data - Monthly Metrics'!D:D,"Non-Target Locations - Lodging (#)")))</f>
        <v/>
      </c>
      <c r="G31" s="115">
        <f>IF((SUMIFS('Data - Monthly Metrics'!E:E,'Data - Monthly Metrics'!A:A,$B$4,'Data - Monthly Metrics'!B:B,"Feb",'Data - Monthly Metrics'!C:C,"Spokane/NE",'Data - Monthly Metrics'!D:D,"Total Target Locations - Restaurant (#)")+SUMIFS('Data - Monthly Metrics'!E:E,'Data - Monthly Metrics'!A:A,$B$4,'Data - Monthly Metrics'!B:B,"Feb",'Data - Monthly Metrics'!C:C,"Spokane/NE",'Data - Monthly Metrics'!D:D,"Total Target Locations - Lodging (#)")+SUMIFS('Data - Monthly Metrics'!E:E,'Data - Monthly Metrics'!A:A,$B$4,'Data - Monthly Metrics'!B:B,"Feb",'Data - Monthly Metrics'!C:C,"Spokane/NE",'Data - Monthly Metrics'!D:D,"Non-Target Locations - Restaurant (#)")+SUMIFS('Data - Monthly Metrics'!E:E,'Data - Monthly Metrics'!A:A,$B$4,'Data - Monthly Metrics'!B:B,"Feb",'Data - Monthly Metrics'!C:C,"Spokane/NE",'Data - Monthly Metrics'!D:D,"Non-Target Locations - Lodging (#)"))=0,"-",(SUMIFS('Data - Monthly Metrics'!E:E,'Data - Monthly Metrics'!A:A,$B$4,'Data - Monthly Metrics'!B:B,"Feb",'Data - Monthly Metrics'!C:C,"Spokane/NE",'Data - Monthly Metrics'!D:D,"Target Members - Restaurant (#)")+SUMIFS('Data - Monthly Metrics'!E:E,'Data - Monthly Metrics'!A:A,$B$4,'Data - Monthly Metrics'!B:B,"Feb",'Data - Monthly Metrics'!C:C,"Spokane/NE",'Data - Monthly Metrics'!D:D,"Target Members - Lodging (#)")+SUMIFS('Data - Monthly Metrics'!E:E,'Data - Monthly Metrics'!A:A,$B$4,'Data - Monthly Metrics'!B:B,"Feb",'Data - Monthly Metrics'!C:C,"Spokane/NE",'Data - Monthly Metrics'!D:D,"Non-Target Members - Restaurant (#)")+SUMIFS('Data - Monthly Metrics'!E:E,'Data - Monthly Metrics'!A:A,$B$4,'Data - Monthly Metrics'!B:B,"Feb",'Data - Monthly Metrics'!C:C,"Spokane/NE",'Data - Monthly Metrics'!D:D,"Non-Target Members - Lodging (#)"))/(SUMIFS('Data - Monthly Metrics'!E:E,'Data - Monthly Metrics'!A:A,$B$4,'Data - Monthly Metrics'!B:B,"Feb",'Data - Monthly Metrics'!C:C,"Spokane/NE",'Data - Monthly Metrics'!D:D,"Total Target Locations - Restaurant (#)")+SUMIFS('Data - Monthly Metrics'!E:E,'Data - Monthly Metrics'!A:A,$B$4,'Data - Monthly Metrics'!B:B,"Feb",'Data - Monthly Metrics'!C:C,"Spokane/NE",'Data - Monthly Metrics'!D:D,"Total Target Locations - Lodging (#)")+SUMIFS('Data - Monthly Metrics'!E:E,'Data - Monthly Metrics'!A:A,$B$4,'Data - Monthly Metrics'!B:B,"Feb",'Data - Monthly Metrics'!C:C,"Spokane/NE",'Data - Monthly Metrics'!D:D,"Non-Target Locations - Restaurant (#)")+SUMIFS('Data - Monthly Metrics'!E:E,'Data - Monthly Metrics'!A:A,$B$4,'Data - Monthly Metrics'!B:B,"Feb",'Data - Monthly Metrics'!C:C,"Spokane/NE",'Data - Monthly Metrics'!D:D,"Non-Target Locations - Lodging (#)")))</f>
        <v/>
      </c>
      <c r="H31" s="115">
        <f>IF((SUMIFS('Data - Monthly Metrics'!E:E,'Data - Monthly Metrics'!A:A,$B$4,'Data - Monthly Metrics'!B:B,"Mar",'Data - Monthly Metrics'!C:C,"Spokane/NE",'Data - Monthly Metrics'!D:D,"Total Target Locations - Restaurant (#)")+SUMIFS('Data - Monthly Metrics'!E:E,'Data - Monthly Metrics'!A:A,$B$4,'Data - Monthly Metrics'!B:B,"Mar",'Data - Monthly Metrics'!C:C,"Spokane/NE",'Data - Monthly Metrics'!D:D,"Total Target Locations - Lodging (#)")+SUMIFS('Data - Monthly Metrics'!E:E,'Data - Monthly Metrics'!A:A,$B$4,'Data - Monthly Metrics'!B:B,"Mar",'Data - Monthly Metrics'!C:C,"Spokane/NE",'Data - Monthly Metrics'!D:D,"Non-Target Locations - Restaurant (#)")+SUMIFS('Data - Monthly Metrics'!E:E,'Data - Monthly Metrics'!A:A,$B$4,'Data - Monthly Metrics'!B:B,"Mar",'Data - Monthly Metrics'!C:C,"Spokane/NE",'Data - Monthly Metrics'!D:D,"Non-Target Locations - Lodging (#)"))=0,"-",(SUMIFS('Data - Monthly Metrics'!E:E,'Data - Monthly Metrics'!A:A,$B$4,'Data - Monthly Metrics'!B:B,"Mar",'Data - Monthly Metrics'!C:C,"Spokane/NE",'Data - Monthly Metrics'!D:D,"Target Members - Restaurant (#)")+SUMIFS('Data - Monthly Metrics'!E:E,'Data - Monthly Metrics'!A:A,$B$4,'Data - Monthly Metrics'!B:B,"Mar",'Data - Monthly Metrics'!C:C,"Spokane/NE",'Data - Monthly Metrics'!D:D,"Target Members - Lodging (#)")+SUMIFS('Data - Monthly Metrics'!E:E,'Data - Monthly Metrics'!A:A,$B$4,'Data - Monthly Metrics'!B:B,"Mar",'Data - Monthly Metrics'!C:C,"Spokane/NE",'Data - Monthly Metrics'!D:D,"Non-Target Members - Restaurant (#)")+SUMIFS('Data - Monthly Metrics'!E:E,'Data - Monthly Metrics'!A:A,$B$4,'Data - Monthly Metrics'!B:B,"Mar",'Data - Monthly Metrics'!C:C,"Spokane/NE",'Data - Monthly Metrics'!D:D,"Non-Target Members - Lodging (#)"))/(SUMIFS('Data - Monthly Metrics'!E:E,'Data - Monthly Metrics'!A:A,$B$4,'Data - Monthly Metrics'!B:B,"Mar",'Data - Monthly Metrics'!C:C,"Spokane/NE",'Data - Monthly Metrics'!D:D,"Total Target Locations - Restaurant (#)")+SUMIFS('Data - Monthly Metrics'!E:E,'Data - Monthly Metrics'!A:A,$B$4,'Data - Monthly Metrics'!B:B,"Mar",'Data - Monthly Metrics'!C:C,"Spokane/NE",'Data - Monthly Metrics'!D:D,"Total Target Locations - Lodging (#)")+SUMIFS('Data - Monthly Metrics'!E:E,'Data - Monthly Metrics'!A:A,$B$4,'Data - Monthly Metrics'!B:B,"Mar",'Data - Monthly Metrics'!C:C,"Spokane/NE",'Data - Monthly Metrics'!D:D,"Non-Target Locations - Restaurant (#)")+SUMIFS('Data - Monthly Metrics'!E:E,'Data - Monthly Metrics'!A:A,$B$4,'Data - Monthly Metrics'!B:B,"Mar",'Data - Monthly Metrics'!C:C,"Spokane/NE",'Data - Monthly Metrics'!D:D,"Non-Target Locations - Lodging (#)")))</f>
        <v/>
      </c>
      <c r="I31" s="116">
        <f>IF(ISNUMBER(H31),H31,IF(ISNUMBER(G31),G31,IF(ISNUMBER(F31),F31,"-")))</f>
        <v/>
      </c>
      <c r="J31" s="115">
        <f>IF((SUMIFS('Data - Monthly Metrics'!E:E,'Data - Monthly Metrics'!A:A,$B$4,'Data - Monthly Metrics'!B:B,"Apr",'Data - Monthly Metrics'!C:C,"Spokane/NE",'Data - Monthly Metrics'!D:D,"Total Target Locations - Restaurant (#)")+SUMIFS('Data - Monthly Metrics'!E:E,'Data - Monthly Metrics'!A:A,$B$4,'Data - Monthly Metrics'!B:B,"Apr",'Data - Monthly Metrics'!C:C,"Spokane/NE",'Data - Monthly Metrics'!D:D,"Total Target Locations - Lodging (#)")+SUMIFS('Data - Monthly Metrics'!E:E,'Data - Monthly Metrics'!A:A,$B$4,'Data - Monthly Metrics'!B:B,"Apr",'Data - Monthly Metrics'!C:C,"Spokane/NE",'Data - Monthly Metrics'!D:D,"Non-Target Locations - Restaurant (#)")+SUMIFS('Data - Monthly Metrics'!E:E,'Data - Monthly Metrics'!A:A,$B$4,'Data - Monthly Metrics'!B:B,"Apr",'Data - Monthly Metrics'!C:C,"Spokane/NE",'Data - Monthly Metrics'!D:D,"Non-Target Locations - Lodging (#)"))=0,"-",(SUMIFS('Data - Monthly Metrics'!E:E,'Data - Monthly Metrics'!A:A,$B$4,'Data - Monthly Metrics'!B:B,"Apr",'Data - Monthly Metrics'!C:C,"Spokane/NE",'Data - Monthly Metrics'!D:D,"Target Members - Restaurant (#)")+SUMIFS('Data - Monthly Metrics'!E:E,'Data - Monthly Metrics'!A:A,$B$4,'Data - Monthly Metrics'!B:B,"Apr",'Data - Monthly Metrics'!C:C,"Spokane/NE",'Data - Monthly Metrics'!D:D,"Target Members - Lodging (#)")+SUMIFS('Data - Monthly Metrics'!E:E,'Data - Monthly Metrics'!A:A,$B$4,'Data - Monthly Metrics'!B:B,"Apr",'Data - Monthly Metrics'!C:C,"Spokane/NE",'Data - Monthly Metrics'!D:D,"Non-Target Members - Restaurant (#)")+SUMIFS('Data - Monthly Metrics'!E:E,'Data - Monthly Metrics'!A:A,$B$4,'Data - Monthly Metrics'!B:B,"Apr",'Data - Monthly Metrics'!C:C,"Spokane/NE",'Data - Monthly Metrics'!D:D,"Non-Target Members - Lodging (#)"))/(SUMIFS('Data - Monthly Metrics'!E:E,'Data - Monthly Metrics'!A:A,$B$4,'Data - Monthly Metrics'!B:B,"Apr",'Data - Monthly Metrics'!C:C,"Spokane/NE",'Data - Monthly Metrics'!D:D,"Total Target Locations - Restaurant (#)")+SUMIFS('Data - Monthly Metrics'!E:E,'Data - Monthly Metrics'!A:A,$B$4,'Data - Monthly Metrics'!B:B,"Apr",'Data - Monthly Metrics'!C:C,"Spokane/NE",'Data - Monthly Metrics'!D:D,"Total Target Locations - Lodging (#)")+SUMIFS('Data - Monthly Metrics'!E:E,'Data - Monthly Metrics'!A:A,$B$4,'Data - Monthly Metrics'!B:B,"Apr",'Data - Monthly Metrics'!C:C,"Spokane/NE",'Data - Monthly Metrics'!D:D,"Non-Target Locations - Restaurant (#)")+SUMIFS('Data - Monthly Metrics'!E:E,'Data - Monthly Metrics'!A:A,$B$4,'Data - Monthly Metrics'!B:B,"Apr",'Data - Monthly Metrics'!C:C,"Spokane/NE",'Data - Monthly Metrics'!D:D,"Non-Target Locations - Lodging (#)")))</f>
        <v/>
      </c>
      <c r="K31" s="115">
        <f>IF((SUMIFS('Data - Monthly Metrics'!E:E,'Data - Monthly Metrics'!A:A,$B$4,'Data - Monthly Metrics'!B:B,"May",'Data - Monthly Metrics'!C:C,"Spokane/NE",'Data - Monthly Metrics'!D:D,"Total Target Locations - Restaurant (#)")+SUMIFS('Data - Monthly Metrics'!E:E,'Data - Monthly Metrics'!A:A,$B$4,'Data - Monthly Metrics'!B:B,"May",'Data - Monthly Metrics'!C:C,"Spokane/NE",'Data - Monthly Metrics'!D:D,"Total Target Locations - Lodging (#)")+SUMIFS('Data - Monthly Metrics'!E:E,'Data - Monthly Metrics'!A:A,$B$4,'Data - Monthly Metrics'!B:B,"May",'Data - Monthly Metrics'!C:C,"Spokane/NE",'Data - Monthly Metrics'!D:D,"Non-Target Locations - Restaurant (#)")+SUMIFS('Data - Monthly Metrics'!E:E,'Data - Monthly Metrics'!A:A,$B$4,'Data - Monthly Metrics'!B:B,"May",'Data - Monthly Metrics'!C:C,"Spokane/NE",'Data - Monthly Metrics'!D:D,"Non-Target Locations - Lodging (#)"))=0,"-",(SUMIFS('Data - Monthly Metrics'!E:E,'Data - Monthly Metrics'!A:A,$B$4,'Data - Monthly Metrics'!B:B,"May",'Data - Monthly Metrics'!C:C,"Spokane/NE",'Data - Monthly Metrics'!D:D,"Target Members - Restaurant (#)")+SUMIFS('Data - Monthly Metrics'!E:E,'Data - Monthly Metrics'!A:A,$B$4,'Data - Monthly Metrics'!B:B,"May",'Data - Monthly Metrics'!C:C,"Spokane/NE",'Data - Monthly Metrics'!D:D,"Target Members - Lodging (#)")+SUMIFS('Data - Monthly Metrics'!E:E,'Data - Monthly Metrics'!A:A,$B$4,'Data - Monthly Metrics'!B:B,"May",'Data - Monthly Metrics'!C:C,"Spokane/NE",'Data - Monthly Metrics'!D:D,"Non-Target Members - Restaurant (#)")+SUMIFS('Data - Monthly Metrics'!E:E,'Data - Monthly Metrics'!A:A,$B$4,'Data - Monthly Metrics'!B:B,"May",'Data - Monthly Metrics'!C:C,"Spokane/NE",'Data - Monthly Metrics'!D:D,"Non-Target Members - Lodging (#)"))/(SUMIFS('Data - Monthly Metrics'!E:E,'Data - Monthly Metrics'!A:A,$B$4,'Data - Monthly Metrics'!B:B,"May",'Data - Monthly Metrics'!C:C,"Spokane/NE",'Data - Monthly Metrics'!D:D,"Total Target Locations - Restaurant (#)")+SUMIFS('Data - Monthly Metrics'!E:E,'Data - Monthly Metrics'!A:A,$B$4,'Data - Monthly Metrics'!B:B,"May",'Data - Monthly Metrics'!C:C,"Spokane/NE",'Data - Monthly Metrics'!D:D,"Total Target Locations - Lodging (#)")+SUMIFS('Data - Monthly Metrics'!E:E,'Data - Monthly Metrics'!A:A,$B$4,'Data - Monthly Metrics'!B:B,"May",'Data - Monthly Metrics'!C:C,"Spokane/NE",'Data - Monthly Metrics'!D:D,"Non-Target Locations - Restaurant (#)")+SUMIFS('Data - Monthly Metrics'!E:E,'Data - Monthly Metrics'!A:A,$B$4,'Data - Monthly Metrics'!B:B,"May",'Data - Monthly Metrics'!C:C,"Spokane/NE",'Data - Monthly Metrics'!D:D,"Non-Target Locations - Lodging (#)")))</f>
        <v/>
      </c>
      <c r="L31" s="115">
        <f>IF((SUMIFS('Data - Monthly Metrics'!E:E,'Data - Monthly Metrics'!A:A,$B$4,'Data - Monthly Metrics'!B:B,"Jun",'Data - Monthly Metrics'!C:C,"Spokane/NE",'Data - Monthly Metrics'!D:D,"Total Target Locations - Restaurant (#)")+SUMIFS('Data - Monthly Metrics'!E:E,'Data - Monthly Metrics'!A:A,$B$4,'Data - Monthly Metrics'!B:B,"Jun",'Data - Monthly Metrics'!C:C,"Spokane/NE",'Data - Monthly Metrics'!D:D,"Total Target Locations - Lodging (#)")+SUMIFS('Data - Monthly Metrics'!E:E,'Data - Monthly Metrics'!A:A,$B$4,'Data - Monthly Metrics'!B:B,"Jun",'Data - Monthly Metrics'!C:C,"Spokane/NE",'Data - Monthly Metrics'!D:D,"Non-Target Locations - Restaurant (#)")+SUMIFS('Data - Monthly Metrics'!E:E,'Data - Monthly Metrics'!A:A,$B$4,'Data - Monthly Metrics'!B:B,"Jun",'Data - Monthly Metrics'!C:C,"Spokane/NE",'Data - Monthly Metrics'!D:D,"Non-Target Locations - Lodging (#)"))=0,"-",(SUMIFS('Data - Monthly Metrics'!E:E,'Data - Monthly Metrics'!A:A,$B$4,'Data - Monthly Metrics'!B:B,"Jun",'Data - Monthly Metrics'!C:C,"Spokane/NE",'Data - Monthly Metrics'!D:D,"Target Members - Restaurant (#)")+SUMIFS('Data - Monthly Metrics'!E:E,'Data - Monthly Metrics'!A:A,$B$4,'Data - Monthly Metrics'!B:B,"Jun",'Data - Monthly Metrics'!C:C,"Spokane/NE",'Data - Monthly Metrics'!D:D,"Target Members - Lodging (#)")+SUMIFS('Data - Monthly Metrics'!E:E,'Data - Monthly Metrics'!A:A,$B$4,'Data - Monthly Metrics'!B:B,"Jun",'Data - Monthly Metrics'!C:C,"Spokane/NE",'Data - Monthly Metrics'!D:D,"Non-Target Members - Restaurant (#)")+SUMIFS('Data - Monthly Metrics'!E:E,'Data - Monthly Metrics'!A:A,$B$4,'Data - Monthly Metrics'!B:B,"Jun",'Data - Monthly Metrics'!C:C,"Spokane/NE",'Data - Monthly Metrics'!D:D,"Non-Target Members - Lodging (#)"))/(SUMIFS('Data - Monthly Metrics'!E:E,'Data - Monthly Metrics'!A:A,$B$4,'Data - Monthly Metrics'!B:B,"Jun",'Data - Monthly Metrics'!C:C,"Spokane/NE",'Data - Monthly Metrics'!D:D,"Total Target Locations - Restaurant (#)")+SUMIFS('Data - Monthly Metrics'!E:E,'Data - Monthly Metrics'!A:A,$B$4,'Data - Monthly Metrics'!B:B,"Jun",'Data - Monthly Metrics'!C:C,"Spokane/NE",'Data - Monthly Metrics'!D:D,"Total Target Locations - Lodging (#)")+SUMIFS('Data - Monthly Metrics'!E:E,'Data - Monthly Metrics'!A:A,$B$4,'Data - Monthly Metrics'!B:B,"Jun",'Data - Monthly Metrics'!C:C,"Spokane/NE",'Data - Monthly Metrics'!D:D,"Non-Target Locations - Restaurant (#)")+SUMIFS('Data - Monthly Metrics'!E:E,'Data - Monthly Metrics'!A:A,$B$4,'Data - Monthly Metrics'!B:B,"Jun",'Data - Monthly Metrics'!C:C,"Spokane/NE",'Data - Monthly Metrics'!D:D,"Non-Target Locations - Lodging (#)")))</f>
        <v/>
      </c>
      <c r="M31" s="116">
        <f>IF(ISNUMBER(L31),L31,IF(ISNUMBER(K31),K31,IF(ISNUMBER(J31),J31,"-")))</f>
        <v/>
      </c>
      <c r="N31" s="115">
        <f>IF((SUMIFS('Data - Monthly Metrics'!E:E,'Data - Monthly Metrics'!A:A,$B$4,'Data - Monthly Metrics'!B:B,"Jul",'Data - Monthly Metrics'!C:C,"Spokane/NE",'Data - Monthly Metrics'!D:D,"Total Target Locations - Restaurant (#)")+SUMIFS('Data - Monthly Metrics'!E:E,'Data - Monthly Metrics'!A:A,$B$4,'Data - Monthly Metrics'!B:B,"Jul",'Data - Monthly Metrics'!C:C,"Spokane/NE",'Data - Monthly Metrics'!D:D,"Total Target Locations - Lodging (#)")+SUMIFS('Data - Monthly Metrics'!E:E,'Data - Monthly Metrics'!A:A,$B$4,'Data - Monthly Metrics'!B:B,"Jul",'Data - Monthly Metrics'!C:C,"Spokane/NE",'Data - Monthly Metrics'!D:D,"Non-Target Locations - Restaurant (#)")+SUMIFS('Data - Monthly Metrics'!E:E,'Data - Monthly Metrics'!A:A,$B$4,'Data - Monthly Metrics'!B:B,"Jul",'Data - Monthly Metrics'!C:C,"Spokane/NE",'Data - Monthly Metrics'!D:D,"Non-Target Locations - Lodging (#)"))=0,"-",(SUMIFS('Data - Monthly Metrics'!E:E,'Data - Monthly Metrics'!A:A,$B$4,'Data - Monthly Metrics'!B:B,"Jul",'Data - Monthly Metrics'!C:C,"Spokane/NE",'Data - Monthly Metrics'!D:D,"Target Members - Restaurant (#)")+SUMIFS('Data - Monthly Metrics'!E:E,'Data - Monthly Metrics'!A:A,$B$4,'Data - Monthly Metrics'!B:B,"Jul",'Data - Monthly Metrics'!C:C,"Spokane/NE",'Data - Monthly Metrics'!D:D,"Target Members - Lodging (#)")+SUMIFS('Data - Monthly Metrics'!E:E,'Data - Monthly Metrics'!A:A,$B$4,'Data - Monthly Metrics'!B:B,"Jul",'Data - Monthly Metrics'!C:C,"Spokane/NE",'Data - Monthly Metrics'!D:D,"Non-Target Members - Restaurant (#)")+SUMIFS('Data - Monthly Metrics'!E:E,'Data - Monthly Metrics'!A:A,$B$4,'Data - Monthly Metrics'!B:B,"Jul",'Data - Monthly Metrics'!C:C,"Spokane/NE",'Data - Monthly Metrics'!D:D,"Non-Target Members - Lodging (#)"))/(SUMIFS('Data - Monthly Metrics'!E:E,'Data - Monthly Metrics'!A:A,$B$4,'Data - Monthly Metrics'!B:B,"Jul",'Data - Monthly Metrics'!C:C,"Spokane/NE",'Data - Monthly Metrics'!D:D,"Total Target Locations - Restaurant (#)")+SUMIFS('Data - Monthly Metrics'!E:E,'Data - Monthly Metrics'!A:A,$B$4,'Data - Monthly Metrics'!B:B,"Jul",'Data - Monthly Metrics'!C:C,"Spokane/NE",'Data - Monthly Metrics'!D:D,"Total Target Locations - Lodging (#)")+SUMIFS('Data - Monthly Metrics'!E:E,'Data - Monthly Metrics'!A:A,$B$4,'Data - Monthly Metrics'!B:B,"Jul",'Data - Monthly Metrics'!C:C,"Spokane/NE",'Data - Monthly Metrics'!D:D,"Non-Target Locations - Restaurant (#)")+SUMIFS('Data - Monthly Metrics'!E:E,'Data - Monthly Metrics'!A:A,$B$4,'Data - Monthly Metrics'!B:B,"Jul",'Data - Monthly Metrics'!C:C,"Spokane/NE",'Data - Monthly Metrics'!D:D,"Non-Target Locations - Lodging (#)")))</f>
        <v/>
      </c>
      <c r="O31" s="115">
        <f>IF((SUMIFS('Data - Monthly Metrics'!E:E,'Data - Monthly Metrics'!A:A,$B$4,'Data - Monthly Metrics'!B:B,"Aug",'Data - Monthly Metrics'!C:C,"Spokane/NE",'Data - Monthly Metrics'!D:D,"Total Target Locations - Restaurant (#)")+SUMIFS('Data - Monthly Metrics'!E:E,'Data - Monthly Metrics'!A:A,$B$4,'Data - Monthly Metrics'!B:B,"Aug",'Data - Monthly Metrics'!C:C,"Spokane/NE",'Data - Monthly Metrics'!D:D,"Total Target Locations - Lodging (#)")+SUMIFS('Data - Monthly Metrics'!E:E,'Data - Monthly Metrics'!A:A,$B$4,'Data - Monthly Metrics'!B:B,"Aug",'Data - Monthly Metrics'!C:C,"Spokane/NE",'Data - Monthly Metrics'!D:D,"Non-Target Locations - Restaurant (#)")+SUMIFS('Data - Monthly Metrics'!E:E,'Data - Monthly Metrics'!A:A,$B$4,'Data - Monthly Metrics'!B:B,"Aug",'Data - Monthly Metrics'!C:C,"Spokane/NE",'Data - Monthly Metrics'!D:D,"Non-Target Locations - Lodging (#)"))=0,"-",(SUMIFS('Data - Monthly Metrics'!E:E,'Data - Monthly Metrics'!A:A,$B$4,'Data - Monthly Metrics'!B:B,"Aug",'Data - Monthly Metrics'!C:C,"Spokane/NE",'Data - Monthly Metrics'!D:D,"Target Members - Restaurant (#)")+SUMIFS('Data - Monthly Metrics'!E:E,'Data - Monthly Metrics'!A:A,$B$4,'Data - Monthly Metrics'!B:B,"Aug",'Data - Monthly Metrics'!C:C,"Spokane/NE",'Data - Monthly Metrics'!D:D,"Target Members - Lodging (#)")+SUMIFS('Data - Monthly Metrics'!E:E,'Data - Monthly Metrics'!A:A,$B$4,'Data - Monthly Metrics'!B:B,"Aug",'Data - Monthly Metrics'!C:C,"Spokane/NE",'Data - Monthly Metrics'!D:D,"Non-Target Members - Restaurant (#)")+SUMIFS('Data - Monthly Metrics'!E:E,'Data - Monthly Metrics'!A:A,$B$4,'Data - Monthly Metrics'!B:B,"Aug",'Data - Monthly Metrics'!C:C,"Spokane/NE",'Data - Monthly Metrics'!D:D,"Non-Target Members - Lodging (#)"))/(SUMIFS('Data - Monthly Metrics'!E:E,'Data - Monthly Metrics'!A:A,$B$4,'Data - Monthly Metrics'!B:B,"Aug",'Data - Monthly Metrics'!C:C,"Spokane/NE",'Data - Monthly Metrics'!D:D,"Total Target Locations - Restaurant (#)")+SUMIFS('Data - Monthly Metrics'!E:E,'Data - Monthly Metrics'!A:A,$B$4,'Data - Monthly Metrics'!B:B,"Aug",'Data - Monthly Metrics'!C:C,"Spokane/NE",'Data - Monthly Metrics'!D:D,"Total Target Locations - Lodging (#)")+SUMIFS('Data - Monthly Metrics'!E:E,'Data - Monthly Metrics'!A:A,$B$4,'Data - Monthly Metrics'!B:B,"Aug",'Data - Monthly Metrics'!C:C,"Spokane/NE",'Data - Monthly Metrics'!D:D,"Non-Target Locations - Restaurant (#)")+SUMIFS('Data - Monthly Metrics'!E:E,'Data - Monthly Metrics'!A:A,$B$4,'Data - Monthly Metrics'!B:B,"Aug",'Data - Monthly Metrics'!C:C,"Spokane/NE",'Data - Monthly Metrics'!D:D,"Non-Target Locations - Lodging (#)")))</f>
        <v/>
      </c>
      <c r="P31" s="115">
        <f>IF((SUMIFS('Data - Monthly Metrics'!E:E,'Data - Monthly Metrics'!A:A,$B$4,'Data - Monthly Metrics'!B:B,"Sep",'Data - Monthly Metrics'!C:C,"Spokane/NE",'Data - Monthly Metrics'!D:D,"Total Target Locations - Restaurant (#)")+SUMIFS('Data - Monthly Metrics'!E:E,'Data - Monthly Metrics'!A:A,$B$4,'Data - Monthly Metrics'!B:B,"Sep",'Data - Monthly Metrics'!C:C,"Spokane/NE",'Data - Monthly Metrics'!D:D,"Total Target Locations - Lodging (#)")+SUMIFS('Data - Monthly Metrics'!E:E,'Data - Monthly Metrics'!A:A,$B$4,'Data - Monthly Metrics'!B:B,"Sep",'Data - Monthly Metrics'!C:C,"Spokane/NE",'Data - Monthly Metrics'!D:D,"Non-Target Locations - Restaurant (#)")+SUMIFS('Data - Monthly Metrics'!E:E,'Data - Monthly Metrics'!A:A,$B$4,'Data - Monthly Metrics'!B:B,"Sep",'Data - Monthly Metrics'!C:C,"Spokane/NE",'Data - Monthly Metrics'!D:D,"Non-Target Locations - Lodging (#)"))=0,"-",(SUMIFS('Data - Monthly Metrics'!E:E,'Data - Monthly Metrics'!A:A,$B$4,'Data - Monthly Metrics'!B:B,"Sep",'Data - Monthly Metrics'!C:C,"Spokane/NE",'Data - Monthly Metrics'!D:D,"Target Members - Restaurant (#)")+SUMIFS('Data - Monthly Metrics'!E:E,'Data - Monthly Metrics'!A:A,$B$4,'Data - Monthly Metrics'!B:B,"Sep",'Data - Monthly Metrics'!C:C,"Spokane/NE",'Data - Monthly Metrics'!D:D,"Target Members - Lodging (#)")+SUMIFS('Data - Monthly Metrics'!E:E,'Data - Monthly Metrics'!A:A,$B$4,'Data - Monthly Metrics'!B:B,"Sep",'Data - Monthly Metrics'!C:C,"Spokane/NE",'Data - Monthly Metrics'!D:D,"Non-Target Members - Restaurant (#)")+SUMIFS('Data - Monthly Metrics'!E:E,'Data - Monthly Metrics'!A:A,$B$4,'Data - Monthly Metrics'!B:B,"Sep",'Data - Monthly Metrics'!C:C,"Spokane/NE",'Data - Monthly Metrics'!D:D,"Non-Target Members - Lodging (#)"))/(SUMIFS('Data - Monthly Metrics'!E:E,'Data - Monthly Metrics'!A:A,$B$4,'Data - Monthly Metrics'!B:B,"Sep",'Data - Monthly Metrics'!C:C,"Spokane/NE",'Data - Monthly Metrics'!D:D,"Total Target Locations - Restaurant (#)")+SUMIFS('Data - Monthly Metrics'!E:E,'Data - Monthly Metrics'!A:A,$B$4,'Data - Monthly Metrics'!B:B,"Sep",'Data - Monthly Metrics'!C:C,"Spokane/NE",'Data - Monthly Metrics'!D:D,"Total Target Locations - Lodging (#)")+SUMIFS('Data - Monthly Metrics'!E:E,'Data - Monthly Metrics'!A:A,$B$4,'Data - Monthly Metrics'!B:B,"Sep",'Data - Monthly Metrics'!C:C,"Spokane/NE",'Data - Monthly Metrics'!D:D,"Non-Target Locations - Restaurant (#)")+SUMIFS('Data - Monthly Metrics'!E:E,'Data - Monthly Metrics'!A:A,$B$4,'Data - Monthly Metrics'!B:B,"Sep",'Data - Monthly Metrics'!C:C,"Spokane/NE",'Data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Metrics'!C:C,"Spokane/NE",'Data - Monthly Metrics'!D:D,"Goal - New Sales Revenue ($)")=0,"-",SUMIFS('Data - Monthly Metrics'!E:E,'Data - Monthly Metrics'!A:A,$B$4-1,'Data - Monthly Metrics'!B:B,"Oct",'Data - Monthly Metrics'!C:C,"Spokane/NE",'Data - Monthly Metrics'!D:D,"Goal - New Sales Revenue ($)"))</f>
        <v/>
      </c>
      <c r="C37" s="91">
        <f>IF(COUNTIFS('Data - Monthly Metrics'!A:A,$B$4-1,'Data - Monthly Metrics'!B:B,"Nov",'Data - Monthly Metrics'!C:C,"Spokane/NE",'Data - Monthly Metrics'!D:D,"Goal - New Sales Revenue ($)")=0,"-",SUMIFS('Data - Monthly Metrics'!E:E,'Data - Monthly Metrics'!A:A,$B$4-1,'Data - Monthly Metrics'!B:B,"Nov",'Data - Monthly Metrics'!C:C,"Spokane/NE",'Data - Monthly Metrics'!D:D,"Goal - New Sales Revenue ($)"))</f>
        <v/>
      </c>
      <c r="D37" s="91">
        <f>IF(COUNTIFS('Data - Monthly Metrics'!A:A,$B$4-1,'Data - Monthly Metrics'!B:B,"Dec",'Data - Monthly Metrics'!C:C,"Spokane/NE",'Data - Monthly Metrics'!D:D,"Goal - New Sales Revenue ($)")=0,"-",SUMIFS('Data - Monthly Metrics'!E:E,'Data - Monthly Metrics'!A:A,$B$4-1,'Data - Monthly Metrics'!B:B,"Dec",'Data - Monthly Metrics'!C:C,"Spokane/NE",'Data - Monthly Metrics'!D:D,"Goal - New Sales Revenue ($)"))</f>
        <v/>
      </c>
      <c r="E37" s="101">
        <f>SUM(B37,C37,D37)</f>
        <v/>
      </c>
      <c r="F37" s="91">
        <f>IF(COUNTIFS('Data - Monthly Metrics'!A:A,$B$4,'Data - Monthly Metrics'!B:B,"Jan",'Data - Monthly Metrics'!C:C,"Spokane/NE",'Data - Monthly Metrics'!D:D,"Goal - New Sales Revenue ($)")=0,"-",SUMIFS('Data - Monthly Metrics'!E:E,'Data - Monthly Metrics'!A:A,$B$4,'Data - Monthly Metrics'!B:B,"Jan",'Data - Monthly Metrics'!C:C,"Spokane/NE",'Data - Monthly Metrics'!D:D,"Goal - New Sales Revenue ($)"))</f>
        <v/>
      </c>
      <c r="G37" s="91">
        <f>IF(COUNTIFS('Data - Monthly Metrics'!A:A,$B$4,'Data - Monthly Metrics'!B:B,"Feb",'Data - Monthly Metrics'!C:C,"Spokane/NE",'Data - Monthly Metrics'!D:D,"Goal - New Sales Revenue ($)")=0,"-",SUMIFS('Data - Monthly Metrics'!E:E,'Data - Monthly Metrics'!A:A,$B$4,'Data - Monthly Metrics'!B:B,"Feb",'Data - Monthly Metrics'!C:C,"Spokane/NE",'Data - Monthly Metrics'!D:D,"Goal - New Sales Revenue ($)"))</f>
        <v/>
      </c>
      <c r="H37" s="91">
        <f>IF(COUNTIFS('Data - Monthly Metrics'!A:A,$B$4,'Data - Monthly Metrics'!B:B,"Mar",'Data - Monthly Metrics'!C:C,"Spokane/NE",'Data - Monthly Metrics'!D:D,"Goal - New Sales Revenue ($)")=0,"-",SUMIFS('Data - Monthly Metrics'!E:E,'Data - Monthly Metrics'!A:A,$B$4,'Data - Monthly Metrics'!B:B,"Mar",'Data - Monthly Metrics'!C:C,"Spokane/NE",'Data - Monthly Metrics'!D:D,"Goal - New Sales Revenue ($)"))</f>
        <v/>
      </c>
      <c r="I37" s="101">
        <f>SUM(F37,G37,H37)</f>
        <v/>
      </c>
      <c r="J37" s="91">
        <f>IF(COUNTIFS('Data - Monthly Metrics'!A:A,$B$4,'Data - Monthly Metrics'!B:B,"Apr",'Data - Monthly Metrics'!C:C,"Spokane/NE",'Data - Monthly Metrics'!D:D,"Goal - New Sales Revenue ($)")=0,"-",SUMIFS('Data - Monthly Metrics'!E:E,'Data - Monthly Metrics'!A:A,$B$4,'Data - Monthly Metrics'!B:B,"Apr",'Data - Monthly Metrics'!C:C,"Spokane/NE",'Data - Monthly Metrics'!D:D,"Goal - New Sales Revenue ($)"))</f>
        <v/>
      </c>
      <c r="K37" s="91">
        <f>IF(COUNTIFS('Data - Monthly Metrics'!A:A,$B$4,'Data - Monthly Metrics'!B:B,"May",'Data - Monthly Metrics'!C:C,"Spokane/NE",'Data - Monthly Metrics'!D:D,"Goal - New Sales Revenue ($)")=0,"-",SUMIFS('Data - Monthly Metrics'!E:E,'Data - Monthly Metrics'!A:A,$B$4,'Data - Monthly Metrics'!B:B,"May",'Data - Monthly Metrics'!C:C,"Spokane/NE",'Data - Monthly Metrics'!D:D,"Goal - New Sales Revenue ($)"))</f>
        <v/>
      </c>
      <c r="L37" s="91">
        <f>IF(COUNTIFS('Data - Monthly Metrics'!A:A,$B$4,'Data - Monthly Metrics'!B:B,"Jun",'Data - Monthly Metrics'!C:C,"Spokane/NE",'Data - Monthly Metrics'!D:D,"Goal - New Sales Revenue ($)")=0,"-",SUMIFS('Data - Monthly Metrics'!E:E,'Data - Monthly Metrics'!A:A,$B$4,'Data - Monthly Metrics'!B:B,"Jun",'Data - Monthly Metrics'!C:C,"Spokane/NE",'Data - Monthly Metrics'!D:D,"Goal - New Sales Revenue ($)"))</f>
        <v/>
      </c>
      <c r="M37" s="101">
        <f>SUM(J37,K37,L37)</f>
        <v/>
      </c>
      <c r="N37" s="91">
        <f>IF(COUNTIFS('Data - Monthly Metrics'!A:A,$B$4,'Data - Monthly Metrics'!B:B,"Jul",'Data - Monthly Metrics'!C:C,"Spokane/NE",'Data - Monthly Metrics'!D:D,"Goal - New Sales Revenue ($)")=0,"-",SUMIFS('Data - Monthly Metrics'!E:E,'Data - Monthly Metrics'!A:A,$B$4,'Data - Monthly Metrics'!B:B,"Jul",'Data - Monthly Metrics'!C:C,"Spokane/NE",'Data - Monthly Metrics'!D:D,"Goal - New Sales Revenue ($)"))</f>
        <v/>
      </c>
      <c r="O37" s="91">
        <f>IF(COUNTIFS('Data - Monthly Metrics'!A:A,$B$4,'Data - Monthly Metrics'!B:B,"Aug",'Data - Monthly Metrics'!C:C,"Spokane/NE",'Data - Monthly Metrics'!D:D,"Goal - New Sales Revenue ($)")=0,"-",SUMIFS('Data - Monthly Metrics'!E:E,'Data - Monthly Metrics'!A:A,$B$4,'Data - Monthly Metrics'!B:B,"Aug",'Data - Monthly Metrics'!C:C,"Spokane/NE",'Data - Monthly Metrics'!D:D,"Goal - New Sales Revenue ($)"))</f>
        <v/>
      </c>
      <c r="P37" s="91">
        <f>IF(COUNTIFS('Data - Monthly Metrics'!A:A,$B$4,'Data - Monthly Metrics'!B:B,"Sep",'Data - Monthly Metrics'!C:C,"Spokane/NE",'Data - Monthly Metrics'!D:D,"Goal - New Sales Revenue ($)")=0,"-",SUMIFS('Data - Monthly Metrics'!E:E,'Data - Monthly Metrics'!A:A,$B$4,'Data - Monthly Metrics'!B:B,"Sep",'Data - Monthly Metrics'!C:C,"Spokane/NE",'Data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Metrics'!C:C,"Spokane/NE",'Data - Monthly Metrics'!D:D,"New Sales Revenue - Target ($)")=0,"-",SUMIFS('Data - Monthly Metrics'!E:E,'Data - Monthly Metrics'!A:A,$B$4-1,'Data - Monthly Metrics'!B:B,"Oct",'Data - Monthly Metrics'!C:C,"Spokane/NE",'Data - Monthly Metrics'!D:D,"New Sales Revenue - Target ($)"))</f>
        <v/>
      </c>
      <c r="C38" s="96">
        <f>IF(COUNTIFS('Data - Monthly Metrics'!A:A,$B$4-1,'Data - Monthly Metrics'!B:B,"Nov",'Data - Monthly Metrics'!C:C,"Spokane/NE",'Data - Monthly Metrics'!D:D,"New Sales Revenue - Target ($)")=0,"-",SUMIFS('Data - Monthly Metrics'!E:E,'Data - Monthly Metrics'!A:A,$B$4-1,'Data - Monthly Metrics'!B:B,"Nov",'Data - Monthly Metrics'!C:C,"Spokane/NE",'Data - Monthly Metrics'!D:D,"New Sales Revenue - Target ($)"))</f>
        <v/>
      </c>
      <c r="D38" s="96">
        <f>IF(COUNTIFS('Data - Monthly Metrics'!A:A,$B$4-1,'Data - Monthly Metrics'!B:B,"Dec",'Data - Monthly Metrics'!C:C,"Spokane/NE",'Data - Monthly Metrics'!D:D,"New Sales Revenue - Target ($)")=0,"-",SUMIFS('Data - Monthly Metrics'!E:E,'Data - Monthly Metrics'!A:A,$B$4-1,'Data - Monthly Metrics'!B:B,"Dec",'Data - Monthly Metrics'!C:C,"Spokane/NE",'Data - Monthly Metrics'!D:D,"New Sales Revenue - Target ($)"))</f>
        <v/>
      </c>
      <c r="E38" s="101">
        <f>SUM(B38,C38,D38)</f>
        <v/>
      </c>
      <c r="F38" s="96">
        <f>IF(COUNTIFS('Data - Monthly Metrics'!A:A,$B$4,'Data - Monthly Metrics'!B:B,"Jan",'Data - Monthly Metrics'!C:C,"Spokane/NE",'Data - Monthly Metrics'!D:D,"New Sales Revenue - Target ($)")=0,"-",SUMIFS('Data - Monthly Metrics'!E:E,'Data - Monthly Metrics'!A:A,$B$4,'Data - Monthly Metrics'!B:B,"Jan",'Data - Monthly Metrics'!C:C,"Spokane/NE",'Data - Monthly Metrics'!D:D,"New Sales Revenue - Target ($)"))</f>
        <v/>
      </c>
      <c r="G38" s="96">
        <f>IF(COUNTIFS('Data - Monthly Metrics'!A:A,$B$4,'Data - Monthly Metrics'!B:B,"Feb",'Data - Monthly Metrics'!C:C,"Spokane/NE",'Data - Monthly Metrics'!D:D,"New Sales Revenue - Target ($)")=0,"-",SUMIFS('Data - Monthly Metrics'!E:E,'Data - Monthly Metrics'!A:A,$B$4,'Data - Monthly Metrics'!B:B,"Feb",'Data - Monthly Metrics'!C:C,"Spokane/NE",'Data - Monthly Metrics'!D:D,"New Sales Revenue - Target ($)"))</f>
        <v/>
      </c>
      <c r="H38" s="96">
        <f>IF(COUNTIFS('Data - Monthly Metrics'!A:A,$B$4,'Data - Monthly Metrics'!B:B,"Mar",'Data - Monthly Metrics'!C:C,"Spokane/NE",'Data - Monthly Metrics'!D:D,"New Sales Revenue - Target ($)")=0,"-",SUMIFS('Data - Monthly Metrics'!E:E,'Data - Monthly Metrics'!A:A,$B$4,'Data - Monthly Metrics'!B:B,"Mar",'Data - Monthly Metrics'!C:C,"Spokane/NE",'Data - Monthly Metrics'!D:D,"New Sales Revenue - Target ($)"))</f>
        <v/>
      </c>
      <c r="I38" s="101">
        <f>SUM(F38,G38,H38)</f>
        <v/>
      </c>
      <c r="J38" s="96">
        <f>IF(COUNTIFS('Data - Monthly Metrics'!A:A,$B$4,'Data - Monthly Metrics'!B:B,"Apr",'Data - Monthly Metrics'!C:C,"Spokane/NE",'Data - Monthly Metrics'!D:D,"New Sales Revenue - Target ($)")=0,"-",SUMIFS('Data - Monthly Metrics'!E:E,'Data - Monthly Metrics'!A:A,$B$4,'Data - Monthly Metrics'!B:B,"Apr",'Data - Monthly Metrics'!C:C,"Spokane/NE",'Data - Monthly Metrics'!D:D,"New Sales Revenue - Target ($)"))</f>
        <v/>
      </c>
      <c r="K38" s="96">
        <f>IF(COUNTIFS('Data - Monthly Metrics'!A:A,$B$4,'Data - Monthly Metrics'!B:B,"May",'Data - Monthly Metrics'!C:C,"Spokane/NE",'Data - Monthly Metrics'!D:D,"New Sales Revenue - Target ($)")=0,"-",SUMIFS('Data - Monthly Metrics'!E:E,'Data - Monthly Metrics'!A:A,$B$4,'Data - Monthly Metrics'!B:B,"May",'Data - Monthly Metrics'!C:C,"Spokane/NE",'Data - Monthly Metrics'!D:D,"New Sales Revenue - Target ($)"))</f>
        <v/>
      </c>
      <c r="L38" s="96">
        <f>IF(COUNTIFS('Data - Monthly Metrics'!A:A,$B$4,'Data - Monthly Metrics'!B:B,"Jun",'Data - Monthly Metrics'!C:C,"Spokane/NE",'Data - Monthly Metrics'!D:D,"New Sales Revenue - Target ($)")=0,"-",SUMIFS('Data - Monthly Metrics'!E:E,'Data - Monthly Metrics'!A:A,$B$4,'Data - Monthly Metrics'!B:B,"Jun",'Data - Monthly Metrics'!C:C,"Spokane/NE",'Data - Monthly Metrics'!D:D,"New Sales Revenue - Target ($)"))</f>
        <v/>
      </c>
      <c r="M38" s="101">
        <f>SUM(J38,K38,L38)</f>
        <v/>
      </c>
      <c r="N38" s="96">
        <f>IF(COUNTIFS('Data - Monthly Metrics'!A:A,$B$4,'Data - Monthly Metrics'!B:B,"Jul",'Data - Monthly Metrics'!C:C,"Spokane/NE",'Data - Monthly Metrics'!D:D,"New Sales Revenue - Target ($)")=0,"-",SUMIFS('Data - Monthly Metrics'!E:E,'Data - Monthly Metrics'!A:A,$B$4,'Data - Monthly Metrics'!B:B,"Jul",'Data - Monthly Metrics'!C:C,"Spokane/NE",'Data - Monthly Metrics'!D:D,"New Sales Revenue - Target ($)"))</f>
        <v/>
      </c>
      <c r="O38" s="96">
        <f>IF(COUNTIFS('Data - Monthly Metrics'!A:A,$B$4,'Data - Monthly Metrics'!B:B,"Aug",'Data - Monthly Metrics'!C:C,"Spokane/NE",'Data - Monthly Metrics'!D:D,"New Sales Revenue - Target ($)")=0,"-",SUMIFS('Data - Monthly Metrics'!E:E,'Data - Monthly Metrics'!A:A,$B$4,'Data - Monthly Metrics'!B:B,"Aug",'Data - Monthly Metrics'!C:C,"Spokane/NE",'Data - Monthly Metrics'!D:D,"New Sales Revenue - Target ($)"))</f>
        <v/>
      </c>
      <c r="P38" s="96">
        <f>IF(COUNTIFS('Data - Monthly Metrics'!A:A,$B$4,'Data - Monthly Metrics'!B:B,"Sep",'Data - Monthly Metrics'!C:C,"Spokane/NE",'Data - Monthly Metrics'!D:D,"New Sales Revenue - Target ($)")=0,"-",SUMIFS('Data - Monthly Metrics'!E:E,'Data - Monthly Metrics'!A:A,$B$4,'Data - Monthly Metrics'!B:B,"Sep",'Data - Monthly Metrics'!C:C,"Spokane/NE",'Data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Metrics'!C:C,"Spokane/NE",'Data - Monthly Metrics'!D:D,"Goal - New Members (#)")=0,"-",SUMIFS('Data - Monthly Metrics'!E:E,'Data - Monthly Metrics'!A:A,$B$4-1,'Data - Monthly Metrics'!B:B,"Oct",'Data - Monthly Metrics'!C:C,"Spokane/NE",'Data - Monthly Metrics'!D:D,"Goal - New Members (#)"))</f>
        <v/>
      </c>
      <c r="C41" s="93">
        <f>IF(COUNTIFS('Data - Monthly Metrics'!A:A,$B$4-1,'Data - Monthly Metrics'!B:B,"Nov",'Data - Monthly Metrics'!C:C,"Spokane/NE",'Data - Monthly Metrics'!D:D,"Goal - New Members (#)")=0,"-",SUMIFS('Data - Monthly Metrics'!E:E,'Data - Monthly Metrics'!A:A,$B$4-1,'Data - Monthly Metrics'!B:B,"Nov",'Data - Monthly Metrics'!C:C,"Spokane/NE",'Data - Monthly Metrics'!D:D,"Goal - New Members (#)"))</f>
        <v/>
      </c>
      <c r="D41" s="93">
        <f>IF(COUNTIFS('Data - Monthly Metrics'!A:A,$B$4-1,'Data - Monthly Metrics'!B:B,"Dec",'Data - Monthly Metrics'!C:C,"Spokane/NE",'Data - Monthly Metrics'!D:D,"Goal - New Members (#)")=0,"-",SUMIFS('Data - Monthly Metrics'!E:E,'Data - Monthly Metrics'!A:A,$B$4-1,'Data - Monthly Metrics'!B:B,"Dec",'Data - Monthly Metrics'!C:C,"Spokane/NE",'Data - Monthly Metrics'!D:D,"Goal - New Members (#)"))</f>
        <v/>
      </c>
      <c r="E41" s="103">
        <f>SUM(B41,C41,D41)</f>
        <v/>
      </c>
      <c r="F41" s="93">
        <f>IF(COUNTIFS('Data - Monthly Metrics'!A:A,$B$4,'Data - Monthly Metrics'!B:B,"Jan",'Data - Monthly Metrics'!C:C,"Spokane/NE",'Data - Monthly Metrics'!D:D,"Goal - New Members (#)")=0,"-",SUMIFS('Data - Monthly Metrics'!E:E,'Data - Monthly Metrics'!A:A,$B$4,'Data - Monthly Metrics'!B:B,"Jan",'Data - Monthly Metrics'!C:C,"Spokane/NE",'Data - Monthly Metrics'!D:D,"Goal - New Members (#)"))</f>
        <v/>
      </c>
      <c r="G41" s="93">
        <f>IF(COUNTIFS('Data - Monthly Metrics'!A:A,$B$4,'Data - Monthly Metrics'!B:B,"Feb",'Data - Monthly Metrics'!C:C,"Spokane/NE",'Data - Monthly Metrics'!D:D,"Goal - New Members (#)")=0,"-",SUMIFS('Data - Monthly Metrics'!E:E,'Data - Monthly Metrics'!A:A,$B$4,'Data - Monthly Metrics'!B:B,"Feb",'Data - Monthly Metrics'!C:C,"Spokane/NE",'Data - Monthly Metrics'!D:D,"Goal - New Members (#)"))</f>
        <v/>
      </c>
      <c r="H41" s="93">
        <f>IF(COUNTIFS('Data - Monthly Metrics'!A:A,$B$4,'Data - Monthly Metrics'!B:B,"Mar",'Data - Monthly Metrics'!C:C,"Spokane/NE",'Data - Monthly Metrics'!D:D,"Goal - New Members (#)")=0,"-",SUMIFS('Data - Monthly Metrics'!E:E,'Data - Monthly Metrics'!A:A,$B$4,'Data - Monthly Metrics'!B:B,"Mar",'Data - Monthly Metrics'!C:C,"Spokane/NE",'Data - Monthly Metrics'!D:D,"Goal - New Members (#)"))</f>
        <v/>
      </c>
      <c r="I41" s="103">
        <f>SUM(F41,G41,H41)</f>
        <v/>
      </c>
      <c r="J41" s="93">
        <f>IF(COUNTIFS('Data - Monthly Metrics'!A:A,$B$4,'Data - Monthly Metrics'!B:B,"Apr",'Data - Monthly Metrics'!C:C,"Spokane/NE",'Data - Monthly Metrics'!D:D,"Goal - New Members (#)")=0,"-",SUMIFS('Data - Monthly Metrics'!E:E,'Data - Monthly Metrics'!A:A,$B$4,'Data - Monthly Metrics'!B:B,"Apr",'Data - Monthly Metrics'!C:C,"Spokane/NE",'Data - Monthly Metrics'!D:D,"Goal - New Members (#)"))</f>
        <v/>
      </c>
      <c r="K41" s="93">
        <f>IF(COUNTIFS('Data - Monthly Metrics'!A:A,$B$4,'Data - Monthly Metrics'!B:B,"May",'Data - Monthly Metrics'!C:C,"Spokane/NE",'Data - Monthly Metrics'!D:D,"Goal - New Members (#)")=0,"-",SUMIFS('Data - Monthly Metrics'!E:E,'Data - Monthly Metrics'!A:A,$B$4,'Data - Monthly Metrics'!B:B,"May",'Data - Monthly Metrics'!C:C,"Spokane/NE",'Data - Monthly Metrics'!D:D,"Goal - New Members (#)"))</f>
        <v/>
      </c>
      <c r="L41" s="93">
        <f>IF(COUNTIFS('Data - Monthly Metrics'!A:A,$B$4,'Data - Monthly Metrics'!B:B,"Jun",'Data - Monthly Metrics'!C:C,"Spokane/NE",'Data - Monthly Metrics'!D:D,"Goal - New Members (#)")=0,"-",SUMIFS('Data - Monthly Metrics'!E:E,'Data - Monthly Metrics'!A:A,$B$4,'Data - Monthly Metrics'!B:B,"Jun",'Data - Monthly Metrics'!C:C,"Spokane/NE",'Data - Monthly Metrics'!D:D,"Goal - New Members (#)"))</f>
        <v/>
      </c>
      <c r="M41" s="103">
        <f>SUM(J41,K41,L41)</f>
        <v/>
      </c>
      <c r="N41" s="93">
        <f>IF(COUNTIFS('Data - Monthly Metrics'!A:A,$B$4,'Data - Monthly Metrics'!B:B,"Jul",'Data - Monthly Metrics'!C:C,"Spokane/NE",'Data - Monthly Metrics'!D:D,"Goal - New Members (#)")=0,"-",SUMIFS('Data - Monthly Metrics'!E:E,'Data - Monthly Metrics'!A:A,$B$4,'Data - Monthly Metrics'!B:B,"Jul",'Data - Monthly Metrics'!C:C,"Spokane/NE",'Data - Monthly Metrics'!D:D,"Goal - New Members (#)"))</f>
        <v/>
      </c>
      <c r="O41" s="93">
        <f>IF(COUNTIFS('Data - Monthly Metrics'!A:A,$B$4,'Data - Monthly Metrics'!B:B,"Aug",'Data - Monthly Metrics'!C:C,"Spokane/NE",'Data - Monthly Metrics'!D:D,"Goal - New Members (#)")=0,"-",SUMIFS('Data - Monthly Metrics'!E:E,'Data - Monthly Metrics'!A:A,$B$4,'Data - Monthly Metrics'!B:B,"Aug",'Data - Monthly Metrics'!C:C,"Spokane/NE",'Data - Monthly Metrics'!D:D,"Goal - New Members (#)"))</f>
        <v/>
      </c>
      <c r="P41" s="93">
        <f>IF(COUNTIFS('Data - Monthly Metrics'!A:A,$B$4,'Data - Monthly Metrics'!B:B,"Sep",'Data - Monthly Metrics'!C:C,"Spokane/NE",'Data - Monthly Metrics'!D:D,"Goal - New Members (#)")=0,"-",SUMIFS('Data - Monthly Metrics'!E:E,'Data - Monthly Metrics'!A:A,$B$4,'Data - Monthly Metrics'!B:B,"Sep",'Data - Monthly Metrics'!C:C,"Spokane/NE",'Data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Metrics'!C:C,"Spokane/NE",'Data - Monthly Metrics'!D:D,"New Members - Target (#)")=0,"-",SUMIFS('Data - Monthly Metrics'!E:E,'Data - Monthly Metrics'!A:A,$B$4-1,'Data - Monthly Metrics'!B:B,"Oct",'Data - Monthly Metrics'!C:C,"Spokane/NE",'Data - Monthly Metrics'!D:D,"New Members - Target (#)"))</f>
        <v/>
      </c>
      <c r="C42" s="98">
        <f>IF(COUNTIFS('Data - Monthly Metrics'!A:A,$B$4-1,'Data - Monthly Metrics'!B:B,"Nov",'Data - Monthly Metrics'!C:C,"Spokane/NE",'Data - Monthly Metrics'!D:D,"New Members - Target (#)")=0,"-",SUMIFS('Data - Monthly Metrics'!E:E,'Data - Monthly Metrics'!A:A,$B$4-1,'Data - Monthly Metrics'!B:B,"Nov",'Data - Monthly Metrics'!C:C,"Spokane/NE",'Data - Monthly Metrics'!D:D,"New Members - Target (#)"))</f>
        <v/>
      </c>
      <c r="D42" s="98">
        <f>IF(COUNTIFS('Data - Monthly Metrics'!A:A,$B$4-1,'Data - Monthly Metrics'!B:B,"Dec",'Data - Monthly Metrics'!C:C,"Spokane/NE",'Data - Monthly Metrics'!D:D,"New Members - Target (#)")=0,"-",SUMIFS('Data - Monthly Metrics'!E:E,'Data - Monthly Metrics'!A:A,$B$4-1,'Data - Monthly Metrics'!B:B,"Dec",'Data - Monthly Metrics'!C:C,"Spokane/NE",'Data - Monthly Metrics'!D:D,"New Members - Target (#)"))</f>
        <v/>
      </c>
      <c r="E42" s="103">
        <f>SUM(B42,C42,D42)</f>
        <v/>
      </c>
      <c r="F42" s="98">
        <f>IF(COUNTIFS('Data - Monthly Metrics'!A:A,$B$4,'Data - Monthly Metrics'!B:B,"Jan",'Data - Monthly Metrics'!C:C,"Spokane/NE",'Data - Monthly Metrics'!D:D,"New Members - Target (#)")=0,"-",SUMIFS('Data - Monthly Metrics'!E:E,'Data - Monthly Metrics'!A:A,$B$4,'Data - Monthly Metrics'!B:B,"Jan",'Data - Monthly Metrics'!C:C,"Spokane/NE",'Data - Monthly Metrics'!D:D,"New Members - Target (#)"))</f>
        <v/>
      </c>
      <c r="G42" s="98">
        <f>IF(COUNTIFS('Data - Monthly Metrics'!A:A,$B$4,'Data - Monthly Metrics'!B:B,"Feb",'Data - Monthly Metrics'!C:C,"Spokane/NE",'Data - Monthly Metrics'!D:D,"New Members - Target (#)")=0,"-",SUMIFS('Data - Monthly Metrics'!E:E,'Data - Monthly Metrics'!A:A,$B$4,'Data - Monthly Metrics'!B:B,"Feb",'Data - Monthly Metrics'!C:C,"Spokane/NE",'Data - Monthly Metrics'!D:D,"New Members - Target (#)"))</f>
        <v/>
      </c>
      <c r="H42" s="98">
        <f>IF(COUNTIFS('Data - Monthly Metrics'!A:A,$B$4,'Data - Monthly Metrics'!B:B,"Mar",'Data - Monthly Metrics'!C:C,"Spokane/NE",'Data - Monthly Metrics'!D:D,"New Members - Target (#)")=0,"-",SUMIFS('Data - Monthly Metrics'!E:E,'Data - Monthly Metrics'!A:A,$B$4,'Data - Monthly Metrics'!B:B,"Mar",'Data - Monthly Metrics'!C:C,"Spokane/NE",'Data - Monthly Metrics'!D:D,"New Members - Target (#)"))</f>
        <v/>
      </c>
      <c r="I42" s="103">
        <f>SUM(F42,G42,H42)</f>
        <v/>
      </c>
      <c r="J42" s="98">
        <f>IF(COUNTIFS('Data - Monthly Metrics'!A:A,$B$4,'Data - Monthly Metrics'!B:B,"Apr",'Data - Monthly Metrics'!C:C,"Spokane/NE",'Data - Monthly Metrics'!D:D,"New Members - Target (#)")=0,"-",SUMIFS('Data - Monthly Metrics'!E:E,'Data - Monthly Metrics'!A:A,$B$4,'Data - Monthly Metrics'!B:B,"Apr",'Data - Monthly Metrics'!C:C,"Spokane/NE",'Data - Monthly Metrics'!D:D,"New Members - Target (#)"))</f>
        <v/>
      </c>
      <c r="K42" s="98">
        <f>IF(COUNTIFS('Data - Monthly Metrics'!A:A,$B$4,'Data - Monthly Metrics'!B:B,"May",'Data - Monthly Metrics'!C:C,"Spokane/NE",'Data - Monthly Metrics'!D:D,"New Members - Target (#)")=0,"-",SUMIFS('Data - Monthly Metrics'!E:E,'Data - Monthly Metrics'!A:A,$B$4,'Data - Monthly Metrics'!B:B,"May",'Data - Monthly Metrics'!C:C,"Spokane/NE",'Data - Monthly Metrics'!D:D,"New Members - Target (#)"))</f>
        <v/>
      </c>
      <c r="L42" s="98">
        <f>IF(COUNTIFS('Data - Monthly Metrics'!A:A,$B$4,'Data - Monthly Metrics'!B:B,"Jun",'Data - Monthly Metrics'!C:C,"Spokane/NE",'Data - Monthly Metrics'!D:D,"New Members - Target (#)")=0,"-",SUMIFS('Data - Monthly Metrics'!E:E,'Data - Monthly Metrics'!A:A,$B$4,'Data - Monthly Metrics'!B:B,"Jun",'Data - Monthly Metrics'!C:C,"Spokane/NE",'Data - Monthly Metrics'!D:D,"New Members - Target (#)"))</f>
        <v/>
      </c>
      <c r="M42" s="103">
        <f>SUM(J42,K42,L42)</f>
        <v/>
      </c>
      <c r="N42" s="98">
        <f>IF(COUNTIFS('Data - Monthly Metrics'!A:A,$B$4,'Data - Monthly Metrics'!B:B,"Jul",'Data - Monthly Metrics'!C:C,"Spokane/NE",'Data - Monthly Metrics'!D:D,"New Members - Target (#)")=0,"-",SUMIFS('Data - Monthly Metrics'!E:E,'Data - Monthly Metrics'!A:A,$B$4,'Data - Monthly Metrics'!B:B,"Jul",'Data - Monthly Metrics'!C:C,"Spokane/NE",'Data - Monthly Metrics'!D:D,"New Members - Target (#)"))</f>
        <v/>
      </c>
      <c r="O42" s="98">
        <f>IF(COUNTIFS('Data - Monthly Metrics'!A:A,$B$4,'Data - Monthly Metrics'!B:B,"Aug",'Data - Monthly Metrics'!C:C,"Spokane/NE",'Data - Monthly Metrics'!D:D,"New Members - Target (#)")=0,"-",SUMIFS('Data - Monthly Metrics'!E:E,'Data - Monthly Metrics'!A:A,$B$4,'Data - Monthly Metrics'!B:B,"Aug",'Data - Monthly Metrics'!C:C,"Spokane/NE",'Data - Monthly Metrics'!D:D,"New Members - Target (#)"))</f>
        <v/>
      </c>
      <c r="P42" s="98">
        <f>IF(COUNTIFS('Data - Monthly Metrics'!A:A,$B$4,'Data - Monthly Metrics'!B:B,"Sep",'Data - Monthly Metrics'!C:C,"Spokane/NE",'Data - Monthly Metrics'!D:D,"New Members - Target (#)")=0,"-",SUMIFS('Data - Monthly Metrics'!E:E,'Data - Monthly Metrics'!A:A,$B$4,'Data - Monthly Metrics'!B:B,"Sep",'Data - Monthly Metrics'!C:C,"Spokane/NE",'Data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Metrics'!C:C,"Spokane/NE",'Data - Monthly Metrics'!D:D,"Billables - Hospitality Target (#)")=0,"-",SUMIFS('Data - Monthly Metrics'!E:E,'Data - Monthly Metrics'!A:A,$B$4-1,'Data - Monthly Metrics'!B:B,"Oct",'Data - Monthly Metrics'!C:C,"Spokane/NE",'Data - Monthly Metrics'!D:D,"Billables - Hospitality Target (#)"))</f>
        <v/>
      </c>
      <c r="C46" s="93">
        <f>IF(COUNTIFS('Data - Monthly Metrics'!A:A,$B$4-1,'Data - Monthly Metrics'!B:B,"Nov",'Data - Monthly Metrics'!C:C,"Spokane/NE",'Data - Monthly Metrics'!D:D,"Billables - Hospitality Target (#)")=0,"-",SUMIFS('Data - Monthly Metrics'!E:E,'Data - Monthly Metrics'!A:A,$B$4-1,'Data - Monthly Metrics'!B:B,"Nov",'Data - Monthly Metrics'!C:C,"Spokane/NE",'Data - Monthly Metrics'!D:D,"Billables - Hospitality Target (#)"))</f>
        <v/>
      </c>
      <c r="D46" s="93">
        <f>IF(COUNTIFS('Data - Monthly Metrics'!A:A,$B$4-1,'Data - Monthly Metrics'!B:B,"Dec",'Data - Monthly Metrics'!C:C,"Spokane/NE",'Data - Monthly Metrics'!D:D,"Billables - Hospitality Target (#)")=0,"-",SUMIFS('Data - Monthly Metrics'!E:E,'Data - Monthly Metrics'!A:A,$B$4-1,'Data - Monthly Metrics'!B:B,"Dec",'Data - Monthly Metrics'!C:C,"Spokane/NE",'Data - Monthly Metrics'!D:D,"Billables - Hospitality Target (#)"))</f>
        <v/>
      </c>
      <c r="E46" s="103">
        <f>IF(ISNUMBER(D46),D46,IF(ISNUMBER(C46),C46,IF(ISNUMBER(B46),B46,"-")))</f>
        <v/>
      </c>
      <c r="F46" s="93">
        <f>IF(COUNTIFS('Data - Monthly Metrics'!A:A,$B$4,'Data - Monthly Metrics'!B:B,"Jan",'Data - Monthly Metrics'!C:C,"Spokane/NE",'Data - Monthly Metrics'!D:D,"Billables - Hospitality Target (#)")=0,"-",SUMIFS('Data - Monthly Metrics'!E:E,'Data - Monthly Metrics'!A:A,$B$4,'Data - Monthly Metrics'!B:B,"Jan",'Data - Monthly Metrics'!C:C,"Spokane/NE",'Data - Monthly Metrics'!D:D,"Billables - Hospitality Target (#)"))</f>
        <v/>
      </c>
      <c r="G46" s="93">
        <f>IF(COUNTIFS('Data - Monthly Metrics'!A:A,$B$4,'Data - Monthly Metrics'!B:B,"Feb",'Data - Monthly Metrics'!C:C,"Spokane/NE",'Data - Monthly Metrics'!D:D,"Billables - Hospitality Target (#)")=0,"-",SUMIFS('Data - Monthly Metrics'!E:E,'Data - Monthly Metrics'!A:A,$B$4,'Data - Monthly Metrics'!B:B,"Feb",'Data - Monthly Metrics'!C:C,"Spokane/NE",'Data - Monthly Metrics'!D:D,"Billables - Hospitality Target (#)"))</f>
        <v/>
      </c>
      <c r="H46" s="93">
        <f>IF(COUNTIFS('Data - Monthly Metrics'!A:A,$B$4,'Data - Monthly Metrics'!B:B,"Mar",'Data - Monthly Metrics'!C:C,"Spokane/NE",'Data - Monthly Metrics'!D:D,"Billables - Hospitality Target (#)")=0,"-",SUMIFS('Data - Monthly Metrics'!E:E,'Data - Monthly Metrics'!A:A,$B$4,'Data - Monthly Metrics'!B:B,"Mar",'Data - Monthly Metrics'!C:C,"Spokane/NE",'Data - Monthly Metrics'!D:D,"Billables - Hospitality Target (#)"))</f>
        <v/>
      </c>
      <c r="I46" s="103">
        <f>IF(ISNUMBER(H46),H46,IF(ISNUMBER(G46),G46,IF(ISNUMBER(F46),F46,"-")))</f>
        <v/>
      </c>
      <c r="J46" s="93">
        <f>IF(COUNTIFS('Data - Monthly Metrics'!A:A,$B$4,'Data - Monthly Metrics'!B:B,"Apr",'Data - Monthly Metrics'!C:C,"Spokane/NE",'Data - Monthly Metrics'!D:D,"Billables - Hospitality Target (#)")=0,"-",SUMIFS('Data - Monthly Metrics'!E:E,'Data - Monthly Metrics'!A:A,$B$4,'Data - Monthly Metrics'!B:B,"Apr",'Data - Monthly Metrics'!C:C,"Spokane/NE",'Data - Monthly Metrics'!D:D,"Billables - Hospitality Target (#)"))</f>
        <v/>
      </c>
      <c r="K46" s="93">
        <f>IF(COUNTIFS('Data - Monthly Metrics'!A:A,$B$4,'Data - Monthly Metrics'!B:B,"May",'Data - Monthly Metrics'!C:C,"Spokane/NE",'Data - Monthly Metrics'!D:D,"Billables - Hospitality Target (#)")=0,"-",SUMIFS('Data - Monthly Metrics'!E:E,'Data - Monthly Metrics'!A:A,$B$4,'Data - Monthly Metrics'!B:B,"May",'Data - Monthly Metrics'!C:C,"Spokane/NE",'Data - Monthly Metrics'!D:D,"Billables - Hospitality Target (#)"))</f>
        <v/>
      </c>
      <c r="L46" s="93">
        <f>IF(COUNTIFS('Data - Monthly Metrics'!A:A,$B$4,'Data - Monthly Metrics'!B:B,"Jun",'Data - Monthly Metrics'!C:C,"Spokane/NE",'Data - Monthly Metrics'!D:D,"Billables - Hospitality Target (#)")=0,"-",SUMIFS('Data - Monthly Metrics'!E:E,'Data - Monthly Metrics'!A:A,$B$4,'Data - Monthly Metrics'!B:B,"Jun",'Data - Monthly Metrics'!C:C,"Spokane/NE",'Data - Monthly Metrics'!D:D,"Billables - Hospitality Target (#)"))</f>
        <v/>
      </c>
      <c r="M46" s="103">
        <f>IF(ISNUMBER(L46),L46,IF(ISNUMBER(K46),K46,IF(ISNUMBER(J46),J46,"-")))</f>
        <v/>
      </c>
      <c r="N46" s="93">
        <f>IF(COUNTIFS('Data - Monthly Metrics'!A:A,$B$4,'Data - Monthly Metrics'!B:B,"Jul",'Data - Monthly Metrics'!C:C,"Spokane/NE",'Data - Monthly Metrics'!D:D,"Billables - Hospitality Target (#)")=0,"-",SUMIFS('Data - Monthly Metrics'!E:E,'Data - Monthly Metrics'!A:A,$B$4,'Data - Monthly Metrics'!B:B,"Jul",'Data - Monthly Metrics'!C:C,"Spokane/NE",'Data - Monthly Metrics'!D:D,"Billables - Hospitality Target (#)"))</f>
        <v/>
      </c>
      <c r="O46" s="93">
        <f>IF(COUNTIFS('Data - Monthly Metrics'!A:A,$B$4,'Data - Monthly Metrics'!B:B,"Aug",'Data - Monthly Metrics'!C:C,"Spokane/NE",'Data - Monthly Metrics'!D:D,"Billables - Hospitality Target (#)")=0,"-",SUMIFS('Data - Monthly Metrics'!E:E,'Data - Monthly Metrics'!A:A,$B$4,'Data - Monthly Metrics'!B:B,"Aug",'Data - Monthly Metrics'!C:C,"Spokane/NE",'Data - Monthly Metrics'!D:D,"Billables - Hospitality Target (#)"))</f>
        <v/>
      </c>
      <c r="P46" s="93">
        <f>IF(COUNTIFS('Data - Monthly Metrics'!A:A,$B$4,'Data - Monthly Metrics'!B:B,"Sep",'Data - Monthly Metrics'!C:C,"Spokane/NE",'Data - Monthly Metrics'!D:D,"Billables - Hospitality Target (#)")=0,"-",SUMIFS('Data - Monthly Metrics'!E:E,'Data - Monthly Metrics'!A:A,$B$4,'Data - Monthly Metrics'!B:B,"Sep",'Data - Monthly Metrics'!C:C,"Spokane/NE",'Data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Metrics'!C:C,"Spokane/NE",'Data - Monthly Metrics'!D:D,"Member Locations - Target (#)")=0,"-",SUMIFS('Data - Monthly Metrics'!E:E,'Data - Monthly Metrics'!A:A,$B$4-1,'Data - Monthly Metrics'!B:B,"Oct",'Data - Monthly Metrics'!C:C,"Spokane/NE",'Data - Monthly Metrics'!D:D,"Member Locations - Target (#)"))</f>
        <v/>
      </c>
      <c r="C47" s="93">
        <f>IF(COUNTIFS('Data - Monthly Metrics'!A:A,$B$4-1,'Data - Monthly Metrics'!B:B,"Nov",'Data - Monthly Metrics'!C:C,"Spokane/NE",'Data - Monthly Metrics'!D:D,"Member Locations - Target (#)")=0,"-",SUMIFS('Data - Monthly Metrics'!E:E,'Data - Monthly Metrics'!A:A,$B$4-1,'Data - Monthly Metrics'!B:B,"Nov",'Data - Monthly Metrics'!C:C,"Spokane/NE",'Data - Monthly Metrics'!D:D,"Member Locations - Target (#)"))</f>
        <v/>
      </c>
      <c r="D47" s="93">
        <f>IF(COUNTIFS('Data - Monthly Metrics'!A:A,$B$4-1,'Data - Monthly Metrics'!B:B,"Dec",'Data - Monthly Metrics'!C:C,"Spokane/NE",'Data - Monthly Metrics'!D:D,"Member Locations - Target (#)")=0,"-",SUMIFS('Data - Monthly Metrics'!E:E,'Data - Monthly Metrics'!A:A,$B$4-1,'Data - Monthly Metrics'!B:B,"Dec",'Data - Monthly Metrics'!C:C,"Spokane/NE",'Data - Monthly Metrics'!D:D,"Member Locations - Target (#)"))</f>
        <v/>
      </c>
      <c r="E47" s="103">
        <f>IF(ISNUMBER(D47),D47,IF(ISNUMBER(C47),C47,IF(ISNUMBER(B47),B47,"-")))</f>
        <v/>
      </c>
      <c r="F47" s="93">
        <f>IF(COUNTIFS('Data - Monthly Metrics'!A:A,$B$4,'Data - Monthly Metrics'!B:B,"Jan",'Data - Monthly Metrics'!C:C,"Spokane/NE",'Data - Monthly Metrics'!D:D,"Member Locations - Target (#)")=0,"-",SUMIFS('Data - Monthly Metrics'!E:E,'Data - Monthly Metrics'!A:A,$B$4,'Data - Monthly Metrics'!B:B,"Jan",'Data - Monthly Metrics'!C:C,"Spokane/NE",'Data - Monthly Metrics'!D:D,"Member Locations - Target (#)"))</f>
        <v/>
      </c>
      <c r="G47" s="93">
        <f>IF(COUNTIFS('Data - Monthly Metrics'!A:A,$B$4,'Data - Monthly Metrics'!B:B,"Feb",'Data - Monthly Metrics'!C:C,"Spokane/NE",'Data - Monthly Metrics'!D:D,"Member Locations - Target (#)")=0,"-",SUMIFS('Data - Monthly Metrics'!E:E,'Data - Monthly Metrics'!A:A,$B$4,'Data - Monthly Metrics'!B:B,"Feb",'Data - Monthly Metrics'!C:C,"Spokane/NE",'Data - Monthly Metrics'!D:D,"Member Locations - Target (#)"))</f>
        <v/>
      </c>
      <c r="H47" s="93">
        <f>IF(COUNTIFS('Data - Monthly Metrics'!A:A,$B$4,'Data - Monthly Metrics'!B:B,"Mar",'Data - Monthly Metrics'!C:C,"Spokane/NE",'Data - Monthly Metrics'!D:D,"Member Locations - Target (#)")=0,"-",SUMIFS('Data - Monthly Metrics'!E:E,'Data - Monthly Metrics'!A:A,$B$4,'Data - Monthly Metrics'!B:B,"Mar",'Data - Monthly Metrics'!C:C,"Spokane/NE",'Data - Monthly Metrics'!D:D,"Member Locations - Target (#)"))</f>
        <v/>
      </c>
      <c r="I47" s="103">
        <f>IF(ISNUMBER(H47),H47,IF(ISNUMBER(G47),G47,IF(ISNUMBER(F47),F47,"-")))</f>
        <v/>
      </c>
      <c r="J47" s="93">
        <f>IF(COUNTIFS('Data - Monthly Metrics'!A:A,$B$4,'Data - Monthly Metrics'!B:B,"Apr",'Data - Monthly Metrics'!C:C,"Spokane/NE",'Data - Monthly Metrics'!D:D,"Member Locations - Target (#)")=0,"-",SUMIFS('Data - Monthly Metrics'!E:E,'Data - Monthly Metrics'!A:A,$B$4,'Data - Monthly Metrics'!B:B,"Apr",'Data - Monthly Metrics'!C:C,"Spokane/NE",'Data - Monthly Metrics'!D:D,"Member Locations - Target (#)"))</f>
        <v/>
      </c>
      <c r="K47" s="93">
        <f>IF(COUNTIFS('Data - Monthly Metrics'!A:A,$B$4,'Data - Monthly Metrics'!B:B,"May",'Data - Monthly Metrics'!C:C,"Spokane/NE",'Data - Monthly Metrics'!D:D,"Member Locations - Target (#)")=0,"-",SUMIFS('Data - Monthly Metrics'!E:E,'Data - Monthly Metrics'!A:A,$B$4,'Data - Monthly Metrics'!B:B,"May",'Data - Monthly Metrics'!C:C,"Spokane/NE",'Data - Monthly Metrics'!D:D,"Member Locations - Target (#)"))</f>
        <v/>
      </c>
      <c r="L47" s="93">
        <f>IF(COUNTIFS('Data - Monthly Metrics'!A:A,$B$4,'Data - Monthly Metrics'!B:B,"Jun",'Data - Monthly Metrics'!C:C,"Spokane/NE",'Data - Monthly Metrics'!D:D,"Member Locations - Target (#)")=0,"-",SUMIFS('Data - Monthly Metrics'!E:E,'Data - Monthly Metrics'!A:A,$B$4,'Data - Monthly Metrics'!B:B,"Jun",'Data - Monthly Metrics'!C:C,"Spokane/NE",'Data - Monthly Metrics'!D:D,"Member Locations - Target (#)"))</f>
        <v/>
      </c>
      <c r="M47" s="103">
        <f>IF(ISNUMBER(L47),L47,IF(ISNUMBER(K47),K47,IF(ISNUMBER(J47),J47,"-")))</f>
        <v/>
      </c>
      <c r="N47" s="93">
        <f>IF(COUNTIFS('Data - Monthly Metrics'!A:A,$B$4,'Data - Monthly Metrics'!B:B,"Jul",'Data - Monthly Metrics'!C:C,"Spokane/NE",'Data - Monthly Metrics'!D:D,"Member Locations - Target (#)")=0,"-",SUMIFS('Data - Monthly Metrics'!E:E,'Data - Monthly Metrics'!A:A,$B$4,'Data - Monthly Metrics'!B:B,"Jul",'Data - Monthly Metrics'!C:C,"Spokane/NE",'Data - Monthly Metrics'!D:D,"Member Locations - Target (#)"))</f>
        <v/>
      </c>
      <c r="O47" s="93">
        <f>IF(COUNTIFS('Data - Monthly Metrics'!A:A,$B$4,'Data - Monthly Metrics'!B:B,"Aug",'Data - Monthly Metrics'!C:C,"Spokane/NE",'Data - Monthly Metrics'!D:D,"Member Locations - Target (#)")=0,"-",SUMIFS('Data - Monthly Metrics'!E:E,'Data - Monthly Metrics'!A:A,$B$4,'Data - Monthly Metrics'!B:B,"Aug",'Data - Monthly Metrics'!C:C,"Spokane/NE",'Data - Monthly Metrics'!D:D,"Member Locations - Target (#)"))</f>
        <v/>
      </c>
      <c r="P47" s="93">
        <f>IF(COUNTIFS('Data - Monthly Metrics'!A:A,$B$4,'Data - Monthly Metrics'!B:B,"Sep",'Data - Monthly Metrics'!C:C,"Spokane/NE",'Data - Monthly Metrics'!D:D,"Member Locations - Target (#)")=0,"-",SUMIFS('Data - Monthly Metrics'!E:E,'Data - Monthly Metrics'!A:A,$B$4,'Data - Monthly Metrics'!B:B,"Sep",'Data - Monthly Metrics'!C:C,"Spokane/NE",'Data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Metrics'!C:C,"Spokane/NE",'Data - Monthly Metrics'!D:D,"Members Up for Renewal - Target (#)")=0,"-",SUMIFS('Data - Monthly Metrics'!E:E,'Data - Monthly Metrics'!A:A,$B$4-1,'Data - Monthly Metrics'!B:B,"Oct",'Data - Monthly Metrics'!C:C,"Spokane/NE",'Data - Monthly Metrics'!D:D,"Members Up for Renewal - Target (#)"))</f>
        <v/>
      </c>
      <c r="C51" s="93">
        <f>IF(COUNTIFS('Data - Monthly Metrics'!A:A,$B$4-1,'Data - Monthly Metrics'!B:B,"Nov",'Data - Monthly Metrics'!C:C,"Spokane/NE",'Data - Monthly Metrics'!D:D,"Members Up for Renewal - Target (#)")=0,"-",SUMIFS('Data - Monthly Metrics'!E:E,'Data - Monthly Metrics'!A:A,$B$4-1,'Data - Monthly Metrics'!B:B,"Nov",'Data - Monthly Metrics'!C:C,"Spokane/NE",'Data - Monthly Metrics'!D:D,"Members Up for Renewal - Target (#)"))</f>
        <v/>
      </c>
      <c r="D51" s="93">
        <f>IF(COUNTIFS('Data - Monthly Metrics'!A:A,$B$4-1,'Data - Monthly Metrics'!B:B,"Dec",'Data - Monthly Metrics'!C:C,"Spokane/NE",'Data - Monthly Metrics'!D:D,"Members Up for Renewal - Target (#)")=0,"-",SUMIFS('Data - Monthly Metrics'!E:E,'Data - Monthly Metrics'!A:A,$B$4-1,'Data - Monthly Metrics'!B:B,"Dec",'Data - Monthly Metrics'!C:C,"Spokane/NE",'Data - Monthly Metrics'!D:D,"Members Up for Renewal - Target (#)"))</f>
        <v/>
      </c>
      <c r="E51" s="103">
        <f>SUM(B51,C51,D51)</f>
        <v/>
      </c>
      <c r="F51" s="93">
        <f>IF(COUNTIFS('Data - Monthly Metrics'!A:A,$B$4,'Data - Monthly Metrics'!B:B,"Jan",'Data - Monthly Metrics'!C:C,"Spokane/NE",'Data - Monthly Metrics'!D:D,"Members Up for Renewal - Target (#)")=0,"-",SUMIFS('Data - Monthly Metrics'!E:E,'Data - Monthly Metrics'!A:A,$B$4,'Data - Monthly Metrics'!B:B,"Jan",'Data - Monthly Metrics'!C:C,"Spokane/NE",'Data - Monthly Metrics'!D:D,"Members Up for Renewal - Target (#)"))</f>
        <v/>
      </c>
      <c r="G51" s="93">
        <f>IF(COUNTIFS('Data - Monthly Metrics'!A:A,$B$4,'Data - Monthly Metrics'!B:B,"Feb",'Data - Monthly Metrics'!C:C,"Spokane/NE",'Data - Monthly Metrics'!D:D,"Members Up for Renewal - Target (#)")=0,"-",SUMIFS('Data - Monthly Metrics'!E:E,'Data - Monthly Metrics'!A:A,$B$4,'Data - Monthly Metrics'!B:B,"Feb",'Data - Monthly Metrics'!C:C,"Spokane/NE",'Data - Monthly Metrics'!D:D,"Members Up for Renewal - Target (#)"))</f>
        <v/>
      </c>
      <c r="H51" s="93">
        <f>IF(COUNTIFS('Data - Monthly Metrics'!A:A,$B$4,'Data - Monthly Metrics'!B:B,"Mar",'Data - Monthly Metrics'!C:C,"Spokane/NE",'Data - Monthly Metrics'!D:D,"Members Up for Renewal - Target (#)")=0,"-",SUMIFS('Data - Monthly Metrics'!E:E,'Data - Monthly Metrics'!A:A,$B$4,'Data - Monthly Metrics'!B:B,"Mar",'Data - Monthly Metrics'!C:C,"Spokane/NE",'Data - Monthly Metrics'!D:D,"Members Up for Renewal - Target (#)"))</f>
        <v/>
      </c>
      <c r="I51" s="103">
        <f>SUM(F51,G51,H51)</f>
        <v/>
      </c>
      <c r="J51" s="93">
        <f>IF(COUNTIFS('Data - Monthly Metrics'!A:A,$B$4,'Data - Monthly Metrics'!B:B,"Apr",'Data - Monthly Metrics'!C:C,"Spokane/NE",'Data - Monthly Metrics'!D:D,"Members Up for Renewal - Target (#)")=0,"-",SUMIFS('Data - Monthly Metrics'!E:E,'Data - Monthly Metrics'!A:A,$B$4,'Data - Monthly Metrics'!B:B,"Apr",'Data - Monthly Metrics'!C:C,"Spokane/NE",'Data - Monthly Metrics'!D:D,"Members Up for Renewal - Target (#)"))</f>
        <v/>
      </c>
      <c r="K51" s="93">
        <f>IF(COUNTIFS('Data - Monthly Metrics'!A:A,$B$4,'Data - Monthly Metrics'!B:B,"May",'Data - Monthly Metrics'!C:C,"Spokane/NE",'Data - Monthly Metrics'!D:D,"Members Up for Renewal - Target (#)")=0,"-",SUMIFS('Data - Monthly Metrics'!E:E,'Data - Monthly Metrics'!A:A,$B$4,'Data - Monthly Metrics'!B:B,"May",'Data - Monthly Metrics'!C:C,"Spokane/NE",'Data - Monthly Metrics'!D:D,"Members Up for Renewal - Target (#)"))</f>
        <v/>
      </c>
      <c r="L51" s="93">
        <f>IF(COUNTIFS('Data - Monthly Metrics'!A:A,$B$4,'Data - Monthly Metrics'!B:B,"Jun",'Data - Monthly Metrics'!C:C,"Spokane/NE",'Data - Monthly Metrics'!D:D,"Members Up for Renewal - Target (#)")=0,"-",SUMIFS('Data - Monthly Metrics'!E:E,'Data - Monthly Metrics'!A:A,$B$4,'Data - Monthly Metrics'!B:B,"Jun",'Data - Monthly Metrics'!C:C,"Spokane/NE",'Data - Monthly Metrics'!D:D,"Members Up for Renewal - Target (#)"))</f>
        <v/>
      </c>
      <c r="M51" s="103">
        <f>SUM(J51,K51,L51)</f>
        <v/>
      </c>
      <c r="N51" s="93">
        <f>IF(COUNTIFS('Data - Monthly Metrics'!A:A,$B$4,'Data - Monthly Metrics'!B:B,"Jul",'Data - Monthly Metrics'!C:C,"Spokane/NE",'Data - Monthly Metrics'!D:D,"Members Up for Renewal - Target (#)")=0,"-",SUMIFS('Data - Monthly Metrics'!E:E,'Data - Monthly Metrics'!A:A,$B$4,'Data - Monthly Metrics'!B:B,"Jul",'Data - Monthly Metrics'!C:C,"Spokane/NE",'Data - Monthly Metrics'!D:D,"Members Up for Renewal - Target (#)"))</f>
        <v/>
      </c>
      <c r="O51" s="93">
        <f>IF(COUNTIFS('Data - Monthly Metrics'!A:A,$B$4,'Data - Monthly Metrics'!B:B,"Aug",'Data - Monthly Metrics'!C:C,"Spokane/NE",'Data - Monthly Metrics'!D:D,"Members Up for Renewal - Target (#)")=0,"-",SUMIFS('Data - Monthly Metrics'!E:E,'Data - Monthly Metrics'!A:A,$B$4,'Data - Monthly Metrics'!B:B,"Aug",'Data - Monthly Metrics'!C:C,"Spokane/NE",'Data - Monthly Metrics'!D:D,"Members Up for Renewal - Target (#)"))</f>
        <v/>
      </c>
      <c r="P51" s="93">
        <f>IF(COUNTIFS('Data - Monthly Metrics'!A:A,$B$4,'Data - Monthly Metrics'!B:B,"Sep",'Data - Monthly Metrics'!C:C,"Spokane/NE",'Data - Monthly Metrics'!D:D,"Members Up for Renewal - Target (#)")=0,"-",SUMIFS('Data - Monthly Metrics'!E:E,'Data - Monthly Metrics'!A:A,$B$4,'Data - Monthly Metrics'!B:B,"Sep",'Data - Monthly Metrics'!C:C,"Spokane/NE",'Data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Metrics'!C:C,"Spokane/NE",'Data - Monthly Metrics'!D:D,"Members Retained - Target (#)")=0,"-",SUMIFS('Data - Monthly Metrics'!E:E,'Data - Monthly Metrics'!A:A,$B$4-1,'Data - Monthly Metrics'!B:B,"Oct",'Data - Monthly Metrics'!C:C,"Spokane/NE",'Data - Monthly Metrics'!D:D,"Members Retained - Target (#)"))</f>
        <v/>
      </c>
      <c r="C52" s="98">
        <f>IF(COUNTIFS('Data - Monthly Metrics'!A:A,$B$4-1,'Data - Monthly Metrics'!B:B,"Nov",'Data - Monthly Metrics'!C:C,"Spokane/NE",'Data - Monthly Metrics'!D:D,"Members Retained - Target (#)")=0,"-",SUMIFS('Data - Monthly Metrics'!E:E,'Data - Monthly Metrics'!A:A,$B$4-1,'Data - Monthly Metrics'!B:B,"Nov",'Data - Monthly Metrics'!C:C,"Spokane/NE",'Data - Monthly Metrics'!D:D,"Members Retained - Target (#)"))</f>
        <v/>
      </c>
      <c r="D52" s="98">
        <f>IF(COUNTIFS('Data - Monthly Metrics'!A:A,$B$4-1,'Data - Monthly Metrics'!B:B,"Dec",'Data - Monthly Metrics'!C:C,"Spokane/NE",'Data - Monthly Metrics'!D:D,"Members Retained - Target (#)")=0,"-",SUMIFS('Data - Monthly Metrics'!E:E,'Data - Monthly Metrics'!A:A,$B$4-1,'Data - Monthly Metrics'!B:B,"Dec",'Data - Monthly Metrics'!C:C,"Spokane/NE",'Data - Monthly Metrics'!D:D,"Members Retained - Target (#)"))</f>
        <v/>
      </c>
      <c r="E52" s="103">
        <f>SUM(B52,C52,D52)</f>
        <v/>
      </c>
      <c r="F52" s="98">
        <f>IF(COUNTIFS('Data - Monthly Metrics'!A:A,$B$4,'Data - Monthly Metrics'!B:B,"Jan",'Data - Monthly Metrics'!C:C,"Spokane/NE",'Data - Monthly Metrics'!D:D,"Members Retained - Target (#)")=0,"-",SUMIFS('Data - Monthly Metrics'!E:E,'Data - Monthly Metrics'!A:A,$B$4,'Data - Monthly Metrics'!B:B,"Jan",'Data - Monthly Metrics'!C:C,"Spokane/NE",'Data - Monthly Metrics'!D:D,"Members Retained - Target (#)"))</f>
        <v/>
      </c>
      <c r="G52" s="98">
        <f>IF(COUNTIFS('Data - Monthly Metrics'!A:A,$B$4,'Data - Monthly Metrics'!B:B,"Feb",'Data - Monthly Metrics'!C:C,"Spokane/NE",'Data - Monthly Metrics'!D:D,"Members Retained - Target (#)")=0,"-",SUMIFS('Data - Monthly Metrics'!E:E,'Data - Monthly Metrics'!A:A,$B$4,'Data - Monthly Metrics'!B:B,"Feb",'Data - Monthly Metrics'!C:C,"Spokane/NE",'Data - Monthly Metrics'!D:D,"Members Retained - Target (#)"))</f>
        <v/>
      </c>
      <c r="H52" s="98">
        <f>IF(COUNTIFS('Data - Monthly Metrics'!A:A,$B$4,'Data - Monthly Metrics'!B:B,"Mar",'Data - Monthly Metrics'!C:C,"Spokane/NE",'Data - Monthly Metrics'!D:D,"Members Retained - Target (#)")=0,"-",SUMIFS('Data - Monthly Metrics'!E:E,'Data - Monthly Metrics'!A:A,$B$4,'Data - Monthly Metrics'!B:B,"Mar",'Data - Monthly Metrics'!C:C,"Spokane/NE",'Data - Monthly Metrics'!D:D,"Members Retained - Target (#)"))</f>
        <v/>
      </c>
      <c r="I52" s="103">
        <f>SUM(F52,G52,H52)</f>
        <v/>
      </c>
      <c r="J52" s="98">
        <f>IF(COUNTIFS('Data - Monthly Metrics'!A:A,$B$4,'Data - Monthly Metrics'!B:B,"Apr",'Data - Monthly Metrics'!C:C,"Spokane/NE",'Data - Monthly Metrics'!D:D,"Members Retained - Target (#)")=0,"-",SUMIFS('Data - Monthly Metrics'!E:E,'Data - Monthly Metrics'!A:A,$B$4,'Data - Monthly Metrics'!B:B,"Apr",'Data - Monthly Metrics'!C:C,"Spokane/NE",'Data - Monthly Metrics'!D:D,"Members Retained - Target (#)"))</f>
        <v/>
      </c>
      <c r="K52" s="98">
        <f>IF(COUNTIFS('Data - Monthly Metrics'!A:A,$B$4,'Data - Monthly Metrics'!B:B,"May",'Data - Monthly Metrics'!C:C,"Spokane/NE",'Data - Monthly Metrics'!D:D,"Members Retained - Target (#)")=0,"-",SUMIFS('Data - Monthly Metrics'!E:E,'Data - Monthly Metrics'!A:A,$B$4,'Data - Monthly Metrics'!B:B,"May",'Data - Monthly Metrics'!C:C,"Spokane/NE",'Data - Monthly Metrics'!D:D,"Members Retained - Target (#)"))</f>
        <v/>
      </c>
      <c r="L52" s="98">
        <f>IF(COUNTIFS('Data - Monthly Metrics'!A:A,$B$4,'Data - Monthly Metrics'!B:B,"Jun",'Data - Monthly Metrics'!C:C,"Spokane/NE",'Data - Monthly Metrics'!D:D,"Members Retained - Target (#)")=0,"-",SUMIFS('Data - Monthly Metrics'!E:E,'Data - Monthly Metrics'!A:A,$B$4,'Data - Monthly Metrics'!B:B,"Jun",'Data - Monthly Metrics'!C:C,"Spokane/NE",'Data - Monthly Metrics'!D:D,"Members Retained - Target (#)"))</f>
        <v/>
      </c>
      <c r="M52" s="103">
        <f>SUM(J52,K52,L52)</f>
        <v/>
      </c>
      <c r="N52" s="98">
        <f>IF(COUNTIFS('Data - Monthly Metrics'!A:A,$B$4,'Data - Monthly Metrics'!B:B,"Jul",'Data - Monthly Metrics'!C:C,"Spokane/NE",'Data - Monthly Metrics'!D:D,"Members Retained - Target (#)")=0,"-",SUMIFS('Data - Monthly Metrics'!E:E,'Data - Monthly Metrics'!A:A,$B$4,'Data - Monthly Metrics'!B:B,"Jul",'Data - Monthly Metrics'!C:C,"Spokane/NE",'Data - Monthly Metrics'!D:D,"Members Retained - Target (#)"))</f>
        <v/>
      </c>
      <c r="O52" s="98">
        <f>IF(COUNTIFS('Data - Monthly Metrics'!A:A,$B$4,'Data - Monthly Metrics'!B:B,"Aug",'Data - Monthly Metrics'!C:C,"Spokane/NE",'Data - Monthly Metrics'!D:D,"Members Retained - Target (#)")=0,"-",SUMIFS('Data - Monthly Metrics'!E:E,'Data - Monthly Metrics'!A:A,$B$4,'Data - Monthly Metrics'!B:B,"Aug",'Data - Monthly Metrics'!C:C,"Spokane/NE",'Data - Monthly Metrics'!D:D,"Members Retained - Target (#)"))</f>
        <v/>
      </c>
      <c r="P52" s="98">
        <f>IF(COUNTIFS('Data - Monthly Metrics'!A:A,$B$4,'Data - Monthly Metrics'!B:B,"Sep",'Data - Monthly Metrics'!C:C,"Spokane/NE",'Data - Monthly Metrics'!D:D,"Members Retained - Target (#)")=0,"-",SUMIFS('Data - Monthly Metrics'!E:E,'Data - Monthly Metrics'!A:A,$B$4,'Data - Monthly Metrics'!B:B,"Sep",'Data - Monthly Metrics'!C:C,"Spokane/NE",'Data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Metrics'!$C:$C,"Spokane/NE",'Data - Monthly Metrics'!$D:$D,"Goal - Retention %")=0),"—",IF(B53&gt;=SUMIFS('Data - Monthly Metrics'!$E:$E,'Data - Monthly Metrics'!$A:$A,$B$4-1,'Data - Monthly Metrics'!$B:$B,B$8,'Data - Monthly Metrics'!$C:$C,"Spokane/NE",'Data - Monthly Metrics'!$D:$D,"Goal - Retention %"),"On Track",IF(B53&gt;=SUMIFS('Data - Monthly Metrics'!$E:$E,'Data - Monthly Metrics'!$A:$A,$B$4-1,'Data - Monthly Metrics'!$B:$B,B$8,'Data - Monthly Metrics'!$C:$C,"Spokane/NE",'Data - Monthly Metrics'!$D:$D,"Goal - Retention %")-0.05,"Watch","At Risk")))</f>
        <v/>
      </c>
      <c r="C54" s="120">
        <f>IF(OR(NOT(ISNUMBER(C53)),C53=0,COUNTIFS('Data - Monthly Metrics'!$A:$A,$B$4-1,'Data - Monthly Metrics'!$B:$B,C$8,'Data - Monthly Metrics'!$C:$C,"Spokane/NE",'Data - Monthly Metrics'!$D:$D,"Goal - Retention %")=0),"—",IF(C53&gt;=SUMIFS('Data - Monthly Metrics'!$E:$E,'Data - Monthly Metrics'!$A:$A,$B$4-1,'Data - Monthly Metrics'!$B:$B,C$8,'Data - Monthly Metrics'!$C:$C,"Spokane/NE",'Data - Monthly Metrics'!$D:$D,"Goal - Retention %"),"On Track",IF(C53&gt;=SUMIFS('Data - Monthly Metrics'!$E:$E,'Data - Monthly Metrics'!$A:$A,$B$4-1,'Data - Monthly Metrics'!$B:$B,C$8,'Data - Monthly Metrics'!$C:$C,"Spokane/NE",'Data - Monthly Metrics'!$D:$D,"Goal - Retention %")-0.05,"Watch","At Risk")))</f>
        <v/>
      </c>
      <c r="D54" s="120">
        <f>IF(OR(NOT(ISNUMBER(D53)),D53=0,COUNTIFS('Data - Monthly Metrics'!$A:$A,$B$4-1,'Data - Monthly Metrics'!$B:$B,D$8,'Data - Monthly Metrics'!$C:$C,"Spokane/NE",'Data - Monthly Metrics'!$D:$D,"Goal - Retention %")=0),"—",IF(D53&gt;=SUMIFS('Data - Monthly Metrics'!$E:$E,'Data - Monthly Metrics'!$A:$A,$B$4-1,'Data - Monthly Metrics'!$B:$B,D$8,'Data - Monthly Metrics'!$C:$C,"Spokane/NE",'Data - Monthly Metrics'!$D:$D,"Goal - Retention %"),"On Track",IF(D53&gt;=SUMIFS('Data - Monthly Metrics'!$E:$E,'Data - Monthly Metrics'!$A:$A,$B$4-1,'Data - Monthly Metrics'!$B:$B,D$8,'Data - Monthly Metrics'!$C:$C,"Spokane/NE",'Data - Monthly Metrics'!$D:$D,"Goal - Retention %")-0.05,"Watch","At Risk")))</f>
        <v/>
      </c>
      <c r="E54" s="121">
        <f>"—"</f>
        <v/>
      </c>
      <c r="F54" s="120">
        <f>IF(OR(NOT(ISNUMBER(F53)),F53=0,COUNTIFS('Data - Monthly Metrics'!$A:$A,$B$4,'Data - Monthly Metrics'!$B:$B,F$8,'Data - Monthly Metrics'!$C:$C,"Spokane/NE",'Data - Monthly Metrics'!$D:$D,"Goal - Retention %")=0),"—",IF(F53&gt;=SUMIFS('Data - Monthly Metrics'!$E:$E,'Data - Monthly Metrics'!$A:$A,$B$4,'Data - Monthly Metrics'!$B:$B,F$8,'Data - Monthly Metrics'!$C:$C,"Spokane/NE",'Data - Monthly Metrics'!$D:$D,"Goal - Retention %"),"On Track",IF(F53&gt;=SUMIFS('Data - Monthly Metrics'!$E:$E,'Data - Monthly Metrics'!$A:$A,$B$4,'Data - Monthly Metrics'!$B:$B,F$8,'Data - Monthly Metrics'!$C:$C,"Spokane/NE",'Data - Monthly Metrics'!$D:$D,"Goal - Retention %")-0.05,"Watch","At Risk")))</f>
        <v/>
      </c>
      <c r="G54" s="120">
        <f>IF(OR(NOT(ISNUMBER(G53)),G53=0,COUNTIFS('Data - Monthly Metrics'!$A:$A,$B$4,'Data - Monthly Metrics'!$B:$B,G$8,'Data - Monthly Metrics'!$C:$C,"Spokane/NE",'Data - Monthly Metrics'!$D:$D,"Goal - Retention %")=0),"—",IF(G53&gt;=SUMIFS('Data - Monthly Metrics'!$E:$E,'Data - Monthly Metrics'!$A:$A,$B$4,'Data - Monthly Metrics'!$B:$B,G$8,'Data - Monthly Metrics'!$C:$C,"Spokane/NE",'Data - Monthly Metrics'!$D:$D,"Goal - Retention %"),"On Track",IF(G53&gt;=SUMIFS('Data - Monthly Metrics'!$E:$E,'Data - Monthly Metrics'!$A:$A,$B$4,'Data - Monthly Metrics'!$B:$B,G$8,'Data - Monthly Metrics'!$C:$C,"Spokane/NE",'Data - Monthly Metrics'!$D:$D,"Goal - Retention %")-0.05,"Watch","At Risk")))</f>
        <v/>
      </c>
      <c r="H54" s="120">
        <f>IF(OR(NOT(ISNUMBER(H53)),H53=0,COUNTIFS('Data - Monthly Metrics'!$A:$A,$B$4,'Data - Monthly Metrics'!$B:$B,H$8,'Data - Monthly Metrics'!$C:$C,"Spokane/NE",'Data - Monthly Metrics'!$D:$D,"Goal - Retention %")=0),"—",IF(H53&gt;=SUMIFS('Data - Monthly Metrics'!$E:$E,'Data - Monthly Metrics'!$A:$A,$B$4,'Data - Monthly Metrics'!$B:$B,H$8,'Data - Monthly Metrics'!$C:$C,"Spokane/NE",'Data - Monthly Metrics'!$D:$D,"Goal - Retention %"),"On Track",IF(H53&gt;=SUMIFS('Data - Monthly Metrics'!$E:$E,'Data - Monthly Metrics'!$A:$A,$B$4,'Data - Monthly Metrics'!$B:$B,H$8,'Data - Monthly Metrics'!$C:$C,"Spokane/NE",'Data - Monthly Metrics'!$D:$D,"Goal - Retention %")-0.05,"Watch","At Risk")))</f>
        <v/>
      </c>
      <c r="I54" s="121">
        <f>"—"</f>
        <v/>
      </c>
      <c r="J54" s="120">
        <f>IF(OR(NOT(ISNUMBER(J53)),J53=0,COUNTIFS('Data - Monthly Metrics'!$A:$A,$B$4,'Data - Monthly Metrics'!$B:$B,J$8,'Data - Monthly Metrics'!$C:$C,"Spokane/NE",'Data - Monthly Metrics'!$D:$D,"Goal - Retention %")=0),"—",IF(J53&gt;=SUMIFS('Data - Monthly Metrics'!$E:$E,'Data - Monthly Metrics'!$A:$A,$B$4,'Data - Monthly Metrics'!$B:$B,J$8,'Data - Monthly Metrics'!$C:$C,"Spokane/NE",'Data - Monthly Metrics'!$D:$D,"Goal - Retention %"),"On Track",IF(J53&gt;=SUMIFS('Data - Monthly Metrics'!$E:$E,'Data - Monthly Metrics'!$A:$A,$B$4,'Data - Monthly Metrics'!$B:$B,J$8,'Data - Monthly Metrics'!$C:$C,"Spokane/NE",'Data - Monthly Metrics'!$D:$D,"Goal - Retention %")-0.05,"Watch","At Risk")))</f>
        <v/>
      </c>
      <c r="K54" s="120">
        <f>IF(OR(NOT(ISNUMBER(K53)),K53=0,COUNTIFS('Data - Monthly Metrics'!$A:$A,$B$4,'Data - Monthly Metrics'!$B:$B,K$8,'Data - Monthly Metrics'!$C:$C,"Spokane/NE",'Data - Monthly Metrics'!$D:$D,"Goal - Retention %")=0),"—",IF(K53&gt;=SUMIFS('Data - Monthly Metrics'!$E:$E,'Data - Monthly Metrics'!$A:$A,$B$4,'Data - Monthly Metrics'!$B:$B,K$8,'Data - Monthly Metrics'!$C:$C,"Spokane/NE",'Data - Monthly Metrics'!$D:$D,"Goal - Retention %"),"On Track",IF(K53&gt;=SUMIFS('Data - Monthly Metrics'!$E:$E,'Data - Monthly Metrics'!$A:$A,$B$4,'Data - Monthly Metrics'!$B:$B,K$8,'Data - Monthly Metrics'!$C:$C,"Spokane/NE",'Data - Monthly Metrics'!$D:$D,"Goal - Retention %")-0.05,"Watch","At Risk")))</f>
        <v/>
      </c>
      <c r="L54" s="120">
        <f>IF(OR(NOT(ISNUMBER(L53)),L53=0,COUNTIFS('Data - Monthly Metrics'!$A:$A,$B$4,'Data - Monthly Metrics'!$B:$B,L$8,'Data - Monthly Metrics'!$C:$C,"Spokane/NE",'Data - Monthly Metrics'!$D:$D,"Goal - Retention %")=0),"—",IF(L53&gt;=SUMIFS('Data - Monthly Metrics'!$E:$E,'Data - Monthly Metrics'!$A:$A,$B$4,'Data - Monthly Metrics'!$B:$B,L$8,'Data - Monthly Metrics'!$C:$C,"Spokane/NE",'Data - Monthly Metrics'!$D:$D,"Goal - Retention %"),"On Track",IF(L53&gt;=SUMIFS('Data - Monthly Metrics'!$E:$E,'Data - Monthly Metrics'!$A:$A,$B$4,'Data - Monthly Metrics'!$B:$B,L$8,'Data - Monthly Metrics'!$C:$C,"Spokane/NE",'Data - Monthly Metrics'!$D:$D,"Goal - Retention %")-0.05,"Watch","At Risk")))</f>
        <v/>
      </c>
      <c r="M54" s="121">
        <f>"—"</f>
        <v/>
      </c>
      <c r="N54" s="120">
        <f>IF(OR(NOT(ISNUMBER(N53)),N53=0,COUNTIFS('Data - Monthly Metrics'!$A:$A,$B$4,'Data - Monthly Metrics'!$B:$B,N$8,'Data - Monthly Metrics'!$C:$C,"Spokane/NE",'Data - Monthly Metrics'!$D:$D,"Goal - Retention %")=0),"—",IF(N53&gt;=SUMIFS('Data - Monthly Metrics'!$E:$E,'Data - Monthly Metrics'!$A:$A,$B$4,'Data - Monthly Metrics'!$B:$B,N$8,'Data - Monthly Metrics'!$C:$C,"Spokane/NE",'Data - Monthly Metrics'!$D:$D,"Goal - Retention %"),"On Track",IF(N53&gt;=SUMIFS('Data - Monthly Metrics'!$E:$E,'Data - Monthly Metrics'!$A:$A,$B$4,'Data - Monthly Metrics'!$B:$B,N$8,'Data - Monthly Metrics'!$C:$C,"Spokane/NE",'Data - Monthly Metrics'!$D:$D,"Goal - Retention %")-0.05,"Watch","At Risk")))</f>
        <v/>
      </c>
      <c r="O54" s="120">
        <f>IF(OR(NOT(ISNUMBER(O53)),O53=0,COUNTIFS('Data - Monthly Metrics'!$A:$A,$B$4,'Data - Monthly Metrics'!$B:$B,O$8,'Data - Monthly Metrics'!$C:$C,"Spokane/NE",'Data - Monthly Metrics'!$D:$D,"Goal - Retention %")=0),"—",IF(O53&gt;=SUMIFS('Data - Monthly Metrics'!$E:$E,'Data - Monthly Metrics'!$A:$A,$B$4,'Data - Monthly Metrics'!$B:$B,O$8,'Data - Monthly Metrics'!$C:$C,"Spokane/NE",'Data - Monthly Metrics'!$D:$D,"Goal - Retention %"),"On Track",IF(O53&gt;=SUMIFS('Data - Monthly Metrics'!$E:$E,'Data - Monthly Metrics'!$A:$A,$B$4,'Data - Monthly Metrics'!$B:$B,O$8,'Data - Monthly Metrics'!$C:$C,"Spokane/NE",'Data - Monthly Metrics'!$D:$D,"Goal - Retention %")-0.05,"Watch","At Risk")))</f>
        <v/>
      </c>
      <c r="P54" s="120">
        <f>IF(OR(NOT(ISNUMBER(P53)),P53=0,COUNTIFS('Data - Monthly Metrics'!$A:$A,$B$4,'Data - Monthly Metrics'!$B:$B,P$8,'Data - Monthly Metrics'!$C:$C,"Spokane/NE",'Data - Monthly Metrics'!$D:$D,"Goal - Retention %")=0),"—",IF(P53&gt;=SUMIFS('Data - Monthly Metrics'!$E:$E,'Data - Monthly Metrics'!$A:$A,$B$4,'Data - Monthly Metrics'!$B:$B,P$8,'Data - Monthly Metrics'!$C:$C,"Spokane/NE",'Data - Monthly Metrics'!$D:$D,"Goal - Retention %"),"On Track",IF(P53&gt;=SUMIFS('Data - Monthly Metrics'!$E:$E,'Data - Monthly Metrics'!$A:$A,$B$4,'Data - Monthly Metrics'!$B:$B,P$8,'Data - Monthly Metrics'!$C:$C,"Spokane/NE",'Data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Metrics'!C:C,"Spokane/NE",'Data - Monthly Metrics'!D:D,"Revenue Up for Renewal - Target ($)")=0,"-",SUMIFS('Data - Monthly Metrics'!E:E,'Data - Monthly Metrics'!A:A,$B$4-1,'Data - Monthly Metrics'!B:B,"Oct",'Data - Monthly Metrics'!C:C,"Spokane/NE",'Data - Monthly Metrics'!D:D,"Revenue Up for Renewal - Target ($)"))</f>
        <v/>
      </c>
      <c r="C55" s="91">
        <f>IF(COUNTIFS('Data - Monthly Metrics'!A:A,$B$4-1,'Data - Monthly Metrics'!B:B,"Nov",'Data - Monthly Metrics'!C:C,"Spokane/NE",'Data - Monthly Metrics'!D:D,"Revenue Up for Renewal - Target ($)")=0,"-",SUMIFS('Data - Monthly Metrics'!E:E,'Data - Monthly Metrics'!A:A,$B$4-1,'Data - Monthly Metrics'!B:B,"Nov",'Data - Monthly Metrics'!C:C,"Spokane/NE",'Data - Monthly Metrics'!D:D,"Revenue Up for Renewal - Target ($)"))</f>
        <v/>
      </c>
      <c r="D55" s="91">
        <f>IF(COUNTIFS('Data - Monthly Metrics'!A:A,$B$4-1,'Data - Monthly Metrics'!B:B,"Dec",'Data - Monthly Metrics'!C:C,"Spokane/NE",'Data - Monthly Metrics'!D:D,"Revenue Up for Renewal - Target ($)")=0,"-",SUMIFS('Data - Monthly Metrics'!E:E,'Data - Monthly Metrics'!A:A,$B$4-1,'Data - Monthly Metrics'!B:B,"Dec",'Data - Monthly Metrics'!C:C,"Spokane/NE",'Data - Monthly Metrics'!D:D,"Revenue Up for Renewal - Target ($)"))</f>
        <v/>
      </c>
      <c r="E55" s="101">
        <f>SUM(B55,C55,D55)</f>
        <v/>
      </c>
      <c r="F55" s="91">
        <f>IF(COUNTIFS('Data - Monthly Metrics'!A:A,$B$4,'Data - Monthly Metrics'!B:B,"Jan",'Data - Monthly Metrics'!C:C,"Spokane/NE",'Data - Monthly Metrics'!D:D,"Revenue Up for Renewal - Target ($)")=0,"-",SUMIFS('Data - Monthly Metrics'!E:E,'Data - Monthly Metrics'!A:A,$B$4,'Data - Monthly Metrics'!B:B,"Jan",'Data - Monthly Metrics'!C:C,"Spokane/NE",'Data - Monthly Metrics'!D:D,"Revenue Up for Renewal - Target ($)"))</f>
        <v/>
      </c>
      <c r="G55" s="91">
        <f>IF(COUNTIFS('Data - Monthly Metrics'!A:A,$B$4,'Data - Monthly Metrics'!B:B,"Feb",'Data - Monthly Metrics'!C:C,"Spokane/NE",'Data - Monthly Metrics'!D:D,"Revenue Up for Renewal - Target ($)")=0,"-",SUMIFS('Data - Monthly Metrics'!E:E,'Data - Monthly Metrics'!A:A,$B$4,'Data - Monthly Metrics'!B:B,"Feb",'Data - Monthly Metrics'!C:C,"Spokane/NE",'Data - Monthly Metrics'!D:D,"Revenue Up for Renewal - Target ($)"))</f>
        <v/>
      </c>
      <c r="H55" s="91">
        <f>IF(COUNTIFS('Data - Monthly Metrics'!A:A,$B$4,'Data - Monthly Metrics'!B:B,"Mar",'Data - Monthly Metrics'!C:C,"Spokane/NE",'Data - Monthly Metrics'!D:D,"Revenue Up for Renewal - Target ($)")=0,"-",SUMIFS('Data - Monthly Metrics'!E:E,'Data - Monthly Metrics'!A:A,$B$4,'Data - Monthly Metrics'!B:B,"Mar",'Data - Monthly Metrics'!C:C,"Spokane/NE",'Data - Monthly Metrics'!D:D,"Revenue Up for Renewal - Target ($)"))</f>
        <v/>
      </c>
      <c r="I55" s="101">
        <f>SUM(F55,G55,H55)</f>
        <v/>
      </c>
      <c r="J55" s="91">
        <f>IF(COUNTIFS('Data - Monthly Metrics'!A:A,$B$4,'Data - Monthly Metrics'!B:B,"Apr",'Data - Monthly Metrics'!C:C,"Spokane/NE",'Data - Monthly Metrics'!D:D,"Revenue Up for Renewal - Target ($)")=0,"-",SUMIFS('Data - Monthly Metrics'!E:E,'Data - Monthly Metrics'!A:A,$B$4,'Data - Monthly Metrics'!B:B,"Apr",'Data - Monthly Metrics'!C:C,"Spokane/NE",'Data - Monthly Metrics'!D:D,"Revenue Up for Renewal - Target ($)"))</f>
        <v/>
      </c>
      <c r="K55" s="91">
        <f>IF(COUNTIFS('Data - Monthly Metrics'!A:A,$B$4,'Data - Monthly Metrics'!B:B,"May",'Data - Monthly Metrics'!C:C,"Spokane/NE",'Data - Monthly Metrics'!D:D,"Revenue Up for Renewal - Target ($)")=0,"-",SUMIFS('Data - Monthly Metrics'!E:E,'Data - Monthly Metrics'!A:A,$B$4,'Data - Monthly Metrics'!B:B,"May",'Data - Monthly Metrics'!C:C,"Spokane/NE",'Data - Monthly Metrics'!D:D,"Revenue Up for Renewal - Target ($)"))</f>
        <v/>
      </c>
      <c r="L55" s="91">
        <f>IF(COUNTIFS('Data - Monthly Metrics'!A:A,$B$4,'Data - Monthly Metrics'!B:B,"Jun",'Data - Monthly Metrics'!C:C,"Spokane/NE",'Data - Monthly Metrics'!D:D,"Revenue Up for Renewal - Target ($)")=0,"-",SUMIFS('Data - Monthly Metrics'!E:E,'Data - Monthly Metrics'!A:A,$B$4,'Data - Monthly Metrics'!B:B,"Jun",'Data - Monthly Metrics'!C:C,"Spokane/NE",'Data - Monthly Metrics'!D:D,"Revenue Up for Renewal - Target ($)"))</f>
        <v/>
      </c>
      <c r="M55" s="101">
        <f>SUM(J55,K55,L55)</f>
        <v/>
      </c>
      <c r="N55" s="91">
        <f>IF(COUNTIFS('Data - Monthly Metrics'!A:A,$B$4,'Data - Monthly Metrics'!B:B,"Jul",'Data - Monthly Metrics'!C:C,"Spokane/NE",'Data - Monthly Metrics'!D:D,"Revenue Up for Renewal - Target ($)")=0,"-",SUMIFS('Data - Monthly Metrics'!E:E,'Data - Monthly Metrics'!A:A,$B$4,'Data - Monthly Metrics'!B:B,"Jul",'Data - Monthly Metrics'!C:C,"Spokane/NE",'Data - Monthly Metrics'!D:D,"Revenue Up for Renewal - Target ($)"))</f>
        <v/>
      </c>
      <c r="O55" s="91">
        <f>IF(COUNTIFS('Data - Monthly Metrics'!A:A,$B$4,'Data - Monthly Metrics'!B:B,"Aug",'Data - Monthly Metrics'!C:C,"Spokane/NE",'Data - Monthly Metrics'!D:D,"Revenue Up for Renewal - Target ($)")=0,"-",SUMIFS('Data - Monthly Metrics'!E:E,'Data - Monthly Metrics'!A:A,$B$4,'Data - Monthly Metrics'!B:B,"Aug",'Data - Monthly Metrics'!C:C,"Spokane/NE",'Data - Monthly Metrics'!D:D,"Revenue Up for Renewal - Target ($)"))</f>
        <v/>
      </c>
      <c r="P55" s="91">
        <f>IF(COUNTIFS('Data - Monthly Metrics'!A:A,$B$4,'Data - Monthly Metrics'!B:B,"Sep",'Data - Monthly Metrics'!C:C,"Spokane/NE",'Data - Monthly Metrics'!D:D,"Revenue Up for Renewal - Target ($)")=0,"-",SUMIFS('Data - Monthly Metrics'!E:E,'Data - Monthly Metrics'!A:A,$B$4,'Data - Monthly Metrics'!B:B,"Sep",'Data - Monthly Metrics'!C:C,"Spokane/NE",'Data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Metrics'!C:C,"Spokane/NE",'Data - Monthly Metrics'!D:D,"Revenue Retained - Target ($)")=0,"-",SUMIFS('Data - Monthly Metrics'!E:E,'Data - Monthly Metrics'!A:A,$B$4-1,'Data - Monthly Metrics'!B:B,"Oct",'Data - Monthly Metrics'!C:C,"Spokane/NE",'Data - Monthly Metrics'!D:D,"Revenue Retained - Target ($)"))</f>
        <v/>
      </c>
      <c r="C56" s="96">
        <f>IF(COUNTIFS('Data - Monthly Metrics'!A:A,$B$4-1,'Data - Monthly Metrics'!B:B,"Nov",'Data - Monthly Metrics'!C:C,"Spokane/NE",'Data - Monthly Metrics'!D:D,"Revenue Retained - Target ($)")=0,"-",SUMIFS('Data - Monthly Metrics'!E:E,'Data - Monthly Metrics'!A:A,$B$4-1,'Data - Monthly Metrics'!B:B,"Nov",'Data - Monthly Metrics'!C:C,"Spokane/NE",'Data - Monthly Metrics'!D:D,"Revenue Retained - Target ($)"))</f>
        <v/>
      </c>
      <c r="D56" s="96">
        <f>IF(COUNTIFS('Data - Monthly Metrics'!A:A,$B$4-1,'Data - Monthly Metrics'!B:B,"Dec",'Data - Monthly Metrics'!C:C,"Spokane/NE",'Data - Monthly Metrics'!D:D,"Revenue Retained - Target ($)")=0,"-",SUMIFS('Data - Monthly Metrics'!E:E,'Data - Monthly Metrics'!A:A,$B$4-1,'Data - Monthly Metrics'!B:B,"Dec",'Data - Monthly Metrics'!C:C,"Spokane/NE",'Data - Monthly Metrics'!D:D,"Revenue Retained - Target ($)"))</f>
        <v/>
      </c>
      <c r="E56" s="101">
        <f>SUM(B56,C56,D56)</f>
        <v/>
      </c>
      <c r="F56" s="96">
        <f>IF(COUNTIFS('Data - Monthly Metrics'!A:A,$B$4,'Data - Monthly Metrics'!B:B,"Jan",'Data - Monthly Metrics'!C:C,"Spokane/NE",'Data - Monthly Metrics'!D:D,"Revenue Retained - Target ($)")=0,"-",SUMIFS('Data - Monthly Metrics'!E:E,'Data - Monthly Metrics'!A:A,$B$4,'Data - Monthly Metrics'!B:B,"Jan",'Data - Monthly Metrics'!C:C,"Spokane/NE",'Data - Monthly Metrics'!D:D,"Revenue Retained - Target ($)"))</f>
        <v/>
      </c>
      <c r="G56" s="96">
        <f>IF(COUNTIFS('Data - Monthly Metrics'!A:A,$B$4,'Data - Monthly Metrics'!B:B,"Feb",'Data - Monthly Metrics'!C:C,"Spokane/NE",'Data - Monthly Metrics'!D:D,"Revenue Retained - Target ($)")=0,"-",SUMIFS('Data - Monthly Metrics'!E:E,'Data - Monthly Metrics'!A:A,$B$4,'Data - Monthly Metrics'!B:B,"Feb",'Data - Monthly Metrics'!C:C,"Spokane/NE",'Data - Monthly Metrics'!D:D,"Revenue Retained - Target ($)"))</f>
        <v/>
      </c>
      <c r="H56" s="96">
        <f>IF(COUNTIFS('Data - Monthly Metrics'!A:A,$B$4,'Data - Monthly Metrics'!B:B,"Mar",'Data - Monthly Metrics'!C:C,"Spokane/NE",'Data - Monthly Metrics'!D:D,"Revenue Retained - Target ($)")=0,"-",SUMIFS('Data - Monthly Metrics'!E:E,'Data - Monthly Metrics'!A:A,$B$4,'Data - Monthly Metrics'!B:B,"Mar",'Data - Monthly Metrics'!C:C,"Spokane/NE",'Data - Monthly Metrics'!D:D,"Revenue Retained - Target ($)"))</f>
        <v/>
      </c>
      <c r="I56" s="101">
        <f>SUM(F56,G56,H56)</f>
        <v/>
      </c>
      <c r="J56" s="96">
        <f>IF(COUNTIFS('Data - Monthly Metrics'!A:A,$B$4,'Data - Monthly Metrics'!B:B,"Apr",'Data - Monthly Metrics'!C:C,"Spokane/NE",'Data - Monthly Metrics'!D:D,"Revenue Retained - Target ($)")=0,"-",SUMIFS('Data - Monthly Metrics'!E:E,'Data - Monthly Metrics'!A:A,$B$4,'Data - Monthly Metrics'!B:B,"Apr",'Data - Monthly Metrics'!C:C,"Spokane/NE",'Data - Monthly Metrics'!D:D,"Revenue Retained - Target ($)"))</f>
        <v/>
      </c>
      <c r="K56" s="96">
        <f>IF(COUNTIFS('Data - Monthly Metrics'!A:A,$B$4,'Data - Monthly Metrics'!B:B,"May",'Data - Monthly Metrics'!C:C,"Spokane/NE",'Data - Monthly Metrics'!D:D,"Revenue Retained - Target ($)")=0,"-",SUMIFS('Data - Monthly Metrics'!E:E,'Data - Monthly Metrics'!A:A,$B$4,'Data - Monthly Metrics'!B:B,"May",'Data - Monthly Metrics'!C:C,"Spokane/NE",'Data - Monthly Metrics'!D:D,"Revenue Retained - Target ($)"))</f>
        <v/>
      </c>
      <c r="L56" s="96">
        <f>IF(COUNTIFS('Data - Monthly Metrics'!A:A,$B$4,'Data - Monthly Metrics'!B:B,"Jun",'Data - Monthly Metrics'!C:C,"Spokane/NE",'Data - Monthly Metrics'!D:D,"Revenue Retained - Target ($)")=0,"-",SUMIFS('Data - Monthly Metrics'!E:E,'Data - Monthly Metrics'!A:A,$B$4,'Data - Monthly Metrics'!B:B,"Jun",'Data - Monthly Metrics'!C:C,"Spokane/NE",'Data - Monthly Metrics'!D:D,"Revenue Retained - Target ($)"))</f>
        <v/>
      </c>
      <c r="M56" s="101">
        <f>SUM(J56,K56,L56)</f>
        <v/>
      </c>
      <c r="N56" s="96">
        <f>IF(COUNTIFS('Data - Monthly Metrics'!A:A,$B$4,'Data - Monthly Metrics'!B:B,"Jul",'Data - Monthly Metrics'!C:C,"Spokane/NE",'Data - Monthly Metrics'!D:D,"Revenue Retained - Target ($)")=0,"-",SUMIFS('Data - Monthly Metrics'!E:E,'Data - Monthly Metrics'!A:A,$B$4,'Data - Monthly Metrics'!B:B,"Jul",'Data - Monthly Metrics'!C:C,"Spokane/NE",'Data - Monthly Metrics'!D:D,"Revenue Retained - Target ($)"))</f>
        <v/>
      </c>
      <c r="O56" s="96">
        <f>IF(COUNTIFS('Data - Monthly Metrics'!A:A,$B$4,'Data - Monthly Metrics'!B:B,"Aug",'Data - Monthly Metrics'!C:C,"Spokane/NE",'Data - Monthly Metrics'!D:D,"Revenue Retained - Target ($)")=0,"-",SUMIFS('Data - Monthly Metrics'!E:E,'Data - Monthly Metrics'!A:A,$B$4,'Data - Monthly Metrics'!B:B,"Aug",'Data - Monthly Metrics'!C:C,"Spokane/NE",'Data - Monthly Metrics'!D:D,"Revenue Retained - Target ($)"))</f>
        <v/>
      </c>
      <c r="P56" s="96">
        <f>IF(COUNTIFS('Data - Monthly Metrics'!A:A,$B$4,'Data - Monthly Metrics'!B:B,"Sep",'Data - Monthly Metrics'!C:C,"Spokane/NE",'Data - Monthly Metrics'!D:D,"Revenue Retained - Target ($)")=0,"-",SUMIFS('Data - Monthly Metrics'!E:E,'Data - Monthly Metrics'!A:A,$B$4,'Data - Monthly Metrics'!B:B,"Sep",'Data - Monthly Metrics'!C:C,"Spokane/NE",'Data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Metrics'!C:C,"Spokane/NE",'Data - Monthly Metrics'!D:D,"Retention - Comped Target (#)")=0,"-",SUMIFS('Data - Monthly Metrics'!E:E,'Data - Monthly Metrics'!A:A,$B$4-1,'Data - Monthly Metrics'!B:B,"Oct",'Data - Monthly Metrics'!C:C,"Spokane/NE",'Data - Monthly Metrics'!D:D,"Retention - Comped Target (#)"))</f>
        <v/>
      </c>
      <c r="C57" s="98">
        <f>IF(COUNTIFS('Data - Monthly Metrics'!A:A,$B$4-1,'Data - Monthly Metrics'!B:B,"Nov",'Data - Monthly Metrics'!C:C,"Spokane/NE",'Data - Monthly Metrics'!D:D,"Retention - Comped Target (#)")=0,"-",SUMIFS('Data - Monthly Metrics'!E:E,'Data - Monthly Metrics'!A:A,$B$4-1,'Data - Monthly Metrics'!B:B,"Nov",'Data - Monthly Metrics'!C:C,"Spokane/NE",'Data - Monthly Metrics'!D:D,"Retention - Comped Target (#)"))</f>
        <v/>
      </c>
      <c r="D57" s="98">
        <f>IF(COUNTIFS('Data - Monthly Metrics'!A:A,$B$4-1,'Data - Monthly Metrics'!B:B,"Dec",'Data - Monthly Metrics'!C:C,"Spokane/NE",'Data - Monthly Metrics'!D:D,"Retention - Comped Target (#)")=0,"-",SUMIFS('Data - Monthly Metrics'!E:E,'Data - Monthly Metrics'!A:A,$B$4-1,'Data - Monthly Metrics'!B:B,"Dec",'Data - Monthly Metrics'!C:C,"Spokane/NE",'Data - Monthly Metrics'!D:D,"Retention - Comped Target (#)"))</f>
        <v/>
      </c>
      <c r="E57" s="103">
        <f>SUM(B57,C57,D57)</f>
        <v/>
      </c>
      <c r="F57" s="98">
        <f>IF(COUNTIFS('Data - Monthly Metrics'!A:A,$B$4,'Data - Monthly Metrics'!B:B,"Jan",'Data - Monthly Metrics'!C:C,"Spokane/NE",'Data - Monthly Metrics'!D:D,"Retention - Comped Target (#)")=0,"-",SUMIFS('Data - Monthly Metrics'!E:E,'Data - Monthly Metrics'!A:A,$B$4,'Data - Monthly Metrics'!B:B,"Jan",'Data - Monthly Metrics'!C:C,"Spokane/NE",'Data - Monthly Metrics'!D:D,"Retention - Comped Target (#)"))</f>
        <v/>
      </c>
      <c r="G57" s="98">
        <f>IF(COUNTIFS('Data - Monthly Metrics'!A:A,$B$4,'Data - Monthly Metrics'!B:B,"Feb",'Data - Monthly Metrics'!C:C,"Spokane/NE",'Data - Monthly Metrics'!D:D,"Retention - Comped Target (#)")=0,"-",SUMIFS('Data - Monthly Metrics'!E:E,'Data - Monthly Metrics'!A:A,$B$4,'Data - Monthly Metrics'!B:B,"Feb",'Data - Monthly Metrics'!C:C,"Spokane/NE",'Data - Monthly Metrics'!D:D,"Retention - Comped Target (#)"))</f>
        <v/>
      </c>
      <c r="H57" s="98">
        <f>IF(COUNTIFS('Data - Monthly Metrics'!A:A,$B$4,'Data - Monthly Metrics'!B:B,"Mar",'Data - Monthly Metrics'!C:C,"Spokane/NE",'Data - Monthly Metrics'!D:D,"Retention - Comped Target (#)")=0,"-",SUMIFS('Data - Monthly Metrics'!E:E,'Data - Monthly Metrics'!A:A,$B$4,'Data - Monthly Metrics'!B:B,"Mar",'Data - Monthly Metrics'!C:C,"Spokane/NE",'Data - Monthly Metrics'!D:D,"Retention - Comped Target (#)"))</f>
        <v/>
      </c>
      <c r="I57" s="103">
        <f>SUM(F57,G57,H57)</f>
        <v/>
      </c>
      <c r="J57" s="98">
        <f>IF(COUNTIFS('Data - Monthly Metrics'!A:A,$B$4,'Data - Monthly Metrics'!B:B,"Apr",'Data - Monthly Metrics'!C:C,"Spokane/NE",'Data - Monthly Metrics'!D:D,"Retention - Comped Target (#)")=0,"-",SUMIFS('Data - Monthly Metrics'!E:E,'Data - Monthly Metrics'!A:A,$B$4,'Data - Monthly Metrics'!B:B,"Apr",'Data - Monthly Metrics'!C:C,"Spokane/NE",'Data - Monthly Metrics'!D:D,"Retention - Comped Target (#)"))</f>
        <v/>
      </c>
      <c r="K57" s="98">
        <f>IF(COUNTIFS('Data - Monthly Metrics'!A:A,$B$4,'Data - Monthly Metrics'!B:B,"May",'Data - Monthly Metrics'!C:C,"Spokane/NE",'Data - Monthly Metrics'!D:D,"Retention - Comped Target (#)")=0,"-",SUMIFS('Data - Monthly Metrics'!E:E,'Data - Monthly Metrics'!A:A,$B$4,'Data - Monthly Metrics'!B:B,"May",'Data - Monthly Metrics'!C:C,"Spokane/NE",'Data - Monthly Metrics'!D:D,"Retention - Comped Target (#)"))</f>
        <v/>
      </c>
      <c r="L57" s="98">
        <f>IF(COUNTIFS('Data - Monthly Metrics'!A:A,$B$4,'Data - Monthly Metrics'!B:B,"Jun",'Data - Monthly Metrics'!C:C,"Spokane/NE",'Data - Monthly Metrics'!D:D,"Retention - Comped Target (#)")=0,"-",SUMIFS('Data - Monthly Metrics'!E:E,'Data - Monthly Metrics'!A:A,$B$4,'Data - Monthly Metrics'!B:B,"Jun",'Data - Monthly Metrics'!C:C,"Spokane/NE",'Data - Monthly Metrics'!D:D,"Retention - Comped Target (#)"))</f>
        <v/>
      </c>
      <c r="M57" s="103">
        <f>SUM(J57,K57,L57)</f>
        <v/>
      </c>
      <c r="N57" s="98">
        <f>IF(COUNTIFS('Data - Monthly Metrics'!A:A,$B$4,'Data - Monthly Metrics'!B:B,"Jul",'Data - Monthly Metrics'!C:C,"Spokane/NE",'Data - Monthly Metrics'!D:D,"Retention - Comped Target (#)")=0,"-",SUMIFS('Data - Monthly Metrics'!E:E,'Data - Monthly Metrics'!A:A,$B$4,'Data - Monthly Metrics'!B:B,"Jul",'Data - Monthly Metrics'!C:C,"Spokane/NE",'Data - Monthly Metrics'!D:D,"Retention - Comped Target (#)"))</f>
        <v/>
      </c>
      <c r="O57" s="98">
        <f>IF(COUNTIFS('Data - Monthly Metrics'!A:A,$B$4,'Data - Monthly Metrics'!B:B,"Aug",'Data - Monthly Metrics'!C:C,"Spokane/NE",'Data - Monthly Metrics'!D:D,"Retention - Comped Target (#)")=0,"-",SUMIFS('Data - Monthly Metrics'!E:E,'Data - Monthly Metrics'!A:A,$B$4,'Data - Monthly Metrics'!B:B,"Aug",'Data - Monthly Metrics'!C:C,"Spokane/NE",'Data - Monthly Metrics'!D:D,"Retention - Comped Target (#)"))</f>
        <v/>
      </c>
      <c r="P57" s="98">
        <f>IF(COUNTIFS('Data - Monthly Metrics'!A:A,$B$4,'Data - Monthly Metrics'!B:B,"Sep",'Data - Monthly Metrics'!C:C,"Spokane/NE",'Data - Monthly Metrics'!D:D,"Retention - Comped Target (#)")=0,"-",SUMIFS('Data - Monthly Metrics'!E:E,'Data - Monthly Metrics'!A:A,$B$4,'Data - Monthly Metrics'!B:B,"Sep",'Data - Monthly Metrics'!C:C,"Spokane/NE",'Data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Metrics'!C:C,"Spokane/NE",'Data - Monthly Metrics'!D:D,"Retention - Comped Target ($)")=0,"-",SUMIFS('Data - Monthly Metrics'!E:E,'Data - Monthly Metrics'!A:A,$B$4-1,'Data - Monthly Metrics'!B:B,"Oct",'Data - Monthly Metrics'!C:C,"Spokane/NE",'Data - Monthly Metrics'!D:D,"Retention - Comped Target ($)"))</f>
        <v/>
      </c>
      <c r="C58" s="96">
        <f>IF(COUNTIFS('Data - Monthly Metrics'!A:A,$B$4-1,'Data - Monthly Metrics'!B:B,"Nov",'Data - Monthly Metrics'!C:C,"Spokane/NE",'Data - Monthly Metrics'!D:D,"Retention - Comped Target ($)")=0,"-",SUMIFS('Data - Monthly Metrics'!E:E,'Data - Monthly Metrics'!A:A,$B$4-1,'Data - Monthly Metrics'!B:B,"Nov",'Data - Monthly Metrics'!C:C,"Spokane/NE",'Data - Monthly Metrics'!D:D,"Retention - Comped Target ($)"))</f>
        <v/>
      </c>
      <c r="D58" s="96">
        <f>IF(COUNTIFS('Data - Monthly Metrics'!A:A,$B$4-1,'Data - Monthly Metrics'!B:B,"Dec",'Data - Monthly Metrics'!C:C,"Spokane/NE",'Data - Monthly Metrics'!D:D,"Retention - Comped Target ($)")=0,"-",SUMIFS('Data - Monthly Metrics'!E:E,'Data - Monthly Metrics'!A:A,$B$4-1,'Data - Monthly Metrics'!B:B,"Dec",'Data - Monthly Metrics'!C:C,"Spokane/NE",'Data - Monthly Metrics'!D:D,"Retention - Comped Target ($)"))</f>
        <v/>
      </c>
      <c r="E58" s="101">
        <f>SUM(B58,C58,D58)</f>
        <v/>
      </c>
      <c r="F58" s="96">
        <f>IF(COUNTIFS('Data - Monthly Metrics'!A:A,$B$4,'Data - Monthly Metrics'!B:B,"Jan",'Data - Monthly Metrics'!C:C,"Spokane/NE",'Data - Monthly Metrics'!D:D,"Retention - Comped Target ($)")=0,"-",SUMIFS('Data - Monthly Metrics'!E:E,'Data - Monthly Metrics'!A:A,$B$4,'Data - Monthly Metrics'!B:B,"Jan",'Data - Monthly Metrics'!C:C,"Spokane/NE",'Data - Monthly Metrics'!D:D,"Retention - Comped Target ($)"))</f>
        <v/>
      </c>
      <c r="G58" s="96">
        <f>IF(COUNTIFS('Data - Monthly Metrics'!A:A,$B$4,'Data - Monthly Metrics'!B:B,"Feb",'Data - Monthly Metrics'!C:C,"Spokane/NE",'Data - Monthly Metrics'!D:D,"Retention - Comped Target ($)")=0,"-",SUMIFS('Data - Monthly Metrics'!E:E,'Data - Monthly Metrics'!A:A,$B$4,'Data - Monthly Metrics'!B:B,"Feb",'Data - Monthly Metrics'!C:C,"Spokane/NE",'Data - Monthly Metrics'!D:D,"Retention - Comped Target ($)"))</f>
        <v/>
      </c>
      <c r="H58" s="96">
        <f>IF(COUNTIFS('Data - Monthly Metrics'!A:A,$B$4,'Data - Monthly Metrics'!B:B,"Mar",'Data - Monthly Metrics'!C:C,"Spokane/NE",'Data - Monthly Metrics'!D:D,"Retention - Comped Target ($)")=0,"-",SUMIFS('Data - Monthly Metrics'!E:E,'Data - Monthly Metrics'!A:A,$B$4,'Data - Monthly Metrics'!B:B,"Mar",'Data - Monthly Metrics'!C:C,"Spokane/NE",'Data - Monthly Metrics'!D:D,"Retention - Comped Target ($)"))</f>
        <v/>
      </c>
      <c r="I58" s="101">
        <f>SUM(F58,G58,H58)</f>
        <v/>
      </c>
      <c r="J58" s="96">
        <f>IF(COUNTIFS('Data - Monthly Metrics'!A:A,$B$4,'Data - Monthly Metrics'!B:B,"Apr",'Data - Monthly Metrics'!C:C,"Spokane/NE",'Data - Monthly Metrics'!D:D,"Retention - Comped Target ($)")=0,"-",SUMIFS('Data - Monthly Metrics'!E:E,'Data - Monthly Metrics'!A:A,$B$4,'Data - Monthly Metrics'!B:B,"Apr",'Data - Monthly Metrics'!C:C,"Spokane/NE",'Data - Monthly Metrics'!D:D,"Retention - Comped Target ($)"))</f>
        <v/>
      </c>
      <c r="K58" s="96">
        <f>IF(COUNTIFS('Data - Monthly Metrics'!A:A,$B$4,'Data - Monthly Metrics'!B:B,"May",'Data - Monthly Metrics'!C:C,"Spokane/NE",'Data - Monthly Metrics'!D:D,"Retention - Comped Target ($)")=0,"-",SUMIFS('Data - Monthly Metrics'!E:E,'Data - Monthly Metrics'!A:A,$B$4,'Data - Monthly Metrics'!B:B,"May",'Data - Monthly Metrics'!C:C,"Spokane/NE",'Data - Monthly Metrics'!D:D,"Retention - Comped Target ($)"))</f>
        <v/>
      </c>
      <c r="L58" s="96">
        <f>IF(COUNTIFS('Data - Monthly Metrics'!A:A,$B$4,'Data - Monthly Metrics'!B:B,"Jun",'Data - Monthly Metrics'!C:C,"Spokane/NE",'Data - Monthly Metrics'!D:D,"Retention - Comped Target ($)")=0,"-",SUMIFS('Data - Monthly Metrics'!E:E,'Data - Monthly Metrics'!A:A,$B$4,'Data - Monthly Metrics'!B:B,"Jun",'Data - Monthly Metrics'!C:C,"Spokane/NE",'Data - Monthly Metrics'!D:D,"Retention - Comped Target ($)"))</f>
        <v/>
      </c>
      <c r="M58" s="101">
        <f>SUM(J58,K58,L58)</f>
        <v/>
      </c>
      <c r="N58" s="96">
        <f>IF(COUNTIFS('Data - Monthly Metrics'!A:A,$B$4,'Data - Monthly Metrics'!B:B,"Jul",'Data - Monthly Metrics'!C:C,"Spokane/NE",'Data - Monthly Metrics'!D:D,"Retention - Comped Target ($)")=0,"-",SUMIFS('Data - Monthly Metrics'!E:E,'Data - Monthly Metrics'!A:A,$B$4,'Data - Monthly Metrics'!B:B,"Jul",'Data - Monthly Metrics'!C:C,"Spokane/NE",'Data - Monthly Metrics'!D:D,"Retention - Comped Target ($)"))</f>
        <v/>
      </c>
      <c r="O58" s="96">
        <f>IF(COUNTIFS('Data - Monthly Metrics'!A:A,$B$4,'Data - Monthly Metrics'!B:B,"Aug",'Data - Monthly Metrics'!C:C,"Spokane/NE",'Data - Monthly Metrics'!D:D,"Retention - Comped Target ($)")=0,"-",SUMIFS('Data - Monthly Metrics'!E:E,'Data - Monthly Metrics'!A:A,$B$4,'Data - Monthly Metrics'!B:B,"Aug",'Data - Monthly Metrics'!C:C,"Spokane/NE",'Data - Monthly Metrics'!D:D,"Retention - Comped Target ($)"))</f>
        <v/>
      </c>
      <c r="P58" s="96">
        <f>IF(COUNTIFS('Data - Monthly Metrics'!A:A,$B$4,'Data - Monthly Metrics'!B:B,"Sep",'Data - Monthly Metrics'!C:C,"Spokane/NE",'Data - Monthly Metrics'!D:D,"Retention - Comped Target ($)")=0,"-",SUMIFS('Data - Monthly Metrics'!E:E,'Data - Monthly Metrics'!A:A,$B$4,'Data - Monthly Metrics'!B:B,"Sep",'Data - Monthly Metrics'!C:C,"Spokane/NE",'Data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Metrics'!C:C,"Spokane/NE",'Data - Monthly Metrics'!D:D,"Drops - Target (#)")=0,"-",SUMIFS('Data - Monthly Metrics'!E:E,'Data - Monthly Metrics'!A:A,$B$4-1,'Data - Monthly Metrics'!B:B,"Oct",'Data - Monthly Metrics'!C:C,"Spokane/NE",'Data - Monthly Metrics'!D:D,"Drops - Target (#)"))</f>
        <v/>
      </c>
      <c r="C63" s="93">
        <f>IF(COUNTIFS('Data - Monthly Metrics'!A:A,$B$4-1,'Data - Monthly Metrics'!B:B,"Nov",'Data - Monthly Metrics'!C:C,"Spokane/NE",'Data - Monthly Metrics'!D:D,"Drops - Target (#)")=0,"-",SUMIFS('Data - Monthly Metrics'!E:E,'Data - Monthly Metrics'!A:A,$B$4-1,'Data - Monthly Metrics'!B:B,"Nov",'Data - Monthly Metrics'!C:C,"Spokane/NE",'Data - Monthly Metrics'!D:D,"Drops - Target (#)"))</f>
        <v/>
      </c>
      <c r="D63" s="93">
        <f>IF(COUNTIFS('Data - Monthly Metrics'!A:A,$B$4-1,'Data - Monthly Metrics'!B:B,"Dec",'Data - Monthly Metrics'!C:C,"Spokane/NE",'Data - Monthly Metrics'!D:D,"Drops - Target (#)")=0,"-",SUMIFS('Data - Monthly Metrics'!E:E,'Data - Monthly Metrics'!A:A,$B$4-1,'Data - Monthly Metrics'!B:B,"Dec",'Data - Monthly Metrics'!C:C,"Spokane/NE",'Data - Monthly Metrics'!D:D,"Drops - Target (#)"))</f>
        <v/>
      </c>
      <c r="E63" s="103">
        <f>SUM(B63,C63,D63)</f>
        <v/>
      </c>
      <c r="F63" s="93">
        <f>IF(COUNTIFS('Data - Monthly Metrics'!A:A,$B$4,'Data - Monthly Metrics'!B:B,"Jan",'Data - Monthly Metrics'!C:C,"Spokane/NE",'Data - Monthly Metrics'!D:D,"Drops - Target (#)")=0,"-",SUMIFS('Data - Monthly Metrics'!E:E,'Data - Monthly Metrics'!A:A,$B$4,'Data - Monthly Metrics'!B:B,"Jan",'Data - Monthly Metrics'!C:C,"Spokane/NE",'Data - Monthly Metrics'!D:D,"Drops - Target (#)"))</f>
        <v/>
      </c>
      <c r="G63" s="93">
        <f>IF(COUNTIFS('Data - Monthly Metrics'!A:A,$B$4,'Data - Monthly Metrics'!B:B,"Feb",'Data - Monthly Metrics'!C:C,"Spokane/NE",'Data - Monthly Metrics'!D:D,"Drops - Target (#)")=0,"-",SUMIFS('Data - Monthly Metrics'!E:E,'Data - Monthly Metrics'!A:A,$B$4,'Data - Monthly Metrics'!B:B,"Feb",'Data - Monthly Metrics'!C:C,"Spokane/NE",'Data - Monthly Metrics'!D:D,"Drops - Target (#)"))</f>
        <v/>
      </c>
      <c r="H63" s="93">
        <f>IF(COUNTIFS('Data - Monthly Metrics'!A:A,$B$4,'Data - Monthly Metrics'!B:B,"Mar",'Data - Monthly Metrics'!C:C,"Spokane/NE",'Data - Monthly Metrics'!D:D,"Drops - Target (#)")=0,"-",SUMIFS('Data - Monthly Metrics'!E:E,'Data - Monthly Metrics'!A:A,$B$4,'Data - Monthly Metrics'!B:B,"Mar",'Data - Monthly Metrics'!C:C,"Spokane/NE",'Data - Monthly Metrics'!D:D,"Drops - Target (#)"))</f>
        <v/>
      </c>
      <c r="I63" s="103">
        <f>SUM(F63,G63,H63)</f>
        <v/>
      </c>
      <c r="J63" s="93">
        <f>IF(COUNTIFS('Data - Monthly Metrics'!A:A,$B$4,'Data - Monthly Metrics'!B:B,"Apr",'Data - Monthly Metrics'!C:C,"Spokane/NE",'Data - Monthly Metrics'!D:D,"Drops - Target (#)")=0,"-",SUMIFS('Data - Monthly Metrics'!E:E,'Data - Monthly Metrics'!A:A,$B$4,'Data - Monthly Metrics'!B:B,"Apr",'Data - Monthly Metrics'!C:C,"Spokane/NE",'Data - Monthly Metrics'!D:D,"Drops - Target (#)"))</f>
        <v/>
      </c>
      <c r="K63" s="93">
        <f>IF(COUNTIFS('Data - Monthly Metrics'!A:A,$B$4,'Data - Monthly Metrics'!B:B,"May",'Data - Monthly Metrics'!C:C,"Spokane/NE",'Data - Monthly Metrics'!D:D,"Drops - Target (#)")=0,"-",SUMIFS('Data - Monthly Metrics'!E:E,'Data - Monthly Metrics'!A:A,$B$4,'Data - Monthly Metrics'!B:B,"May",'Data - Monthly Metrics'!C:C,"Spokane/NE",'Data - Monthly Metrics'!D:D,"Drops - Target (#)"))</f>
        <v/>
      </c>
      <c r="L63" s="93">
        <f>IF(COUNTIFS('Data - Monthly Metrics'!A:A,$B$4,'Data - Monthly Metrics'!B:B,"Jun",'Data - Monthly Metrics'!C:C,"Spokane/NE",'Data - Monthly Metrics'!D:D,"Drops - Target (#)")=0,"-",SUMIFS('Data - Monthly Metrics'!E:E,'Data - Monthly Metrics'!A:A,$B$4,'Data - Monthly Metrics'!B:B,"Jun",'Data - Monthly Metrics'!C:C,"Spokane/NE",'Data - Monthly Metrics'!D:D,"Drops - Target (#)"))</f>
        <v/>
      </c>
      <c r="M63" s="103">
        <f>SUM(J63,K63,L63)</f>
        <v/>
      </c>
      <c r="N63" s="93">
        <f>IF(COUNTIFS('Data - Monthly Metrics'!A:A,$B$4,'Data - Monthly Metrics'!B:B,"Jul",'Data - Monthly Metrics'!C:C,"Spokane/NE",'Data - Monthly Metrics'!D:D,"Drops - Target (#)")=0,"-",SUMIFS('Data - Monthly Metrics'!E:E,'Data - Monthly Metrics'!A:A,$B$4,'Data - Monthly Metrics'!B:B,"Jul",'Data - Monthly Metrics'!C:C,"Spokane/NE",'Data - Monthly Metrics'!D:D,"Drops - Target (#)"))</f>
        <v/>
      </c>
      <c r="O63" s="93">
        <f>IF(COUNTIFS('Data - Monthly Metrics'!A:A,$B$4,'Data - Monthly Metrics'!B:B,"Aug",'Data - Monthly Metrics'!C:C,"Spokane/NE",'Data - Monthly Metrics'!D:D,"Drops - Target (#)")=0,"-",SUMIFS('Data - Monthly Metrics'!E:E,'Data - Monthly Metrics'!A:A,$B$4,'Data - Monthly Metrics'!B:B,"Aug",'Data - Monthly Metrics'!C:C,"Spokane/NE",'Data - Monthly Metrics'!D:D,"Drops - Target (#)"))</f>
        <v/>
      </c>
      <c r="P63" s="93">
        <f>IF(COUNTIFS('Data - Monthly Metrics'!A:A,$B$4,'Data - Monthly Metrics'!B:B,"Sep",'Data - Monthly Metrics'!C:C,"Spokane/NE",'Data - Monthly Metrics'!D:D,"Drops - Target (#)")=0,"-",SUMIFS('Data - Monthly Metrics'!E:E,'Data - Monthly Metrics'!A:A,$B$4,'Data - Monthly Metrics'!B:B,"Sep",'Data - Monthly Metrics'!C:C,"Spokane/NE",'Data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Metrics'!C:C,"Spokane/NE",'Data - Monthly Metrics'!D:D,"Dropped Revenue - Target ($)")=0,"-",SUMIFS('Data - Monthly Metrics'!E:E,'Data - Monthly Metrics'!A:A,$B$4-1,'Data - Monthly Metrics'!B:B,"Oct",'Data - Monthly Metrics'!C:C,"Spokane/NE",'Data - Monthly Metrics'!D:D,"Dropped Revenue - Target ($)"))</f>
        <v/>
      </c>
      <c r="C64" s="96">
        <f>IF(COUNTIFS('Data - Monthly Metrics'!A:A,$B$4-1,'Data - Monthly Metrics'!B:B,"Nov",'Data - Monthly Metrics'!C:C,"Spokane/NE",'Data - Monthly Metrics'!D:D,"Dropped Revenue - Target ($)")=0,"-",SUMIFS('Data - Monthly Metrics'!E:E,'Data - Monthly Metrics'!A:A,$B$4-1,'Data - Monthly Metrics'!B:B,"Nov",'Data - Monthly Metrics'!C:C,"Spokane/NE",'Data - Monthly Metrics'!D:D,"Dropped Revenue - Target ($)"))</f>
        <v/>
      </c>
      <c r="D64" s="96">
        <f>IF(COUNTIFS('Data - Monthly Metrics'!A:A,$B$4-1,'Data - Monthly Metrics'!B:B,"Dec",'Data - Monthly Metrics'!C:C,"Spokane/NE",'Data - Monthly Metrics'!D:D,"Dropped Revenue - Target ($)")=0,"-",SUMIFS('Data - Monthly Metrics'!E:E,'Data - Monthly Metrics'!A:A,$B$4-1,'Data - Monthly Metrics'!B:B,"Dec",'Data - Monthly Metrics'!C:C,"Spokane/NE",'Data - Monthly Metrics'!D:D,"Dropped Revenue - Target ($)"))</f>
        <v/>
      </c>
      <c r="E64" s="101">
        <f>SUM(B64,C64,D64)</f>
        <v/>
      </c>
      <c r="F64" s="96">
        <f>IF(COUNTIFS('Data - Monthly Metrics'!A:A,$B$4,'Data - Monthly Metrics'!B:B,"Jan",'Data - Monthly Metrics'!C:C,"Spokane/NE",'Data - Monthly Metrics'!D:D,"Dropped Revenue - Target ($)")=0,"-",SUMIFS('Data - Monthly Metrics'!E:E,'Data - Monthly Metrics'!A:A,$B$4,'Data - Monthly Metrics'!B:B,"Jan",'Data - Monthly Metrics'!C:C,"Spokane/NE",'Data - Monthly Metrics'!D:D,"Dropped Revenue - Target ($)"))</f>
        <v/>
      </c>
      <c r="G64" s="96">
        <f>IF(COUNTIFS('Data - Monthly Metrics'!A:A,$B$4,'Data - Monthly Metrics'!B:B,"Feb",'Data - Monthly Metrics'!C:C,"Spokane/NE",'Data - Monthly Metrics'!D:D,"Dropped Revenue - Target ($)")=0,"-",SUMIFS('Data - Monthly Metrics'!E:E,'Data - Monthly Metrics'!A:A,$B$4,'Data - Monthly Metrics'!B:B,"Feb",'Data - Monthly Metrics'!C:C,"Spokane/NE",'Data - Monthly Metrics'!D:D,"Dropped Revenue - Target ($)"))</f>
        <v/>
      </c>
      <c r="H64" s="96">
        <f>IF(COUNTIFS('Data - Monthly Metrics'!A:A,$B$4,'Data - Monthly Metrics'!B:B,"Mar",'Data - Monthly Metrics'!C:C,"Spokane/NE",'Data - Monthly Metrics'!D:D,"Dropped Revenue - Target ($)")=0,"-",SUMIFS('Data - Monthly Metrics'!E:E,'Data - Monthly Metrics'!A:A,$B$4,'Data - Monthly Metrics'!B:B,"Mar",'Data - Monthly Metrics'!C:C,"Spokane/NE",'Data - Monthly Metrics'!D:D,"Dropped Revenue - Target ($)"))</f>
        <v/>
      </c>
      <c r="I64" s="101">
        <f>SUM(F64,G64,H64)</f>
        <v/>
      </c>
      <c r="J64" s="96">
        <f>IF(COUNTIFS('Data - Monthly Metrics'!A:A,$B$4,'Data - Monthly Metrics'!B:B,"Apr",'Data - Monthly Metrics'!C:C,"Spokane/NE",'Data - Monthly Metrics'!D:D,"Dropped Revenue - Target ($)")=0,"-",SUMIFS('Data - Monthly Metrics'!E:E,'Data - Monthly Metrics'!A:A,$B$4,'Data - Monthly Metrics'!B:B,"Apr",'Data - Monthly Metrics'!C:C,"Spokane/NE",'Data - Monthly Metrics'!D:D,"Dropped Revenue - Target ($)"))</f>
        <v/>
      </c>
      <c r="K64" s="96">
        <f>IF(COUNTIFS('Data - Monthly Metrics'!A:A,$B$4,'Data - Monthly Metrics'!B:B,"May",'Data - Monthly Metrics'!C:C,"Spokane/NE",'Data - Monthly Metrics'!D:D,"Dropped Revenue - Target ($)")=0,"-",SUMIFS('Data - Monthly Metrics'!E:E,'Data - Monthly Metrics'!A:A,$B$4,'Data - Monthly Metrics'!B:B,"May",'Data - Monthly Metrics'!C:C,"Spokane/NE",'Data - Monthly Metrics'!D:D,"Dropped Revenue - Target ($)"))</f>
        <v/>
      </c>
      <c r="L64" s="96">
        <f>IF(COUNTIFS('Data - Monthly Metrics'!A:A,$B$4,'Data - Monthly Metrics'!B:B,"Jun",'Data - Monthly Metrics'!C:C,"Spokane/NE",'Data - Monthly Metrics'!D:D,"Dropped Revenue - Target ($)")=0,"-",SUMIFS('Data - Monthly Metrics'!E:E,'Data - Monthly Metrics'!A:A,$B$4,'Data - Monthly Metrics'!B:B,"Jun",'Data - Monthly Metrics'!C:C,"Spokane/NE",'Data - Monthly Metrics'!D:D,"Dropped Revenue - Target ($)"))</f>
        <v/>
      </c>
      <c r="M64" s="101">
        <f>SUM(J64,K64,L64)</f>
        <v/>
      </c>
      <c r="N64" s="96">
        <f>IF(COUNTIFS('Data - Monthly Metrics'!A:A,$B$4,'Data - Monthly Metrics'!B:B,"Jul",'Data - Monthly Metrics'!C:C,"Spokane/NE",'Data - Monthly Metrics'!D:D,"Dropped Revenue - Target ($)")=0,"-",SUMIFS('Data - Monthly Metrics'!E:E,'Data - Monthly Metrics'!A:A,$B$4,'Data - Monthly Metrics'!B:B,"Jul",'Data - Monthly Metrics'!C:C,"Spokane/NE",'Data - Monthly Metrics'!D:D,"Dropped Revenue - Target ($)"))</f>
        <v/>
      </c>
      <c r="O64" s="96">
        <f>IF(COUNTIFS('Data - Monthly Metrics'!A:A,$B$4,'Data - Monthly Metrics'!B:B,"Aug",'Data - Monthly Metrics'!C:C,"Spokane/NE",'Data - Monthly Metrics'!D:D,"Dropped Revenue - Target ($)")=0,"-",SUMIFS('Data - Monthly Metrics'!E:E,'Data - Monthly Metrics'!A:A,$B$4,'Data - Monthly Metrics'!B:B,"Aug",'Data - Monthly Metrics'!C:C,"Spokane/NE",'Data - Monthly Metrics'!D:D,"Dropped Revenue - Target ($)"))</f>
        <v/>
      </c>
      <c r="P64" s="96">
        <f>IF(COUNTIFS('Data - Monthly Metrics'!A:A,$B$4,'Data - Monthly Metrics'!B:B,"Sep",'Data - Monthly Metrics'!C:C,"Spokane/NE",'Data - Monthly Metrics'!D:D,"Dropped Revenue - Target ($)")=0,"-",SUMIFS('Data - Monthly Metrics'!E:E,'Data - Monthly Metrics'!A:A,$B$4,'Data - Monthly Metrics'!B:B,"Sep",'Data - Monthly Metrics'!C:C,"Spokane/NE",'Data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Metrics'!C:C,"Spokane/NE",'Data - Monthly Metrics'!D:D,"Penetration - Restaurant %")=0,"-",SUMIFS('Data - Monthly Metrics'!E:E,'Data - Monthly Metrics'!A:A,$B$4-1,'Data - Monthly Metrics'!B:B,"Oct",'Data - Monthly Metrics'!C:C,"Spokane/NE",'Data - Monthly Metrics'!D:D,"Penetration - Restaurant %"))</f>
        <v/>
      </c>
      <c r="C68" s="92">
        <f>IF(COUNTIFS('Data - Monthly Metrics'!A:A,$B$4-1,'Data - Monthly Metrics'!B:B,"Nov",'Data - Monthly Metrics'!C:C,"Spokane/NE",'Data - Monthly Metrics'!D:D,"Penetration - Restaurant %")=0,"-",SUMIFS('Data - Monthly Metrics'!E:E,'Data - Monthly Metrics'!A:A,$B$4-1,'Data - Monthly Metrics'!B:B,"Nov",'Data - Monthly Metrics'!C:C,"Spokane/NE",'Data - Monthly Metrics'!D:D,"Penetration - Restaurant %"))</f>
        <v/>
      </c>
      <c r="D68" s="92">
        <f>IF(COUNTIFS('Data - Monthly Metrics'!A:A,$B$4-1,'Data - Monthly Metrics'!B:B,"Dec",'Data - Monthly Metrics'!C:C,"Spokane/NE",'Data - Monthly Metrics'!D:D,"Penetration - Restaurant %")=0,"-",SUMIFS('Data - Monthly Metrics'!E:E,'Data - Monthly Metrics'!A:A,$B$4-1,'Data - Monthly Metrics'!B:B,"Dec",'Data - Monthly Metrics'!C:C,"Spokane/NE",'Data - Monthly Metrics'!D:D,"Penetration - Restaurant %"))</f>
        <v/>
      </c>
      <c r="E68" s="102">
        <f>IF(ISNUMBER(D68),D68,IF(ISNUMBER(C68),C68,IF(ISNUMBER(B68),B68,"-")))</f>
        <v/>
      </c>
      <c r="F68" s="92">
        <f>IF(COUNTIFS('Data - Monthly Metrics'!A:A,$B$4,'Data - Monthly Metrics'!B:B,"Jan",'Data - Monthly Metrics'!C:C,"Spokane/NE",'Data - Monthly Metrics'!D:D,"Penetration - Restaurant %")=0,"-",SUMIFS('Data - Monthly Metrics'!E:E,'Data - Monthly Metrics'!A:A,$B$4,'Data - Monthly Metrics'!B:B,"Jan",'Data - Monthly Metrics'!C:C,"Spokane/NE",'Data - Monthly Metrics'!D:D,"Penetration - Restaurant %"))</f>
        <v/>
      </c>
      <c r="G68" s="92">
        <f>IF(COUNTIFS('Data - Monthly Metrics'!A:A,$B$4,'Data - Monthly Metrics'!B:B,"Feb",'Data - Monthly Metrics'!C:C,"Spokane/NE",'Data - Monthly Metrics'!D:D,"Penetration - Restaurant %")=0,"-",SUMIFS('Data - Monthly Metrics'!E:E,'Data - Monthly Metrics'!A:A,$B$4,'Data - Monthly Metrics'!B:B,"Feb",'Data - Monthly Metrics'!C:C,"Spokane/NE",'Data - Monthly Metrics'!D:D,"Penetration - Restaurant %"))</f>
        <v/>
      </c>
      <c r="H68" s="92">
        <f>IF(COUNTIFS('Data - Monthly Metrics'!A:A,$B$4,'Data - Monthly Metrics'!B:B,"Mar",'Data - Monthly Metrics'!C:C,"Spokane/NE",'Data - Monthly Metrics'!D:D,"Penetration - Restaurant %")=0,"-",SUMIFS('Data - Monthly Metrics'!E:E,'Data - Monthly Metrics'!A:A,$B$4,'Data - Monthly Metrics'!B:B,"Mar",'Data - Monthly Metrics'!C:C,"Spokane/NE",'Data - Monthly Metrics'!D:D,"Penetration - Restaurant %"))</f>
        <v/>
      </c>
      <c r="I68" s="102">
        <f>IF(ISNUMBER(H68),H68,IF(ISNUMBER(G68),G68,IF(ISNUMBER(F68),F68,"-")))</f>
        <v/>
      </c>
      <c r="J68" s="92">
        <f>IF(COUNTIFS('Data - Monthly Metrics'!A:A,$B$4,'Data - Monthly Metrics'!B:B,"Apr",'Data - Monthly Metrics'!C:C,"Spokane/NE",'Data - Monthly Metrics'!D:D,"Penetration - Restaurant %")=0,"-",SUMIFS('Data - Monthly Metrics'!E:E,'Data - Monthly Metrics'!A:A,$B$4,'Data - Monthly Metrics'!B:B,"Apr",'Data - Monthly Metrics'!C:C,"Spokane/NE",'Data - Monthly Metrics'!D:D,"Penetration - Restaurant %"))</f>
        <v/>
      </c>
      <c r="K68" s="92">
        <f>IF(COUNTIFS('Data - Monthly Metrics'!A:A,$B$4,'Data - Monthly Metrics'!B:B,"May",'Data - Monthly Metrics'!C:C,"Spokane/NE",'Data - Monthly Metrics'!D:D,"Penetration - Restaurant %")=0,"-",SUMIFS('Data - Monthly Metrics'!E:E,'Data - Monthly Metrics'!A:A,$B$4,'Data - Monthly Metrics'!B:B,"May",'Data - Monthly Metrics'!C:C,"Spokane/NE",'Data - Monthly Metrics'!D:D,"Penetration - Restaurant %"))</f>
        <v/>
      </c>
      <c r="L68" s="92">
        <f>IF(COUNTIFS('Data - Monthly Metrics'!A:A,$B$4,'Data - Monthly Metrics'!B:B,"Jun",'Data - Monthly Metrics'!C:C,"Spokane/NE",'Data - Monthly Metrics'!D:D,"Penetration - Restaurant %")=0,"-",SUMIFS('Data - Monthly Metrics'!E:E,'Data - Monthly Metrics'!A:A,$B$4,'Data - Monthly Metrics'!B:B,"Jun",'Data - Monthly Metrics'!C:C,"Spokane/NE",'Data - Monthly Metrics'!D:D,"Penetration - Restaurant %"))</f>
        <v/>
      </c>
      <c r="M68" s="102">
        <f>IF(ISNUMBER(L68),L68,IF(ISNUMBER(K68),K68,IF(ISNUMBER(J68),J68,"-")))</f>
        <v/>
      </c>
      <c r="N68" s="92">
        <f>IF(COUNTIFS('Data - Monthly Metrics'!A:A,$B$4,'Data - Monthly Metrics'!B:B,"Jul",'Data - Monthly Metrics'!C:C,"Spokane/NE",'Data - Monthly Metrics'!D:D,"Penetration - Restaurant %")=0,"-",SUMIFS('Data - Monthly Metrics'!E:E,'Data - Monthly Metrics'!A:A,$B$4,'Data - Monthly Metrics'!B:B,"Jul",'Data - Monthly Metrics'!C:C,"Spokane/NE",'Data - Monthly Metrics'!D:D,"Penetration - Restaurant %"))</f>
        <v/>
      </c>
      <c r="O68" s="92">
        <f>IF(COUNTIFS('Data - Monthly Metrics'!A:A,$B$4,'Data - Monthly Metrics'!B:B,"Aug",'Data - Monthly Metrics'!C:C,"Spokane/NE",'Data - Monthly Metrics'!D:D,"Penetration - Restaurant %")=0,"-",SUMIFS('Data - Monthly Metrics'!E:E,'Data - Monthly Metrics'!A:A,$B$4,'Data - Monthly Metrics'!B:B,"Aug",'Data - Monthly Metrics'!C:C,"Spokane/NE",'Data - Monthly Metrics'!D:D,"Penetration - Restaurant %"))</f>
        <v/>
      </c>
      <c r="P68" s="92">
        <f>IF(COUNTIFS('Data - Monthly Metrics'!A:A,$B$4,'Data - Monthly Metrics'!B:B,"Sep",'Data - Monthly Metrics'!C:C,"Spokane/NE",'Data - Monthly Metrics'!D:D,"Penetration - Restaurant %")=0,"-",SUMIFS('Data - Monthly Metrics'!E:E,'Data - Monthly Metrics'!A:A,$B$4,'Data - Monthly Metrics'!B:B,"Sep",'Data - Monthly Metrics'!C:C,"Spokane/NE",'Data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Metrics'!C:C,"Spokane/NE",'Data - Monthly Metrics'!D:D,"Penetration - Lodging %")=0,"-",SUMIFS('Data - Monthly Metrics'!E:E,'Data - Monthly Metrics'!A:A,$B$4-1,'Data - Monthly Metrics'!B:B,"Oct",'Data - Monthly Metrics'!C:C,"Spokane/NE",'Data - Monthly Metrics'!D:D,"Penetration - Lodging %"))</f>
        <v/>
      </c>
      <c r="C69" s="97">
        <f>IF(COUNTIFS('Data - Monthly Metrics'!A:A,$B$4-1,'Data - Monthly Metrics'!B:B,"Nov",'Data - Monthly Metrics'!C:C,"Spokane/NE",'Data - Monthly Metrics'!D:D,"Penetration - Lodging %")=0,"-",SUMIFS('Data - Monthly Metrics'!E:E,'Data - Monthly Metrics'!A:A,$B$4-1,'Data - Monthly Metrics'!B:B,"Nov",'Data - Monthly Metrics'!C:C,"Spokane/NE",'Data - Monthly Metrics'!D:D,"Penetration - Lodging %"))</f>
        <v/>
      </c>
      <c r="D69" s="97">
        <f>IF(COUNTIFS('Data - Monthly Metrics'!A:A,$B$4-1,'Data - Monthly Metrics'!B:B,"Dec",'Data - Monthly Metrics'!C:C,"Spokane/NE",'Data - Monthly Metrics'!D:D,"Penetration - Lodging %")=0,"-",SUMIFS('Data - Monthly Metrics'!E:E,'Data - Monthly Metrics'!A:A,$B$4-1,'Data - Monthly Metrics'!B:B,"Dec",'Data - Monthly Metrics'!C:C,"Spokane/NE",'Data - Monthly Metrics'!D:D,"Penetration - Lodging %"))</f>
        <v/>
      </c>
      <c r="E69" s="102">
        <f>IF(ISNUMBER(D69),D69,IF(ISNUMBER(C69),C69,IF(ISNUMBER(B69),B69,"-")))</f>
        <v/>
      </c>
      <c r="F69" s="97">
        <f>IF(COUNTIFS('Data - Monthly Metrics'!A:A,$B$4,'Data - Monthly Metrics'!B:B,"Jan",'Data - Monthly Metrics'!C:C,"Spokane/NE",'Data - Monthly Metrics'!D:D,"Penetration - Lodging %")=0,"-",SUMIFS('Data - Monthly Metrics'!E:E,'Data - Monthly Metrics'!A:A,$B$4,'Data - Monthly Metrics'!B:B,"Jan",'Data - Monthly Metrics'!C:C,"Spokane/NE",'Data - Monthly Metrics'!D:D,"Penetration - Lodging %"))</f>
        <v/>
      </c>
      <c r="G69" s="97">
        <f>IF(COUNTIFS('Data - Monthly Metrics'!A:A,$B$4,'Data - Monthly Metrics'!B:B,"Feb",'Data - Monthly Metrics'!C:C,"Spokane/NE",'Data - Monthly Metrics'!D:D,"Penetration - Lodging %")=0,"-",SUMIFS('Data - Monthly Metrics'!E:E,'Data - Monthly Metrics'!A:A,$B$4,'Data - Monthly Metrics'!B:B,"Feb",'Data - Monthly Metrics'!C:C,"Spokane/NE",'Data - Monthly Metrics'!D:D,"Penetration - Lodging %"))</f>
        <v/>
      </c>
      <c r="H69" s="97">
        <f>IF(COUNTIFS('Data - Monthly Metrics'!A:A,$B$4,'Data - Monthly Metrics'!B:B,"Mar",'Data - Monthly Metrics'!C:C,"Spokane/NE",'Data - Monthly Metrics'!D:D,"Penetration - Lodging %")=0,"-",SUMIFS('Data - Monthly Metrics'!E:E,'Data - Monthly Metrics'!A:A,$B$4,'Data - Monthly Metrics'!B:B,"Mar",'Data - Monthly Metrics'!C:C,"Spokane/NE",'Data - Monthly Metrics'!D:D,"Penetration - Lodging %"))</f>
        <v/>
      </c>
      <c r="I69" s="102">
        <f>IF(ISNUMBER(H69),H69,IF(ISNUMBER(G69),G69,IF(ISNUMBER(F69),F69,"-")))</f>
        <v/>
      </c>
      <c r="J69" s="97">
        <f>IF(COUNTIFS('Data - Monthly Metrics'!A:A,$B$4,'Data - Monthly Metrics'!B:B,"Apr",'Data - Monthly Metrics'!C:C,"Spokane/NE",'Data - Monthly Metrics'!D:D,"Penetration - Lodging %")=0,"-",SUMIFS('Data - Monthly Metrics'!E:E,'Data - Monthly Metrics'!A:A,$B$4,'Data - Monthly Metrics'!B:B,"Apr",'Data - Monthly Metrics'!C:C,"Spokane/NE",'Data - Monthly Metrics'!D:D,"Penetration - Lodging %"))</f>
        <v/>
      </c>
      <c r="K69" s="97">
        <f>IF(COUNTIFS('Data - Monthly Metrics'!A:A,$B$4,'Data - Monthly Metrics'!B:B,"May",'Data - Monthly Metrics'!C:C,"Spokane/NE",'Data - Monthly Metrics'!D:D,"Penetration - Lodging %")=0,"-",SUMIFS('Data - Monthly Metrics'!E:E,'Data - Monthly Metrics'!A:A,$B$4,'Data - Monthly Metrics'!B:B,"May",'Data - Monthly Metrics'!C:C,"Spokane/NE",'Data - Monthly Metrics'!D:D,"Penetration - Lodging %"))</f>
        <v/>
      </c>
      <c r="L69" s="97">
        <f>IF(COUNTIFS('Data - Monthly Metrics'!A:A,$B$4,'Data - Monthly Metrics'!B:B,"Jun",'Data - Monthly Metrics'!C:C,"Spokane/NE",'Data - Monthly Metrics'!D:D,"Penetration - Lodging %")=0,"-",SUMIFS('Data - Monthly Metrics'!E:E,'Data - Monthly Metrics'!A:A,$B$4,'Data - Monthly Metrics'!B:B,"Jun",'Data - Monthly Metrics'!C:C,"Spokane/NE",'Data - Monthly Metrics'!D:D,"Penetration - Lodging %"))</f>
        <v/>
      </c>
      <c r="M69" s="102">
        <f>IF(ISNUMBER(L69),L69,IF(ISNUMBER(K69),K69,IF(ISNUMBER(J69),J69,"-")))</f>
        <v/>
      </c>
      <c r="N69" s="97">
        <f>IF(COUNTIFS('Data - Monthly Metrics'!A:A,$B$4,'Data - Monthly Metrics'!B:B,"Jul",'Data - Monthly Metrics'!C:C,"Spokane/NE",'Data - Monthly Metrics'!D:D,"Penetration - Lodging %")=0,"-",SUMIFS('Data - Monthly Metrics'!E:E,'Data - Monthly Metrics'!A:A,$B$4,'Data - Monthly Metrics'!B:B,"Jul",'Data - Monthly Metrics'!C:C,"Spokane/NE",'Data - Monthly Metrics'!D:D,"Penetration - Lodging %"))</f>
        <v/>
      </c>
      <c r="O69" s="97">
        <f>IF(COUNTIFS('Data - Monthly Metrics'!A:A,$B$4,'Data - Monthly Metrics'!B:B,"Aug",'Data - Monthly Metrics'!C:C,"Spokane/NE",'Data - Monthly Metrics'!D:D,"Penetration - Lodging %")=0,"-",SUMIFS('Data - Monthly Metrics'!E:E,'Data - Monthly Metrics'!A:A,$B$4,'Data - Monthly Metrics'!B:B,"Aug",'Data - Monthly Metrics'!C:C,"Spokane/NE",'Data - Monthly Metrics'!D:D,"Penetration - Lodging %"))</f>
        <v/>
      </c>
      <c r="P69" s="97">
        <f>IF(COUNTIFS('Data - Monthly Metrics'!A:A,$B$4,'Data - Monthly Metrics'!B:B,"Sep",'Data - Monthly Metrics'!C:C,"Spokane/NE",'Data - Monthly Metrics'!D:D,"Penetration - Lodging %")=0,"-",SUMIFS('Data - Monthly Metrics'!E:E,'Data - Monthly Metrics'!A:A,$B$4,'Data - Monthly Metrics'!B:B,"Sep",'Data - Monthly Metrics'!C:C,"Spokane/NE",'Data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Metrics'!C:C,"Spokane/NE",'Data - Monthly Metrics'!D:D,"Penetration - Combined %")=0,"-",SUMIFS('Data - Monthly Metrics'!E:E,'Data - Monthly Metrics'!A:A,$B$4-1,'Data - Monthly Metrics'!B:B,"Oct",'Data - Monthly Metrics'!C:C,"Spokane/NE",'Data - Monthly Metrics'!D:D,"Penetration - Combined %"))</f>
        <v/>
      </c>
      <c r="C70" s="92">
        <f>IF(COUNTIFS('Data - Monthly Metrics'!A:A,$B$4-1,'Data - Monthly Metrics'!B:B,"Nov",'Data - Monthly Metrics'!C:C,"Spokane/NE",'Data - Monthly Metrics'!D:D,"Penetration - Combined %")=0,"-",SUMIFS('Data - Monthly Metrics'!E:E,'Data - Monthly Metrics'!A:A,$B$4-1,'Data - Monthly Metrics'!B:B,"Nov",'Data - Monthly Metrics'!C:C,"Spokane/NE",'Data - Monthly Metrics'!D:D,"Penetration - Combined %"))</f>
        <v/>
      </c>
      <c r="D70" s="92">
        <f>IF(COUNTIFS('Data - Monthly Metrics'!A:A,$B$4-1,'Data - Monthly Metrics'!B:B,"Dec",'Data - Monthly Metrics'!C:C,"Spokane/NE",'Data - Monthly Metrics'!D:D,"Penetration - Combined %")=0,"-",SUMIFS('Data - Monthly Metrics'!E:E,'Data - Monthly Metrics'!A:A,$B$4-1,'Data - Monthly Metrics'!B:B,"Dec",'Data - Monthly Metrics'!C:C,"Spokane/NE",'Data - Monthly Metrics'!D:D,"Penetration - Combined %"))</f>
        <v/>
      </c>
      <c r="E70" s="102">
        <f>IF(ISNUMBER(D70),D70,IF(ISNUMBER(C70),C70,IF(ISNUMBER(B70),B70,"-")))</f>
        <v/>
      </c>
      <c r="F70" s="92">
        <f>IF(COUNTIFS('Data - Monthly Metrics'!A:A,$B$4,'Data - Monthly Metrics'!B:B,"Jan",'Data - Monthly Metrics'!C:C,"Spokane/NE",'Data - Monthly Metrics'!D:D,"Penetration - Combined %")=0,"-",SUMIFS('Data - Monthly Metrics'!E:E,'Data - Monthly Metrics'!A:A,$B$4,'Data - Monthly Metrics'!B:B,"Jan",'Data - Monthly Metrics'!C:C,"Spokane/NE",'Data - Monthly Metrics'!D:D,"Penetration - Combined %"))</f>
        <v/>
      </c>
      <c r="G70" s="92">
        <f>IF(COUNTIFS('Data - Monthly Metrics'!A:A,$B$4,'Data - Monthly Metrics'!B:B,"Feb",'Data - Monthly Metrics'!C:C,"Spokane/NE",'Data - Monthly Metrics'!D:D,"Penetration - Combined %")=0,"-",SUMIFS('Data - Monthly Metrics'!E:E,'Data - Monthly Metrics'!A:A,$B$4,'Data - Monthly Metrics'!B:B,"Feb",'Data - Monthly Metrics'!C:C,"Spokane/NE",'Data - Monthly Metrics'!D:D,"Penetration - Combined %"))</f>
        <v/>
      </c>
      <c r="H70" s="92">
        <f>IF(COUNTIFS('Data - Monthly Metrics'!A:A,$B$4,'Data - Monthly Metrics'!B:B,"Mar",'Data - Monthly Metrics'!C:C,"Spokane/NE",'Data - Monthly Metrics'!D:D,"Penetration - Combined %")=0,"-",SUMIFS('Data - Monthly Metrics'!E:E,'Data - Monthly Metrics'!A:A,$B$4,'Data - Monthly Metrics'!B:B,"Mar",'Data - Monthly Metrics'!C:C,"Spokane/NE",'Data - Monthly Metrics'!D:D,"Penetration - Combined %"))</f>
        <v/>
      </c>
      <c r="I70" s="102">
        <f>IF(ISNUMBER(H70),H70,IF(ISNUMBER(G70),G70,IF(ISNUMBER(F70),F70,"-")))</f>
        <v/>
      </c>
      <c r="J70" s="92">
        <f>IF(COUNTIFS('Data - Monthly Metrics'!A:A,$B$4,'Data - Monthly Metrics'!B:B,"Apr",'Data - Monthly Metrics'!C:C,"Spokane/NE",'Data - Monthly Metrics'!D:D,"Penetration - Combined %")=0,"-",SUMIFS('Data - Monthly Metrics'!E:E,'Data - Monthly Metrics'!A:A,$B$4,'Data - Monthly Metrics'!B:B,"Apr",'Data - Monthly Metrics'!C:C,"Spokane/NE",'Data - Monthly Metrics'!D:D,"Penetration - Combined %"))</f>
        <v/>
      </c>
      <c r="K70" s="92">
        <f>IF(COUNTIFS('Data - Monthly Metrics'!A:A,$B$4,'Data - Monthly Metrics'!B:B,"May",'Data - Monthly Metrics'!C:C,"Spokane/NE",'Data - Monthly Metrics'!D:D,"Penetration - Combined %")=0,"-",SUMIFS('Data - Monthly Metrics'!E:E,'Data - Monthly Metrics'!A:A,$B$4,'Data - Monthly Metrics'!B:B,"May",'Data - Monthly Metrics'!C:C,"Spokane/NE",'Data - Monthly Metrics'!D:D,"Penetration - Combined %"))</f>
        <v/>
      </c>
      <c r="L70" s="92">
        <f>IF(COUNTIFS('Data - Monthly Metrics'!A:A,$B$4,'Data - Monthly Metrics'!B:B,"Jun",'Data - Monthly Metrics'!C:C,"Spokane/NE",'Data - Monthly Metrics'!D:D,"Penetration - Combined %")=0,"-",SUMIFS('Data - Monthly Metrics'!E:E,'Data - Monthly Metrics'!A:A,$B$4,'Data - Monthly Metrics'!B:B,"Jun",'Data - Monthly Metrics'!C:C,"Spokane/NE",'Data - Monthly Metrics'!D:D,"Penetration - Combined %"))</f>
        <v/>
      </c>
      <c r="M70" s="102">
        <f>IF(ISNUMBER(L70),L70,IF(ISNUMBER(K70),K70,IF(ISNUMBER(J70),J70,"-")))</f>
        <v/>
      </c>
      <c r="N70" s="92">
        <f>IF(COUNTIFS('Data - Monthly Metrics'!A:A,$B$4,'Data - Monthly Metrics'!B:B,"Jul",'Data - Monthly Metrics'!C:C,"Spokane/NE",'Data - Monthly Metrics'!D:D,"Penetration - Combined %")=0,"-",SUMIFS('Data - Monthly Metrics'!E:E,'Data - Monthly Metrics'!A:A,$B$4,'Data - Monthly Metrics'!B:B,"Jul",'Data - Monthly Metrics'!C:C,"Spokane/NE",'Data - Monthly Metrics'!D:D,"Penetration - Combined %"))</f>
        <v/>
      </c>
      <c r="O70" s="92">
        <f>IF(COUNTIFS('Data - Monthly Metrics'!A:A,$B$4,'Data - Monthly Metrics'!B:B,"Aug",'Data - Monthly Metrics'!C:C,"Spokane/NE",'Data - Monthly Metrics'!D:D,"Penetration - Combined %")=0,"-",SUMIFS('Data - Monthly Metrics'!E:E,'Data - Monthly Metrics'!A:A,$B$4,'Data - Monthly Metrics'!B:B,"Aug",'Data - Monthly Metrics'!C:C,"Spokane/NE",'Data - Monthly Metrics'!D:D,"Penetration - Combined %"))</f>
        <v/>
      </c>
      <c r="P70" s="92">
        <f>IF(COUNTIFS('Data - Monthly Metrics'!A:A,$B$4,'Data - Monthly Metrics'!B:B,"Sep",'Data - Monthly Metrics'!C:C,"Spokane/NE",'Data - Monthly Metrics'!D:D,"Penetration - Combined %")=0,"-",SUMIFS('Data - Monthly Metrics'!E:E,'Data - Monthly Metrics'!A:A,$B$4,'Data - Monthly Metrics'!B:B,"Sep",'Data - Monthly Metrics'!C:C,"Spokane/NE",'Data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Metrics'!$C:$C,"Spokane/NE",'Data - Monthly Metrics'!$D:$D,"Goal - Penetration %")=0),"—",IF(B70&gt;=SUMIFS('Data - Monthly Metrics'!$E:$E,'Data - Monthly Metrics'!$A:$A,$B$4-1,'Data - Monthly Metrics'!$B:$B,B$8,'Data - Monthly Metrics'!$C:$C,"Spokane/NE",'Data - Monthly Metrics'!$D:$D,"Goal - Penetration %"),"On Track",IF(B70&gt;=SUMIFS('Data - Monthly Metrics'!$E:$E,'Data - Monthly Metrics'!$A:$A,$B$4-1,'Data - Monthly Metrics'!$B:$B,B$8,'Data - Monthly Metrics'!$C:$C,"Spokane/NE",'Data - Monthly Metrics'!$D:$D,"Goal - Penetration %")-0.05,"Watch","At Risk")))</f>
        <v/>
      </c>
      <c r="C71" s="120">
        <f>IF(OR(NOT(ISNUMBER(C70)),C70=0,COUNTIFS('Data - Monthly Metrics'!$A:$A,$B$4-1,'Data - Monthly Metrics'!$B:$B,C$8,'Data - Monthly Metrics'!$C:$C,"Spokane/NE",'Data - Monthly Metrics'!$D:$D,"Goal - Penetration %")=0),"—",IF(C70&gt;=SUMIFS('Data - Monthly Metrics'!$E:$E,'Data - Monthly Metrics'!$A:$A,$B$4-1,'Data - Monthly Metrics'!$B:$B,C$8,'Data - Monthly Metrics'!$C:$C,"Spokane/NE",'Data - Monthly Metrics'!$D:$D,"Goal - Penetration %"),"On Track",IF(C70&gt;=SUMIFS('Data - Monthly Metrics'!$E:$E,'Data - Monthly Metrics'!$A:$A,$B$4-1,'Data - Monthly Metrics'!$B:$B,C$8,'Data - Monthly Metrics'!$C:$C,"Spokane/NE",'Data - Monthly Metrics'!$D:$D,"Goal - Penetration %")-0.05,"Watch","At Risk")))</f>
        <v/>
      </c>
      <c r="D71" s="120">
        <f>IF(OR(NOT(ISNUMBER(D70)),D70=0,COUNTIFS('Data - Monthly Metrics'!$A:$A,$B$4-1,'Data - Monthly Metrics'!$B:$B,D$8,'Data - Monthly Metrics'!$C:$C,"Spokane/NE",'Data - Monthly Metrics'!$D:$D,"Goal - Penetration %")=0),"—",IF(D70&gt;=SUMIFS('Data - Monthly Metrics'!$E:$E,'Data - Monthly Metrics'!$A:$A,$B$4-1,'Data - Monthly Metrics'!$B:$B,D$8,'Data - Monthly Metrics'!$C:$C,"Spokane/NE",'Data - Monthly Metrics'!$D:$D,"Goal - Penetration %"),"On Track",IF(D70&gt;=SUMIFS('Data - Monthly Metrics'!$E:$E,'Data - Monthly Metrics'!$A:$A,$B$4-1,'Data - Monthly Metrics'!$B:$B,D$8,'Data - Monthly Metrics'!$C:$C,"Spokane/NE",'Data - Monthly Metrics'!$D:$D,"Goal - Penetration %")-0.05,"Watch","At Risk")))</f>
        <v/>
      </c>
      <c r="E71" s="121">
        <f>"—"</f>
        <v/>
      </c>
      <c r="F71" s="120">
        <f>IF(OR(NOT(ISNUMBER(F70)),F70=0,COUNTIFS('Data - Monthly Metrics'!$A:$A,$B$4,'Data - Monthly Metrics'!$B:$B,F$8,'Data - Monthly Metrics'!$C:$C,"Spokane/NE",'Data - Monthly Metrics'!$D:$D,"Goal - Penetration %")=0),"—",IF(F70&gt;=SUMIFS('Data - Monthly Metrics'!$E:$E,'Data - Monthly Metrics'!$A:$A,$B$4,'Data - Monthly Metrics'!$B:$B,F$8,'Data - Monthly Metrics'!$C:$C,"Spokane/NE",'Data - Monthly Metrics'!$D:$D,"Goal - Penetration %"),"On Track",IF(F70&gt;=SUMIFS('Data - Monthly Metrics'!$E:$E,'Data - Monthly Metrics'!$A:$A,$B$4,'Data - Monthly Metrics'!$B:$B,F$8,'Data - Monthly Metrics'!$C:$C,"Spokane/NE",'Data - Monthly Metrics'!$D:$D,"Goal - Penetration %")-0.05,"Watch","At Risk")))</f>
        <v/>
      </c>
      <c r="G71" s="120">
        <f>IF(OR(NOT(ISNUMBER(G70)),G70=0,COUNTIFS('Data - Monthly Metrics'!$A:$A,$B$4,'Data - Monthly Metrics'!$B:$B,G$8,'Data - Monthly Metrics'!$C:$C,"Spokane/NE",'Data - Monthly Metrics'!$D:$D,"Goal - Penetration %")=0),"—",IF(G70&gt;=SUMIFS('Data - Monthly Metrics'!$E:$E,'Data - Monthly Metrics'!$A:$A,$B$4,'Data - Monthly Metrics'!$B:$B,G$8,'Data - Monthly Metrics'!$C:$C,"Spokane/NE",'Data - Monthly Metrics'!$D:$D,"Goal - Penetration %"),"On Track",IF(G70&gt;=SUMIFS('Data - Monthly Metrics'!$E:$E,'Data - Monthly Metrics'!$A:$A,$B$4,'Data - Monthly Metrics'!$B:$B,G$8,'Data - Monthly Metrics'!$C:$C,"Spokane/NE",'Data - Monthly Metrics'!$D:$D,"Goal - Penetration %")-0.05,"Watch","At Risk")))</f>
        <v/>
      </c>
      <c r="H71" s="120">
        <f>IF(OR(NOT(ISNUMBER(H70)),H70=0,COUNTIFS('Data - Monthly Metrics'!$A:$A,$B$4,'Data - Monthly Metrics'!$B:$B,H$8,'Data - Monthly Metrics'!$C:$C,"Spokane/NE",'Data - Monthly Metrics'!$D:$D,"Goal - Penetration %")=0),"—",IF(H70&gt;=SUMIFS('Data - Monthly Metrics'!$E:$E,'Data - Monthly Metrics'!$A:$A,$B$4,'Data - Monthly Metrics'!$B:$B,H$8,'Data - Monthly Metrics'!$C:$C,"Spokane/NE",'Data - Monthly Metrics'!$D:$D,"Goal - Penetration %"),"On Track",IF(H70&gt;=SUMIFS('Data - Monthly Metrics'!$E:$E,'Data - Monthly Metrics'!$A:$A,$B$4,'Data - Monthly Metrics'!$B:$B,H$8,'Data - Monthly Metrics'!$C:$C,"Spokane/NE",'Data - Monthly Metrics'!$D:$D,"Goal - Penetration %")-0.05,"Watch","At Risk")))</f>
        <v/>
      </c>
      <c r="I71" s="121">
        <f>"—"</f>
        <v/>
      </c>
      <c r="J71" s="120">
        <f>IF(OR(NOT(ISNUMBER(J70)),J70=0,COUNTIFS('Data - Monthly Metrics'!$A:$A,$B$4,'Data - Monthly Metrics'!$B:$B,J$8,'Data - Monthly Metrics'!$C:$C,"Spokane/NE",'Data - Monthly Metrics'!$D:$D,"Goal - Penetration %")=0),"—",IF(J70&gt;=SUMIFS('Data - Monthly Metrics'!$E:$E,'Data - Monthly Metrics'!$A:$A,$B$4,'Data - Monthly Metrics'!$B:$B,J$8,'Data - Monthly Metrics'!$C:$C,"Spokane/NE",'Data - Monthly Metrics'!$D:$D,"Goal - Penetration %"),"On Track",IF(J70&gt;=SUMIFS('Data - Monthly Metrics'!$E:$E,'Data - Monthly Metrics'!$A:$A,$B$4,'Data - Monthly Metrics'!$B:$B,J$8,'Data - Monthly Metrics'!$C:$C,"Spokane/NE",'Data - Monthly Metrics'!$D:$D,"Goal - Penetration %")-0.05,"Watch","At Risk")))</f>
        <v/>
      </c>
      <c r="K71" s="120">
        <f>IF(OR(NOT(ISNUMBER(K70)),K70=0,COUNTIFS('Data - Monthly Metrics'!$A:$A,$B$4,'Data - Monthly Metrics'!$B:$B,K$8,'Data - Monthly Metrics'!$C:$C,"Spokane/NE",'Data - Monthly Metrics'!$D:$D,"Goal - Penetration %")=0),"—",IF(K70&gt;=SUMIFS('Data - Monthly Metrics'!$E:$E,'Data - Monthly Metrics'!$A:$A,$B$4,'Data - Monthly Metrics'!$B:$B,K$8,'Data - Monthly Metrics'!$C:$C,"Spokane/NE",'Data - Monthly Metrics'!$D:$D,"Goal - Penetration %"),"On Track",IF(K70&gt;=SUMIFS('Data - Monthly Metrics'!$E:$E,'Data - Monthly Metrics'!$A:$A,$B$4,'Data - Monthly Metrics'!$B:$B,K$8,'Data - Monthly Metrics'!$C:$C,"Spokane/NE",'Data - Monthly Metrics'!$D:$D,"Goal - Penetration %")-0.05,"Watch","At Risk")))</f>
        <v/>
      </c>
      <c r="L71" s="120">
        <f>IF(OR(NOT(ISNUMBER(L70)),L70=0,COUNTIFS('Data - Monthly Metrics'!$A:$A,$B$4,'Data - Monthly Metrics'!$B:$B,L$8,'Data - Monthly Metrics'!$C:$C,"Spokane/NE",'Data - Monthly Metrics'!$D:$D,"Goal - Penetration %")=0),"—",IF(L70&gt;=SUMIFS('Data - Monthly Metrics'!$E:$E,'Data - Monthly Metrics'!$A:$A,$B$4,'Data - Monthly Metrics'!$B:$B,L$8,'Data - Monthly Metrics'!$C:$C,"Spokane/NE",'Data - Monthly Metrics'!$D:$D,"Goal - Penetration %"),"On Track",IF(L70&gt;=SUMIFS('Data - Monthly Metrics'!$E:$E,'Data - Monthly Metrics'!$A:$A,$B$4,'Data - Monthly Metrics'!$B:$B,L$8,'Data - Monthly Metrics'!$C:$C,"Spokane/NE",'Data - Monthly Metrics'!$D:$D,"Goal - Penetration %")-0.05,"Watch","At Risk")))</f>
        <v/>
      </c>
      <c r="M71" s="121">
        <f>"—"</f>
        <v/>
      </c>
      <c r="N71" s="120">
        <f>IF(OR(NOT(ISNUMBER(N70)),N70=0,COUNTIFS('Data - Monthly Metrics'!$A:$A,$B$4,'Data - Monthly Metrics'!$B:$B,N$8,'Data - Monthly Metrics'!$C:$C,"Spokane/NE",'Data - Monthly Metrics'!$D:$D,"Goal - Penetration %")=0),"—",IF(N70&gt;=SUMIFS('Data - Monthly Metrics'!$E:$E,'Data - Monthly Metrics'!$A:$A,$B$4,'Data - Monthly Metrics'!$B:$B,N$8,'Data - Monthly Metrics'!$C:$C,"Spokane/NE",'Data - Monthly Metrics'!$D:$D,"Goal - Penetration %"),"On Track",IF(N70&gt;=SUMIFS('Data - Monthly Metrics'!$E:$E,'Data - Monthly Metrics'!$A:$A,$B$4,'Data - Monthly Metrics'!$B:$B,N$8,'Data - Monthly Metrics'!$C:$C,"Spokane/NE",'Data - Monthly Metrics'!$D:$D,"Goal - Penetration %")-0.05,"Watch","At Risk")))</f>
        <v/>
      </c>
      <c r="O71" s="120">
        <f>IF(OR(NOT(ISNUMBER(O70)),O70=0,COUNTIFS('Data - Monthly Metrics'!$A:$A,$B$4,'Data - Monthly Metrics'!$B:$B,O$8,'Data - Monthly Metrics'!$C:$C,"Spokane/NE",'Data - Monthly Metrics'!$D:$D,"Goal - Penetration %")=0),"—",IF(O70&gt;=SUMIFS('Data - Monthly Metrics'!$E:$E,'Data - Monthly Metrics'!$A:$A,$B$4,'Data - Monthly Metrics'!$B:$B,O$8,'Data - Monthly Metrics'!$C:$C,"Spokane/NE",'Data - Monthly Metrics'!$D:$D,"Goal - Penetration %"),"On Track",IF(O70&gt;=SUMIFS('Data - Monthly Metrics'!$E:$E,'Data - Monthly Metrics'!$A:$A,$B$4,'Data - Monthly Metrics'!$B:$B,O$8,'Data - Monthly Metrics'!$C:$C,"Spokane/NE",'Data - Monthly Metrics'!$D:$D,"Goal - Penetration %")-0.05,"Watch","At Risk")))</f>
        <v/>
      </c>
      <c r="P71" s="120">
        <f>IF(OR(NOT(ISNUMBER(P70)),P70=0,COUNTIFS('Data - Monthly Metrics'!$A:$A,$B$4,'Data - Monthly Metrics'!$B:$B,P$8,'Data - Monthly Metrics'!$C:$C,"Spokane/NE",'Data - Monthly Metrics'!$D:$D,"Goal - Penetration %")=0),"—",IF(P70&gt;=SUMIFS('Data - Monthly Metrics'!$E:$E,'Data - Monthly Metrics'!$A:$A,$B$4,'Data - Monthly Metrics'!$B:$B,P$8,'Data - Monthly Metrics'!$C:$C,"Spokane/NE",'Data - Monthly Metrics'!$D:$D,"Goal - Penetration %"),"On Track",IF(P70&gt;=SUMIFS('Data - Monthly Metrics'!$E:$E,'Data - Monthly Metrics'!$A:$A,$B$4,'Data - Monthly Metrics'!$B:$B,P$8,'Data - Monthly Metrics'!$C:$C,"Spokane/NE",'Data - Monthly Metrics'!$D:$D,"Goal - Penetration %")-0.05,"Watch","At Risk")))</f>
        <v/>
      </c>
      <c r="Q71" s="121">
        <f>"—"</f>
        <v/>
      </c>
      <c r="R71" s="121">
        <f>"—"</f>
        <v/>
      </c>
    </row>
    <row r="72" ht="14.25" customHeight="1" s="82">
      <c r="A72" s="151" t="inlineStr">
        <is>
          <t>Goal</t>
        </is>
      </c>
      <c r="B72" s="152">
        <f>IF(COUNTIFS('Data - Monthly Metrics'!$A:$A,$B$4-1,'Data - Monthly Metrics'!$B:$B,B$8,'Data - Monthly Metrics'!$C:$C,"Spokane/NE",'Data - Monthly Metrics'!$D:$D,"Goal - Penetration %")=0,"-",SUMIFS('Data - Monthly Metrics'!$E:$E,'Data - Monthly Metrics'!$A:$A,$B$4-1,'Data - Monthly Metrics'!$B:$B,B$8,'Data - Monthly Metrics'!$C:$C,"Spokane/NE",'Data - Monthly Metrics'!$D:$D,"Goal - Penetration %"))</f>
        <v/>
      </c>
      <c r="C72" s="152">
        <f>IF(COUNTIFS('Data - Monthly Metrics'!$A:$A,$B$4-1,'Data - Monthly Metrics'!$B:$B,C$8,'Data - Monthly Metrics'!$C:$C,"Spokane/NE",'Data - Monthly Metrics'!$D:$D,"Goal - Penetration %")=0,"-",SUMIFS('Data - Monthly Metrics'!$E:$E,'Data - Monthly Metrics'!$A:$A,$B$4-1,'Data - Monthly Metrics'!$B:$B,C$8,'Data - Monthly Metrics'!$C:$C,"Spokane/NE",'Data - Monthly Metrics'!$D:$D,"Goal - Penetration %"))</f>
        <v/>
      </c>
      <c r="D72" s="152">
        <f>IF(COUNTIFS('Data - Monthly Metrics'!$A:$A,$B$4-1,'Data - Monthly Metrics'!$B:$B,D$8,'Data - Monthly Metrics'!$C:$C,"Spokane/NE",'Data - Monthly Metrics'!$D:$D,"Goal - Penetration %")=0,"-",SUMIFS('Data - Monthly Metrics'!$E:$E,'Data - Monthly Metrics'!$A:$A,$B$4-1,'Data - Monthly Metrics'!$B:$B,D$8,'Data - Monthly Metrics'!$C:$C,"Spokane/NE",'Data - Monthly Metrics'!$D:$D,"Goal - Penetration %"))</f>
        <v/>
      </c>
      <c r="E72" s="153" t="n"/>
      <c r="F72" s="152">
        <f>IF(COUNTIFS('Data - Monthly Metrics'!$A:$A,$B$4,'Data - Monthly Metrics'!$B:$B,F$8,'Data - Monthly Metrics'!$C:$C,"Spokane/NE",'Data - Monthly Metrics'!$D:$D,"Goal - Penetration %")=0,"-",SUMIFS('Data - Monthly Metrics'!$E:$E,'Data - Monthly Metrics'!$A:$A,$B$4,'Data - Monthly Metrics'!$B:$B,F$8,'Data - Monthly Metrics'!$C:$C,"Spokane/NE",'Data - Monthly Metrics'!$D:$D,"Goal - Penetration %"))</f>
        <v/>
      </c>
      <c r="G72" s="152">
        <f>IF(COUNTIFS('Data - Monthly Metrics'!$A:$A,$B$4,'Data - Monthly Metrics'!$B:$B,G$8,'Data - Monthly Metrics'!$C:$C,"Spokane/NE",'Data - Monthly Metrics'!$D:$D,"Goal - Penetration %")=0,"-",SUMIFS('Data - Monthly Metrics'!$E:$E,'Data - Monthly Metrics'!$A:$A,$B$4,'Data - Monthly Metrics'!$B:$B,G$8,'Data - Monthly Metrics'!$C:$C,"Spokane/NE",'Data - Monthly Metrics'!$D:$D,"Goal - Penetration %"))</f>
        <v/>
      </c>
      <c r="H72" s="152">
        <f>IF(COUNTIFS('Data - Monthly Metrics'!$A:$A,$B$4,'Data - Monthly Metrics'!$B:$B,H$8,'Data - Monthly Metrics'!$C:$C,"Spokane/NE",'Data - Monthly Metrics'!$D:$D,"Goal - Penetration %")=0,"-",SUMIFS('Data - Monthly Metrics'!$E:$E,'Data - Monthly Metrics'!$A:$A,$B$4,'Data - Monthly Metrics'!$B:$B,H$8,'Data - Monthly Metrics'!$C:$C,"Spokane/NE",'Data - Monthly Metrics'!$D:$D,"Goal - Penetration %"))</f>
        <v/>
      </c>
      <c r="I72" s="153" t="n"/>
      <c r="J72" s="152">
        <f>IF(COUNTIFS('Data - Monthly Metrics'!$A:$A,$B$4,'Data - Monthly Metrics'!$B:$B,J$8,'Data - Monthly Metrics'!$C:$C,"Spokane/NE",'Data - Monthly Metrics'!$D:$D,"Goal - Penetration %")=0,"-",SUMIFS('Data - Monthly Metrics'!$E:$E,'Data - Monthly Metrics'!$A:$A,$B$4,'Data - Monthly Metrics'!$B:$B,J$8,'Data - Monthly Metrics'!$C:$C,"Spokane/NE",'Data - Monthly Metrics'!$D:$D,"Goal - Penetration %"))</f>
        <v/>
      </c>
      <c r="K72" s="152">
        <f>IF(COUNTIFS('Data - Monthly Metrics'!$A:$A,$B$4,'Data - Monthly Metrics'!$B:$B,K$8,'Data - Monthly Metrics'!$C:$C,"Spokane/NE",'Data - Monthly Metrics'!$D:$D,"Goal - Penetration %")=0,"-",SUMIFS('Data - Monthly Metrics'!$E:$E,'Data - Monthly Metrics'!$A:$A,$B$4,'Data - Monthly Metrics'!$B:$B,K$8,'Data - Monthly Metrics'!$C:$C,"Spokane/NE",'Data - Monthly Metrics'!$D:$D,"Goal - Penetration %"))</f>
        <v/>
      </c>
      <c r="L72" s="152">
        <f>IF(COUNTIFS('Data - Monthly Metrics'!$A:$A,$B$4,'Data - Monthly Metrics'!$B:$B,L$8,'Data - Monthly Metrics'!$C:$C,"Spokane/NE",'Data - Monthly Metrics'!$D:$D,"Goal - Penetration %")=0,"-",SUMIFS('Data - Monthly Metrics'!$E:$E,'Data - Monthly Metrics'!$A:$A,$B$4,'Data - Monthly Metrics'!$B:$B,L$8,'Data - Monthly Metrics'!$C:$C,"Spokane/NE",'Data - Monthly Metrics'!$D:$D,"Goal - Penetration %"))</f>
        <v/>
      </c>
      <c r="M72" s="153" t="n"/>
      <c r="N72" s="152">
        <f>IF(COUNTIFS('Data - Monthly Metrics'!$A:$A,$B$4,'Data - Monthly Metrics'!$B:$B,N$8,'Data - Monthly Metrics'!$C:$C,"Spokane/NE",'Data - Monthly Metrics'!$D:$D,"Goal - Penetration %")=0,"-",SUMIFS('Data - Monthly Metrics'!$E:$E,'Data - Monthly Metrics'!$A:$A,$B$4,'Data - Monthly Metrics'!$B:$B,N$8,'Data - Monthly Metrics'!$C:$C,"Spokane/NE",'Data - Monthly Metrics'!$D:$D,"Goal - Penetration %"))</f>
        <v/>
      </c>
      <c r="O72" s="152">
        <f>IF(COUNTIFS('Data - Monthly Metrics'!$A:$A,$B$4,'Data - Monthly Metrics'!$B:$B,O$8,'Data - Monthly Metrics'!$C:$C,"Spokane/NE",'Data - Monthly Metrics'!$D:$D,"Goal - Penetration %")=0,"-",SUMIFS('Data - Monthly Metrics'!$E:$E,'Data - Monthly Metrics'!$A:$A,$B$4,'Data - Monthly Metrics'!$B:$B,O$8,'Data - Monthly Metrics'!$C:$C,"Spokane/NE",'Data - Monthly Metrics'!$D:$D,"Goal - Penetration %"))</f>
        <v/>
      </c>
      <c r="P72" s="152">
        <f>IF(COUNTIFS('Data - Monthly Metrics'!$A:$A,$B$4,'Data - Monthly Metrics'!$B:$B,P$8,'Data - Monthly Metrics'!$C:$C,"Spokane/NE",'Data - Monthly Metrics'!$D:$D,"Goal - Penetration %")=0,"-",SUMIFS('Data - Monthly Metrics'!$E:$E,'Data - Monthly Metrics'!$A:$A,$B$4,'Data - Monthly Metrics'!$B:$B,P$8,'Data - Monthly Metrics'!$C:$C,"Spokane/NE",'Data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Metrics'!C:C,"Spokane/NE",'Data - Monthly Metrics'!D:D,"New Sales Revenue - Non-Target ($)")=0,"-",SUMIFS('Data - Monthly Metrics'!E:E,'Data - Monthly Metrics'!A:A,$B$4-1,'Data - Monthly Metrics'!B:B,"Oct",'Data - Monthly Metrics'!C:C,"Spokane/NE",'Data - Monthly Metrics'!D:D,"New Sales Revenue - Non-Target ($)"))</f>
        <v/>
      </c>
      <c r="C79" s="91">
        <f>IF(COUNTIFS('Data - Monthly Metrics'!A:A,$B$4-1,'Data - Monthly Metrics'!B:B,"Nov",'Data - Monthly Metrics'!C:C,"Spokane/NE",'Data - Monthly Metrics'!D:D,"New Sales Revenue - Non-Target ($)")=0,"-",SUMIFS('Data - Monthly Metrics'!E:E,'Data - Monthly Metrics'!A:A,$B$4-1,'Data - Monthly Metrics'!B:B,"Nov",'Data - Monthly Metrics'!C:C,"Spokane/NE",'Data - Monthly Metrics'!D:D,"New Sales Revenue - Non-Target ($)"))</f>
        <v/>
      </c>
      <c r="D79" s="91">
        <f>IF(COUNTIFS('Data - Monthly Metrics'!A:A,$B$4-1,'Data - Monthly Metrics'!B:B,"Dec",'Data - Monthly Metrics'!C:C,"Spokane/NE",'Data - Monthly Metrics'!D:D,"New Sales Revenue - Non-Target ($)")=0,"-",SUMIFS('Data - Monthly Metrics'!E:E,'Data - Monthly Metrics'!A:A,$B$4-1,'Data - Monthly Metrics'!B:B,"Dec",'Data - Monthly Metrics'!C:C,"Spokane/NE",'Data - Monthly Metrics'!D:D,"New Sales Revenue - Non-Target ($)"))</f>
        <v/>
      </c>
      <c r="E79" s="101">
        <f>SUM(B79,C79,D79)</f>
        <v/>
      </c>
      <c r="F79" s="91">
        <f>IF(COUNTIFS('Data - Monthly Metrics'!A:A,$B$4,'Data - Monthly Metrics'!B:B,"Jan",'Data - Monthly Metrics'!C:C,"Spokane/NE",'Data - Monthly Metrics'!D:D,"New Sales Revenue - Non-Target ($)")=0,"-",SUMIFS('Data - Monthly Metrics'!E:E,'Data - Monthly Metrics'!A:A,$B$4,'Data - Monthly Metrics'!B:B,"Jan",'Data - Monthly Metrics'!C:C,"Spokane/NE",'Data - Monthly Metrics'!D:D,"New Sales Revenue - Non-Target ($)"))</f>
        <v/>
      </c>
      <c r="G79" s="91">
        <f>IF(COUNTIFS('Data - Monthly Metrics'!A:A,$B$4,'Data - Monthly Metrics'!B:B,"Feb",'Data - Monthly Metrics'!C:C,"Spokane/NE",'Data - Monthly Metrics'!D:D,"New Sales Revenue - Non-Target ($)")=0,"-",SUMIFS('Data - Monthly Metrics'!E:E,'Data - Monthly Metrics'!A:A,$B$4,'Data - Monthly Metrics'!B:B,"Feb",'Data - Monthly Metrics'!C:C,"Spokane/NE",'Data - Monthly Metrics'!D:D,"New Sales Revenue - Non-Target ($)"))</f>
        <v/>
      </c>
      <c r="H79" s="91">
        <f>IF(COUNTIFS('Data - Monthly Metrics'!A:A,$B$4,'Data - Monthly Metrics'!B:B,"Mar",'Data - Monthly Metrics'!C:C,"Spokane/NE",'Data - Monthly Metrics'!D:D,"New Sales Revenue - Non-Target ($)")=0,"-",SUMIFS('Data - Monthly Metrics'!E:E,'Data - Monthly Metrics'!A:A,$B$4,'Data - Monthly Metrics'!B:B,"Mar",'Data - Monthly Metrics'!C:C,"Spokane/NE",'Data - Monthly Metrics'!D:D,"New Sales Revenue - Non-Target ($)"))</f>
        <v/>
      </c>
      <c r="I79" s="101">
        <f>SUM(F79,G79,H79)</f>
        <v/>
      </c>
      <c r="J79" s="91">
        <f>IF(COUNTIFS('Data - Monthly Metrics'!A:A,$B$4,'Data - Monthly Metrics'!B:B,"Apr",'Data - Monthly Metrics'!C:C,"Spokane/NE",'Data - Monthly Metrics'!D:D,"New Sales Revenue - Non-Target ($)")=0,"-",SUMIFS('Data - Monthly Metrics'!E:E,'Data - Monthly Metrics'!A:A,$B$4,'Data - Monthly Metrics'!B:B,"Apr",'Data - Monthly Metrics'!C:C,"Spokane/NE",'Data - Monthly Metrics'!D:D,"New Sales Revenue - Non-Target ($)"))</f>
        <v/>
      </c>
      <c r="K79" s="91">
        <f>IF(COUNTIFS('Data - Monthly Metrics'!A:A,$B$4,'Data - Monthly Metrics'!B:B,"May",'Data - Monthly Metrics'!C:C,"Spokane/NE",'Data - Monthly Metrics'!D:D,"New Sales Revenue - Non-Target ($)")=0,"-",SUMIFS('Data - Monthly Metrics'!E:E,'Data - Monthly Metrics'!A:A,$B$4,'Data - Monthly Metrics'!B:B,"May",'Data - Monthly Metrics'!C:C,"Spokane/NE",'Data - Monthly Metrics'!D:D,"New Sales Revenue - Non-Target ($)"))</f>
        <v/>
      </c>
      <c r="L79" s="91">
        <f>IF(COUNTIFS('Data - Monthly Metrics'!A:A,$B$4,'Data - Monthly Metrics'!B:B,"Jun",'Data - Monthly Metrics'!C:C,"Spokane/NE",'Data - Monthly Metrics'!D:D,"New Sales Revenue - Non-Target ($)")=0,"-",SUMIFS('Data - Monthly Metrics'!E:E,'Data - Monthly Metrics'!A:A,$B$4,'Data - Monthly Metrics'!B:B,"Jun",'Data - Monthly Metrics'!C:C,"Spokane/NE",'Data - Monthly Metrics'!D:D,"New Sales Revenue - Non-Target ($)"))</f>
        <v/>
      </c>
      <c r="M79" s="101">
        <f>SUM(J79,K79,L79)</f>
        <v/>
      </c>
      <c r="N79" s="91">
        <f>IF(COUNTIFS('Data - Monthly Metrics'!A:A,$B$4,'Data - Monthly Metrics'!B:B,"Jul",'Data - Monthly Metrics'!C:C,"Spokane/NE",'Data - Monthly Metrics'!D:D,"New Sales Revenue - Non-Target ($)")=0,"-",SUMIFS('Data - Monthly Metrics'!E:E,'Data - Monthly Metrics'!A:A,$B$4,'Data - Monthly Metrics'!B:B,"Jul",'Data - Monthly Metrics'!C:C,"Spokane/NE",'Data - Monthly Metrics'!D:D,"New Sales Revenue - Non-Target ($)"))</f>
        <v/>
      </c>
      <c r="O79" s="91">
        <f>IF(COUNTIFS('Data - Monthly Metrics'!A:A,$B$4,'Data - Monthly Metrics'!B:B,"Aug",'Data - Monthly Metrics'!C:C,"Spokane/NE",'Data - Monthly Metrics'!D:D,"New Sales Revenue - Non-Target ($)")=0,"-",SUMIFS('Data - Monthly Metrics'!E:E,'Data - Monthly Metrics'!A:A,$B$4,'Data - Monthly Metrics'!B:B,"Aug",'Data - Monthly Metrics'!C:C,"Spokane/NE",'Data - Monthly Metrics'!D:D,"New Sales Revenue - Non-Target ($)"))</f>
        <v/>
      </c>
      <c r="P79" s="91">
        <f>IF(COUNTIFS('Data - Monthly Metrics'!A:A,$B$4,'Data - Monthly Metrics'!B:B,"Sep",'Data - Monthly Metrics'!C:C,"Spokane/NE",'Data - Monthly Metrics'!D:D,"New Sales Revenue - Non-Target ($)")=0,"-",SUMIFS('Data - Monthly Metrics'!E:E,'Data - Monthly Metrics'!A:A,$B$4,'Data - Monthly Metrics'!B:B,"Sep",'Data - Monthly Metrics'!C:C,"Spokane/NE",'Data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Metrics'!C:C,"Spokane/NE",'Data - Monthly Metrics'!D:D,"New Members - Non-Target (#)")=0,"-",SUMIFS('Data - Monthly Metrics'!E:E,'Data - Monthly Metrics'!A:A,$B$4-1,'Data - Monthly Metrics'!B:B,"Oct",'Data - Monthly Metrics'!C:C,"Spokane/NE",'Data - Monthly Metrics'!D:D,"New Members - Non-Target (#)"))</f>
        <v/>
      </c>
      <c r="C80" s="98">
        <f>IF(COUNTIFS('Data - Monthly Metrics'!A:A,$B$4-1,'Data - Monthly Metrics'!B:B,"Nov",'Data - Monthly Metrics'!C:C,"Spokane/NE",'Data - Monthly Metrics'!D:D,"New Members - Non-Target (#)")=0,"-",SUMIFS('Data - Monthly Metrics'!E:E,'Data - Monthly Metrics'!A:A,$B$4-1,'Data - Monthly Metrics'!B:B,"Nov",'Data - Monthly Metrics'!C:C,"Spokane/NE",'Data - Monthly Metrics'!D:D,"New Members - Non-Target (#)"))</f>
        <v/>
      </c>
      <c r="D80" s="98">
        <f>IF(COUNTIFS('Data - Monthly Metrics'!A:A,$B$4-1,'Data - Monthly Metrics'!B:B,"Dec",'Data - Monthly Metrics'!C:C,"Spokane/NE",'Data - Monthly Metrics'!D:D,"New Members - Non-Target (#)")=0,"-",SUMIFS('Data - Monthly Metrics'!E:E,'Data - Monthly Metrics'!A:A,$B$4-1,'Data - Monthly Metrics'!B:B,"Dec",'Data - Monthly Metrics'!C:C,"Spokane/NE",'Data - Monthly Metrics'!D:D,"New Members - Non-Target (#)"))</f>
        <v/>
      </c>
      <c r="E80" s="103">
        <f>SUM(B80,C80,D80)</f>
        <v/>
      </c>
      <c r="F80" s="98">
        <f>IF(COUNTIFS('Data - Monthly Metrics'!A:A,$B$4,'Data - Monthly Metrics'!B:B,"Jan",'Data - Monthly Metrics'!C:C,"Spokane/NE",'Data - Monthly Metrics'!D:D,"New Members - Non-Target (#)")=0,"-",SUMIFS('Data - Monthly Metrics'!E:E,'Data - Monthly Metrics'!A:A,$B$4,'Data - Monthly Metrics'!B:B,"Jan",'Data - Monthly Metrics'!C:C,"Spokane/NE",'Data - Monthly Metrics'!D:D,"New Members - Non-Target (#)"))</f>
        <v/>
      </c>
      <c r="G80" s="98">
        <f>IF(COUNTIFS('Data - Monthly Metrics'!A:A,$B$4,'Data - Monthly Metrics'!B:B,"Feb",'Data - Monthly Metrics'!C:C,"Spokane/NE",'Data - Monthly Metrics'!D:D,"New Members - Non-Target (#)")=0,"-",SUMIFS('Data - Monthly Metrics'!E:E,'Data - Monthly Metrics'!A:A,$B$4,'Data - Monthly Metrics'!B:B,"Feb",'Data - Monthly Metrics'!C:C,"Spokane/NE",'Data - Monthly Metrics'!D:D,"New Members - Non-Target (#)"))</f>
        <v/>
      </c>
      <c r="H80" s="98">
        <f>IF(COUNTIFS('Data - Monthly Metrics'!A:A,$B$4,'Data - Monthly Metrics'!B:B,"Mar",'Data - Monthly Metrics'!C:C,"Spokane/NE",'Data - Monthly Metrics'!D:D,"New Members - Non-Target (#)")=0,"-",SUMIFS('Data - Monthly Metrics'!E:E,'Data - Monthly Metrics'!A:A,$B$4,'Data - Monthly Metrics'!B:B,"Mar",'Data - Monthly Metrics'!C:C,"Spokane/NE",'Data - Monthly Metrics'!D:D,"New Members - Non-Target (#)"))</f>
        <v/>
      </c>
      <c r="I80" s="103">
        <f>SUM(F80,G80,H80)</f>
        <v/>
      </c>
      <c r="J80" s="98">
        <f>IF(COUNTIFS('Data - Monthly Metrics'!A:A,$B$4,'Data - Monthly Metrics'!B:B,"Apr",'Data - Monthly Metrics'!C:C,"Spokane/NE",'Data - Monthly Metrics'!D:D,"New Members - Non-Target (#)")=0,"-",SUMIFS('Data - Monthly Metrics'!E:E,'Data - Monthly Metrics'!A:A,$B$4,'Data - Monthly Metrics'!B:B,"Apr",'Data - Monthly Metrics'!C:C,"Spokane/NE",'Data - Monthly Metrics'!D:D,"New Members - Non-Target (#)"))</f>
        <v/>
      </c>
      <c r="K80" s="98">
        <f>IF(COUNTIFS('Data - Monthly Metrics'!A:A,$B$4,'Data - Monthly Metrics'!B:B,"May",'Data - Monthly Metrics'!C:C,"Spokane/NE",'Data - Monthly Metrics'!D:D,"New Members - Non-Target (#)")=0,"-",SUMIFS('Data - Monthly Metrics'!E:E,'Data - Monthly Metrics'!A:A,$B$4,'Data - Monthly Metrics'!B:B,"May",'Data - Monthly Metrics'!C:C,"Spokane/NE",'Data - Monthly Metrics'!D:D,"New Members - Non-Target (#)"))</f>
        <v/>
      </c>
      <c r="L80" s="98">
        <f>IF(COUNTIFS('Data - Monthly Metrics'!A:A,$B$4,'Data - Monthly Metrics'!B:B,"Jun",'Data - Monthly Metrics'!C:C,"Spokane/NE",'Data - Monthly Metrics'!D:D,"New Members - Non-Target (#)")=0,"-",SUMIFS('Data - Monthly Metrics'!E:E,'Data - Monthly Metrics'!A:A,$B$4,'Data - Monthly Metrics'!B:B,"Jun",'Data - Monthly Metrics'!C:C,"Spokane/NE",'Data - Monthly Metrics'!D:D,"New Members - Non-Target (#)"))</f>
        <v/>
      </c>
      <c r="M80" s="103">
        <f>SUM(J80,K80,L80)</f>
        <v/>
      </c>
      <c r="N80" s="98">
        <f>IF(COUNTIFS('Data - Monthly Metrics'!A:A,$B$4,'Data - Monthly Metrics'!B:B,"Jul",'Data - Monthly Metrics'!C:C,"Spokane/NE",'Data - Monthly Metrics'!D:D,"New Members - Non-Target (#)")=0,"-",SUMIFS('Data - Monthly Metrics'!E:E,'Data - Monthly Metrics'!A:A,$B$4,'Data - Monthly Metrics'!B:B,"Jul",'Data - Monthly Metrics'!C:C,"Spokane/NE",'Data - Monthly Metrics'!D:D,"New Members - Non-Target (#)"))</f>
        <v/>
      </c>
      <c r="O80" s="98">
        <f>IF(COUNTIFS('Data - Monthly Metrics'!A:A,$B$4,'Data - Monthly Metrics'!B:B,"Aug",'Data - Monthly Metrics'!C:C,"Spokane/NE",'Data - Monthly Metrics'!D:D,"New Members - Non-Target (#)")=0,"-",SUMIFS('Data - Monthly Metrics'!E:E,'Data - Monthly Metrics'!A:A,$B$4,'Data - Monthly Metrics'!B:B,"Aug",'Data - Monthly Metrics'!C:C,"Spokane/NE",'Data - Monthly Metrics'!D:D,"New Members - Non-Target (#)"))</f>
        <v/>
      </c>
      <c r="P80" s="98">
        <f>IF(COUNTIFS('Data - Monthly Metrics'!A:A,$B$4,'Data - Monthly Metrics'!B:B,"Sep",'Data - Monthly Metrics'!C:C,"Spokane/NE",'Data - Monthly Metrics'!D:D,"New Members - Non-Target (#)")=0,"-",SUMIFS('Data - Monthly Metrics'!E:E,'Data - Monthly Metrics'!A:A,$B$4,'Data - Monthly Metrics'!B:B,"Sep",'Data - Monthly Metrics'!C:C,"Spokane/NE",'Data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Metrics'!C:C,"Spokane/NE",'Data - Monthly Metrics'!D:D,"Billables - Hospitality Non-Target (#)")=0,"-",SUMIFS('Data - Monthly Metrics'!E:E,'Data - Monthly Metrics'!A:A,$B$4-1,'Data - Monthly Metrics'!B:B,"Oct",'Data - Monthly Metrics'!C:C,"Spokane/NE",'Data - Monthly Metrics'!D:D,"Billables - Hospitality Non-Target (#)"))</f>
        <v/>
      </c>
      <c r="C84" s="93">
        <f>IF(COUNTIFS('Data - Monthly Metrics'!A:A,$B$4-1,'Data - Monthly Metrics'!B:B,"Nov",'Data - Monthly Metrics'!C:C,"Spokane/NE",'Data - Monthly Metrics'!D:D,"Billables - Hospitality Non-Target (#)")=0,"-",SUMIFS('Data - Monthly Metrics'!E:E,'Data - Monthly Metrics'!A:A,$B$4-1,'Data - Monthly Metrics'!B:B,"Nov",'Data - Monthly Metrics'!C:C,"Spokane/NE",'Data - Monthly Metrics'!D:D,"Billables - Hospitality Non-Target (#)"))</f>
        <v/>
      </c>
      <c r="D84" s="93">
        <f>IF(COUNTIFS('Data - Monthly Metrics'!A:A,$B$4-1,'Data - Monthly Metrics'!B:B,"Dec",'Data - Monthly Metrics'!C:C,"Spokane/NE",'Data - Monthly Metrics'!D:D,"Billables - Hospitality Non-Target (#)")=0,"-",SUMIFS('Data - Monthly Metrics'!E:E,'Data - Monthly Metrics'!A:A,$B$4-1,'Data - Monthly Metrics'!B:B,"Dec",'Data - Monthly Metrics'!C:C,"Spokane/NE",'Data - Monthly Metrics'!D:D,"Billables - Hospitality Non-Target (#)"))</f>
        <v/>
      </c>
      <c r="E84" s="103">
        <f>IF(ISNUMBER(D84),D84,IF(ISNUMBER(C84),C84,IF(ISNUMBER(B84),B84,"-")))</f>
        <v/>
      </c>
      <c r="F84" s="93">
        <f>IF(COUNTIFS('Data - Monthly Metrics'!A:A,$B$4,'Data - Monthly Metrics'!B:B,"Jan",'Data - Monthly Metrics'!C:C,"Spokane/NE",'Data - Monthly Metrics'!D:D,"Billables - Hospitality Non-Target (#)")=0,"-",SUMIFS('Data - Monthly Metrics'!E:E,'Data - Monthly Metrics'!A:A,$B$4,'Data - Monthly Metrics'!B:B,"Jan",'Data - Monthly Metrics'!C:C,"Spokane/NE",'Data - Monthly Metrics'!D:D,"Billables - Hospitality Non-Target (#)"))</f>
        <v/>
      </c>
      <c r="G84" s="93">
        <f>IF(COUNTIFS('Data - Monthly Metrics'!A:A,$B$4,'Data - Monthly Metrics'!B:B,"Feb",'Data - Monthly Metrics'!C:C,"Spokane/NE",'Data - Monthly Metrics'!D:D,"Billables - Hospitality Non-Target (#)")=0,"-",SUMIFS('Data - Monthly Metrics'!E:E,'Data - Monthly Metrics'!A:A,$B$4,'Data - Monthly Metrics'!B:B,"Feb",'Data - Monthly Metrics'!C:C,"Spokane/NE",'Data - Monthly Metrics'!D:D,"Billables - Hospitality Non-Target (#)"))</f>
        <v/>
      </c>
      <c r="H84" s="93">
        <f>IF(COUNTIFS('Data - Monthly Metrics'!A:A,$B$4,'Data - Monthly Metrics'!B:B,"Mar",'Data - Monthly Metrics'!C:C,"Spokane/NE",'Data - Monthly Metrics'!D:D,"Billables - Hospitality Non-Target (#)")=0,"-",SUMIFS('Data - Monthly Metrics'!E:E,'Data - Monthly Metrics'!A:A,$B$4,'Data - Monthly Metrics'!B:B,"Mar",'Data - Monthly Metrics'!C:C,"Spokane/NE",'Data - Monthly Metrics'!D:D,"Billables - Hospitality Non-Target (#)"))</f>
        <v/>
      </c>
      <c r="I84" s="103">
        <f>IF(ISNUMBER(H84),H84,IF(ISNUMBER(G84),G84,IF(ISNUMBER(F84),F84,"-")))</f>
        <v/>
      </c>
      <c r="J84" s="93">
        <f>IF(COUNTIFS('Data - Monthly Metrics'!A:A,$B$4,'Data - Monthly Metrics'!B:B,"Apr",'Data - Monthly Metrics'!C:C,"Spokane/NE",'Data - Monthly Metrics'!D:D,"Billables - Hospitality Non-Target (#)")=0,"-",SUMIFS('Data - Monthly Metrics'!E:E,'Data - Monthly Metrics'!A:A,$B$4,'Data - Monthly Metrics'!B:B,"Apr",'Data - Monthly Metrics'!C:C,"Spokane/NE",'Data - Monthly Metrics'!D:D,"Billables - Hospitality Non-Target (#)"))</f>
        <v/>
      </c>
      <c r="K84" s="93">
        <f>IF(COUNTIFS('Data - Monthly Metrics'!A:A,$B$4,'Data - Monthly Metrics'!B:B,"May",'Data - Monthly Metrics'!C:C,"Spokane/NE",'Data - Monthly Metrics'!D:D,"Billables - Hospitality Non-Target (#)")=0,"-",SUMIFS('Data - Monthly Metrics'!E:E,'Data - Monthly Metrics'!A:A,$B$4,'Data - Monthly Metrics'!B:B,"May",'Data - Monthly Metrics'!C:C,"Spokane/NE",'Data - Monthly Metrics'!D:D,"Billables - Hospitality Non-Target (#)"))</f>
        <v/>
      </c>
      <c r="L84" s="93">
        <f>IF(COUNTIFS('Data - Monthly Metrics'!A:A,$B$4,'Data - Monthly Metrics'!B:B,"Jun",'Data - Monthly Metrics'!C:C,"Spokane/NE",'Data - Monthly Metrics'!D:D,"Billables - Hospitality Non-Target (#)")=0,"-",SUMIFS('Data - Monthly Metrics'!E:E,'Data - Monthly Metrics'!A:A,$B$4,'Data - Monthly Metrics'!B:B,"Jun",'Data - Monthly Metrics'!C:C,"Spokane/NE",'Data - Monthly Metrics'!D:D,"Billables - Hospitality Non-Target (#)"))</f>
        <v/>
      </c>
      <c r="M84" s="103">
        <f>IF(ISNUMBER(L84),L84,IF(ISNUMBER(K84),K84,IF(ISNUMBER(J84),J84,"-")))</f>
        <v/>
      </c>
      <c r="N84" s="93">
        <f>IF(COUNTIFS('Data - Monthly Metrics'!A:A,$B$4,'Data - Monthly Metrics'!B:B,"Jul",'Data - Monthly Metrics'!C:C,"Spokane/NE",'Data - Monthly Metrics'!D:D,"Billables - Hospitality Non-Target (#)")=0,"-",SUMIFS('Data - Monthly Metrics'!E:E,'Data - Monthly Metrics'!A:A,$B$4,'Data - Monthly Metrics'!B:B,"Jul",'Data - Monthly Metrics'!C:C,"Spokane/NE",'Data - Monthly Metrics'!D:D,"Billables - Hospitality Non-Target (#)"))</f>
        <v/>
      </c>
      <c r="O84" s="93">
        <f>IF(COUNTIFS('Data - Monthly Metrics'!A:A,$B$4,'Data - Monthly Metrics'!B:B,"Aug",'Data - Monthly Metrics'!C:C,"Spokane/NE",'Data - Monthly Metrics'!D:D,"Billables - Hospitality Non-Target (#)")=0,"-",SUMIFS('Data - Monthly Metrics'!E:E,'Data - Monthly Metrics'!A:A,$B$4,'Data - Monthly Metrics'!B:B,"Aug",'Data - Monthly Metrics'!C:C,"Spokane/NE",'Data - Monthly Metrics'!D:D,"Billables - Hospitality Non-Target (#)"))</f>
        <v/>
      </c>
      <c r="P84" s="93">
        <f>IF(COUNTIFS('Data - Monthly Metrics'!A:A,$B$4,'Data - Monthly Metrics'!B:B,"Sep",'Data - Monthly Metrics'!C:C,"Spokane/NE",'Data - Monthly Metrics'!D:D,"Billables - Hospitality Non-Target (#)")=0,"-",SUMIFS('Data - Monthly Metrics'!E:E,'Data - Monthly Metrics'!A:A,$B$4,'Data - Monthly Metrics'!B:B,"Sep",'Data - Monthly Metrics'!C:C,"Spokane/NE",'Data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Metrics'!C:C,"Spokane/NE",'Data - Monthly Metrics'!D:D,"Member Locations - Non-Target (#)")=0,"-",SUMIFS('Data - Monthly Metrics'!E:E,'Data - Monthly Metrics'!A:A,$B$4-1,'Data - Monthly Metrics'!B:B,"Oct",'Data - Monthly Metrics'!C:C,"Spokane/NE",'Data - Monthly Metrics'!D:D,"Member Locations - Non-Target (#)"))</f>
        <v/>
      </c>
      <c r="C85" s="93">
        <f>IF(COUNTIFS('Data - Monthly Metrics'!A:A,$B$4-1,'Data - Monthly Metrics'!B:B,"Nov",'Data - Monthly Metrics'!C:C,"Spokane/NE",'Data - Monthly Metrics'!D:D,"Member Locations - Non-Target (#)")=0,"-",SUMIFS('Data - Monthly Metrics'!E:E,'Data - Monthly Metrics'!A:A,$B$4-1,'Data - Monthly Metrics'!B:B,"Nov",'Data - Monthly Metrics'!C:C,"Spokane/NE",'Data - Monthly Metrics'!D:D,"Member Locations - Non-Target (#)"))</f>
        <v/>
      </c>
      <c r="D85" s="93">
        <f>IF(COUNTIFS('Data - Monthly Metrics'!A:A,$B$4-1,'Data - Monthly Metrics'!B:B,"Dec",'Data - Monthly Metrics'!C:C,"Spokane/NE",'Data - Monthly Metrics'!D:D,"Member Locations - Non-Target (#)")=0,"-",SUMIFS('Data - Monthly Metrics'!E:E,'Data - Monthly Metrics'!A:A,$B$4-1,'Data - Monthly Metrics'!B:B,"Dec",'Data - Monthly Metrics'!C:C,"Spokane/NE",'Data - Monthly Metrics'!D:D,"Member Locations - Non-Target (#)"))</f>
        <v/>
      </c>
      <c r="E85" s="103">
        <f>IF(ISNUMBER(D85),D85,IF(ISNUMBER(C85),C85,IF(ISNUMBER(B85),B85,"-")))</f>
        <v/>
      </c>
      <c r="F85" s="93">
        <f>IF(COUNTIFS('Data - Monthly Metrics'!A:A,$B$4,'Data - Monthly Metrics'!B:B,"Jan",'Data - Monthly Metrics'!C:C,"Spokane/NE",'Data - Monthly Metrics'!D:D,"Member Locations - Non-Target (#)")=0,"-",SUMIFS('Data - Monthly Metrics'!E:E,'Data - Monthly Metrics'!A:A,$B$4,'Data - Monthly Metrics'!B:B,"Jan",'Data - Monthly Metrics'!C:C,"Spokane/NE",'Data - Monthly Metrics'!D:D,"Member Locations - Non-Target (#)"))</f>
        <v/>
      </c>
      <c r="G85" s="93">
        <f>IF(COUNTIFS('Data - Monthly Metrics'!A:A,$B$4,'Data - Monthly Metrics'!B:B,"Feb",'Data - Monthly Metrics'!C:C,"Spokane/NE",'Data - Monthly Metrics'!D:D,"Member Locations - Non-Target (#)")=0,"-",SUMIFS('Data - Monthly Metrics'!E:E,'Data - Monthly Metrics'!A:A,$B$4,'Data - Monthly Metrics'!B:B,"Feb",'Data - Monthly Metrics'!C:C,"Spokane/NE",'Data - Monthly Metrics'!D:D,"Member Locations - Non-Target (#)"))</f>
        <v/>
      </c>
      <c r="H85" s="93">
        <f>IF(COUNTIFS('Data - Monthly Metrics'!A:A,$B$4,'Data - Monthly Metrics'!B:B,"Mar",'Data - Monthly Metrics'!C:C,"Spokane/NE",'Data - Monthly Metrics'!D:D,"Member Locations - Non-Target (#)")=0,"-",SUMIFS('Data - Monthly Metrics'!E:E,'Data - Monthly Metrics'!A:A,$B$4,'Data - Monthly Metrics'!B:B,"Mar",'Data - Monthly Metrics'!C:C,"Spokane/NE",'Data - Monthly Metrics'!D:D,"Member Locations - Non-Target (#)"))</f>
        <v/>
      </c>
      <c r="I85" s="103">
        <f>IF(ISNUMBER(H85),H85,IF(ISNUMBER(G85),G85,IF(ISNUMBER(F85),F85,"-")))</f>
        <v/>
      </c>
      <c r="J85" s="93">
        <f>IF(COUNTIFS('Data - Monthly Metrics'!A:A,$B$4,'Data - Monthly Metrics'!B:B,"Apr",'Data - Monthly Metrics'!C:C,"Spokane/NE",'Data - Monthly Metrics'!D:D,"Member Locations - Non-Target (#)")=0,"-",SUMIFS('Data - Monthly Metrics'!E:E,'Data - Monthly Metrics'!A:A,$B$4,'Data - Monthly Metrics'!B:B,"Apr",'Data - Monthly Metrics'!C:C,"Spokane/NE",'Data - Monthly Metrics'!D:D,"Member Locations - Non-Target (#)"))</f>
        <v/>
      </c>
      <c r="K85" s="93">
        <f>IF(COUNTIFS('Data - Monthly Metrics'!A:A,$B$4,'Data - Monthly Metrics'!B:B,"May",'Data - Monthly Metrics'!C:C,"Spokane/NE",'Data - Monthly Metrics'!D:D,"Member Locations - Non-Target (#)")=0,"-",SUMIFS('Data - Monthly Metrics'!E:E,'Data - Monthly Metrics'!A:A,$B$4,'Data - Monthly Metrics'!B:B,"May",'Data - Monthly Metrics'!C:C,"Spokane/NE",'Data - Monthly Metrics'!D:D,"Member Locations - Non-Target (#)"))</f>
        <v/>
      </c>
      <c r="L85" s="93">
        <f>IF(COUNTIFS('Data - Monthly Metrics'!A:A,$B$4,'Data - Monthly Metrics'!B:B,"Jun",'Data - Monthly Metrics'!C:C,"Spokane/NE",'Data - Monthly Metrics'!D:D,"Member Locations - Non-Target (#)")=0,"-",SUMIFS('Data - Monthly Metrics'!E:E,'Data - Monthly Metrics'!A:A,$B$4,'Data - Monthly Metrics'!B:B,"Jun",'Data - Monthly Metrics'!C:C,"Spokane/NE",'Data - Monthly Metrics'!D:D,"Member Locations - Non-Target (#)"))</f>
        <v/>
      </c>
      <c r="M85" s="103">
        <f>IF(ISNUMBER(L85),L85,IF(ISNUMBER(K85),K85,IF(ISNUMBER(J85),J85,"-")))</f>
        <v/>
      </c>
      <c r="N85" s="93">
        <f>IF(COUNTIFS('Data - Monthly Metrics'!A:A,$B$4,'Data - Monthly Metrics'!B:B,"Jul",'Data - Monthly Metrics'!C:C,"Spokane/NE",'Data - Monthly Metrics'!D:D,"Member Locations - Non-Target (#)")=0,"-",SUMIFS('Data - Monthly Metrics'!E:E,'Data - Monthly Metrics'!A:A,$B$4,'Data - Monthly Metrics'!B:B,"Jul",'Data - Monthly Metrics'!C:C,"Spokane/NE",'Data - Monthly Metrics'!D:D,"Member Locations - Non-Target (#)"))</f>
        <v/>
      </c>
      <c r="O85" s="93">
        <f>IF(COUNTIFS('Data - Monthly Metrics'!A:A,$B$4,'Data - Monthly Metrics'!B:B,"Aug",'Data - Monthly Metrics'!C:C,"Spokane/NE",'Data - Monthly Metrics'!D:D,"Member Locations - Non-Target (#)")=0,"-",SUMIFS('Data - Monthly Metrics'!E:E,'Data - Monthly Metrics'!A:A,$B$4,'Data - Monthly Metrics'!B:B,"Aug",'Data - Monthly Metrics'!C:C,"Spokane/NE",'Data - Monthly Metrics'!D:D,"Member Locations - Non-Target (#)"))</f>
        <v/>
      </c>
      <c r="P85" s="93">
        <f>IF(COUNTIFS('Data - Monthly Metrics'!A:A,$B$4,'Data - Monthly Metrics'!B:B,"Sep",'Data - Monthly Metrics'!C:C,"Spokane/NE",'Data - Monthly Metrics'!D:D,"Member Locations - Non-Target (#)")=0,"-",SUMIFS('Data - Monthly Metrics'!E:E,'Data - Monthly Metrics'!A:A,$B$4,'Data - Monthly Metrics'!B:B,"Sep",'Data - Monthly Metrics'!C:C,"Spokane/NE",'Data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Metrics'!C:C,"Spokane/NE",'Data - Monthly Metrics'!D:D,"Billables - Allied (#)")=0,"-",SUMIFS('Data - Monthly Metrics'!E:E,'Data - Monthly Metrics'!A:A,$B$4-1,'Data - Monthly Metrics'!B:B,"Oct",'Data - Monthly Metrics'!C:C,"Spokane/NE",'Data - Monthly Metrics'!D:D,"Billables - Allied (#)"))</f>
        <v/>
      </c>
      <c r="C86" s="98">
        <f>IF(COUNTIFS('Data - Monthly Metrics'!A:A,$B$4-1,'Data - Monthly Metrics'!B:B,"Nov",'Data - Monthly Metrics'!C:C,"Spokane/NE",'Data - Monthly Metrics'!D:D,"Billables - Allied (#)")=0,"-",SUMIFS('Data - Monthly Metrics'!E:E,'Data - Monthly Metrics'!A:A,$B$4-1,'Data - Monthly Metrics'!B:B,"Nov",'Data - Monthly Metrics'!C:C,"Spokane/NE",'Data - Monthly Metrics'!D:D,"Billables - Allied (#)"))</f>
        <v/>
      </c>
      <c r="D86" s="98">
        <f>IF(COUNTIFS('Data - Monthly Metrics'!A:A,$B$4-1,'Data - Monthly Metrics'!B:B,"Dec",'Data - Monthly Metrics'!C:C,"Spokane/NE",'Data - Monthly Metrics'!D:D,"Billables - Allied (#)")=0,"-",SUMIFS('Data - Monthly Metrics'!E:E,'Data - Monthly Metrics'!A:A,$B$4-1,'Data - Monthly Metrics'!B:B,"Dec",'Data - Monthly Metrics'!C:C,"Spokane/NE",'Data - Monthly Metrics'!D:D,"Billables - Allied (#)"))</f>
        <v/>
      </c>
      <c r="E86" s="103">
        <f>IF(ISNUMBER(D86),D86,IF(ISNUMBER(C86),C86,IF(ISNUMBER(B86),B86,"-")))</f>
        <v/>
      </c>
      <c r="F86" s="98">
        <f>IF(COUNTIFS('Data - Monthly Metrics'!A:A,$B$4,'Data - Monthly Metrics'!B:B,"Jan",'Data - Monthly Metrics'!C:C,"Spokane/NE",'Data - Monthly Metrics'!D:D,"Billables - Allied (#)")=0,"-",SUMIFS('Data - Monthly Metrics'!E:E,'Data - Monthly Metrics'!A:A,$B$4,'Data - Monthly Metrics'!B:B,"Jan",'Data - Monthly Metrics'!C:C,"Spokane/NE",'Data - Monthly Metrics'!D:D,"Billables - Allied (#)"))</f>
        <v/>
      </c>
      <c r="G86" s="98">
        <f>IF(COUNTIFS('Data - Monthly Metrics'!A:A,$B$4,'Data - Monthly Metrics'!B:B,"Feb",'Data - Monthly Metrics'!C:C,"Spokane/NE",'Data - Monthly Metrics'!D:D,"Billables - Allied (#)")=0,"-",SUMIFS('Data - Monthly Metrics'!E:E,'Data - Monthly Metrics'!A:A,$B$4,'Data - Monthly Metrics'!B:B,"Feb",'Data - Monthly Metrics'!C:C,"Spokane/NE",'Data - Monthly Metrics'!D:D,"Billables - Allied (#)"))</f>
        <v/>
      </c>
      <c r="H86" s="98">
        <f>IF(COUNTIFS('Data - Monthly Metrics'!A:A,$B$4,'Data - Monthly Metrics'!B:B,"Mar",'Data - Monthly Metrics'!C:C,"Spokane/NE",'Data - Monthly Metrics'!D:D,"Billables - Allied (#)")=0,"-",SUMIFS('Data - Monthly Metrics'!E:E,'Data - Monthly Metrics'!A:A,$B$4,'Data - Monthly Metrics'!B:B,"Mar",'Data - Monthly Metrics'!C:C,"Spokane/NE",'Data - Monthly Metrics'!D:D,"Billables - Allied (#)"))</f>
        <v/>
      </c>
      <c r="I86" s="103">
        <f>IF(ISNUMBER(H86),H86,IF(ISNUMBER(G86),G86,IF(ISNUMBER(F86),F86,"-")))</f>
        <v/>
      </c>
      <c r="J86" s="98">
        <f>IF(COUNTIFS('Data - Monthly Metrics'!A:A,$B$4,'Data - Monthly Metrics'!B:B,"Apr",'Data - Monthly Metrics'!C:C,"Spokane/NE",'Data - Monthly Metrics'!D:D,"Billables - Allied (#)")=0,"-",SUMIFS('Data - Monthly Metrics'!E:E,'Data - Monthly Metrics'!A:A,$B$4,'Data - Monthly Metrics'!B:B,"Apr",'Data - Monthly Metrics'!C:C,"Spokane/NE",'Data - Monthly Metrics'!D:D,"Billables - Allied (#)"))</f>
        <v/>
      </c>
      <c r="K86" s="98">
        <f>IF(COUNTIFS('Data - Monthly Metrics'!A:A,$B$4,'Data - Monthly Metrics'!B:B,"May",'Data - Monthly Metrics'!C:C,"Spokane/NE",'Data - Monthly Metrics'!D:D,"Billables - Allied (#)")=0,"-",SUMIFS('Data - Monthly Metrics'!E:E,'Data - Monthly Metrics'!A:A,$B$4,'Data - Monthly Metrics'!B:B,"May",'Data - Monthly Metrics'!C:C,"Spokane/NE",'Data - Monthly Metrics'!D:D,"Billables - Allied (#)"))</f>
        <v/>
      </c>
      <c r="L86" s="98">
        <f>IF(COUNTIFS('Data - Monthly Metrics'!A:A,$B$4,'Data - Monthly Metrics'!B:B,"Jun",'Data - Monthly Metrics'!C:C,"Spokane/NE",'Data - Monthly Metrics'!D:D,"Billables - Allied (#)")=0,"-",SUMIFS('Data - Monthly Metrics'!E:E,'Data - Monthly Metrics'!A:A,$B$4,'Data - Monthly Metrics'!B:B,"Jun",'Data - Monthly Metrics'!C:C,"Spokane/NE",'Data - Monthly Metrics'!D:D,"Billables - Allied (#)"))</f>
        <v/>
      </c>
      <c r="M86" s="103">
        <f>IF(ISNUMBER(L86),L86,IF(ISNUMBER(K86),K86,IF(ISNUMBER(J86),J86,"-")))</f>
        <v/>
      </c>
      <c r="N86" s="98">
        <f>IF(COUNTIFS('Data - Monthly Metrics'!A:A,$B$4,'Data - Monthly Metrics'!B:B,"Jul",'Data - Monthly Metrics'!C:C,"Spokane/NE",'Data - Monthly Metrics'!D:D,"Billables - Allied (#)")=0,"-",SUMIFS('Data - Monthly Metrics'!E:E,'Data - Monthly Metrics'!A:A,$B$4,'Data - Monthly Metrics'!B:B,"Jul",'Data - Monthly Metrics'!C:C,"Spokane/NE",'Data - Monthly Metrics'!D:D,"Billables - Allied (#)"))</f>
        <v/>
      </c>
      <c r="O86" s="98">
        <f>IF(COUNTIFS('Data - Monthly Metrics'!A:A,$B$4,'Data - Monthly Metrics'!B:B,"Aug",'Data - Monthly Metrics'!C:C,"Spokane/NE",'Data - Monthly Metrics'!D:D,"Billables - Allied (#)")=0,"-",SUMIFS('Data - Monthly Metrics'!E:E,'Data - Monthly Metrics'!A:A,$B$4,'Data - Monthly Metrics'!B:B,"Aug",'Data - Monthly Metrics'!C:C,"Spokane/NE",'Data - Monthly Metrics'!D:D,"Billables - Allied (#)"))</f>
        <v/>
      </c>
      <c r="P86" s="98">
        <f>IF(COUNTIFS('Data - Monthly Metrics'!A:A,$B$4,'Data - Monthly Metrics'!B:B,"Sep",'Data - Monthly Metrics'!C:C,"Spokane/NE",'Data - Monthly Metrics'!D:D,"Billables - Allied (#)")=0,"-",SUMIFS('Data - Monthly Metrics'!E:E,'Data - Monthly Metrics'!A:A,$B$4,'Data - Monthly Metrics'!B:B,"Sep",'Data - Monthly Metrics'!C:C,"Spokane/NE",'Data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Metrics'!C:C,"Spokane/NE",'Data - Monthly Metrics'!D:D,"Members Up for Renewal - Non-Target (#)")=0,"-",SUMIFS('Data - Monthly Metrics'!E:E,'Data - Monthly Metrics'!A:A,$B$4-1,'Data - Monthly Metrics'!B:B,"Oct",'Data - Monthly Metrics'!C:C,"Spokane/NE",'Data - Monthly Metrics'!D:D,"Members Up for Renewal - Non-Target (#)"))</f>
        <v/>
      </c>
      <c r="C91" s="93">
        <f>IF(COUNTIFS('Data - Monthly Metrics'!A:A,$B$4-1,'Data - Monthly Metrics'!B:B,"Nov",'Data - Monthly Metrics'!C:C,"Spokane/NE",'Data - Monthly Metrics'!D:D,"Members Up for Renewal - Non-Target (#)")=0,"-",SUMIFS('Data - Monthly Metrics'!E:E,'Data - Monthly Metrics'!A:A,$B$4-1,'Data - Monthly Metrics'!B:B,"Nov",'Data - Monthly Metrics'!C:C,"Spokane/NE",'Data - Monthly Metrics'!D:D,"Members Up for Renewal - Non-Target (#)"))</f>
        <v/>
      </c>
      <c r="D91" s="93">
        <f>IF(COUNTIFS('Data - Monthly Metrics'!A:A,$B$4-1,'Data - Monthly Metrics'!B:B,"Dec",'Data - Monthly Metrics'!C:C,"Spokane/NE",'Data - Monthly Metrics'!D:D,"Members Up for Renewal - Non-Target (#)")=0,"-",SUMIFS('Data - Monthly Metrics'!E:E,'Data - Monthly Metrics'!A:A,$B$4-1,'Data - Monthly Metrics'!B:B,"Dec",'Data - Monthly Metrics'!C:C,"Spokane/NE",'Data - Monthly Metrics'!D:D,"Members Up for Renewal - Non-Target (#)"))</f>
        <v/>
      </c>
      <c r="E91" s="103">
        <f>SUM(B91,C91,D91)</f>
        <v/>
      </c>
      <c r="F91" s="93">
        <f>IF(COUNTIFS('Data - Monthly Metrics'!A:A,$B$4,'Data - Monthly Metrics'!B:B,"Jan",'Data - Monthly Metrics'!C:C,"Spokane/NE",'Data - Monthly Metrics'!D:D,"Members Up for Renewal - Non-Target (#)")=0,"-",SUMIFS('Data - Monthly Metrics'!E:E,'Data - Monthly Metrics'!A:A,$B$4,'Data - Monthly Metrics'!B:B,"Jan",'Data - Monthly Metrics'!C:C,"Spokane/NE",'Data - Monthly Metrics'!D:D,"Members Up for Renewal - Non-Target (#)"))</f>
        <v/>
      </c>
      <c r="G91" s="93">
        <f>IF(COUNTIFS('Data - Monthly Metrics'!A:A,$B$4,'Data - Monthly Metrics'!B:B,"Feb",'Data - Monthly Metrics'!C:C,"Spokane/NE",'Data - Monthly Metrics'!D:D,"Members Up for Renewal - Non-Target (#)")=0,"-",SUMIFS('Data - Monthly Metrics'!E:E,'Data - Monthly Metrics'!A:A,$B$4,'Data - Monthly Metrics'!B:B,"Feb",'Data - Monthly Metrics'!C:C,"Spokane/NE",'Data - Monthly Metrics'!D:D,"Members Up for Renewal - Non-Target (#)"))</f>
        <v/>
      </c>
      <c r="H91" s="93">
        <f>IF(COUNTIFS('Data - Monthly Metrics'!A:A,$B$4,'Data - Monthly Metrics'!B:B,"Mar",'Data - Monthly Metrics'!C:C,"Spokane/NE",'Data - Monthly Metrics'!D:D,"Members Up for Renewal - Non-Target (#)")=0,"-",SUMIFS('Data - Monthly Metrics'!E:E,'Data - Monthly Metrics'!A:A,$B$4,'Data - Monthly Metrics'!B:B,"Mar",'Data - Monthly Metrics'!C:C,"Spokane/NE",'Data - Monthly Metrics'!D:D,"Members Up for Renewal - Non-Target (#)"))</f>
        <v/>
      </c>
      <c r="I91" s="103">
        <f>SUM(F91,G91,H91)</f>
        <v/>
      </c>
      <c r="J91" s="93">
        <f>IF(COUNTIFS('Data - Monthly Metrics'!A:A,$B$4,'Data - Monthly Metrics'!B:B,"Apr",'Data - Monthly Metrics'!C:C,"Spokane/NE",'Data - Monthly Metrics'!D:D,"Members Up for Renewal - Non-Target (#)")=0,"-",SUMIFS('Data - Monthly Metrics'!E:E,'Data - Monthly Metrics'!A:A,$B$4,'Data - Monthly Metrics'!B:B,"Apr",'Data - Monthly Metrics'!C:C,"Spokane/NE",'Data - Monthly Metrics'!D:D,"Members Up for Renewal - Non-Target (#)"))</f>
        <v/>
      </c>
      <c r="K91" s="93">
        <f>IF(COUNTIFS('Data - Monthly Metrics'!A:A,$B$4,'Data - Monthly Metrics'!B:B,"May",'Data - Monthly Metrics'!C:C,"Spokane/NE",'Data - Monthly Metrics'!D:D,"Members Up for Renewal - Non-Target (#)")=0,"-",SUMIFS('Data - Monthly Metrics'!E:E,'Data - Monthly Metrics'!A:A,$B$4,'Data - Monthly Metrics'!B:B,"May",'Data - Monthly Metrics'!C:C,"Spokane/NE",'Data - Monthly Metrics'!D:D,"Members Up for Renewal - Non-Target (#)"))</f>
        <v/>
      </c>
      <c r="L91" s="93">
        <f>IF(COUNTIFS('Data - Monthly Metrics'!A:A,$B$4,'Data - Monthly Metrics'!B:B,"Jun",'Data - Monthly Metrics'!C:C,"Spokane/NE",'Data - Monthly Metrics'!D:D,"Members Up for Renewal - Non-Target (#)")=0,"-",SUMIFS('Data - Monthly Metrics'!E:E,'Data - Monthly Metrics'!A:A,$B$4,'Data - Monthly Metrics'!B:B,"Jun",'Data - Monthly Metrics'!C:C,"Spokane/NE",'Data - Monthly Metrics'!D:D,"Members Up for Renewal - Non-Target (#)"))</f>
        <v/>
      </c>
      <c r="M91" s="103">
        <f>SUM(J91,K91,L91)</f>
        <v/>
      </c>
      <c r="N91" s="93">
        <f>IF(COUNTIFS('Data - Monthly Metrics'!A:A,$B$4,'Data - Monthly Metrics'!B:B,"Jul",'Data - Monthly Metrics'!C:C,"Spokane/NE",'Data - Monthly Metrics'!D:D,"Members Up for Renewal - Non-Target (#)")=0,"-",SUMIFS('Data - Monthly Metrics'!E:E,'Data - Monthly Metrics'!A:A,$B$4,'Data - Monthly Metrics'!B:B,"Jul",'Data - Monthly Metrics'!C:C,"Spokane/NE",'Data - Monthly Metrics'!D:D,"Members Up for Renewal - Non-Target (#)"))</f>
        <v/>
      </c>
      <c r="O91" s="93">
        <f>IF(COUNTIFS('Data - Monthly Metrics'!A:A,$B$4,'Data - Monthly Metrics'!B:B,"Aug",'Data - Monthly Metrics'!C:C,"Spokane/NE",'Data - Monthly Metrics'!D:D,"Members Up for Renewal - Non-Target (#)")=0,"-",SUMIFS('Data - Monthly Metrics'!E:E,'Data - Monthly Metrics'!A:A,$B$4,'Data - Monthly Metrics'!B:B,"Aug",'Data - Monthly Metrics'!C:C,"Spokane/NE",'Data - Monthly Metrics'!D:D,"Members Up for Renewal - Non-Target (#)"))</f>
        <v/>
      </c>
      <c r="P91" s="93">
        <f>IF(COUNTIFS('Data - Monthly Metrics'!A:A,$B$4,'Data - Monthly Metrics'!B:B,"Sep",'Data - Monthly Metrics'!C:C,"Spokane/NE",'Data - Monthly Metrics'!D:D,"Members Up for Renewal - Non-Target (#)")=0,"-",SUMIFS('Data - Monthly Metrics'!E:E,'Data - Monthly Metrics'!A:A,$B$4,'Data - Monthly Metrics'!B:B,"Sep",'Data - Monthly Metrics'!C:C,"Spokane/NE",'Data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Metrics'!C:C,"Spokane/NE",'Data - Monthly Metrics'!D:D,"Members Retained - Non-Target (#)")=0,"-",SUMIFS('Data - Monthly Metrics'!E:E,'Data - Monthly Metrics'!A:A,$B$4-1,'Data - Monthly Metrics'!B:B,"Oct",'Data - Monthly Metrics'!C:C,"Spokane/NE",'Data - Monthly Metrics'!D:D,"Members Retained - Non-Target (#)"))</f>
        <v/>
      </c>
      <c r="C92" s="98">
        <f>IF(COUNTIFS('Data - Monthly Metrics'!A:A,$B$4-1,'Data - Monthly Metrics'!B:B,"Nov",'Data - Monthly Metrics'!C:C,"Spokane/NE",'Data - Monthly Metrics'!D:D,"Members Retained - Non-Target (#)")=0,"-",SUMIFS('Data - Monthly Metrics'!E:E,'Data - Monthly Metrics'!A:A,$B$4-1,'Data - Monthly Metrics'!B:B,"Nov",'Data - Monthly Metrics'!C:C,"Spokane/NE",'Data - Monthly Metrics'!D:D,"Members Retained - Non-Target (#)"))</f>
        <v/>
      </c>
      <c r="D92" s="98">
        <f>IF(COUNTIFS('Data - Monthly Metrics'!A:A,$B$4-1,'Data - Monthly Metrics'!B:B,"Dec",'Data - Monthly Metrics'!C:C,"Spokane/NE",'Data - Monthly Metrics'!D:D,"Members Retained - Non-Target (#)")=0,"-",SUMIFS('Data - Monthly Metrics'!E:E,'Data - Monthly Metrics'!A:A,$B$4-1,'Data - Monthly Metrics'!B:B,"Dec",'Data - Monthly Metrics'!C:C,"Spokane/NE",'Data - Monthly Metrics'!D:D,"Members Retained - Non-Target (#)"))</f>
        <v/>
      </c>
      <c r="E92" s="103">
        <f>SUM(B92,C92,D92)</f>
        <v/>
      </c>
      <c r="F92" s="98">
        <f>IF(COUNTIFS('Data - Monthly Metrics'!A:A,$B$4,'Data - Monthly Metrics'!B:B,"Jan",'Data - Monthly Metrics'!C:C,"Spokane/NE",'Data - Monthly Metrics'!D:D,"Members Retained - Non-Target (#)")=0,"-",SUMIFS('Data - Monthly Metrics'!E:E,'Data - Monthly Metrics'!A:A,$B$4,'Data - Monthly Metrics'!B:B,"Jan",'Data - Monthly Metrics'!C:C,"Spokane/NE",'Data - Monthly Metrics'!D:D,"Members Retained - Non-Target (#)"))</f>
        <v/>
      </c>
      <c r="G92" s="98">
        <f>IF(COUNTIFS('Data - Monthly Metrics'!A:A,$B$4,'Data - Monthly Metrics'!B:B,"Feb",'Data - Monthly Metrics'!C:C,"Spokane/NE",'Data - Monthly Metrics'!D:D,"Members Retained - Non-Target (#)")=0,"-",SUMIFS('Data - Monthly Metrics'!E:E,'Data - Monthly Metrics'!A:A,$B$4,'Data - Monthly Metrics'!B:B,"Feb",'Data - Monthly Metrics'!C:C,"Spokane/NE",'Data - Monthly Metrics'!D:D,"Members Retained - Non-Target (#)"))</f>
        <v/>
      </c>
      <c r="H92" s="98">
        <f>IF(COUNTIFS('Data - Monthly Metrics'!A:A,$B$4,'Data - Monthly Metrics'!B:B,"Mar",'Data - Monthly Metrics'!C:C,"Spokane/NE",'Data - Monthly Metrics'!D:D,"Members Retained - Non-Target (#)")=0,"-",SUMIFS('Data - Monthly Metrics'!E:E,'Data - Monthly Metrics'!A:A,$B$4,'Data - Monthly Metrics'!B:B,"Mar",'Data - Monthly Metrics'!C:C,"Spokane/NE",'Data - Monthly Metrics'!D:D,"Members Retained - Non-Target (#)"))</f>
        <v/>
      </c>
      <c r="I92" s="103">
        <f>SUM(F92,G92,H92)</f>
        <v/>
      </c>
      <c r="J92" s="98">
        <f>IF(COUNTIFS('Data - Monthly Metrics'!A:A,$B$4,'Data - Monthly Metrics'!B:B,"Apr",'Data - Monthly Metrics'!C:C,"Spokane/NE",'Data - Monthly Metrics'!D:D,"Members Retained - Non-Target (#)")=0,"-",SUMIFS('Data - Monthly Metrics'!E:E,'Data - Monthly Metrics'!A:A,$B$4,'Data - Monthly Metrics'!B:B,"Apr",'Data - Monthly Metrics'!C:C,"Spokane/NE",'Data - Monthly Metrics'!D:D,"Members Retained - Non-Target (#)"))</f>
        <v/>
      </c>
      <c r="K92" s="98">
        <f>IF(COUNTIFS('Data - Monthly Metrics'!A:A,$B$4,'Data - Monthly Metrics'!B:B,"May",'Data - Monthly Metrics'!C:C,"Spokane/NE",'Data - Monthly Metrics'!D:D,"Members Retained - Non-Target (#)")=0,"-",SUMIFS('Data - Monthly Metrics'!E:E,'Data - Monthly Metrics'!A:A,$B$4,'Data - Monthly Metrics'!B:B,"May",'Data - Monthly Metrics'!C:C,"Spokane/NE",'Data - Monthly Metrics'!D:D,"Members Retained - Non-Target (#)"))</f>
        <v/>
      </c>
      <c r="L92" s="98">
        <f>IF(COUNTIFS('Data - Monthly Metrics'!A:A,$B$4,'Data - Monthly Metrics'!B:B,"Jun",'Data - Monthly Metrics'!C:C,"Spokane/NE",'Data - Monthly Metrics'!D:D,"Members Retained - Non-Target (#)")=0,"-",SUMIFS('Data - Monthly Metrics'!E:E,'Data - Monthly Metrics'!A:A,$B$4,'Data - Monthly Metrics'!B:B,"Jun",'Data - Monthly Metrics'!C:C,"Spokane/NE",'Data - Monthly Metrics'!D:D,"Members Retained - Non-Target (#)"))</f>
        <v/>
      </c>
      <c r="M92" s="103">
        <f>SUM(J92,K92,L92)</f>
        <v/>
      </c>
      <c r="N92" s="98">
        <f>IF(COUNTIFS('Data - Monthly Metrics'!A:A,$B$4,'Data - Monthly Metrics'!B:B,"Jul",'Data - Monthly Metrics'!C:C,"Spokane/NE",'Data - Monthly Metrics'!D:D,"Members Retained - Non-Target (#)")=0,"-",SUMIFS('Data - Monthly Metrics'!E:E,'Data - Monthly Metrics'!A:A,$B$4,'Data - Monthly Metrics'!B:B,"Jul",'Data - Monthly Metrics'!C:C,"Spokane/NE",'Data - Monthly Metrics'!D:D,"Members Retained - Non-Target (#)"))</f>
        <v/>
      </c>
      <c r="O92" s="98">
        <f>IF(COUNTIFS('Data - Monthly Metrics'!A:A,$B$4,'Data - Monthly Metrics'!B:B,"Aug",'Data - Monthly Metrics'!C:C,"Spokane/NE",'Data - Monthly Metrics'!D:D,"Members Retained - Non-Target (#)")=0,"-",SUMIFS('Data - Monthly Metrics'!E:E,'Data - Monthly Metrics'!A:A,$B$4,'Data - Monthly Metrics'!B:B,"Aug",'Data - Monthly Metrics'!C:C,"Spokane/NE",'Data - Monthly Metrics'!D:D,"Members Retained - Non-Target (#)"))</f>
        <v/>
      </c>
      <c r="P92" s="98">
        <f>IF(COUNTIFS('Data - Monthly Metrics'!A:A,$B$4,'Data - Monthly Metrics'!B:B,"Sep",'Data - Monthly Metrics'!C:C,"Spokane/NE",'Data - Monthly Metrics'!D:D,"Members Retained - Non-Target (#)")=0,"-",SUMIFS('Data - Monthly Metrics'!E:E,'Data - Monthly Metrics'!A:A,$B$4,'Data - Monthly Metrics'!B:B,"Sep",'Data - Monthly Metrics'!C:C,"Spokane/NE",'Data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Metrics'!$C:$C,"Spokane/NE",'Data - Monthly Metrics'!$D:$D,"Goal - Retention %")=0),"—",IF(B93&gt;=SUMIFS('Data - Monthly Metrics'!$E:$E,'Data - Monthly Metrics'!$A:$A,$B$4-1,'Data - Monthly Metrics'!$B:$B,B$8,'Data - Monthly Metrics'!$C:$C,"Spokane/NE",'Data - Monthly Metrics'!$D:$D,"Goal - Retention %"),"On Track",IF(B93&gt;=SUMIFS('Data - Monthly Metrics'!$E:$E,'Data - Monthly Metrics'!$A:$A,$B$4-1,'Data - Monthly Metrics'!$B:$B,B$8,'Data - Monthly Metrics'!$C:$C,"Spokane/NE",'Data - Monthly Metrics'!$D:$D,"Goal - Retention %")-0.05,"Watch","At Risk")))</f>
        <v/>
      </c>
      <c r="C94" s="120">
        <f>IF(OR(NOT(ISNUMBER(C93)),C93=0,COUNTIFS('Data - Monthly Metrics'!$A:$A,$B$4-1,'Data - Monthly Metrics'!$B:$B,C$8,'Data - Monthly Metrics'!$C:$C,"Spokane/NE",'Data - Monthly Metrics'!$D:$D,"Goal - Retention %")=0),"—",IF(C93&gt;=SUMIFS('Data - Monthly Metrics'!$E:$E,'Data - Monthly Metrics'!$A:$A,$B$4-1,'Data - Monthly Metrics'!$B:$B,C$8,'Data - Monthly Metrics'!$C:$C,"Spokane/NE",'Data - Monthly Metrics'!$D:$D,"Goal - Retention %"),"On Track",IF(C93&gt;=SUMIFS('Data - Monthly Metrics'!$E:$E,'Data - Monthly Metrics'!$A:$A,$B$4-1,'Data - Monthly Metrics'!$B:$B,C$8,'Data - Monthly Metrics'!$C:$C,"Spokane/NE",'Data - Monthly Metrics'!$D:$D,"Goal - Retention %")-0.05,"Watch","At Risk")))</f>
        <v/>
      </c>
      <c r="D94" s="120">
        <f>IF(OR(NOT(ISNUMBER(D93)),D93=0,COUNTIFS('Data - Monthly Metrics'!$A:$A,$B$4-1,'Data - Monthly Metrics'!$B:$B,D$8,'Data - Monthly Metrics'!$C:$C,"Spokane/NE",'Data - Monthly Metrics'!$D:$D,"Goal - Retention %")=0),"—",IF(D93&gt;=SUMIFS('Data - Monthly Metrics'!$E:$E,'Data - Monthly Metrics'!$A:$A,$B$4-1,'Data - Monthly Metrics'!$B:$B,D$8,'Data - Monthly Metrics'!$C:$C,"Spokane/NE",'Data - Monthly Metrics'!$D:$D,"Goal - Retention %"),"On Track",IF(D93&gt;=SUMIFS('Data - Monthly Metrics'!$E:$E,'Data - Monthly Metrics'!$A:$A,$B$4-1,'Data - Monthly Metrics'!$B:$B,D$8,'Data - Monthly Metrics'!$C:$C,"Spokane/NE",'Data - Monthly Metrics'!$D:$D,"Goal - Retention %")-0.05,"Watch","At Risk")))</f>
        <v/>
      </c>
      <c r="E94" s="121">
        <f>"—"</f>
        <v/>
      </c>
      <c r="F94" s="120">
        <f>IF(OR(NOT(ISNUMBER(F93)),F93=0,COUNTIFS('Data - Monthly Metrics'!$A:$A,$B$4,'Data - Monthly Metrics'!$B:$B,F$8,'Data - Monthly Metrics'!$C:$C,"Spokane/NE",'Data - Monthly Metrics'!$D:$D,"Goal - Retention %")=0),"—",IF(F93&gt;=SUMIFS('Data - Monthly Metrics'!$E:$E,'Data - Monthly Metrics'!$A:$A,$B$4,'Data - Monthly Metrics'!$B:$B,F$8,'Data - Monthly Metrics'!$C:$C,"Spokane/NE",'Data - Monthly Metrics'!$D:$D,"Goal - Retention %"),"On Track",IF(F93&gt;=SUMIFS('Data - Monthly Metrics'!$E:$E,'Data - Monthly Metrics'!$A:$A,$B$4,'Data - Monthly Metrics'!$B:$B,F$8,'Data - Monthly Metrics'!$C:$C,"Spokane/NE",'Data - Monthly Metrics'!$D:$D,"Goal - Retention %")-0.05,"Watch","At Risk")))</f>
        <v/>
      </c>
      <c r="G94" s="120">
        <f>IF(OR(NOT(ISNUMBER(G93)),G93=0,COUNTIFS('Data - Monthly Metrics'!$A:$A,$B$4,'Data - Monthly Metrics'!$B:$B,G$8,'Data - Monthly Metrics'!$C:$C,"Spokane/NE",'Data - Monthly Metrics'!$D:$D,"Goal - Retention %")=0),"—",IF(G93&gt;=SUMIFS('Data - Monthly Metrics'!$E:$E,'Data - Monthly Metrics'!$A:$A,$B$4,'Data - Monthly Metrics'!$B:$B,G$8,'Data - Monthly Metrics'!$C:$C,"Spokane/NE",'Data - Monthly Metrics'!$D:$D,"Goal - Retention %"),"On Track",IF(G93&gt;=SUMIFS('Data - Monthly Metrics'!$E:$E,'Data - Monthly Metrics'!$A:$A,$B$4,'Data - Monthly Metrics'!$B:$B,G$8,'Data - Monthly Metrics'!$C:$C,"Spokane/NE",'Data - Monthly Metrics'!$D:$D,"Goal - Retention %")-0.05,"Watch","At Risk")))</f>
        <v/>
      </c>
      <c r="H94" s="120">
        <f>IF(OR(NOT(ISNUMBER(H93)),H93=0,COUNTIFS('Data - Monthly Metrics'!$A:$A,$B$4,'Data - Monthly Metrics'!$B:$B,H$8,'Data - Monthly Metrics'!$C:$C,"Spokane/NE",'Data - Monthly Metrics'!$D:$D,"Goal - Retention %")=0),"—",IF(H93&gt;=SUMIFS('Data - Monthly Metrics'!$E:$E,'Data - Monthly Metrics'!$A:$A,$B$4,'Data - Monthly Metrics'!$B:$B,H$8,'Data - Monthly Metrics'!$C:$C,"Spokane/NE",'Data - Monthly Metrics'!$D:$D,"Goal - Retention %"),"On Track",IF(H93&gt;=SUMIFS('Data - Monthly Metrics'!$E:$E,'Data - Monthly Metrics'!$A:$A,$B$4,'Data - Monthly Metrics'!$B:$B,H$8,'Data - Monthly Metrics'!$C:$C,"Spokane/NE",'Data - Monthly Metrics'!$D:$D,"Goal - Retention %")-0.05,"Watch","At Risk")))</f>
        <v/>
      </c>
      <c r="I94" s="121">
        <f>"—"</f>
        <v/>
      </c>
      <c r="J94" s="120">
        <f>IF(OR(NOT(ISNUMBER(J93)),J93=0,COUNTIFS('Data - Monthly Metrics'!$A:$A,$B$4,'Data - Monthly Metrics'!$B:$B,J$8,'Data - Monthly Metrics'!$C:$C,"Spokane/NE",'Data - Monthly Metrics'!$D:$D,"Goal - Retention %")=0),"—",IF(J93&gt;=SUMIFS('Data - Monthly Metrics'!$E:$E,'Data - Monthly Metrics'!$A:$A,$B$4,'Data - Monthly Metrics'!$B:$B,J$8,'Data - Monthly Metrics'!$C:$C,"Spokane/NE",'Data - Monthly Metrics'!$D:$D,"Goal - Retention %"),"On Track",IF(J93&gt;=SUMIFS('Data - Monthly Metrics'!$E:$E,'Data - Monthly Metrics'!$A:$A,$B$4,'Data - Monthly Metrics'!$B:$B,J$8,'Data - Monthly Metrics'!$C:$C,"Spokane/NE",'Data - Monthly Metrics'!$D:$D,"Goal - Retention %")-0.05,"Watch","At Risk")))</f>
        <v/>
      </c>
      <c r="K94" s="120">
        <f>IF(OR(NOT(ISNUMBER(K93)),K93=0,COUNTIFS('Data - Monthly Metrics'!$A:$A,$B$4,'Data - Monthly Metrics'!$B:$B,K$8,'Data - Monthly Metrics'!$C:$C,"Spokane/NE",'Data - Monthly Metrics'!$D:$D,"Goal - Retention %")=0),"—",IF(K93&gt;=SUMIFS('Data - Monthly Metrics'!$E:$E,'Data - Monthly Metrics'!$A:$A,$B$4,'Data - Monthly Metrics'!$B:$B,K$8,'Data - Monthly Metrics'!$C:$C,"Spokane/NE",'Data - Monthly Metrics'!$D:$D,"Goal - Retention %"),"On Track",IF(K93&gt;=SUMIFS('Data - Monthly Metrics'!$E:$E,'Data - Monthly Metrics'!$A:$A,$B$4,'Data - Monthly Metrics'!$B:$B,K$8,'Data - Monthly Metrics'!$C:$C,"Spokane/NE",'Data - Monthly Metrics'!$D:$D,"Goal - Retention %")-0.05,"Watch","At Risk")))</f>
        <v/>
      </c>
      <c r="L94" s="120">
        <f>IF(OR(NOT(ISNUMBER(L93)),L93=0,COUNTIFS('Data - Monthly Metrics'!$A:$A,$B$4,'Data - Monthly Metrics'!$B:$B,L$8,'Data - Monthly Metrics'!$C:$C,"Spokane/NE",'Data - Monthly Metrics'!$D:$D,"Goal - Retention %")=0),"—",IF(L93&gt;=SUMIFS('Data - Monthly Metrics'!$E:$E,'Data - Monthly Metrics'!$A:$A,$B$4,'Data - Monthly Metrics'!$B:$B,L$8,'Data - Monthly Metrics'!$C:$C,"Spokane/NE",'Data - Monthly Metrics'!$D:$D,"Goal - Retention %"),"On Track",IF(L93&gt;=SUMIFS('Data - Monthly Metrics'!$E:$E,'Data - Monthly Metrics'!$A:$A,$B$4,'Data - Monthly Metrics'!$B:$B,L$8,'Data - Monthly Metrics'!$C:$C,"Spokane/NE",'Data - Monthly Metrics'!$D:$D,"Goal - Retention %")-0.05,"Watch","At Risk")))</f>
        <v/>
      </c>
      <c r="M94" s="121">
        <f>"—"</f>
        <v/>
      </c>
      <c r="N94" s="120">
        <f>IF(OR(NOT(ISNUMBER(N93)),N93=0,COUNTIFS('Data - Monthly Metrics'!$A:$A,$B$4,'Data - Monthly Metrics'!$B:$B,N$8,'Data - Monthly Metrics'!$C:$C,"Spokane/NE",'Data - Monthly Metrics'!$D:$D,"Goal - Retention %")=0),"—",IF(N93&gt;=SUMIFS('Data - Monthly Metrics'!$E:$E,'Data - Monthly Metrics'!$A:$A,$B$4,'Data - Monthly Metrics'!$B:$B,N$8,'Data - Monthly Metrics'!$C:$C,"Spokane/NE",'Data - Monthly Metrics'!$D:$D,"Goal - Retention %"),"On Track",IF(N93&gt;=SUMIFS('Data - Monthly Metrics'!$E:$E,'Data - Monthly Metrics'!$A:$A,$B$4,'Data - Monthly Metrics'!$B:$B,N$8,'Data - Monthly Metrics'!$C:$C,"Spokane/NE",'Data - Monthly Metrics'!$D:$D,"Goal - Retention %")-0.05,"Watch","At Risk")))</f>
        <v/>
      </c>
      <c r="O94" s="120">
        <f>IF(OR(NOT(ISNUMBER(O93)),O93=0,COUNTIFS('Data - Monthly Metrics'!$A:$A,$B$4,'Data - Monthly Metrics'!$B:$B,O$8,'Data - Monthly Metrics'!$C:$C,"Spokane/NE",'Data - Monthly Metrics'!$D:$D,"Goal - Retention %")=0),"—",IF(O93&gt;=SUMIFS('Data - Monthly Metrics'!$E:$E,'Data - Monthly Metrics'!$A:$A,$B$4,'Data - Monthly Metrics'!$B:$B,O$8,'Data - Monthly Metrics'!$C:$C,"Spokane/NE",'Data - Monthly Metrics'!$D:$D,"Goal - Retention %"),"On Track",IF(O93&gt;=SUMIFS('Data - Monthly Metrics'!$E:$E,'Data - Monthly Metrics'!$A:$A,$B$4,'Data - Monthly Metrics'!$B:$B,O$8,'Data - Monthly Metrics'!$C:$C,"Spokane/NE",'Data - Monthly Metrics'!$D:$D,"Goal - Retention %")-0.05,"Watch","At Risk")))</f>
        <v/>
      </c>
      <c r="P94" s="120">
        <f>IF(OR(NOT(ISNUMBER(P93)),P93=0,COUNTIFS('Data - Monthly Metrics'!$A:$A,$B$4,'Data - Monthly Metrics'!$B:$B,P$8,'Data - Monthly Metrics'!$C:$C,"Spokane/NE",'Data - Monthly Metrics'!$D:$D,"Goal - Retention %")=0),"—",IF(P93&gt;=SUMIFS('Data - Monthly Metrics'!$E:$E,'Data - Monthly Metrics'!$A:$A,$B$4,'Data - Monthly Metrics'!$B:$B,P$8,'Data - Monthly Metrics'!$C:$C,"Spokane/NE",'Data - Monthly Metrics'!$D:$D,"Goal - Retention %"),"On Track",IF(P93&gt;=SUMIFS('Data - Monthly Metrics'!$E:$E,'Data - Monthly Metrics'!$A:$A,$B$4,'Data - Monthly Metrics'!$B:$B,P$8,'Data - Monthly Metrics'!$C:$C,"Spokane/NE",'Data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Metrics'!C:C,"Spokane/NE",'Data - Monthly Metrics'!D:D,"Retention - Comped Non-Target (#)")=0,"-",SUMIFS('Data - Monthly Metrics'!E:E,'Data - Monthly Metrics'!A:A,$B$4-1,'Data - Monthly Metrics'!B:B,"Oct",'Data - Monthly Metrics'!C:C,"Spokane/NE",'Data - Monthly Metrics'!D:D,"Retention - Comped Non-Target (#)"))</f>
        <v/>
      </c>
      <c r="C95" s="98">
        <f>IF(COUNTIFS('Data - Monthly Metrics'!A:A,$B$4-1,'Data - Monthly Metrics'!B:B,"Nov",'Data - Monthly Metrics'!C:C,"Spokane/NE",'Data - Monthly Metrics'!D:D,"Retention - Comped Non-Target (#)")=0,"-",SUMIFS('Data - Monthly Metrics'!E:E,'Data - Monthly Metrics'!A:A,$B$4-1,'Data - Monthly Metrics'!B:B,"Nov",'Data - Monthly Metrics'!C:C,"Spokane/NE",'Data - Monthly Metrics'!D:D,"Retention - Comped Non-Target (#)"))</f>
        <v/>
      </c>
      <c r="D95" s="98">
        <f>IF(COUNTIFS('Data - Monthly Metrics'!A:A,$B$4-1,'Data - Monthly Metrics'!B:B,"Dec",'Data - Monthly Metrics'!C:C,"Spokane/NE",'Data - Monthly Metrics'!D:D,"Retention - Comped Non-Target (#)")=0,"-",SUMIFS('Data - Monthly Metrics'!E:E,'Data - Monthly Metrics'!A:A,$B$4-1,'Data - Monthly Metrics'!B:B,"Dec",'Data - Monthly Metrics'!C:C,"Spokane/NE",'Data - Monthly Metrics'!D:D,"Retention - Comped Non-Target (#)"))</f>
        <v/>
      </c>
      <c r="E95" s="103">
        <f>SUM(B95,C95,D95)</f>
        <v/>
      </c>
      <c r="F95" s="98">
        <f>IF(COUNTIFS('Data - Monthly Metrics'!A:A,$B$4,'Data - Monthly Metrics'!B:B,"Jan",'Data - Monthly Metrics'!C:C,"Spokane/NE",'Data - Monthly Metrics'!D:D,"Retention - Comped Non-Target (#)")=0,"-",SUMIFS('Data - Monthly Metrics'!E:E,'Data - Monthly Metrics'!A:A,$B$4,'Data - Monthly Metrics'!B:B,"Jan",'Data - Monthly Metrics'!C:C,"Spokane/NE",'Data - Monthly Metrics'!D:D,"Retention - Comped Non-Target (#)"))</f>
        <v/>
      </c>
      <c r="G95" s="98">
        <f>IF(COUNTIFS('Data - Monthly Metrics'!A:A,$B$4,'Data - Monthly Metrics'!B:B,"Feb",'Data - Monthly Metrics'!C:C,"Spokane/NE",'Data - Monthly Metrics'!D:D,"Retention - Comped Non-Target (#)")=0,"-",SUMIFS('Data - Monthly Metrics'!E:E,'Data - Monthly Metrics'!A:A,$B$4,'Data - Monthly Metrics'!B:B,"Feb",'Data - Monthly Metrics'!C:C,"Spokane/NE",'Data - Monthly Metrics'!D:D,"Retention - Comped Non-Target (#)"))</f>
        <v/>
      </c>
      <c r="H95" s="98">
        <f>IF(COUNTIFS('Data - Monthly Metrics'!A:A,$B$4,'Data - Monthly Metrics'!B:B,"Mar",'Data - Monthly Metrics'!C:C,"Spokane/NE",'Data - Monthly Metrics'!D:D,"Retention - Comped Non-Target (#)")=0,"-",SUMIFS('Data - Monthly Metrics'!E:E,'Data - Monthly Metrics'!A:A,$B$4,'Data - Monthly Metrics'!B:B,"Mar",'Data - Monthly Metrics'!C:C,"Spokane/NE",'Data - Monthly Metrics'!D:D,"Retention - Comped Non-Target (#)"))</f>
        <v/>
      </c>
      <c r="I95" s="103">
        <f>SUM(F95,G95,H95)</f>
        <v/>
      </c>
      <c r="J95" s="98">
        <f>IF(COUNTIFS('Data - Monthly Metrics'!A:A,$B$4,'Data - Monthly Metrics'!B:B,"Apr",'Data - Monthly Metrics'!C:C,"Spokane/NE",'Data - Monthly Metrics'!D:D,"Retention - Comped Non-Target (#)")=0,"-",SUMIFS('Data - Monthly Metrics'!E:E,'Data - Monthly Metrics'!A:A,$B$4,'Data - Monthly Metrics'!B:B,"Apr",'Data - Monthly Metrics'!C:C,"Spokane/NE",'Data - Monthly Metrics'!D:D,"Retention - Comped Non-Target (#)"))</f>
        <v/>
      </c>
      <c r="K95" s="98">
        <f>IF(COUNTIFS('Data - Monthly Metrics'!A:A,$B$4,'Data - Monthly Metrics'!B:B,"May",'Data - Monthly Metrics'!C:C,"Spokane/NE",'Data - Monthly Metrics'!D:D,"Retention - Comped Non-Target (#)")=0,"-",SUMIFS('Data - Monthly Metrics'!E:E,'Data - Monthly Metrics'!A:A,$B$4,'Data - Monthly Metrics'!B:B,"May",'Data - Monthly Metrics'!C:C,"Spokane/NE",'Data - Monthly Metrics'!D:D,"Retention - Comped Non-Target (#)"))</f>
        <v/>
      </c>
      <c r="L95" s="98">
        <f>IF(COUNTIFS('Data - Monthly Metrics'!A:A,$B$4,'Data - Monthly Metrics'!B:B,"Jun",'Data - Monthly Metrics'!C:C,"Spokane/NE",'Data - Monthly Metrics'!D:D,"Retention - Comped Non-Target (#)")=0,"-",SUMIFS('Data - Monthly Metrics'!E:E,'Data - Monthly Metrics'!A:A,$B$4,'Data - Monthly Metrics'!B:B,"Jun",'Data - Monthly Metrics'!C:C,"Spokane/NE",'Data - Monthly Metrics'!D:D,"Retention - Comped Non-Target (#)"))</f>
        <v/>
      </c>
      <c r="M95" s="103">
        <f>SUM(J95,K95,L95)</f>
        <v/>
      </c>
      <c r="N95" s="98">
        <f>IF(COUNTIFS('Data - Monthly Metrics'!A:A,$B$4,'Data - Monthly Metrics'!B:B,"Jul",'Data - Monthly Metrics'!C:C,"Spokane/NE",'Data - Monthly Metrics'!D:D,"Retention - Comped Non-Target (#)")=0,"-",SUMIFS('Data - Monthly Metrics'!E:E,'Data - Monthly Metrics'!A:A,$B$4,'Data - Monthly Metrics'!B:B,"Jul",'Data - Monthly Metrics'!C:C,"Spokane/NE",'Data - Monthly Metrics'!D:D,"Retention - Comped Non-Target (#)"))</f>
        <v/>
      </c>
      <c r="O95" s="98">
        <f>IF(COUNTIFS('Data - Monthly Metrics'!A:A,$B$4,'Data - Monthly Metrics'!B:B,"Aug",'Data - Monthly Metrics'!C:C,"Spokane/NE",'Data - Monthly Metrics'!D:D,"Retention - Comped Non-Target (#)")=0,"-",SUMIFS('Data - Monthly Metrics'!E:E,'Data - Monthly Metrics'!A:A,$B$4,'Data - Monthly Metrics'!B:B,"Aug",'Data - Monthly Metrics'!C:C,"Spokane/NE",'Data - Monthly Metrics'!D:D,"Retention - Comped Non-Target (#)"))</f>
        <v/>
      </c>
      <c r="P95" s="98">
        <f>IF(COUNTIFS('Data - Monthly Metrics'!A:A,$B$4,'Data - Monthly Metrics'!B:B,"Sep",'Data - Monthly Metrics'!C:C,"Spokane/NE",'Data - Monthly Metrics'!D:D,"Retention - Comped Non-Target (#)")=0,"-",SUMIFS('Data - Monthly Metrics'!E:E,'Data - Monthly Metrics'!A:A,$B$4,'Data - Monthly Metrics'!B:B,"Sep",'Data - Monthly Metrics'!C:C,"Spokane/NE",'Data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Metrics'!C:C,"Spokane/NE",'Data - Monthly Metrics'!D:D,"Retention - Comped Non-Target ($)")=0,"-",SUMIFS('Data - Monthly Metrics'!E:E,'Data - Monthly Metrics'!A:A,$B$4-1,'Data - Monthly Metrics'!B:B,"Oct",'Data - Monthly Metrics'!C:C,"Spokane/NE",'Data - Monthly Metrics'!D:D,"Retention - Comped Non-Target ($)"))</f>
        <v/>
      </c>
      <c r="C96" s="96">
        <f>IF(COUNTIFS('Data - Monthly Metrics'!A:A,$B$4-1,'Data - Monthly Metrics'!B:B,"Nov",'Data - Monthly Metrics'!C:C,"Spokane/NE",'Data - Monthly Metrics'!D:D,"Retention - Comped Non-Target ($)")=0,"-",SUMIFS('Data - Monthly Metrics'!E:E,'Data - Monthly Metrics'!A:A,$B$4-1,'Data - Monthly Metrics'!B:B,"Nov",'Data - Monthly Metrics'!C:C,"Spokane/NE",'Data - Monthly Metrics'!D:D,"Retention - Comped Non-Target ($)"))</f>
        <v/>
      </c>
      <c r="D96" s="96">
        <f>IF(COUNTIFS('Data - Monthly Metrics'!A:A,$B$4-1,'Data - Monthly Metrics'!B:B,"Dec",'Data - Monthly Metrics'!C:C,"Spokane/NE",'Data - Monthly Metrics'!D:D,"Retention - Comped Non-Target ($)")=0,"-",SUMIFS('Data - Monthly Metrics'!E:E,'Data - Monthly Metrics'!A:A,$B$4-1,'Data - Monthly Metrics'!B:B,"Dec",'Data - Monthly Metrics'!C:C,"Spokane/NE",'Data - Monthly Metrics'!D:D,"Retention - Comped Non-Target ($)"))</f>
        <v/>
      </c>
      <c r="E96" s="101">
        <f>SUM(B96,C96,D96)</f>
        <v/>
      </c>
      <c r="F96" s="96">
        <f>IF(COUNTIFS('Data - Monthly Metrics'!A:A,$B$4,'Data - Monthly Metrics'!B:B,"Jan",'Data - Monthly Metrics'!C:C,"Spokane/NE",'Data - Monthly Metrics'!D:D,"Retention - Comped Non-Target ($)")=0,"-",SUMIFS('Data - Monthly Metrics'!E:E,'Data - Monthly Metrics'!A:A,$B$4,'Data - Monthly Metrics'!B:B,"Jan",'Data - Monthly Metrics'!C:C,"Spokane/NE",'Data - Monthly Metrics'!D:D,"Retention - Comped Non-Target ($)"))</f>
        <v/>
      </c>
      <c r="G96" s="96">
        <f>IF(COUNTIFS('Data - Monthly Metrics'!A:A,$B$4,'Data - Monthly Metrics'!B:B,"Feb",'Data - Monthly Metrics'!C:C,"Spokane/NE",'Data - Monthly Metrics'!D:D,"Retention - Comped Non-Target ($)")=0,"-",SUMIFS('Data - Monthly Metrics'!E:E,'Data - Monthly Metrics'!A:A,$B$4,'Data - Monthly Metrics'!B:B,"Feb",'Data - Monthly Metrics'!C:C,"Spokane/NE",'Data - Monthly Metrics'!D:D,"Retention - Comped Non-Target ($)"))</f>
        <v/>
      </c>
      <c r="H96" s="96">
        <f>IF(COUNTIFS('Data - Monthly Metrics'!A:A,$B$4,'Data - Monthly Metrics'!B:B,"Mar",'Data - Monthly Metrics'!C:C,"Spokane/NE",'Data - Monthly Metrics'!D:D,"Retention - Comped Non-Target ($)")=0,"-",SUMIFS('Data - Monthly Metrics'!E:E,'Data - Monthly Metrics'!A:A,$B$4,'Data - Monthly Metrics'!B:B,"Mar",'Data - Monthly Metrics'!C:C,"Spokane/NE",'Data - Monthly Metrics'!D:D,"Retention - Comped Non-Target ($)"))</f>
        <v/>
      </c>
      <c r="I96" s="101">
        <f>SUM(F96,G96,H96)</f>
        <v/>
      </c>
      <c r="J96" s="96">
        <f>IF(COUNTIFS('Data - Monthly Metrics'!A:A,$B$4,'Data - Monthly Metrics'!B:B,"Apr",'Data - Monthly Metrics'!C:C,"Spokane/NE",'Data - Monthly Metrics'!D:D,"Retention - Comped Non-Target ($)")=0,"-",SUMIFS('Data - Monthly Metrics'!E:E,'Data - Monthly Metrics'!A:A,$B$4,'Data - Monthly Metrics'!B:B,"Apr",'Data - Monthly Metrics'!C:C,"Spokane/NE",'Data - Monthly Metrics'!D:D,"Retention - Comped Non-Target ($)"))</f>
        <v/>
      </c>
      <c r="K96" s="96">
        <f>IF(COUNTIFS('Data - Monthly Metrics'!A:A,$B$4,'Data - Monthly Metrics'!B:B,"May",'Data - Monthly Metrics'!C:C,"Spokane/NE",'Data - Monthly Metrics'!D:D,"Retention - Comped Non-Target ($)")=0,"-",SUMIFS('Data - Monthly Metrics'!E:E,'Data - Monthly Metrics'!A:A,$B$4,'Data - Monthly Metrics'!B:B,"May",'Data - Monthly Metrics'!C:C,"Spokane/NE",'Data - Monthly Metrics'!D:D,"Retention - Comped Non-Target ($)"))</f>
        <v/>
      </c>
      <c r="L96" s="96">
        <f>IF(COUNTIFS('Data - Monthly Metrics'!A:A,$B$4,'Data - Monthly Metrics'!B:B,"Jun",'Data - Monthly Metrics'!C:C,"Spokane/NE",'Data - Monthly Metrics'!D:D,"Retention - Comped Non-Target ($)")=0,"-",SUMIFS('Data - Monthly Metrics'!E:E,'Data - Monthly Metrics'!A:A,$B$4,'Data - Monthly Metrics'!B:B,"Jun",'Data - Monthly Metrics'!C:C,"Spokane/NE",'Data - Monthly Metrics'!D:D,"Retention - Comped Non-Target ($)"))</f>
        <v/>
      </c>
      <c r="M96" s="101">
        <f>SUM(J96,K96,L96)</f>
        <v/>
      </c>
      <c r="N96" s="96">
        <f>IF(COUNTIFS('Data - Monthly Metrics'!A:A,$B$4,'Data - Monthly Metrics'!B:B,"Jul",'Data - Monthly Metrics'!C:C,"Spokane/NE",'Data - Monthly Metrics'!D:D,"Retention - Comped Non-Target ($)")=0,"-",SUMIFS('Data - Monthly Metrics'!E:E,'Data - Monthly Metrics'!A:A,$B$4,'Data - Monthly Metrics'!B:B,"Jul",'Data - Monthly Metrics'!C:C,"Spokane/NE",'Data - Monthly Metrics'!D:D,"Retention - Comped Non-Target ($)"))</f>
        <v/>
      </c>
      <c r="O96" s="96">
        <f>IF(COUNTIFS('Data - Monthly Metrics'!A:A,$B$4,'Data - Monthly Metrics'!B:B,"Aug",'Data - Monthly Metrics'!C:C,"Spokane/NE",'Data - Monthly Metrics'!D:D,"Retention - Comped Non-Target ($)")=0,"-",SUMIFS('Data - Monthly Metrics'!E:E,'Data - Monthly Metrics'!A:A,$B$4,'Data - Monthly Metrics'!B:B,"Aug",'Data - Monthly Metrics'!C:C,"Spokane/NE",'Data - Monthly Metrics'!D:D,"Retention - Comped Non-Target ($)"))</f>
        <v/>
      </c>
      <c r="P96" s="96">
        <f>IF(COUNTIFS('Data - Monthly Metrics'!A:A,$B$4,'Data - Monthly Metrics'!B:B,"Sep",'Data - Monthly Metrics'!C:C,"Spokane/NE",'Data - Monthly Metrics'!D:D,"Retention - Comped Non-Target ($)")=0,"-",SUMIFS('Data - Monthly Metrics'!E:E,'Data - Monthly Metrics'!A:A,$B$4,'Data - Monthly Metrics'!B:B,"Sep",'Data - Monthly Metrics'!C:C,"Spokane/NE",'Data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Metrics'!C:C,"Spokane/NE",'Data - Monthly Metrics'!D:D,"Drops - Non-Target (#)")=0,"-",SUMIFS('Data - Monthly Metrics'!E:E,'Data - Monthly Metrics'!A:A,$B$4-1,'Data - Monthly Metrics'!B:B,"Oct",'Data - Monthly Metrics'!C:C,"Spokane/NE",'Data - Monthly Metrics'!D:D,"Drops - Non-Target (#)"))</f>
        <v/>
      </c>
      <c r="C100" s="93">
        <f>IF(COUNTIFS('Data - Monthly Metrics'!A:A,$B$4-1,'Data - Monthly Metrics'!B:B,"Nov",'Data - Monthly Metrics'!C:C,"Spokane/NE",'Data - Monthly Metrics'!D:D,"Drops - Non-Target (#)")=0,"-",SUMIFS('Data - Monthly Metrics'!E:E,'Data - Monthly Metrics'!A:A,$B$4-1,'Data - Monthly Metrics'!B:B,"Nov",'Data - Monthly Metrics'!C:C,"Spokane/NE",'Data - Monthly Metrics'!D:D,"Drops - Non-Target (#)"))</f>
        <v/>
      </c>
      <c r="D100" s="93">
        <f>IF(COUNTIFS('Data - Monthly Metrics'!A:A,$B$4-1,'Data - Monthly Metrics'!B:B,"Dec",'Data - Monthly Metrics'!C:C,"Spokane/NE",'Data - Monthly Metrics'!D:D,"Drops - Non-Target (#)")=0,"-",SUMIFS('Data - Monthly Metrics'!E:E,'Data - Monthly Metrics'!A:A,$B$4-1,'Data - Monthly Metrics'!B:B,"Dec",'Data - Monthly Metrics'!C:C,"Spokane/NE",'Data - Monthly Metrics'!D:D,"Drops - Non-Target (#)"))</f>
        <v/>
      </c>
      <c r="E100" s="103">
        <f>SUM(B100,C100,D100)</f>
        <v/>
      </c>
      <c r="F100" s="93">
        <f>IF(COUNTIFS('Data - Monthly Metrics'!A:A,$B$4,'Data - Monthly Metrics'!B:B,"Jan",'Data - Monthly Metrics'!C:C,"Spokane/NE",'Data - Monthly Metrics'!D:D,"Drops - Non-Target (#)")=0,"-",SUMIFS('Data - Monthly Metrics'!E:E,'Data - Monthly Metrics'!A:A,$B$4,'Data - Monthly Metrics'!B:B,"Jan",'Data - Monthly Metrics'!C:C,"Spokane/NE",'Data - Monthly Metrics'!D:D,"Drops - Non-Target (#)"))</f>
        <v/>
      </c>
      <c r="G100" s="93">
        <f>IF(COUNTIFS('Data - Monthly Metrics'!A:A,$B$4,'Data - Monthly Metrics'!B:B,"Feb",'Data - Monthly Metrics'!C:C,"Spokane/NE",'Data - Monthly Metrics'!D:D,"Drops - Non-Target (#)")=0,"-",SUMIFS('Data - Monthly Metrics'!E:E,'Data - Monthly Metrics'!A:A,$B$4,'Data - Monthly Metrics'!B:B,"Feb",'Data - Monthly Metrics'!C:C,"Spokane/NE",'Data - Monthly Metrics'!D:D,"Drops - Non-Target (#)"))</f>
        <v/>
      </c>
      <c r="H100" s="93">
        <f>IF(COUNTIFS('Data - Monthly Metrics'!A:A,$B$4,'Data - Monthly Metrics'!B:B,"Mar",'Data - Monthly Metrics'!C:C,"Spokane/NE",'Data - Monthly Metrics'!D:D,"Drops - Non-Target (#)")=0,"-",SUMIFS('Data - Monthly Metrics'!E:E,'Data - Monthly Metrics'!A:A,$B$4,'Data - Monthly Metrics'!B:B,"Mar",'Data - Monthly Metrics'!C:C,"Spokane/NE",'Data - Monthly Metrics'!D:D,"Drops - Non-Target (#)"))</f>
        <v/>
      </c>
      <c r="I100" s="103">
        <f>SUM(F100,G100,H100)</f>
        <v/>
      </c>
      <c r="J100" s="93">
        <f>IF(COUNTIFS('Data - Monthly Metrics'!A:A,$B$4,'Data - Monthly Metrics'!B:B,"Apr",'Data - Monthly Metrics'!C:C,"Spokane/NE",'Data - Monthly Metrics'!D:D,"Drops - Non-Target (#)")=0,"-",SUMIFS('Data - Monthly Metrics'!E:E,'Data - Monthly Metrics'!A:A,$B$4,'Data - Monthly Metrics'!B:B,"Apr",'Data - Monthly Metrics'!C:C,"Spokane/NE",'Data - Monthly Metrics'!D:D,"Drops - Non-Target (#)"))</f>
        <v/>
      </c>
      <c r="K100" s="93">
        <f>IF(COUNTIFS('Data - Monthly Metrics'!A:A,$B$4,'Data - Monthly Metrics'!B:B,"May",'Data - Monthly Metrics'!C:C,"Spokane/NE",'Data - Monthly Metrics'!D:D,"Drops - Non-Target (#)")=0,"-",SUMIFS('Data - Monthly Metrics'!E:E,'Data - Monthly Metrics'!A:A,$B$4,'Data - Monthly Metrics'!B:B,"May",'Data - Monthly Metrics'!C:C,"Spokane/NE",'Data - Monthly Metrics'!D:D,"Drops - Non-Target (#)"))</f>
        <v/>
      </c>
      <c r="L100" s="93">
        <f>IF(COUNTIFS('Data - Monthly Metrics'!A:A,$B$4,'Data - Monthly Metrics'!B:B,"Jun",'Data - Monthly Metrics'!C:C,"Spokane/NE",'Data - Monthly Metrics'!D:D,"Drops - Non-Target (#)")=0,"-",SUMIFS('Data - Monthly Metrics'!E:E,'Data - Monthly Metrics'!A:A,$B$4,'Data - Monthly Metrics'!B:B,"Jun",'Data - Monthly Metrics'!C:C,"Spokane/NE",'Data - Monthly Metrics'!D:D,"Drops - Non-Target (#)"))</f>
        <v/>
      </c>
      <c r="M100" s="103">
        <f>SUM(J100,K100,L100)</f>
        <v/>
      </c>
      <c r="N100" s="93">
        <f>IF(COUNTIFS('Data - Monthly Metrics'!A:A,$B$4,'Data - Monthly Metrics'!B:B,"Jul",'Data - Monthly Metrics'!C:C,"Spokane/NE",'Data - Monthly Metrics'!D:D,"Drops - Non-Target (#)")=0,"-",SUMIFS('Data - Monthly Metrics'!E:E,'Data - Monthly Metrics'!A:A,$B$4,'Data - Monthly Metrics'!B:B,"Jul",'Data - Monthly Metrics'!C:C,"Spokane/NE",'Data - Monthly Metrics'!D:D,"Drops - Non-Target (#)"))</f>
        <v/>
      </c>
      <c r="O100" s="93">
        <f>IF(COUNTIFS('Data - Monthly Metrics'!A:A,$B$4,'Data - Monthly Metrics'!B:B,"Aug",'Data - Monthly Metrics'!C:C,"Spokane/NE",'Data - Monthly Metrics'!D:D,"Drops - Non-Target (#)")=0,"-",SUMIFS('Data - Monthly Metrics'!E:E,'Data - Monthly Metrics'!A:A,$B$4,'Data - Monthly Metrics'!B:B,"Aug",'Data - Monthly Metrics'!C:C,"Spokane/NE",'Data - Monthly Metrics'!D:D,"Drops - Non-Target (#)"))</f>
        <v/>
      </c>
      <c r="P100" s="93">
        <f>IF(COUNTIFS('Data - Monthly Metrics'!A:A,$B$4,'Data - Monthly Metrics'!B:B,"Sep",'Data - Monthly Metrics'!C:C,"Spokane/NE",'Data - Monthly Metrics'!D:D,"Drops - Non-Target (#)")=0,"-",SUMIFS('Data - Monthly Metrics'!E:E,'Data - Monthly Metrics'!A:A,$B$4,'Data - Monthly Metrics'!B:B,"Sep",'Data - Monthly Metrics'!C:C,"Spokane/NE",'Data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Metrics'!C:C,"Spokane/NE",'Data - Monthly Metrics'!D:D,"Dropped Revenue - Non-Target ($)")=0,"-",SUMIFS('Data - Monthly Metrics'!E:E,'Data - Monthly Metrics'!A:A,$B$4-1,'Data - Monthly Metrics'!B:B,"Oct",'Data - Monthly Metrics'!C:C,"Spokane/NE",'Data - Monthly Metrics'!D:D,"Dropped Revenue - Non-Target ($)"))</f>
        <v/>
      </c>
      <c r="C101" s="96">
        <f>IF(COUNTIFS('Data - Monthly Metrics'!A:A,$B$4-1,'Data - Monthly Metrics'!B:B,"Nov",'Data - Monthly Metrics'!C:C,"Spokane/NE",'Data - Monthly Metrics'!D:D,"Dropped Revenue - Non-Target ($)")=0,"-",SUMIFS('Data - Monthly Metrics'!E:E,'Data - Monthly Metrics'!A:A,$B$4-1,'Data - Monthly Metrics'!B:B,"Nov",'Data - Monthly Metrics'!C:C,"Spokane/NE",'Data - Monthly Metrics'!D:D,"Dropped Revenue - Non-Target ($)"))</f>
        <v/>
      </c>
      <c r="D101" s="96">
        <f>IF(COUNTIFS('Data - Monthly Metrics'!A:A,$B$4-1,'Data - Monthly Metrics'!B:B,"Dec",'Data - Monthly Metrics'!C:C,"Spokane/NE",'Data - Monthly Metrics'!D:D,"Dropped Revenue - Non-Target ($)")=0,"-",SUMIFS('Data - Monthly Metrics'!E:E,'Data - Monthly Metrics'!A:A,$B$4-1,'Data - Monthly Metrics'!B:B,"Dec",'Data - Monthly Metrics'!C:C,"Spokane/NE",'Data - Monthly Metrics'!D:D,"Dropped Revenue - Non-Target ($)"))</f>
        <v/>
      </c>
      <c r="E101" s="101">
        <f>SUM(B101,C101,D101)</f>
        <v/>
      </c>
      <c r="F101" s="96">
        <f>IF(COUNTIFS('Data - Monthly Metrics'!A:A,$B$4,'Data - Monthly Metrics'!B:B,"Jan",'Data - Monthly Metrics'!C:C,"Spokane/NE",'Data - Monthly Metrics'!D:D,"Dropped Revenue - Non-Target ($)")=0,"-",SUMIFS('Data - Monthly Metrics'!E:E,'Data - Monthly Metrics'!A:A,$B$4,'Data - Monthly Metrics'!B:B,"Jan",'Data - Monthly Metrics'!C:C,"Spokane/NE",'Data - Monthly Metrics'!D:D,"Dropped Revenue - Non-Target ($)"))</f>
        <v/>
      </c>
      <c r="G101" s="96">
        <f>IF(COUNTIFS('Data - Monthly Metrics'!A:A,$B$4,'Data - Monthly Metrics'!B:B,"Feb",'Data - Monthly Metrics'!C:C,"Spokane/NE",'Data - Monthly Metrics'!D:D,"Dropped Revenue - Non-Target ($)")=0,"-",SUMIFS('Data - Monthly Metrics'!E:E,'Data - Monthly Metrics'!A:A,$B$4,'Data - Monthly Metrics'!B:B,"Feb",'Data - Monthly Metrics'!C:C,"Spokane/NE",'Data - Monthly Metrics'!D:D,"Dropped Revenue - Non-Target ($)"))</f>
        <v/>
      </c>
      <c r="H101" s="96">
        <f>IF(COUNTIFS('Data - Monthly Metrics'!A:A,$B$4,'Data - Monthly Metrics'!B:B,"Mar",'Data - Monthly Metrics'!C:C,"Spokane/NE",'Data - Monthly Metrics'!D:D,"Dropped Revenue - Non-Target ($)")=0,"-",SUMIFS('Data - Monthly Metrics'!E:E,'Data - Monthly Metrics'!A:A,$B$4,'Data - Monthly Metrics'!B:B,"Mar",'Data - Monthly Metrics'!C:C,"Spokane/NE",'Data - Monthly Metrics'!D:D,"Dropped Revenue - Non-Target ($)"))</f>
        <v/>
      </c>
      <c r="I101" s="101">
        <f>SUM(F101,G101,H101)</f>
        <v/>
      </c>
      <c r="J101" s="96">
        <f>IF(COUNTIFS('Data - Monthly Metrics'!A:A,$B$4,'Data - Monthly Metrics'!B:B,"Apr",'Data - Monthly Metrics'!C:C,"Spokane/NE",'Data - Monthly Metrics'!D:D,"Dropped Revenue - Non-Target ($)")=0,"-",SUMIFS('Data - Monthly Metrics'!E:E,'Data - Monthly Metrics'!A:A,$B$4,'Data - Monthly Metrics'!B:B,"Apr",'Data - Monthly Metrics'!C:C,"Spokane/NE",'Data - Monthly Metrics'!D:D,"Dropped Revenue - Non-Target ($)"))</f>
        <v/>
      </c>
      <c r="K101" s="96">
        <f>IF(COUNTIFS('Data - Monthly Metrics'!A:A,$B$4,'Data - Monthly Metrics'!B:B,"May",'Data - Monthly Metrics'!C:C,"Spokane/NE",'Data - Monthly Metrics'!D:D,"Dropped Revenue - Non-Target ($)")=0,"-",SUMIFS('Data - Monthly Metrics'!E:E,'Data - Monthly Metrics'!A:A,$B$4,'Data - Monthly Metrics'!B:B,"May",'Data - Monthly Metrics'!C:C,"Spokane/NE",'Data - Monthly Metrics'!D:D,"Dropped Revenue - Non-Target ($)"))</f>
        <v/>
      </c>
      <c r="L101" s="96">
        <f>IF(COUNTIFS('Data - Monthly Metrics'!A:A,$B$4,'Data - Monthly Metrics'!B:B,"Jun",'Data - Monthly Metrics'!C:C,"Spokane/NE",'Data - Monthly Metrics'!D:D,"Dropped Revenue - Non-Target ($)")=0,"-",SUMIFS('Data - Monthly Metrics'!E:E,'Data - Monthly Metrics'!A:A,$B$4,'Data - Monthly Metrics'!B:B,"Jun",'Data - Monthly Metrics'!C:C,"Spokane/NE",'Data - Monthly Metrics'!D:D,"Dropped Revenue - Non-Target ($)"))</f>
        <v/>
      </c>
      <c r="M101" s="101">
        <f>SUM(J101,K101,L101)</f>
        <v/>
      </c>
      <c r="N101" s="96">
        <f>IF(COUNTIFS('Data - Monthly Metrics'!A:A,$B$4,'Data - Monthly Metrics'!B:B,"Jul",'Data - Monthly Metrics'!C:C,"Spokane/NE",'Data - Monthly Metrics'!D:D,"Dropped Revenue - Non-Target ($)")=0,"-",SUMIFS('Data - Monthly Metrics'!E:E,'Data - Monthly Metrics'!A:A,$B$4,'Data - Monthly Metrics'!B:B,"Jul",'Data - Monthly Metrics'!C:C,"Spokane/NE",'Data - Monthly Metrics'!D:D,"Dropped Revenue - Non-Target ($)"))</f>
        <v/>
      </c>
      <c r="O101" s="96">
        <f>IF(COUNTIFS('Data - Monthly Metrics'!A:A,$B$4,'Data - Monthly Metrics'!B:B,"Aug",'Data - Monthly Metrics'!C:C,"Spokane/NE",'Data - Monthly Metrics'!D:D,"Dropped Revenue - Non-Target ($)")=0,"-",SUMIFS('Data - Monthly Metrics'!E:E,'Data - Monthly Metrics'!A:A,$B$4,'Data - Monthly Metrics'!B:B,"Aug",'Data - Monthly Metrics'!C:C,"Spokane/NE",'Data - Monthly Metrics'!D:D,"Dropped Revenue - Non-Target ($)"))</f>
        <v/>
      </c>
      <c r="P101" s="96">
        <f>IF(COUNTIFS('Data - Monthly Metrics'!A:A,$B$4,'Data - Monthly Metrics'!B:B,"Sep",'Data - Monthly Metrics'!C:C,"Spokane/NE",'Data - Monthly Metrics'!D:D,"Dropped Revenue - Non-Target ($)")=0,"-",SUMIFS('Data - Monthly Metrics'!E:E,'Data - Monthly Metrics'!A:A,$B$4,'Data - Monthly Metrics'!B:B,"Sep",'Data - Monthly Metrics'!C:C,"Spokane/NE",'Data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Metrics'!C:C,"Spokane/NE",'Data - Monthly Metrics'!D:D,"Penetration - Restaurant Non-Target %")=0,"-",SUMIFS('Data - Monthly Metrics'!E:E,'Data - Monthly Metrics'!A:A,$B$4-1,'Data - Monthly Metrics'!B:B,"Oct",'Data - Monthly Metrics'!C:C,"Spokane/NE",'Data - Monthly Metrics'!D:D,"Penetration - Restaurant Non-Target %"))</f>
        <v/>
      </c>
      <c r="C105" s="115">
        <f>IF(COUNTIFS('Data - Monthly Metrics'!A:A,$B$4-1,'Data - Monthly Metrics'!B:B,"Nov",'Data - Monthly Metrics'!C:C,"Spokane/NE",'Data - Monthly Metrics'!D:D,"Penetration - Restaurant Non-Target %")=0,"-",SUMIFS('Data - Monthly Metrics'!E:E,'Data - Monthly Metrics'!A:A,$B$4-1,'Data - Monthly Metrics'!B:B,"Nov",'Data - Monthly Metrics'!C:C,"Spokane/NE",'Data - Monthly Metrics'!D:D,"Penetration - Restaurant Non-Target %"))</f>
        <v/>
      </c>
      <c r="D105" s="115">
        <f>IF(COUNTIFS('Data - Monthly Metrics'!A:A,$B$4-1,'Data - Monthly Metrics'!B:B,"Dec",'Data - Monthly Metrics'!C:C,"Spokane/NE",'Data - Monthly Metrics'!D:D,"Penetration - Restaurant Non-Target %")=0,"-",SUMIFS('Data - Monthly Metrics'!E:E,'Data - Monthly Metrics'!A:A,$B$4-1,'Data - Monthly Metrics'!B:B,"Dec",'Data - Monthly Metrics'!C:C,"Spokane/NE",'Data - Monthly Metrics'!D:D,"Penetration - Restaurant Non-Target %"))</f>
        <v/>
      </c>
      <c r="E105" s="116">
        <f>IF(ISNUMBER(D105),D105,IF(ISNUMBER(C105),C105,IF(ISNUMBER(B105),B105,"-")))</f>
        <v/>
      </c>
      <c r="F105" s="115">
        <f>IF(COUNTIFS('Data - Monthly Metrics'!A:A,$B$4,'Data - Monthly Metrics'!B:B,"Jan",'Data - Monthly Metrics'!C:C,"Spokane/NE",'Data - Monthly Metrics'!D:D,"Penetration - Restaurant Non-Target %")=0,"-",SUMIFS('Data - Monthly Metrics'!E:E,'Data - Monthly Metrics'!A:A,$B$4,'Data - Monthly Metrics'!B:B,"Jan",'Data - Monthly Metrics'!C:C,"Spokane/NE",'Data - Monthly Metrics'!D:D,"Penetration - Restaurant Non-Target %"))</f>
        <v/>
      </c>
      <c r="G105" s="115">
        <f>IF(COUNTIFS('Data - Monthly Metrics'!A:A,$B$4,'Data - Monthly Metrics'!B:B,"Feb",'Data - Monthly Metrics'!C:C,"Spokane/NE",'Data - Monthly Metrics'!D:D,"Penetration - Restaurant Non-Target %")=0,"-",SUMIFS('Data - Monthly Metrics'!E:E,'Data - Monthly Metrics'!A:A,$B$4,'Data - Monthly Metrics'!B:B,"Feb",'Data - Monthly Metrics'!C:C,"Spokane/NE",'Data - Monthly Metrics'!D:D,"Penetration - Restaurant Non-Target %"))</f>
        <v/>
      </c>
      <c r="H105" s="115">
        <f>IF(COUNTIFS('Data - Monthly Metrics'!A:A,$B$4,'Data - Monthly Metrics'!B:B,"Mar",'Data - Monthly Metrics'!C:C,"Spokane/NE",'Data - Monthly Metrics'!D:D,"Penetration - Restaurant Non-Target %")=0,"-",SUMIFS('Data - Monthly Metrics'!E:E,'Data - Monthly Metrics'!A:A,$B$4,'Data - Monthly Metrics'!B:B,"Mar",'Data - Monthly Metrics'!C:C,"Spokane/NE",'Data - Monthly Metrics'!D:D,"Penetration - Restaurant Non-Target %"))</f>
        <v/>
      </c>
      <c r="I105" s="116">
        <f>IF(ISNUMBER(H105),H105,IF(ISNUMBER(G105),G105,IF(ISNUMBER(F105),F105,"-")))</f>
        <v/>
      </c>
      <c r="J105" s="115">
        <f>IF(COUNTIFS('Data - Monthly Metrics'!A:A,$B$4,'Data - Monthly Metrics'!B:B,"Apr",'Data - Monthly Metrics'!C:C,"Spokane/NE",'Data - Monthly Metrics'!D:D,"Penetration - Restaurant Non-Target %")=0,"-",SUMIFS('Data - Monthly Metrics'!E:E,'Data - Monthly Metrics'!A:A,$B$4,'Data - Monthly Metrics'!B:B,"Apr",'Data - Monthly Metrics'!C:C,"Spokane/NE",'Data - Monthly Metrics'!D:D,"Penetration - Restaurant Non-Target %"))</f>
        <v/>
      </c>
      <c r="K105" s="115">
        <f>IF(COUNTIFS('Data - Monthly Metrics'!A:A,$B$4,'Data - Monthly Metrics'!B:B,"May",'Data - Monthly Metrics'!C:C,"Spokane/NE",'Data - Monthly Metrics'!D:D,"Penetration - Restaurant Non-Target %")=0,"-",SUMIFS('Data - Monthly Metrics'!E:E,'Data - Monthly Metrics'!A:A,$B$4,'Data - Monthly Metrics'!B:B,"May",'Data - Monthly Metrics'!C:C,"Spokane/NE",'Data - Monthly Metrics'!D:D,"Penetration - Restaurant Non-Target %"))</f>
        <v/>
      </c>
      <c r="L105" s="115">
        <f>IF(COUNTIFS('Data - Monthly Metrics'!A:A,$B$4,'Data - Monthly Metrics'!B:B,"Jun",'Data - Monthly Metrics'!C:C,"Spokane/NE",'Data - Monthly Metrics'!D:D,"Penetration - Restaurant Non-Target %")=0,"-",SUMIFS('Data - Monthly Metrics'!E:E,'Data - Monthly Metrics'!A:A,$B$4,'Data - Monthly Metrics'!B:B,"Jun",'Data - Monthly Metrics'!C:C,"Spokane/NE",'Data - Monthly Metrics'!D:D,"Penetration - Restaurant Non-Target %"))</f>
        <v/>
      </c>
      <c r="M105" s="116">
        <f>IF(ISNUMBER(L105),L105,IF(ISNUMBER(K105),K105,IF(ISNUMBER(J105),J105,"-")))</f>
        <v/>
      </c>
      <c r="N105" s="115">
        <f>IF(COUNTIFS('Data - Monthly Metrics'!A:A,$B$4,'Data - Monthly Metrics'!B:B,"Jul",'Data - Monthly Metrics'!C:C,"Spokane/NE",'Data - Monthly Metrics'!D:D,"Penetration - Restaurant Non-Target %")=0,"-",SUMIFS('Data - Monthly Metrics'!E:E,'Data - Monthly Metrics'!A:A,$B$4,'Data - Monthly Metrics'!B:B,"Jul",'Data - Monthly Metrics'!C:C,"Spokane/NE",'Data - Monthly Metrics'!D:D,"Penetration - Restaurant Non-Target %"))</f>
        <v/>
      </c>
      <c r="O105" s="115">
        <f>IF(COUNTIFS('Data - Monthly Metrics'!A:A,$B$4,'Data - Monthly Metrics'!B:B,"Aug",'Data - Monthly Metrics'!C:C,"Spokane/NE",'Data - Monthly Metrics'!D:D,"Penetration - Restaurant Non-Target %")=0,"-",SUMIFS('Data - Monthly Metrics'!E:E,'Data - Monthly Metrics'!A:A,$B$4,'Data - Monthly Metrics'!B:B,"Aug",'Data - Monthly Metrics'!C:C,"Spokane/NE",'Data - Monthly Metrics'!D:D,"Penetration - Restaurant Non-Target %"))</f>
        <v/>
      </c>
      <c r="P105" s="115">
        <f>IF(COUNTIFS('Data - Monthly Metrics'!A:A,$B$4,'Data - Monthly Metrics'!B:B,"Sep",'Data - Monthly Metrics'!C:C,"Spokane/NE",'Data - Monthly Metrics'!D:D,"Penetration - Restaurant Non-Target %")=0,"-",SUMIFS('Data - Monthly Metrics'!E:E,'Data - Monthly Metrics'!A:A,$B$4,'Data - Monthly Metrics'!B:B,"Sep",'Data - Monthly Metrics'!C:C,"Spokane/NE",'Data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Metrics'!C:C,"Spokane/NE",'Data - Monthly Metrics'!D:D,"Penetration - Lodging Non-Target %")=0,"-",SUMIFS('Data - Monthly Metrics'!E:E,'Data - Monthly Metrics'!A:A,$B$4-1,'Data - Monthly Metrics'!B:B,"Oct",'Data - Monthly Metrics'!C:C,"Spokane/NE",'Data - Monthly Metrics'!D:D,"Penetration - Lodging Non-Target %"))</f>
        <v/>
      </c>
      <c r="C106" s="118">
        <f>IF(COUNTIFS('Data - Monthly Metrics'!A:A,$B$4-1,'Data - Monthly Metrics'!B:B,"Nov",'Data - Monthly Metrics'!C:C,"Spokane/NE",'Data - Monthly Metrics'!D:D,"Penetration - Lodging Non-Target %")=0,"-",SUMIFS('Data - Monthly Metrics'!E:E,'Data - Monthly Metrics'!A:A,$B$4-1,'Data - Monthly Metrics'!B:B,"Nov",'Data - Monthly Metrics'!C:C,"Spokane/NE",'Data - Monthly Metrics'!D:D,"Penetration - Lodging Non-Target %"))</f>
        <v/>
      </c>
      <c r="D106" s="118">
        <f>IF(COUNTIFS('Data - Monthly Metrics'!A:A,$B$4-1,'Data - Monthly Metrics'!B:B,"Dec",'Data - Monthly Metrics'!C:C,"Spokane/NE",'Data - Monthly Metrics'!D:D,"Penetration - Lodging Non-Target %")=0,"-",SUMIFS('Data - Monthly Metrics'!E:E,'Data - Monthly Metrics'!A:A,$B$4-1,'Data - Monthly Metrics'!B:B,"Dec",'Data - Monthly Metrics'!C:C,"Spokane/NE",'Data - Monthly Metrics'!D:D,"Penetration - Lodging Non-Target %"))</f>
        <v/>
      </c>
      <c r="E106" s="116">
        <f>IF(ISNUMBER(D106),D106,IF(ISNUMBER(C106),C106,IF(ISNUMBER(B106),B106,"-")))</f>
        <v/>
      </c>
      <c r="F106" s="118">
        <f>IF(COUNTIFS('Data - Monthly Metrics'!A:A,$B$4,'Data - Monthly Metrics'!B:B,"Jan",'Data - Monthly Metrics'!C:C,"Spokane/NE",'Data - Monthly Metrics'!D:D,"Penetration - Lodging Non-Target %")=0,"-",SUMIFS('Data - Monthly Metrics'!E:E,'Data - Monthly Metrics'!A:A,$B$4,'Data - Monthly Metrics'!B:B,"Jan",'Data - Monthly Metrics'!C:C,"Spokane/NE",'Data - Monthly Metrics'!D:D,"Penetration - Lodging Non-Target %"))</f>
        <v/>
      </c>
      <c r="G106" s="118">
        <f>IF(COUNTIFS('Data - Monthly Metrics'!A:A,$B$4,'Data - Monthly Metrics'!B:B,"Feb",'Data - Monthly Metrics'!C:C,"Spokane/NE",'Data - Monthly Metrics'!D:D,"Penetration - Lodging Non-Target %")=0,"-",SUMIFS('Data - Monthly Metrics'!E:E,'Data - Monthly Metrics'!A:A,$B$4,'Data - Monthly Metrics'!B:B,"Feb",'Data - Monthly Metrics'!C:C,"Spokane/NE",'Data - Monthly Metrics'!D:D,"Penetration - Lodging Non-Target %"))</f>
        <v/>
      </c>
      <c r="H106" s="118">
        <f>IF(COUNTIFS('Data - Monthly Metrics'!A:A,$B$4,'Data - Monthly Metrics'!B:B,"Mar",'Data - Monthly Metrics'!C:C,"Spokane/NE",'Data - Monthly Metrics'!D:D,"Penetration - Lodging Non-Target %")=0,"-",SUMIFS('Data - Monthly Metrics'!E:E,'Data - Monthly Metrics'!A:A,$B$4,'Data - Monthly Metrics'!B:B,"Mar",'Data - Monthly Metrics'!C:C,"Spokane/NE",'Data - Monthly Metrics'!D:D,"Penetration - Lodging Non-Target %"))</f>
        <v/>
      </c>
      <c r="I106" s="116">
        <f>IF(ISNUMBER(H106),H106,IF(ISNUMBER(G106),G106,IF(ISNUMBER(F106),F106,"-")))</f>
        <v/>
      </c>
      <c r="J106" s="118">
        <f>IF(COUNTIFS('Data - Monthly Metrics'!A:A,$B$4,'Data - Monthly Metrics'!B:B,"Apr",'Data - Monthly Metrics'!C:C,"Spokane/NE",'Data - Monthly Metrics'!D:D,"Penetration - Lodging Non-Target %")=0,"-",SUMIFS('Data - Monthly Metrics'!E:E,'Data - Monthly Metrics'!A:A,$B$4,'Data - Monthly Metrics'!B:B,"Apr",'Data - Monthly Metrics'!C:C,"Spokane/NE",'Data - Monthly Metrics'!D:D,"Penetration - Lodging Non-Target %"))</f>
        <v/>
      </c>
      <c r="K106" s="118">
        <f>IF(COUNTIFS('Data - Monthly Metrics'!A:A,$B$4,'Data - Monthly Metrics'!B:B,"May",'Data - Monthly Metrics'!C:C,"Spokane/NE",'Data - Monthly Metrics'!D:D,"Penetration - Lodging Non-Target %")=0,"-",SUMIFS('Data - Monthly Metrics'!E:E,'Data - Monthly Metrics'!A:A,$B$4,'Data - Monthly Metrics'!B:B,"May",'Data - Monthly Metrics'!C:C,"Spokane/NE",'Data - Monthly Metrics'!D:D,"Penetration - Lodging Non-Target %"))</f>
        <v/>
      </c>
      <c r="L106" s="118">
        <f>IF(COUNTIFS('Data - Monthly Metrics'!A:A,$B$4,'Data - Monthly Metrics'!B:B,"Jun",'Data - Monthly Metrics'!C:C,"Spokane/NE",'Data - Monthly Metrics'!D:D,"Penetration - Lodging Non-Target %")=0,"-",SUMIFS('Data - Monthly Metrics'!E:E,'Data - Monthly Metrics'!A:A,$B$4,'Data - Monthly Metrics'!B:B,"Jun",'Data - Monthly Metrics'!C:C,"Spokane/NE",'Data - Monthly Metrics'!D:D,"Penetration - Lodging Non-Target %"))</f>
        <v/>
      </c>
      <c r="M106" s="116">
        <f>IF(ISNUMBER(L106),L106,IF(ISNUMBER(K106),K106,IF(ISNUMBER(J106),J106,"-")))</f>
        <v/>
      </c>
      <c r="N106" s="118">
        <f>IF(COUNTIFS('Data - Monthly Metrics'!A:A,$B$4,'Data - Monthly Metrics'!B:B,"Jul",'Data - Monthly Metrics'!C:C,"Spokane/NE",'Data - Monthly Metrics'!D:D,"Penetration - Lodging Non-Target %")=0,"-",SUMIFS('Data - Monthly Metrics'!E:E,'Data - Monthly Metrics'!A:A,$B$4,'Data - Monthly Metrics'!B:B,"Jul",'Data - Monthly Metrics'!C:C,"Spokane/NE",'Data - Monthly Metrics'!D:D,"Penetration - Lodging Non-Target %"))</f>
        <v/>
      </c>
      <c r="O106" s="118">
        <f>IF(COUNTIFS('Data - Monthly Metrics'!A:A,$B$4,'Data - Monthly Metrics'!B:B,"Aug",'Data - Monthly Metrics'!C:C,"Spokane/NE",'Data - Monthly Metrics'!D:D,"Penetration - Lodging Non-Target %")=0,"-",SUMIFS('Data - Monthly Metrics'!E:E,'Data - Monthly Metrics'!A:A,$B$4,'Data - Monthly Metrics'!B:B,"Aug",'Data - Monthly Metrics'!C:C,"Spokane/NE",'Data - Monthly Metrics'!D:D,"Penetration - Lodging Non-Target %"))</f>
        <v/>
      </c>
      <c r="P106" s="118">
        <f>IF(COUNTIFS('Data - Monthly Metrics'!A:A,$B$4,'Data - Monthly Metrics'!B:B,"Sep",'Data - Monthly Metrics'!C:C,"Spokane/NE",'Data - Monthly Metrics'!D:D,"Penetration - Lodging Non-Target %")=0,"-",SUMIFS('Data - Monthly Metrics'!E:E,'Data - Monthly Metrics'!A:A,$B$4,'Data - Monthly Metrics'!B:B,"Sep",'Data - Monthly Metrics'!C:C,"Spokane/NE",'Data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Metrics'!C:C,"Spokane/NE",'Data - Monthly Metrics'!D:D,"Penetration - Combined Non-Target %")=0,"-",SUMIFS('Data - Monthly Metrics'!E:E,'Data - Monthly Metrics'!A:A,$B$4-1,'Data - Monthly Metrics'!B:B,"Oct",'Data - Monthly Metrics'!C:C,"Spokane/NE",'Data - Monthly Metrics'!D:D,"Penetration - Combined Non-Target %"))</f>
        <v/>
      </c>
      <c r="C107" s="115">
        <f>IF(COUNTIFS('Data - Monthly Metrics'!A:A,$B$4-1,'Data - Monthly Metrics'!B:B,"Nov",'Data - Monthly Metrics'!C:C,"Spokane/NE",'Data - Monthly Metrics'!D:D,"Penetration - Combined Non-Target %")=0,"-",SUMIFS('Data - Monthly Metrics'!E:E,'Data - Monthly Metrics'!A:A,$B$4-1,'Data - Monthly Metrics'!B:B,"Nov",'Data - Monthly Metrics'!C:C,"Spokane/NE",'Data - Monthly Metrics'!D:D,"Penetration - Combined Non-Target %"))</f>
        <v/>
      </c>
      <c r="D107" s="115">
        <f>IF(COUNTIFS('Data - Monthly Metrics'!A:A,$B$4-1,'Data - Monthly Metrics'!B:B,"Dec",'Data - Monthly Metrics'!C:C,"Spokane/NE",'Data - Monthly Metrics'!D:D,"Penetration - Combined Non-Target %")=0,"-",SUMIFS('Data - Monthly Metrics'!E:E,'Data - Monthly Metrics'!A:A,$B$4-1,'Data - Monthly Metrics'!B:B,"Dec",'Data - Monthly Metrics'!C:C,"Spokane/NE",'Data - Monthly Metrics'!D:D,"Penetration - Combined Non-Target %"))</f>
        <v/>
      </c>
      <c r="E107" s="116">
        <f>IF(ISNUMBER(D107),D107,IF(ISNUMBER(C107),C107,IF(ISNUMBER(B107),B107,"-")))</f>
        <v/>
      </c>
      <c r="F107" s="115">
        <f>IF(COUNTIFS('Data - Monthly Metrics'!A:A,$B$4,'Data - Monthly Metrics'!B:B,"Jan",'Data - Monthly Metrics'!C:C,"Spokane/NE",'Data - Monthly Metrics'!D:D,"Penetration - Combined Non-Target %")=0,"-",SUMIFS('Data - Monthly Metrics'!E:E,'Data - Monthly Metrics'!A:A,$B$4,'Data - Monthly Metrics'!B:B,"Jan",'Data - Monthly Metrics'!C:C,"Spokane/NE",'Data - Monthly Metrics'!D:D,"Penetration - Combined Non-Target %"))</f>
        <v/>
      </c>
      <c r="G107" s="115">
        <f>IF(COUNTIFS('Data - Monthly Metrics'!A:A,$B$4,'Data - Monthly Metrics'!B:B,"Feb",'Data - Monthly Metrics'!C:C,"Spokane/NE",'Data - Monthly Metrics'!D:D,"Penetration - Combined Non-Target %")=0,"-",SUMIFS('Data - Monthly Metrics'!E:E,'Data - Monthly Metrics'!A:A,$B$4,'Data - Monthly Metrics'!B:B,"Feb",'Data - Monthly Metrics'!C:C,"Spokane/NE",'Data - Monthly Metrics'!D:D,"Penetration - Combined Non-Target %"))</f>
        <v/>
      </c>
      <c r="H107" s="115">
        <f>IF(COUNTIFS('Data - Monthly Metrics'!A:A,$B$4,'Data - Monthly Metrics'!B:B,"Mar",'Data - Monthly Metrics'!C:C,"Spokane/NE",'Data - Monthly Metrics'!D:D,"Penetration - Combined Non-Target %")=0,"-",SUMIFS('Data - Monthly Metrics'!E:E,'Data - Monthly Metrics'!A:A,$B$4,'Data - Monthly Metrics'!B:B,"Mar",'Data - Monthly Metrics'!C:C,"Spokane/NE",'Data - Monthly Metrics'!D:D,"Penetration - Combined Non-Target %"))</f>
        <v/>
      </c>
      <c r="I107" s="116">
        <f>IF(ISNUMBER(H107),H107,IF(ISNUMBER(G107),G107,IF(ISNUMBER(F107),F107,"-")))</f>
        <v/>
      </c>
      <c r="J107" s="115">
        <f>IF(COUNTIFS('Data - Monthly Metrics'!A:A,$B$4,'Data - Monthly Metrics'!B:B,"Apr",'Data - Monthly Metrics'!C:C,"Spokane/NE",'Data - Monthly Metrics'!D:D,"Penetration - Combined Non-Target %")=0,"-",SUMIFS('Data - Monthly Metrics'!E:E,'Data - Monthly Metrics'!A:A,$B$4,'Data - Monthly Metrics'!B:B,"Apr",'Data - Monthly Metrics'!C:C,"Spokane/NE",'Data - Monthly Metrics'!D:D,"Penetration - Combined Non-Target %"))</f>
        <v/>
      </c>
      <c r="K107" s="115">
        <f>IF(COUNTIFS('Data - Monthly Metrics'!A:A,$B$4,'Data - Monthly Metrics'!B:B,"May",'Data - Monthly Metrics'!C:C,"Spokane/NE",'Data - Monthly Metrics'!D:D,"Penetration - Combined Non-Target %")=0,"-",SUMIFS('Data - Monthly Metrics'!E:E,'Data - Monthly Metrics'!A:A,$B$4,'Data - Monthly Metrics'!B:B,"May",'Data - Monthly Metrics'!C:C,"Spokane/NE",'Data - Monthly Metrics'!D:D,"Penetration - Combined Non-Target %"))</f>
        <v/>
      </c>
      <c r="L107" s="115">
        <f>IF(COUNTIFS('Data - Monthly Metrics'!A:A,$B$4,'Data - Monthly Metrics'!B:B,"Jun",'Data - Monthly Metrics'!C:C,"Spokane/NE",'Data - Monthly Metrics'!D:D,"Penetration - Combined Non-Target %")=0,"-",SUMIFS('Data - Monthly Metrics'!E:E,'Data - Monthly Metrics'!A:A,$B$4,'Data - Monthly Metrics'!B:B,"Jun",'Data - Monthly Metrics'!C:C,"Spokane/NE",'Data - Monthly Metrics'!D:D,"Penetration - Combined Non-Target %"))</f>
        <v/>
      </c>
      <c r="M107" s="116">
        <f>IF(ISNUMBER(L107),L107,IF(ISNUMBER(K107),K107,IF(ISNUMBER(J107),J107,"-")))</f>
        <v/>
      </c>
      <c r="N107" s="115">
        <f>IF(COUNTIFS('Data - Monthly Metrics'!A:A,$B$4,'Data - Monthly Metrics'!B:B,"Jul",'Data - Monthly Metrics'!C:C,"Spokane/NE",'Data - Monthly Metrics'!D:D,"Penetration - Combined Non-Target %")=0,"-",SUMIFS('Data - Monthly Metrics'!E:E,'Data - Monthly Metrics'!A:A,$B$4,'Data - Monthly Metrics'!B:B,"Jul",'Data - Monthly Metrics'!C:C,"Spokane/NE",'Data - Monthly Metrics'!D:D,"Penetration - Combined Non-Target %"))</f>
        <v/>
      </c>
      <c r="O107" s="115">
        <f>IF(COUNTIFS('Data - Monthly Metrics'!A:A,$B$4,'Data - Monthly Metrics'!B:B,"Aug",'Data - Monthly Metrics'!C:C,"Spokane/NE",'Data - Monthly Metrics'!D:D,"Penetration - Combined Non-Target %")=0,"-",SUMIFS('Data - Monthly Metrics'!E:E,'Data - Monthly Metrics'!A:A,$B$4,'Data - Monthly Metrics'!B:B,"Aug",'Data - Monthly Metrics'!C:C,"Spokane/NE",'Data - Monthly Metrics'!D:D,"Penetration - Combined Non-Target %"))</f>
        <v/>
      </c>
      <c r="P107" s="115">
        <f>IF(COUNTIFS('Data - Monthly Metrics'!A:A,$B$4,'Data - Monthly Metrics'!B:B,"Sep",'Data - Monthly Metrics'!C:C,"Spokane/NE",'Data - Monthly Metrics'!D:D,"Penetration - Combined Non-Target %")=0,"-",SUMIFS('Data - Monthly Metrics'!E:E,'Data - Monthly Metrics'!A:A,$B$4,'Data - Monthly Metrics'!B:B,"Sep",'Data - Monthly Metrics'!C:C,"Spokane/NE",'Data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Metrics'!$C:$C,"Spokane/NE",'Data - Monthly Metrics'!$D:$D,"Goal - Retention %")&gt;0,B53&gt;=SUMIFS('Data - Monthly Metrics'!$E:$E,'Data - Monthly Metrics'!$A:$A,$B$4-1,'Data - Monthly Metrics'!$B:$B,B$8,'Data - Monthly Metrics'!$C:$C,"Spokane/NE",'Data - Monthly Metrics'!$D:$D,"Goal - Retention %"))</formula>
    </cfRule>
    <cfRule type="expression" rank="0" priority="11" equalAverage="0" aboveAverage="0" dxfId="2" stopIfTrue="1" text="" percent="0" bottom="0">
      <formula>AND(ISNUMBER(B53),COUNTIFS('Data - Monthly Metrics'!$A:$A,$B$4-1,'Data - Monthly Metrics'!$B:$B,B$8,'Data - Monthly Metrics'!$C:$C,"Spokane/NE",'Data - Monthly Metrics'!$D:$D,"Goal - Retention %")&gt;0,B53&gt;=SUMIFS('Data - Monthly Metrics'!$E:$E,'Data - Monthly Metrics'!$A:$A,$B$4-1,'Data - Monthly Metrics'!$B:$B,B$8,'Data - Monthly Metrics'!$C:$C,"Spokane/NE",'Data - Monthly Metrics'!$D:$D,"Goal - Retention %")-0.05)</formula>
    </cfRule>
    <cfRule type="expression" rank="0" priority="12" equalAverage="0" aboveAverage="0" dxfId="1" stopIfTrue="1" text="" percent="0" bottom="0">
      <formula>AND(ISNUMBER(B53),COUNTIFS('Data - Monthly Metrics'!$A:$A,$B$4-1,'Data - Monthly Metrics'!$B:$B,B$8,'Data - Monthly Metrics'!$C:$C,"Spokane/NE",'Data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Metrics'!$C:$C,"Spokane/NE",'Data - Monthly Metrics'!$D:$D,"Goal - Retention %")&gt;0,C53&gt;=SUMIFS('Data - Monthly Metrics'!$E:$E,'Data - Monthly Metrics'!$A:$A,$B$4-1,'Data - Monthly Metrics'!$B:$B,C$8,'Data - Monthly Metrics'!$C:$C,"Spokane/NE",'Data - Monthly Metrics'!$D:$D,"Goal - Retention %"))</formula>
    </cfRule>
    <cfRule type="expression" rank="0" priority="14" equalAverage="0" aboveAverage="0" dxfId="2" stopIfTrue="1" text="" percent="0" bottom="0">
      <formula>AND(ISNUMBER(C53),COUNTIFS('Data - Monthly Metrics'!$A:$A,$B$4-1,'Data - Monthly Metrics'!$B:$B,C$8,'Data - Monthly Metrics'!$C:$C,"Spokane/NE",'Data - Monthly Metrics'!$D:$D,"Goal - Retention %")&gt;0,C53&gt;=SUMIFS('Data - Monthly Metrics'!$E:$E,'Data - Monthly Metrics'!$A:$A,$B$4-1,'Data - Monthly Metrics'!$B:$B,C$8,'Data - Monthly Metrics'!$C:$C,"Spokane/NE",'Data - Monthly Metrics'!$D:$D,"Goal - Retention %")-0.05)</formula>
    </cfRule>
    <cfRule type="expression" rank="0" priority="15" equalAverage="0" aboveAverage="0" dxfId="1" stopIfTrue="1" text="" percent="0" bottom="0">
      <formula>AND(ISNUMBER(C53),COUNTIFS('Data - Monthly Metrics'!$A:$A,$B$4-1,'Data - Monthly Metrics'!$B:$B,C$8,'Data - Monthly Metrics'!$C:$C,"Spokane/NE",'Data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Metrics'!$C:$C,"Spokane/NE",'Data - Monthly Metrics'!$D:$D,"Goal - Retention %")&gt;0,D53&gt;=SUMIFS('Data - Monthly Metrics'!$E:$E,'Data - Monthly Metrics'!$A:$A,$B$4-1,'Data - Monthly Metrics'!$B:$B,D$8,'Data - Monthly Metrics'!$C:$C,"Spokane/NE",'Data - Monthly Metrics'!$D:$D,"Goal - Retention %"))</formula>
    </cfRule>
    <cfRule type="expression" rank="0" priority="17" equalAverage="0" aboveAverage="0" dxfId="2" stopIfTrue="1" text="" percent="0" bottom="0">
      <formula>AND(ISNUMBER(D53),COUNTIFS('Data - Monthly Metrics'!$A:$A,$B$4-1,'Data - Monthly Metrics'!$B:$B,D$8,'Data - Monthly Metrics'!$C:$C,"Spokane/NE",'Data - Monthly Metrics'!$D:$D,"Goal - Retention %")&gt;0,D53&gt;=SUMIFS('Data - Monthly Metrics'!$E:$E,'Data - Monthly Metrics'!$A:$A,$B$4-1,'Data - Monthly Metrics'!$B:$B,D$8,'Data - Monthly Metrics'!$C:$C,"Spokane/NE",'Data - Monthly Metrics'!$D:$D,"Goal - Retention %")-0.05)</formula>
    </cfRule>
    <cfRule type="expression" rank="0" priority="18" equalAverage="0" aboveAverage="0" dxfId="1" stopIfTrue="1" text="" percent="0" bottom="0">
      <formula>AND(ISNUMBER(D53),COUNTIFS('Data - Monthly Metrics'!$A:$A,$B$4-1,'Data - Monthly Metrics'!$B:$B,D$8,'Data - Monthly Metrics'!$C:$C,"Spokane/NE",'Data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Metrics'!$C:$C,"Spokane/NE",'Data - Monthly Metrics'!$D:$D,"Goal - Retention %")&gt;0,F53&gt;=SUMIFS('Data - Monthly Metrics'!$E:$E,'Data - Monthly Metrics'!$A:$A,$B$4,'Data - Monthly Metrics'!$B:$B,F$8,'Data - Monthly Metrics'!$C:$C,"Spokane/NE",'Data - Monthly Metrics'!$D:$D,"Goal - Retention %"))</formula>
    </cfRule>
    <cfRule type="expression" rank="0" priority="20" equalAverage="0" aboveAverage="0" dxfId="2" stopIfTrue="1" text="" percent="0" bottom="0">
      <formula>AND(ISNUMBER(F53),COUNTIFS('Data - Monthly Metrics'!$A:$A,$B$4,'Data - Monthly Metrics'!$B:$B,F$8,'Data - Monthly Metrics'!$C:$C,"Spokane/NE",'Data - Monthly Metrics'!$D:$D,"Goal - Retention %")&gt;0,F53&gt;=SUMIFS('Data - Monthly Metrics'!$E:$E,'Data - Monthly Metrics'!$A:$A,$B$4,'Data - Monthly Metrics'!$B:$B,F$8,'Data - Monthly Metrics'!$C:$C,"Spokane/NE",'Data - Monthly Metrics'!$D:$D,"Goal - Retention %")-0.05)</formula>
    </cfRule>
    <cfRule type="expression" rank="0" priority="21" equalAverage="0" aboveAverage="0" dxfId="1" stopIfTrue="1" text="" percent="0" bottom="0">
      <formula>AND(ISNUMBER(F53),COUNTIFS('Data - Monthly Metrics'!$A:$A,$B$4,'Data - Monthly Metrics'!$B:$B,F$8,'Data - Monthly Metrics'!$C:$C,"Spokane/NE",'Data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Metrics'!$C:$C,"Spokane/NE",'Data - Monthly Metrics'!$D:$D,"Goal - Retention %")&gt;0,G53&gt;=SUMIFS('Data - Monthly Metrics'!$E:$E,'Data - Monthly Metrics'!$A:$A,$B$4,'Data - Monthly Metrics'!$B:$B,G$8,'Data - Monthly Metrics'!$C:$C,"Spokane/NE",'Data - Monthly Metrics'!$D:$D,"Goal - Retention %"))</formula>
    </cfRule>
    <cfRule type="expression" rank="0" priority="23" equalAverage="0" aboveAverage="0" dxfId="2" stopIfTrue="1" text="" percent="0" bottom="0">
      <formula>AND(ISNUMBER(G53),COUNTIFS('Data - Monthly Metrics'!$A:$A,$B$4,'Data - Monthly Metrics'!$B:$B,G$8,'Data - Monthly Metrics'!$C:$C,"Spokane/NE",'Data - Monthly Metrics'!$D:$D,"Goal - Retention %")&gt;0,G53&gt;=SUMIFS('Data - Monthly Metrics'!$E:$E,'Data - Monthly Metrics'!$A:$A,$B$4,'Data - Monthly Metrics'!$B:$B,G$8,'Data - Monthly Metrics'!$C:$C,"Spokane/NE",'Data - Monthly Metrics'!$D:$D,"Goal - Retention %")-0.05)</formula>
    </cfRule>
    <cfRule type="expression" rank="0" priority="24" equalAverage="0" aboveAverage="0" dxfId="1" stopIfTrue="1" text="" percent="0" bottom="0">
      <formula>AND(ISNUMBER(G53),COUNTIFS('Data - Monthly Metrics'!$A:$A,$B$4,'Data - Monthly Metrics'!$B:$B,G$8,'Data - Monthly Metrics'!$C:$C,"Spokane/NE",'Data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Metrics'!$C:$C,"Spokane/NE",'Data - Monthly Metrics'!$D:$D,"Goal - Retention %")&gt;0,H53&gt;=SUMIFS('Data - Monthly Metrics'!$E:$E,'Data - Monthly Metrics'!$A:$A,$B$4,'Data - Monthly Metrics'!$B:$B,H$8,'Data - Monthly Metrics'!$C:$C,"Spokane/NE",'Data - Monthly Metrics'!$D:$D,"Goal - Retention %"))</formula>
    </cfRule>
    <cfRule type="expression" rank="0" priority="26" equalAverage="0" aboveAverage="0" dxfId="2" stopIfTrue="1" text="" percent="0" bottom="0">
      <formula>AND(ISNUMBER(H53),COUNTIFS('Data - Monthly Metrics'!$A:$A,$B$4,'Data - Monthly Metrics'!$B:$B,H$8,'Data - Monthly Metrics'!$C:$C,"Spokane/NE",'Data - Monthly Metrics'!$D:$D,"Goal - Retention %")&gt;0,H53&gt;=SUMIFS('Data - Monthly Metrics'!$E:$E,'Data - Monthly Metrics'!$A:$A,$B$4,'Data - Monthly Metrics'!$B:$B,H$8,'Data - Monthly Metrics'!$C:$C,"Spokane/NE",'Data - Monthly Metrics'!$D:$D,"Goal - Retention %")-0.05)</formula>
    </cfRule>
    <cfRule type="expression" rank="0" priority="27" equalAverage="0" aboveAverage="0" dxfId="1" stopIfTrue="1" text="" percent="0" bottom="0">
      <formula>AND(ISNUMBER(H53),COUNTIFS('Data - Monthly Metrics'!$A:$A,$B$4,'Data - Monthly Metrics'!$B:$B,H$8,'Data - Monthly Metrics'!$C:$C,"Spokane/NE",'Data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Metrics'!$C:$C,"Spokane/NE",'Data - Monthly Metrics'!$D:$D,"Goal - Retention %")&gt;0,J53&gt;=SUMIFS('Data - Monthly Metrics'!$E:$E,'Data - Monthly Metrics'!$A:$A,$B$4,'Data - Monthly Metrics'!$B:$B,J$8,'Data - Monthly Metrics'!$C:$C,"Spokane/NE",'Data - Monthly Metrics'!$D:$D,"Goal - Retention %"))</formula>
    </cfRule>
    <cfRule type="expression" rank="0" priority="29" equalAverage="0" aboveAverage="0" dxfId="2" stopIfTrue="1" text="" percent="0" bottom="0">
      <formula>AND(ISNUMBER(J53),COUNTIFS('Data - Monthly Metrics'!$A:$A,$B$4,'Data - Monthly Metrics'!$B:$B,J$8,'Data - Monthly Metrics'!$C:$C,"Spokane/NE",'Data - Monthly Metrics'!$D:$D,"Goal - Retention %")&gt;0,J53&gt;=SUMIFS('Data - Monthly Metrics'!$E:$E,'Data - Monthly Metrics'!$A:$A,$B$4,'Data - Monthly Metrics'!$B:$B,J$8,'Data - Monthly Metrics'!$C:$C,"Spokane/NE",'Data - Monthly Metrics'!$D:$D,"Goal - Retention %")-0.05)</formula>
    </cfRule>
    <cfRule type="expression" rank="0" priority="30" equalAverage="0" aboveAverage="0" dxfId="1" stopIfTrue="1" text="" percent="0" bottom="0">
      <formula>AND(ISNUMBER(J53),COUNTIFS('Data - Monthly Metrics'!$A:$A,$B$4,'Data - Monthly Metrics'!$B:$B,J$8,'Data - Monthly Metrics'!$C:$C,"Spokane/NE",'Data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Metrics'!$C:$C,"Spokane/NE",'Data - Monthly Metrics'!$D:$D,"Goal - Retention %")&gt;0,K53&gt;=SUMIFS('Data - Monthly Metrics'!$E:$E,'Data - Monthly Metrics'!$A:$A,$B$4,'Data - Monthly Metrics'!$B:$B,K$8,'Data - Monthly Metrics'!$C:$C,"Spokane/NE",'Data - Monthly Metrics'!$D:$D,"Goal - Retention %"))</formula>
    </cfRule>
    <cfRule type="expression" rank="0" priority="32" equalAverage="0" aboveAverage="0" dxfId="2" stopIfTrue="1" text="" percent="0" bottom="0">
      <formula>AND(ISNUMBER(K53),COUNTIFS('Data - Monthly Metrics'!$A:$A,$B$4,'Data - Monthly Metrics'!$B:$B,K$8,'Data - Monthly Metrics'!$C:$C,"Spokane/NE",'Data - Monthly Metrics'!$D:$D,"Goal - Retention %")&gt;0,K53&gt;=SUMIFS('Data - Monthly Metrics'!$E:$E,'Data - Monthly Metrics'!$A:$A,$B$4,'Data - Monthly Metrics'!$B:$B,K$8,'Data - Monthly Metrics'!$C:$C,"Spokane/NE",'Data - Monthly Metrics'!$D:$D,"Goal - Retention %")-0.05)</formula>
    </cfRule>
    <cfRule type="expression" rank="0" priority="33" equalAverage="0" aboveAverage="0" dxfId="1" stopIfTrue="1" text="" percent="0" bottom="0">
      <formula>AND(ISNUMBER(K53),COUNTIFS('Data - Monthly Metrics'!$A:$A,$B$4,'Data - Monthly Metrics'!$B:$B,K$8,'Data - Monthly Metrics'!$C:$C,"Spokane/NE",'Data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Metrics'!$C:$C,"Spokane/NE",'Data - Monthly Metrics'!$D:$D,"Goal - Retention %")&gt;0,L53&gt;=SUMIFS('Data - Monthly Metrics'!$E:$E,'Data - Monthly Metrics'!$A:$A,$B$4,'Data - Monthly Metrics'!$B:$B,L$8,'Data - Monthly Metrics'!$C:$C,"Spokane/NE",'Data - Monthly Metrics'!$D:$D,"Goal - Retention %"))</formula>
    </cfRule>
    <cfRule type="expression" rank="0" priority="35" equalAverage="0" aboveAverage="0" dxfId="2" stopIfTrue="1" text="" percent="0" bottom="0">
      <formula>AND(ISNUMBER(L53),COUNTIFS('Data - Monthly Metrics'!$A:$A,$B$4,'Data - Monthly Metrics'!$B:$B,L$8,'Data - Monthly Metrics'!$C:$C,"Spokane/NE",'Data - Monthly Metrics'!$D:$D,"Goal - Retention %")&gt;0,L53&gt;=SUMIFS('Data - Monthly Metrics'!$E:$E,'Data - Monthly Metrics'!$A:$A,$B$4,'Data - Monthly Metrics'!$B:$B,L$8,'Data - Monthly Metrics'!$C:$C,"Spokane/NE",'Data - Monthly Metrics'!$D:$D,"Goal - Retention %")-0.05)</formula>
    </cfRule>
    <cfRule type="expression" rank="0" priority="36" equalAverage="0" aboveAverage="0" dxfId="1" stopIfTrue="1" text="" percent="0" bottom="0">
      <formula>AND(ISNUMBER(L53),COUNTIFS('Data - Monthly Metrics'!$A:$A,$B$4,'Data - Monthly Metrics'!$B:$B,L$8,'Data - Monthly Metrics'!$C:$C,"Spokane/NE",'Data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Metrics'!$C:$C,"Spokane/NE",'Data - Monthly Metrics'!$D:$D,"Goal - Retention %")&gt;0,N53&gt;=SUMIFS('Data - Monthly Metrics'!$E:$E,'Data - Monthly Metrics'!$A:$A,$B$4,'Data - Monthly Metrics'!$B:$B,N$8,'Data - Monthly Metrics'!$C:$C,"Spokane/NE",'Data - Monthly Metrics'!$D:$D,"Goal - Retention %"))</formula>
    </cfRule>
    <cfRule type="expression" rank="0" priority="38" equalAverage="0" aboveAverage="0" dxfId="2" stopIfTrue="1" text="" percent="0" bottom="0">
      <formula>AND(ISNUMBER(N53),COUNTIFS('Data - Monthly Metrics'!$A:$A,$B$4,'Data - Monthly Metrics'!$B:$B,N$8,'Data - Monthly Metrics'!$C:$C,"Spokane/NE",'Data - Monthly Metrics'!$D:$D,"Goal - Retention %")&gt;0,N53&gt;=SUMIFS('Data - Monthly Metrics'!$E:$E,'Data - Monthly Metrics'!$A:$A,$B$4,'Data - Monthly Metrics'!$B:$B,N$8,'Data - Monthly Metrics'!$C:$C,"Spokane/NE",'Data - Monthly Metrics'!$D:$D,"Goal - Retention %")-0.05)</formula>
    </cfRule>
    <cfRule type="expression" rank="0" priority="39" equalAverage="0" aboveAverage="0" dxfId="1" stopIfTrue="1" text="" percent="0" bottom="0">
      <formula>AND(ISNUMBER(N53),COUNTIFS('Data - Monthly Metrics'!$A:$A,$B$4,'Data - Monthly Metrics'!$B:$B,N$8,'Data - Monthly Metrics'!$C:$C,"Spokane/NE",'Data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Metrics'!$C:$C,"Spokane/NE",'Data - Monthly Metrics'!$D:$D,"Goal - Retention %")&gt;0,O53&gt;=SUMIFS('Data - Monthly Metrics'!$E:$E,'Data - Monthly Metrics'!$A:$A,$B$4,'Data - Monthly Metrics'!$B:$B,O$8,'Data - Monthly Metrics'!$C:$C,"Spokane/NE",'Data - Monthly Metrics'!$D:$D,"Goal - Retention %"))</formula>
    </cfRule>
    <cfRule type="expression" rank="0" priority="41" equalAverage="0" aboveAverage="0" dxfId="2" stopIfTrue="1" text="" percent="0" bottom="0">
      <formula>AND(ISNUMBER(O53),COUNTIFS('Data - Monthly Metrics'!$A:$A,$B$4,'Data - Monthly Metrics'!$B:$B,O$8,'Data - Monthly Metrics'!$C:$C,"Spokane/NE",'Data - Monthly Metrics'!$D:$D,"Goal - Retention %")&gt;0,O53&gt;=SUMIFS('Data - Monthly Metrics'!$E:$E,'Data - Monthly Metrics'!$A:$A,$B$4,'Data - Monthly Metrics'!$B:$B,O$8,'Data - Monthly Metrics'!$C:$C,"Spokane/NE",'Data - Monthly Metrics'!$D:$D,"Goal - Retention %")-0.05)</formula>
    </cfRule>
    <cfRule type="expression" rank="0" priority="42" equalAverage="0" aboveAverage="0" dxfId="1" stopIfTrue="1" text="" percent="0" bottom="0">
      <formula>AND(ISNUMBER(O53),COUNTIFS('Data - Monthly Metrics'!$A:$A,$B$4,'Data - Monthly Metrics'!$B:$B,O$8,'Data - Monthly Metrics'!$C:$C,"Spokane/NE",'Data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Metrics'!$C:$C,"Spokane/NE",'Data - Monthly Metrics'!$D:$D,"Goal - Retention %")&gt;0,P53&gt;=SUMIFS('Data - Monthly Metrics'!$E:$E,'Data - Monthly Metrics'!$A:$A,$B$4,'Data - Monthly Metrics'!$B:$B,P$8,'Data - Monthly Metrics'!$C:$C,"Spokane/NE",'Data - Monthly Metrics'!$D:$D,"Goal - Retention %"))</formula>
    </cfRule>
    <cfRule type="expression" rank="0" priority="44" equalAverage="0" aboveAverage="0" dxfId="2" stopIfTrue="1" text="" percent="0" bottom="0">
      <formula>AND(ISNUMBER(P53),COUNTIFS('Data - Monthly Metrics'!$A:$A,$B$4,'Data - Monthly Metrics'!$B:$B,P$8,'Data - Monthly Metrics'!$C:$C,"Spokane/NE",'Data - Monthly Metrics'!$D:$D,"Goal - Retention %")&gt;0,P53&gt;=SUMIFS('Data - Monthly Metrics'!$E:$E,'Data - Monthly Metrics'!$A:$A,$B$4,'Data - Monthly Metrics'!$B:$B,P$8,'Data - Monthly Metrics'!$C:$C,"Spokane/NE",'Data - Monthly Metrics'!$D:$D,"Goal - Retention %")-0.05)</formula>
    </cfRule>
    <cfRule type="expression" rank="0" priority="45" equalAverage="0" aboveAverage="0" dxfId="1" stopIfTrue="1" text="" percent="0" bottom="0">
      <formula>AND(ISNUMBER(P53),COUNTIFS('Data - Monthly Metrics'!$A:$A,$B$4,'Data - Monthly Metrics'!$B:$B,P$8,'Data - Monthly Metrics'!$C:$C,"Spokane/NE",'Data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Metrics'!$C:$C,"Spokane/NE",'Data - Monthly Metrics'!$D:$D,"Goal - Retention %")&gt;0,B93&gt;=SUMIFS('Data - Monthly Metrics'!$E:$E,'Data - Monthly Metrics'!$A:$A,$B$4-1,'Data - Monthly Metrics'!$B:$B,B$8,'Data - Monthly Metrics'!$C:$C,"Spokane/NE",'Data - Monthly Metrics'!$D:$D,"Goal - Retention %"))</formula>
    </cfRule>
    <cfRule type="expression" rank="0" priority="47" equalAverage="0" aboveAverage="0" dxfId="2" stopIfTrue="1" text="" percent="0" bottom="0">
      <formula>AND(ISNUMBER(B93),COUNTIFS('Data - Monthly Metrics'!$A:$A,$B$4-1,'Data - Monthly Metrics'!$B:$B,B$8,'Data - Monthly Metrics'!$C:$C,"Spokane/NE",'Data - Monthly Metrics'!$D:$D,"Goal - Retention %")&gt;0,B93&gt;=SUMIFS('Data - Monthly Metrics'!$E:$E,'Data - Monthly Metrics'!$A:$A,$B$4-1,'Data - Monthly Metrics'!$B:$B,B$8,'Data - Monthly Metrics'!$C:$C,"Spokane/NE",'Data - Monthly Metrics'!$D:$D,"Goal - Retention %")-0.05)</formula>
    </cfRule>
    <cfRule type="expression" rank="0" priority="48" equalAverage="0" aboveAverage="0" dxfId="1" stopIfTrue="1" text="" percent="0" bottom="0">
      <formula>AND(ISNUMBER(B93),COUNTIFS('Data - Monthly Metrics'!$A:$A,$B$4-1,'Data - Monthly Metrics'!$B:$B,B$8,'Data - Monthly Metrics'!$C:$C,"Spokane/NE",'Data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Metrics'!$C:$C,"Spokane/NE",'Data - Monthly Metrics'!$D:$D,"Goal - Retention %")&gt;0,C93&gt;=SUMIFS('Data - Monthly Metrics'!$E:$E,'Data - Monthly Metrics'!$A:$A,$B$4-1,'Data - Monthly Metrics'!$B:$B,C$8,'Data - Monthly Metrics'!$C:$C,"Spokane/NE",'Data - Monthly Metrics'!$D:$D,"Goal - Retention %"))</formula>
    </cfRule>
    <cfRule type="expression" rank="0" priority="50" equalAverage="0" aboveAverage="0" dxfId="2" stopIfTrue="1" text="" percent="0" bottom="0">
      <formula>AND(ISNUMBER(C93),COUNTIFS('Data - Monthly Metrics'!$A:$A,$B$4-1,'Data - Monthly Metrics'!$B:$B,C$8,'Data - Monthly Metrics'!$C:$C,"Spokane/NE",'Data - Monthly Metrics'!$D:$D,"Goal - Retention %")&gt;0,C93&gt;=SUMIFS('Data - Monthly Metrics'!$E:$E,'Data - Monthly Metrics'!$A:$A,$B$4-1,'Data - Monthly Metrics'!$B:$B,C$8,'Data - Monthly Metrics'!$C:$C,"Spokane/NE",'Data - Monthly Metrics'!$D:$D,"Goal - Retention %")-0.05)</formula>
    </cfRule>
    <cfRule type="expression" rank="0" priority="51" equalAverage="0" aboveAverage="0" dxfId="1" stopIfTrue="1" text="" percent="0" bottom="0">
      <formula>AND(ISNUMBER(C93),COUNTIFS('Data - Monthly Metrics'!$A:$A,$B$4-1,'Data - Monthly Metrics'!$B:$B,C$8,'Data - Monthly Metrics'!$C:$C,"Spokane/NE",'Data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Metrics'!$C:$C,"Spokane/NE",'Data - Monthly Metrics'!$D:$D,"Goal - Retention %")&gt;0,D93&gt;=SUMIFS('Data - Monthly Metrics'!$E:$E,'Data - Monthly Metrics'!$A:$A,$B$4-1,'Data - Monthly Metrics'!$B:$B,D$8,'Data - Monthly Metrics'!$C:$C,"Spokane/NE",'Data - Monthly Metrics'!$D:$D,"Goal - Retention %"))</formula>
    </cfRule>
    <cfRule type="expression" rank="0" priority="53" equalAverage="0" aboveAverage="0" dxfId="2" stopIfTrue="1" text="" percent="0" bottom="0">
      <formula>AND(ISNUMBER(D93),COUNTIFS('Data - Monthly Metrics'!$A:$A,$B$4-1,'Data - Monthly Metrics'!$B:$B,D$8,'Data - Monthly Metrics'!$C:$C,"Spokane/NE",'Data - Monthly Metrics'!$D:$D,"Goal - Retention %")&gt;0,D93&gt;=SUMIFS('Data - Monthly Metrics'!$E:$E,'Data - Monthly Metrics'!$A:$A,$B$4-1,'Data - Monthly Metrics'!$B:$B,D$8,'Data - Monthly Metrics'!$C:$C,"Spokane/NE",'Data - Monthly Metrics'!$D:$D,"Goal - Retention %")-0.05)</formula>
    </cfRule>
    <cfRule type="expression" rank="0" priority="54" equalAverage="0" aboveAverage="0" dxfId="1" stopIfTrue="1" text="" percent="0" bottom="0">
      <formula>AND(ISNUMBER(D93),COUNTIFS('Data - Monthly Metrics'!$A:$A,$B$4-1,'Data - Monthly Metrics'!$B:$B,D$8,'Data - Monthly Metrics'!$C:$C,"Spokane/NE",'Data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Metrics'!$C:$C,"Spokane/NE",'Data - Monthly Metrics'!$D:$D,"Goal - Retention %")&gt;0,F93&gt;=SUMIFS('Data - Monthly Metrics'!$E:$E,'Data - Monthly Metrics'!$A:$A,$B$4,'Data - Monthly Metrics'!$B:$B,F$8,'Data - Monthly Metrics'!$C:$C,"Spokane/NE",'Data - Monthly Metrics'!$D:$D,"Goal - Retention %"))</formula>
    </cfRule>
    <cfRule type="expression" rank="0" priority="56" equalAverage="0" aboveAverage="0" dxfId="2" stopIfTrue="1" text="" percent="0" bottom="0">
      <formula>AND(ISNUMBER(F93),COUNTIFS('Data - Monthly Metrics'!$A:$A,$B$4,'Data - Monthly Metrics'!$B:$B,F$8,'Data - Monthly Metrics'!$C:$C,"Spokane/NE",'Data - Monthly Metrics'!$D:$D,"Goal - Retention %")&gt;0,F93&gt;=SUMIFS('Data - Monthly Metrics'!$E:$E,'Data - Monthly Metrics'!$A:$A,$B$4,'Data - Monthly Metrics'!$B:$B,F$8,'Data - Monthly Metrics'!$C:$C,"Spokane/NE",'Data - Monthly Metrics'!$D:$D,"Goal - Retention %")-0.05)</formula>
    </cfRule>
    <cfRule type="expression" rank="0" priority="57" equalAverage="0" aboveAverage="0" dxfId="1" stopIfTrue="1" text="" percent="0" bottom="0">
      <formula>AND(ISNUMBER(F93),COUNTIFS('Data - Monthly Metrics'!$A:$A,$B$4,'Data - Monthly Metrics'!$B:$B,F$8,'Data - Monthly Metrics'!$C:$C,"Spokane/NE",'Data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Metrics'!$C:$C,"Spokane/NE",'Data - Monthly Metrics'!$D:$D,"Goal - Retention %")&gt;0,G93&gt;=SUMIFS('Data - Monthly Metrics'!$E:$E,'Data - Monthly Metrics'!$A:$A,$B$4,'Data - Monthly Metrics'!$B:$B,G$8,'Data - Monthly Metrics'!$C:$C,"Spokane/NE",'Data - Monthly Metrics'!$D:$D,"Goal - Retention %"))</formula>
    </cfRule>
    <cfRule type="expression" rank="0" priority="59" equalAverage="0" aboveAverage="0" dxfId="2" stopIfTrue="1" text="" percent="0" bottom="0">
      <formula>AND(ISNUMBER(G93),COUNTIFS('Data - Monthly Metrics'!$A:$A,$B$4,'Data - Monthly Metrics'!$B:$B,G$8,'Data - Monthly Metrics'!$C:$C,"Spokane/NE",'Data - Monthly Metrics'!$D:$D,"Goal - Retention %")&gt;0,G93&gt;=SUMIFS('Data - Monthly Metrics'!$E:$E,'Data - Monthly Metrics'!$A:$A,$B$4,'Data - Monthly Metrics'!$B:$B,G$8,'Data - Monthly Metrics'!$C:$C,"Spokane/NE",'Data - Monthly Metrics'!$D:$D,"Goal - Retention %")-0.05)</formula>
    </cfRule>
    <cfRule type="expression" rank="0" priority="60" equalAverage="0" aboveAverage="0" dxfId="1" stopIfTrue="1" text="" percent="0" bottom="0">
      <formula>AND(ISNUMBER(G93),COUNTIFS('Data - Monthly Metrics'!$A:$A,$B$4,'Data - Monthly Metrics'!$B:$B,G$8,'Data - Monthly Metrics'!$C:$C,"Spokane/NE",'Data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Metrics'!$C:$C,"Spokane/NE",'Data - Monthly Metrics'!$D:$D,"Goal - Retention %")&gt;0,H93&gt;=SUMIFS('Data - Monthly Metrics'!$E:$E,'Data - Monthly Metrics'!$A:$A,$B$4,'Data - Monthly Metrics'!$B:$B,H$8,'Data - Monthly Metrics'!$C:$C,"Spokane/NE",'Data - Monthly Metrics'!$D:$D,"Goal - Retention %"))</formula>
    </cfRule>
    <cfRule type="expression" rank="0" priority="62" equalAverage="0" aboveAverage="0" dxfId="2" stopIfTrue="1" text="" percent="0" bottom="0">
      <formula>AND(ISNUMBER(H93),COUNTIFS('Data - Monthly Metrics'!$A:$A,$B$4,'Data - Monthly Metrics'!$B:$B,H$8,'Data - Monthly Metrics'!$C:$C,"Spokane/NE",'Data - Monthly Metrics'!$D:$D,"Goal - Retention %")&gt;0,H93&gt;=SUMIFS('Data - Monthly Metrics'!$E:$E,'Data - Monthly Metrics'!$A:$A,$B$4,'Data - Monthly Metrics'!$B:$B,H$8,'Data - Monthly Metrics'!$C:$C,"Spokane/NE",'Data - Monthly Metrics'!$D:$D,"Goal - Retention %")-0.05)</formula>
    </cfRule>
    <cfRule type="expression" rank="0" priority="63" equalAverage="0" aboveAverage="0" dxfId="1" stopIfTrue="1" text="" percent="0" bottom="0">
      <formula>AND(ISNUMBER(H93),COUNTIFS('Data - Monthly Metrics'!$A:$A,$B$4,'Data - Monthly Metrics'!$B:$B,H$8,'Data - Monthly Metrics'!$C:$C,"Spokane/NE",'Data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Metrics'!$C:$C,"Spokane/NE",'Data - Monthly Metrics'!$D:$D,"Goal - Retention %")&gt;0,J93&gt;=SUMIFS('Data - Monthly Metrics'!$E:$E,'Data - Monthly Metrics'!$A:$A,$B$4,'Data - Monthly Metrics'!$B:$B,J$8,'Data - Monthly Metrics'!$C:$C,"Spokane/NE",'Data - Monthly Metrics'!$D:$D,"Goal - Retention %"))</formula>
    </cfRule>
    <cfRule type="expression" rank="0" priority="65" equalAverage="0" aboveAverage="0" dxfId="2" stopIfTrue="1" text="" percent="0" bottom="0">
      <formula>AND(ISNUMBER(J93),COUNTIFS('Data - Monthly Metrics'!$A:$A,$B$4,'Data - Monthly Metrics'!$B:$B,J$8,'Data - Monthly Metrics'!$C:$C,"Spokane/NE",'Data - Monthly Metrics'!$D:$D,"Goal - Retention %")&gt;0,J93&gt;=SUMIFS('Data - Monthly Metrics'!$E:$E,'Data - Monthly Metrics'!$A:$A,$B$4,'Data - Monthly Metrics'!$B:$B,J$8,'Data - Monthly Metrics'!$C:$C,"Spokane/NE",'Data - Monthly Metrics'!$D:$D,"Goal - Retention %")-0.05)</formula>
    </cfRule>
    <cfRule type="expression" rank="0" priority="66" equalAverage="0" aboveAverage="0" dxfId="1" stopIfTrue="1" text="" percent="0" bottom="0">
      <formula>AND(ISNUMBER(J93),COUNTIFS('Data - Monthly Metrics'!$A:$A,$B$4,'Data - Monthly Metrics'!$B:$B,J$8,'Data - Monthly Metrics'!$C:$C,"Spokane/NE",'Data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Metrics'!$C:$C,"Spokane/NE",'Data - Monthly Metrics'!$D:$D,"Goal - Retention %")&gt;0,K93&gt;=SUMIFS('Data - Monthly Metrics'!$E:$E,'Data - Monthly Metrics'!$A:$A,$B$4,'Data - Monthly Metrics'!$B:$B,K$8,'Data - Monthly Metrics'!$C:$C,"Spokane/NE",'Data - Monthly Metrics'!$D:$D,"Goal - Retention %"))</formula>
    </cfRule>
    <cfRule type="expression" rank="0" priority="68" equalAverage="0" aboveAverage="0" dxfId="2" stopIfTrue="1" text="" percent="0" bottom="0">
      <formula>AND(ISNUMBER(K93),COUNTIFS('Data - Monthly Metrics'!$A:$A,$B$4,'Data - Monthly Metrics'!$B:$B,K$8,'Data - Monthly Metrics'!$C:$C,"Spokane/NE",'Data - Monthly Metrics'!$D:$D,"Goal - Retention %")&gt;0,K93&gt;=SUMIFS('Data - Monthly Metrics'!$E:$E,'Data - Monthly Metrics'!$A:$A,$B$4,'Data - Monthly Metrics'!$B:$B,K$8,'Data - Monthly Metrics'!$C:$C,"Spokane/NE",'Data - Monthly Metrics'!$D:$D,"Goal - Retention %")-0.05)</formula>
    </cfRule>
    <cfRule type="expression" rank="0" priority="69" equalAverage="0" aboveAverage="0" dxfId="1" stopIfTrue="1" text="" percent="0" bottom="0">
      <formula>AND(ISNUMBER(K93),COUNTIFS('Data - Monthly Metrics'!$A:$A,$B$4,'Data - Monthly Metrics'!$B:$B,K$8,'Data - Monthly Metrics'!$C:$C,"Spokane/NE",'Data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Metrics'!$C:$C,"Spokane/NE",'Data - Monthly Metrics'!$D:$D,"Goal - Retention %")&gt;0,L93&gt;=SUMIFS('Data - Monthly Metrics'!$E:$E,'Data - Monthly Metrics'!$A:$A,$B$4,'Data - Monthly Metrics'!$B:$B,L$8,'Data - Monthly Metrics'!$C:$C,"Spokane/NE",'Data - Monthly Metrics'!$D:$D,"Goal - Retention %"))</formula>
    </cfRule>
    <cfRule type="expression" rank="0" priority="71" equalAverage="0" aboveAverage="0" dxfId="2" stopIfTrue="1" text="" percent="0" bottom="0">
      <formula>AND(ISNUMBER(L93),COUNTIFS('Data - Monthly Metrics'!$A:$A,$B$4,'Data - Monthly Metrics'!$B:$B,L$8,'Data - Monthly Metrics'!$C:$C,"Spokane/NE",'Data - Monthly Metrics'!$D:$D,"Goal - Retention %")&gt;0,L93&gt;=SUMIFS('Data - Monthly Metrics'!$E:$E,'Data - Monthly Metrics'!$A:$A,$B$4,'Data - Monthly Metrics'!$B:$B,L$8,'Data - Monthly Metrics'!$C:$C,"Spokane/NE",'Data - Monthly Metrics'!$D:$D,"Goal - Retention %")-0.05)</formula>
    </cfRule>
    <cfRule type="expression" rank="0" priority="72" equalAverage="0" aboveAverage="0" dxfId="1" stopIfTrue="1" text="" percent="0" bottom="0">
      <formula>AND(ISNUMBER(L93),COUNTIFS('Data - Monthly Metrics'!$A:$A,$B$4,'Data - Monthly Metrics'!$B:$B,L$8,'Data - Monthly Metrics'!$C:$C,"Spokane/NE",'Data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Metrics'!$C:$C,"Spokane/NE",'Data - Monthly Metrics'!$D:$D,"Goal - Retention %")&gt;0,N93&gt;=SUMIFS('Data - Monthly Metrics'!$E:$E,'Data - Monthly Metrics'!$A:$A,$B$4,'Data - Monthly Metrics'!$B:$B,N$8,'Data - Monthly Metrics'!$C:$C,"Spokane/NE",'Data - Monthly Metrics'!$D:$D,"Goal - Retention %"))</formula>
    </cfRule>
    <cfRule type="expression" rank="0" priority="74" equalAverage="0" aboveAverage="0" dxfId="2" stopIfTrue="1" text="" percent="0" bottom="0">
      <formula>AND(ISNUMBER(N93),COUNTIFS('Data - Monthly Metrics'!$A:$A,$B$4,'Data - Monthly Metrics'!$B:$B,N$8,'Data - Monthly Metrics'!$C:$C,"Spokane/NE",'Data - Monthly Metrics'!$D:$D,"Goal - Retention %")&gt;0,N93&gt;=SUMIFS('Data - Monthly Metrics'!$E:$E,'Data - Monthly Metrics'!$A:$A,$B$4,'Data - Monthly Metrics'!$B:$B,N$8,'Data - Monthly Metrics'!$C:$C,"Spokane/NE",'Data - Monthly Metrics'!$D:$D,"Goal - Retention %")-0.05)</formula>
    </cfRule>
    <cfRule type="expression" rank="0" priority="75" equalAverage="0" aboveAverage="0" dxfId="1" stopIfTrue="1" text="" percent="0" bottom="0">
      <formula>AND(ISNUMBER(N93),COUNTIFS('Data - Monthly Metrics'!$A:$A,$B$4,'Data - Monthly Metrics'!$B:$B,N$8,'Data - Monthly Metrics'!$C:$C,"Spokane/NE",'Data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Metrics'!$C:$C,"Spokane/NE",'Data - Monthly Metrics'!$D:$D,"Goal - Retention %")&gt;0,O93&gt;=SUMIFS('Data - Monthly Metrics'!$E:$E,'Data - Monthly Metrics'!$A:$A,$B$4,'Data - Monthly Metrics'!$B:$B,O$8,'Data - Monthly Metrics'!$C:$C,"Spokane/NE",'Data - Monthly Metrics'!$D:$D,"Goal - Retention %"))</formula>
    </cfRule>
    <cfRule type="expression" rank="0" priority="77" equalAverage="0" aboveAverage="0" dxfId="2" stopIfTrue="1" text="" percent="0" bottom="0">
      <formula>AND(ISNUMBER(O93),COUNTIFS('Data - Monthly Metrics'!$A:$A,$B$4,'Data - Monthly Metrics'!$B:$B,O$8,'Data - Monthly Metrics'!$C:$C,"Spokane/NE",'Data - Monthly Metrics'!$D:$D,"Goal - Retention %")&gt;0,O93&gt;=SUMIFS('Data - Monthly Metrics'!$E:$E,'Data - Monthly Metrics'!$A:$A,$B$4,'Data - Monthly Metrics'!$B:$B,O$8,'Data - Monthly Metrics'!$C:$C,"Spokane/NE",'Data - Monthly Metrics'!$D:$D,"Goal - Retention %")-0.05)</formula>
    </cfRule>
    <cfRule type="expression" rank="0" priority="78" equalAverage="0" aboveAverage="0" dxfId="1" stopIfTrue="1" text="" percent="0" bottom="0">
      <formula>AND(ISNUMBER(O93),COUNTIFS('Data - Monthly Metrics'!$A:$A,$B$4,'Data - Monthly Metrics'!$B:$B,O$8,'Data - Monthly Metrics'!$C:$C,"Spokane/NE",'Data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Metrics'!$C:$C,"Spokane/NE",'Data - Monthly Metrics'!$D:$D,"Goal - Retention %")&gt;0,P93&gt;=SUMIFS('Data - Monthly Metrics'!$E:$E,'Data - Monthly Metrics'!$A:$A,$B$4,'Data - Monthly Metrics'!$B:$B,P$8,'Data - Monthly Metrics'!$C:$C,"Spokane/NE",'Data - Monthly Metrics'!$D:$D,"Goal - Retention %"))</formula>
    </cfRule>
    <cfRule type="expression" rank="0" priority="80" equalAverage="0" aboveAverage="0" dxfId="2" stopIfTrue="1" text="" percent="0" bottom="0">
      <formula>AND(ISNUMBER(P93),COUNTIFS('Data - Monthly Metrics'!$A:$A,$B$4,'Data - Monthly Metrics'!$B:$B,P$8,'Data - Monthly Metrics'!$C:$C,"Spokane/NE",'Data - Monthly Metrics'!$D:$D,"Goal - Retention %")&gt;0,P93&gt;=SUMIFS('Data - Monthly Metrics'!$E:$E,'Data - Monthly Metrics'!$A:$A,$B$4,'Data - Monthly Metrics'!$B:$B,P$8,'Data - Monthly Metrics'!$C:$C,"Spokane/NE",'Data - Monthly Metrics'!$D:$D,"Goal - Retention %")-0.05)</formula>
    </cfRule>
    <cfRule type="expression" rank="0" priority="81" equalAverage="0" aboveAverage="0" dxfId="1" stopIfTrue="1" text="" percent="0" bottom="0">
      <formula>AND(ISNUMBER(P93),COUNTIFS('Data - Monthly Metrics'!$A:$A,$B$4,'Data - Monthly Metrics'!$B:$B,P$8,'Data - Monthly Metrics'!$C:$C,"Spokane/NE",'Data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Metrics'!$C:$C,"Spokane/NE",'Data - Monthly Metrics'!$D:$D,"Goal - Retention %")&gt;0,B59&gt;=SUMIFS('Data - Monthly Metrics'!$E:$E,'Data - Monthly Metrics'!$A:$A,$B$4-1,'Data - Monthly Metrics'!$B:$B,B$8,'Data - Monthly Metrics'!$C:$C,"Spokane/NE",'Data - Monthly Metrics'!$D:$D,"Goal - Retention %"))</formula>
    </cfRule>
    <cfRule type="expression" rank="0" priority="83" equalAverage="0" aboveAverage="0" dxfId="2" stopIfTrue="1" text="" percent="0" bottom="0">
      <formula>AND(ISNUMBER(B59),COUNTIFS('Data - Monthly Metrics'!$A:$A,$B$4-1,'Data - Monthly Metrics'!$B:$B,B$8,'Data - Monthly Metrics'!$C:$C,"Spokane/NE",'Data - Monthly Metrics'!$D:$D,"Goal - Retention %")&gt;0,B59&gt;=SUMIFS('Data - Monthly Metrics'!$E:$E,'Data - Monthly Metrics'!$A:$A,$B$4-1,'Data - Monthly Metrics'!$B:$B,B$8,'Data - Monthly Metrics'!$C:$C,"Spokane/NE",'Data - Monthly Metrics'!$D:$D,"Goal - Retention %")-0.05)</formula>
    </cfRule>
    <cfRule type="expression" rank="0" priority="84" equalAverage="0" aboveAverage="0" dxfId="1" stopIfTrue="1" text="" percent="0" bottom="0">
      <formula>AND(ISNUMBER(B59),COUNTIFS('Data - Monthly Metrics'!$A:$A,$B$4-1,'Data - Monthly Metrics'!$B:$B,B$8,'Data - Monthly Metrics'!$C:$C,"Spokane/NE",'Data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Metrics'!$C:$C,"Spokane/NE",'Data - Monthly Metrics'!$D:$D,"Goal - Retention %")&gt;0,C59&gt;=SUMIFS('Data - Monthly Metrics'!$E:$E,'Data - Monthly Metrics'!$A:$A,$B$4-1,'Data - Monthly Metrics'!$B:$B,C$8,'Data - Monthly Metrics'!$C:$C,"Spokane/NE",'Data - Monthly Metrics'!$D:$D,"Goal - Retention %"))</formula>
    </cfRule>
    <cfRule type="expression" rank="0" priority="86" equalAverage="0" aboveAverage="0" dxfId="2" stopIfTrue="1" text="" percent="0" bottom="0">
      <formula>AND(ISNUMBER(C59),COUNTIFS('Data - Monthly Metrics'!$A:$A,$B$4-1,'Data - Monthly Metrics'!$B:$B,C$8,'Data - Monthly Metrics'!$C:$C,"Spokane/NE",'Data - Monthly Metrics'!$D:$D,"Goal - Retention %")&gt;0,C59&gt;=SUMIFS('Data - Monthly Metrics'!$E:$E,'Data - Monthly Metrics'!$A:$A,$B$4-1,'Data - Monthly Metrics'!$B:$B,C$8,'Data - Monthly Metrics'!$C:$C,"Spokane/NE",'Data - Monthly Metrics'!$D:$D,"Goal - Retention %")-0.05)</formula>
    </cfRule>
    <cfRule type="expression" rank="0" priority="87" equalAverage="0" aboveAverage="0" dxfId="1" stopIfTrue="1" text="" percent="0" bottom="0">
      <formula>AND(ISNUMBER(C59),COUNTIFS('Data - Monthly Metrics'!$A:$A,$B$4-1,'Data - Monthly Metrics'!$B:$B,C$8,'Data - Monthly Metrics'!$C:$C,"Spokane/NE",'Data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Metrics'!$C:$C,"Spokane/NE",'Data - Monthly Metrics'!$D:$D,"Goal - Retention %")&gt;0,D59&gt;=SUMIFS('Data - Monthly Metrics'!$E:$E,'Data - Monthly Metrics'!$A:$A,$B$4-1,'Data - Monthly Metrics'!$B:$B,D$8,'Data - Monthly Metrics'!$C:$C,"Spokane/NE",'Data - Monthly Metrics'!$D:$D,"Goal - Retention %"))</formula>
    </cfRule>
    <cfRule type="expression" rank="0" priority="89" equalAverage="0" aboveAverage="0" dxfId="2" stopIfTrue="1" text="" percent="0" bottom="0">
      <formula>AND(ISNUMBER(D59),COUNTIFS('Data - Monthly Metrics'!$A:$A,$B$4-1,'Data - Monthly Metrics'!$B:$B,D$8,'Data - Monthly Metrics'!$C:$C,"Spokane/NE",'Data - Monthly Metrics'!$D:$D,"Goal - Retention %")&gt;0,D59&gt;=SUMIFS('Data - Monthly Metrics'!$E:$E,'Data - Monthly Metrics'!$A:$A,$B$4-1,'Data - Monthly Metrics'!$B:$B,D$8,'Data - Monthly Metrics'!$C:$C,"Spokane/NE",'Data - Monthly Metrics'!$D:$D,"Goal - Retention %")-0.05)</formula>
    </cfRule>
    <cfRule type="expression" rank="0" priority="90" equalAverage="0" aboveAverage="0" dxfId="1" stopIfTrue="1" text="" percent="0" bottom="0">
      <formula>AND(ISNUMBER(D59),COUNTIFS('Data - Monthly Metrics'!$A:$A,$B$4-1,'Data - Monthly Metrics'!$B:$B,D$8,'Data - Monthly Metrics'!$C:$C,"Spokane/NE",'Data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Metrics'!$C:$C,"Spokane/NE",'Data - Monthly Metrics'!$D:$D,"Goal - Retention %")&gt;0,F59&gt;=SUMIFS('Data - Monthly Metrics'!$E:$E,'Data - Monthly Metrics'!$A:$A,$B$4,'Data - Monthly Metrics'!$B:$B,F$8,'Data - Monthly Metrics'!$C:$C,"Spokane/NE",'Data - Monthly Metrics'!$D:$D,"Goal - Retention %"))</formula>
    </cfRule>
    <cfRule type="expression" rank="0" priority="92" equalAverage="0" aboveAverage="0" dxfId="2" stopIfTrue="1" text="" percent="0" bottom="0">
      <formula>AND(ISNUMBER(F59),COUNTIFS('Data - Monthly Metrics'!$A:$A,$B$4,'Data - Monthly Metrics'!$B:$B,F$8,'Data - Monthly Metrics'!$C:$C,"Spokane/NE",'Data - Monthly Metrics'!$D:$D,"Goal - Retention %")&gt;0,F59&gt;=SUMIFS('Data - Monthly Metrics'!$E:$E,'Data - Monthly Metrics'!$A:$A,$B$4,'Data - Monthly Metrics'!$B:$B,F$8,'Data - Monthly Metrics'!$C:$C,"Spokane/NE",'Data - Monthly Metrics'!$D:$D,"Goal - Retention %")-0.05)</formula>
    </cfRule>
    <cfRule type="expression" rank="0" priority="93" equalAverage="0" aboveAverage="0" dxfId="1" stopIfTrue="1" text="" percent="0" bottom="0">
      <formula>AND(ISNUMBER(F59),COUNTIFS('Data - Monthly Metrics'!$A:$A,$B$4,'Data - Monthly Metrics'!$B:$B,F$8,'Data - Monthly Metrics'!$C:$C,"Spokane/NE",'Data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Metrics'!$C:$C,"Spokane/NE",'Data - Monthly Metrics'!$D:$D,"Goal - Retention %")&gt;0,G59&gt;=SUMIFS('Data - Monthly Metrics'!$E:$E,'Data - Monthly Metrics'!$A:$A,$B$4,'Data - Monthly Metrics'!$B:$B,G$8,'Data - Monthly Metrics'!$C:$C,"Spokane/NE",'Data - Monthly Metrics'!$D:$D,"Goal - Retention %"))</formula>
    </cfRule>
    <cfRule type="expression" rank="0" priority="95" equalAverage="0" aboveAverage="0" dxfId="2" stopIfTrue="1" text="" percent="0" bottom="0">
      <formula>AND(ISNUMBER(G59),COUNTIFS('Data - Monthly Metrics'!$A:$A,$B$4,'Data - Monthly Metrics'!$B:$B,G$8,'Data - Monthly Metrics'!$C:$C,"Spokane/NE",'Data - Monthly Metrics'!$D:$D,"Goal - Retention %")&gt;0,G59&gt;=SUMIFS('Data - Monthly Metrics'!$E:$E,'Data - Monthly Metrics'!$A:$A,$B$4,'Data - Monthly Metrics'!$B:$B,G$8,'Data - Monthly Metrics'!$C:$C,"Spokane/NE",'Data - Monthly Metrics'!$D:$D,"Goal - Retention %")-0.05)</formula>
    </cfRule>
    <cfRule type="expression" rank="0" priority="96" equalAverage="0" aboveAverage="0" dxfId="1" stopIfTrue="1" text="" percent="0" bottom="0">
      <formula>AND(ISNUMBER(G59),COUNTIFS('Data - Monthly Metrics'!$A:$A,$B$4,'Data - Monthly Metrics'!$B:$B,G$8,'Data - Monthly Metrics'!$C:$C,"Spokane/NE",'Data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Metrics'!$C:$C,"Spokane/NE",'Data - Monthly Metrics'!$D:$D,"Goal - Retention %")&gt;0,H59&gt;=SUMIFS('Data - Monthly Metrics'!$E:$E,'Data - Monthly Metrics'!$A:$A,$B$4,'Data - Monthly Metrics'!$B:$B,H$8,'Data - Monthly Metrics'!$C:$C,"Spokane/NE",'Data - Monthly Metrics'!$D:$D,"Goal - Retention %"))</formula>
    </cfRule>
    <cfRule type="expression" rank="0" priority="98" equalAverage="0" aboveAverage="0" dxfId="2" stopIfTrue="1" text="" percent="0" bottom="0">
      <formula>AND(ISNUMBER(H59),COUNTIFS('Data - Monthly Metrics'!$A:$A,$B$4,'Data - Monthly Metrics'!$B:$B,H$8,'Data - Monthly Metrics'!$C:$C,"Spokane/NE",'Data - Monthly Metrics'!$D:$D,"Goal - Retention %")&gt;0,H59&gt;=SUMIFS('Data - Monthly Metrics'!$E:$E,'Data - Monthly Metrics'!$A:$A,$B$4,'Data - Monthly Metrics'!$B:$B,H$8,'Data - Monthly Metrics'!$C:$C,"Spokane/NE",'Data - Monthly Metrics'!$D:$D,"Goal - Retention %")-0.05)</formula>
    </cfRule>
    <cfRule type="expression" rank="0" priority="99" equalAverage="0" aboveAverage="0" dxfId="1" stopIfTrue="1" text="" percent="0" bottom="0">
      <formula>AND(ISNUMBER(H59),COUNTIFS('Data - Monthly Metrics'!$A:$A,$B$4,'Data - Monthly Metrics'!$B:$B,H$8,'Data - Monthly Metrics'!$C:$C,"Spokane/NE",'Data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Metrics'!$C:$C,"Spokane/NE",'Data - Monthly Metrics'!$D:$D,"Goal - Retention %")&gt;0,J59&gt;=SUMIFS('Data - Monthly Metrics'!$E:$E,'Data - Monthly Metrics'!$A:$A,$B$4,'Data - Monthly Metrics'!$B:$B,J$8,'Data - Monthly Metrics'!$C:$C,"Spokane/NE",'Data - Monthly Metrics'!$D:$D,"Goal - Retention %"))</formula>
    </cfRule>
    <cfRule type="expression" rank="0" priority="101" equalAverage="0" aboveAverage="0" dxfId="2" stopIfTrue="1" text="" percent="0" bottom="0">
      <formula>AND(ISNUMBER(J59),COUNTIFS('Data - Monthly Metrics'!$A:$A,$B$4,'Data - Monthly Metrics'!$B:$B,J$8,'Data - Monthly Metrics'!$C:$C,"Spokane/NE",'Data - Monthly Metrics'!$D:$D,"Goal - Retention %")&gt;0,J59&gt;=SUMIFS('Data - Monthly Metrics'!$E:$E,'Data - Monthly Metrics'!$A:$A,$B$4,'Data - Monthly Metrics'!$B:$B,J$8,'Data - Monthly Metrics'!$C:$C,"Spokane/NE",'Data - Monthly Metrics'!$D:$D,"Goal - Retention %")-0.05)</formula>
    </cfRule>
    <cfRule type="expression" rank="0" priority="102" equalAverage="0" aboveAverage="0" dxfId="1" stopIfTrue="1" text="" percent="0" bottom="0">
      <formula>AND(ISNUMBER(J59),COUNTIFS('Data - Monthly Metrics'!$A:$A,$B$4,'Data - Monthly Metrics'!$B:$B,J$8,'Data - Monthly Metrics'!$C:$C,"Spokane/NE",'Data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Metrics'!$C:$C,"Spokane/NE",'Data - Monthly Metrics'!$D:$D,"Goal - Retention %")&gt;0,K59&gt;=SUMIFS('Data - Monthly Metrics'!$E:$E,'Data - Monthly Metrics'!$A:$A,$B$4,'Data - Monthly Metrics'!$B:$B,K$8,'Data - Monthly Metrics'!$C:$C,"Spokane/NE",'Data - Monthly Metrics'!$D:$D,"Goal - Retention %"))</formula>
    </cfRule>
    <cfRule type="expression" rank="0" priority="104" equalAverage="0" aboveAverage="0" dxfId="2" stopIfTrue="1" text="" percent="0" bottom="0">
      <formula>AND(ISNUMBER(K59),COUNTIFS('Data - Monthly Metrics'!$A:$A,$B$4,'Data - Monthly Metrics'!$B:$B,K$8,'Data - Monthly Metrics'!$C:$C,"Spokane/NE",'Data - Monthly Metrics'!$D:$D,"Goal - Retention %")&gt;0,K59&gt;=SUMIFS('Data - Monthly Metrics'!$E:$E,'Data - Monthly Metrics'!$A:$A,$B$4,'Data - Monthly Metrics'!$B:$B,K$8,'Data - Monthly Metrics'!$C:$C,"Spokane/NE",'Data - Monthly Metrics'!$D:$D,"Goal - Retention %")-0.05)</formula>
    </cfRule>
    <cfRule type="expression" rank="0" priority="105" equalAverage="0" aboveAverage="0" dxfId="1" stopIfTrue="1" text="" percent="0" bottom="0">
      <formula>AND(ISNUMBER(K59),COUNTIFS('Data - Monthly Metrics'!$A:$A,$B$4,'Data - Monthly Metrics'!$B:$B,K$8,'Data - Monthly Metrics'!$C:$C,"Spokane/NE",'Data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Metrics'!$C:$C,"Spokane/NE",'Data - Monthly Metrics'!$D:$D,"Goal - Retention %")&gt;0,L59&gt;=SUMIFS('Data - Monthly Metrics'!$E:$E,'Data - Monthly Metrics'!$A:$A,$B$4,'Data - Monthly Metrics'!$B:$B,L$8,'Data - Monthly Metrics'!$C:$C,"Spokane/NE",'Data - Monthly Metrics'!$D:$D,"Goal - Retention %"))</formula>
    </cfRule>
    <cfRule type="expression" rank="0" priority="107" equalAverage="0" aboveAverage="0" dxfId="2" stopIfTrue="1" text="" percent="0" bottom="0">
      <formula>AND(ISNUMBER(L59),COUNTIFS('Data - Monthly Metrics'!$A:$A,$B$4,'Data - Monthly Metrics'!$B:$B,L$8,'Data - Monthly Metrics'!$C:$C,"Spokane/NE",'Data - Monthly Metrics'!$D:$D,"Goal - Retention %")&gt;0,L59&gt;=SUMIFS('Data - Monthly Metrics'!$E:$E,'Data - Monthly Metrics'!$A:$A,$B$4,'Data - Monthly Metrics'!$B:$B,L$8,'Data - Monthly Metrics'!$C:$C,"Spokane/NE",'Data - Monthly Metrics'!$D:$D,"Goal - Retention %")-0.05)</formula>
    </cfRule>
    <cfRule type="expression" rank="0" priority="108" equalAverage="0" aboveAverage="0" dxfId="1" stopIfTrue="1" text="" percent="0" bottom="0">
      <formula>AND(ISNUMBER(L59),COUNTIFS('Data - Monthly Metrics'!$A:$A,$B$4,'Data - Monthly Metrics'!$B:$B,L$8,'Data - Monthly Metrics'!$C:$C,"Spokane/NE",'Data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Metrics'!$C:$C,"Spokane/NE",'Data - Monthly Metrics'!$D:$D,"Goal - Retention %")&gt;0,N59&gt;=SUMIFS('Data - Monthly Metrics'!$E:$E,'Data - Monthly Metrics'!$A:$A,$B$4,'Data - Monthly Metrics'!$B:$B,N$8,'Data - Monthly Metrics'!$C:$C,"Spokane/NE",'Data - Monthly Metrics'!$D:$D,"Goal - Retention %"))</formula>
    </cfRule>
    <cfRule type="expression" rank="0" priority="110" equalAverage="0" aboveAverage="0" dxfId="2" stopIfTrue="1" text="" percent="0" bottom="0">
      <formula>AND(ISNUMBER(N59),COUNTIFS('Data - Monthly Metrics'!$A:$A,$B$4,'Data - Monthly Metrics'!$B:$B,N$8,'Data - Monthly Metrics'!$C:$C,"Spokane/NE",'Data - Monthly Metrics'!$D:$D,"Goal - Retention %")&gt;0,N59&gt;=SUMIFS('Data - Monthly Metrics'!$E:$E,'Data - Monthly Metrics'!$A:$A,$B$4,'Data - Monthly Metrics'!$B:$B,N$8,'Data - Monthly Metrics'!$C:$C,"Spokane/NE",'Data - Monthly Metrics'!$D:$D,"Goal - Retention %")-0.05)</formula>
    </cfRule>
    <cfRule type="expression" rank="0" priority="111" equalAverage="0" aboveAverage="0" dxfId="1" stopIfTrue="1" text="" percent="0" bottom="0">
      <formula>AND(ISNUMBER(N59),COUNTIFS('Data - Monthly Metrics'!$A:$A,$B$4,'Data - Monthly Metrics'!$B:$B,N$8,'Data - Monthly Metrics'!$C:$C,"Spokane/NE",'Data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Metrics'!$C:$C,"Spokane/NE",'Data - Monthly Metrics'!$D:$D,"Goal - Retention %")&gt;0,O59&gt;=SUMIFS('Data - Monthly Metrics'!$E:$E,'Data - Monthly Metrics'!$A:$A,$B$4,'Data - Monthly Metrics'!$B:$B,O$8,'Data - Monthly Metrics'!$C:$C,"Spokane/NE",'Data - Monthly Metrics'!$D:$D,"Goal - Retention %"))</formula>
    </cfRule>
    <cfRule type="expression" rank="0" priority="113" equalAverage="0" aboveAverage="0" dxfId="2" stopIfTrue="1" text="" percent="0" bottom="0">
      <formula>AND(ISNUMBER(O59),COUNTIFS('Data - Monthly Metrics'!$A:$A,$B$4,'Data - Monthly Metrics'!$B:$B,O$8,'Data - Monthly Metrics'!$C:$C,"Spokane/NE",'Data - Monthly Metrics'!$D:$D,"Goal - Retention %")&gt;0,O59&gt;=SUMIFS('Data - Monthly Metrics'!$E:$E,'Data - Monthly Metrics'!$A:$A,$B$4,'Data - Monthly Metrics'!$B:$B,O$8,'Data - Monthly Metrics'!$C:$C,"Spokane/NE",'Data - Monthly Metrics'!$D:$D,"Goal - Retention %")-0.05)</formula>
    </cfRule>
    <cfRule type="expression" rank="0" priority="114" equalAverage="0" aboveAverage="0" dxfId="1" stopIfTrue="1" text="" percent="0" bottom="0">
      <formula>AND(ISNUMBER(O59),COUNTIFS('Data - Monthly Metrics'!$A:$A,$B$4,'Data - Monthly Metrics'!$B:$B,O$8,'Data - Monthly Metrics'!$C:$C,"Spokane/NE",'Data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Metrics'!$C:$C,"Spokane/NE",'Data - Monthly Metrics'!$D:$D,"Goal - Retention %")&gt;0,P59&gt;=SUMIFS('Data - Monthly Metrics'!$E:$E,'Data - Monthly Metrics'!$A:$A,$B$4,'Data - Monthly Metrics'!$B:$B,P$8,'Data - Monthly Metrics'!$C:$C,"Spokane/NE",'Data - Monthly Metrics'!$D:$D,"Goal - Retention %"))</formula>
    </cfRule>
    <cfRule type="expression" rank="0" priority="116" equalAverage="0" aboveAverage="0" dxfId="2" stopIfTrue="1" text="" percent="0" bottom="0">
      <formula>AND(ISNUMBER(P59),COUNTIFS('Data - Monthly Metrics'!$A:$A,$B$4,'Data - Monthly Metrics'!$B:$B,P$8,'Data - Monthly Metrics'!$C:$C,"Spokane/NE",'Data - Monthly Metrics'!$D:$D,"Goal - Retention %")&gt;0,P59&gt;=SUMIFS('Data - Monthly Metrics'!$E:$E,'Data - Monthly Metrics'!$A:$A,$B$4,'Data - Monthly Metrics'!$B:$B,P$8,'Data - Monthly Metrics'!$C:$C,"Spokane/NE",'Data - Monthly Metrics'!$D:$D,"Goal - Retention %")-0.05)</formula>
    </cfRule>
    <cfRule type="expression" rank="0" priority="117" equalAverage="0" aboveAverage="0" dxfId="1" stopIfTrue="1" text="" percent="0" bottom="0">
      <formula>AND(ISNUMBER(P59),COUNTIFS('Data - Monthly Metrics'!$A:$A,$B$4,'Data - Monthly Metrics'!$B:$B,P$8,'Data - Monthly Metrics'!$C:$C,"Spokane/NE",'Data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Metrics'!$C:$C,"Spokane/NE",'Data - Monthly Metrics'!$D:$D,"Goal - Penetration %")&gt;0,B68&gt;=SUMIFS('Data - Monthly Metrics'!$E:$E,'Data - Monthly Metrics'!$A:$A,$B$4-1,'Data - Monthly Metrics'!$B:$B,B$8,'Data - Monthly Metrics'!$C:$C,"Spokane/NE",'Data - Monthly Metrics'!$D:$D,"Goal - Penetration %"))</formula>
    </cfRule>
    <cfRule type="expression" rank="0" priority="119" equalAverage="0" aboveAverage="0" dxfId="2" stopIfTrue="1" text="" percent="0" bottom="0">
      <formula>AND(ISNUMBER(B68),COUNTIFS('Data - Monthly Metrics'!$A:$A,$B$4-1,'Data - Monthly Metrics'!$B:$B,B$8,'Data - Monthly Metrics'!$C:$C,"Spokane/NE",'Data - Monthly Metrics'!$D:$D,"Goal - Penetration %")&gt;0,B68&gt;=SUMIFS('Data - Monthly Metrics'!$E:$E,'Data - Monthly Metrics'!$A:$A,$B$4-1,'Data - Monthly Metrics'!$B:$B,B$8,'Data - Monthly Metrics'!$C:$C,"Spokane/NE",'Data - Monthly Metrics'!$D:$D,"Goal - Penetration %")-0.05)</formula>
    </cfRule>
    <cfRule type="expression" rank="0" priority="120" equalAverage="0" aboveAverage="0" dxfId="1" stopIfTrue="1" text="" percent="0" bottom="0">
      <formula>AND(ISNUMBER(B68),COUNTIFS('Data - Monthly Metrics'!$A:$A,$B$4-1,'Data - Monthly Metrics'!$B:$B,B$8,'Data - Monthly Metrics'!$C:$C,"Spokane/NE",'Data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Metrics'!$C:$C,"Spokane/NE",'Data - Monthly Metrics'!$D:$D,"Goal - Penetration %")&gt;0,C68&gt;=SUMIFS('Data - Monthly Metrics'!$E:$E,'Data - Monthly Metrics'!$A:$A,$B$4-1,'Data - Monthly Metrics'!$B:$B,C$8,'Data - Monthly Metrics'!$C:$C,"Spokane/NE",'Data - Monthly Metrics'!$D:$D,"Goal - Penetration %"))</formula>
    </cfRule>
    <cfRule type="expression" rank="0" priority="122" equalAverage="0" aboveAverage="0" dxfId="2" stopIfTrue="1" text="" percent="0" bottom="0">
      <formula>AND(ISNUMBER(C68),COUNTIFS('Data - Monthly Metrics'!$A:$A,$B$4-1,'Data - Monthly Metrics'!$B:$B,C$8,'Data - Monthly Metrics'!$C:$C,"Spokane/NE",'Data - Monthly Metrics'!$D:$D,"Goal - Penetration %")&gt;0,C68&gt;=SUMIFS('Data - Monthly Metrics'!$E:$E,'Data - Monthly Metrics'!$A:$A,$B$4-1,'Data - Monthly Metrics'!$B:$B,C$8,'Data - Monthly Metrics'!$C:$C,"Spokane/NE",'Data - Monthly Metrics'!$D:$D,"Goal - Penetration %")-0.05)</formula>
    </cfRule>
    <cfRule type="expression" rank="0" priority="123" equalAverage="0" aboveAverage="0" dxfId="1" stopIfTrue="1" text="" percent="0" bottom="0">
      <formula>AND(ISNUMBER(C68),COUNTIFS('Data - Monthly Metrics'!$A:$A,$B$4-1,'Data - Monthly Metrics'!$B:$B,C$8,'Data - Monthly Metrics'!$C:$C,"Spokane/NE",'Data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Metrics'!$C:$C,"Spokane/NE",'Data - Monthly Metrics'!$D:$D,"Goal - Penetration %")&gt;0,D68&gt;=SUMIFS('Data - Monthly Metrics'!$E:$E,'Data - Monthly Metrics'!$A:$A,$B$4-1,'Data - Monthly Metrics'!$B:$B,D$8,'Data - Monthly Metrics'!$C:$C,"Spokane/NE",'Data - Monthly Metrics'!$D:$D,"Goal - Penetration %"))</formula>
    </cfRule>
    <cfRule type="expression" rank="0" priority="125" equalAverage="0" aboveAverage="0" dxfId="2" stopIfTrue="1" text="" percent="0" bottom="0">
      <formula>AND(ISNUMBER(D68),COUNTIFS('Data - Monthly Metrics'!$A:$A,$B$4-1,'Data - Monthly Metrics'!$B:$B,D$8,'Data - Monthly Metrics'!$C:$C,"Spokane/NE",'Data - Monthly Metrics'!$D:$D,"Goal - Penetration %")&gt;0,D68&gt;=SUMIFS('Data - Monthly Metrics'!$E:$E,'Data - Monthly Metrics'!$A:$A,$B$4-1,'Data - Monthly Metrics'!$B:$B,D$8,'Data - Monthly Metrics'!$C:$C,"Spokane/NE",'Data - Monthly Metrics'!$D:$D,"Goal - Penetration %")-0.05)</formula>
    </cfRule>
    <cfRule type="expression" rank="0" priority="126" equalAverage="0" aboveAverage="0" dxfId="1" stopIfTrue="1" text="" percent="0" bottom="0">
      <formula>AND(ISNUMBER(D68),COUNTIFS('Data - Monthly Metrics'!$A:$A,$B$4-1,'Data - Monthly Metrics'!$B:$B,D$8,'Data - Monthly Metrics'!$C:$C,"Spokane/NE",'Data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Metrics'!$C:$C,"Spokane/NE",'Data - Monthly Metrics'!$D:$D,"Goal - Penetration %")&gt;0,F68&gt;=SUMIFS('Data - Monthly Metrics'!$E:$E,'Data - Monthly Metrics'!$A:$A,$B$4,'Data - Monthly Metrics'!$B:$B,F$8,'Data - Monthly Metrics'!$C:$C,"Spokane/NE",'Data - Monthly Metrics'!$D:$D,"Goal - Penetration %"))</formula>
    </cfRule>
    <cfRule type="expression" rank="0" priority="128" equalAverage="0" aboveAverage="0" dxfId="2" stopIfTrue="1" text="" percent="0" bottom="0">
      <formula>AND(ISNUMBER(F68),COUNTIFS('Data - Monthly Metrics'!$A:$A,$B$4,'Data - Monthly Metrics'!$B:$B,F$8,'Data - Monthly Metrics'!$C:$C,"Spokane/NE",'Data - Monthly Metrics'!$D:$D,"Goal - Penetration %")&gt;0,F68&gt;=SUMIFS('Data - Monthly Metrics'!$E:$E,'Data - Monthly Metrics'!$A:$A,$B$4,'Data - Monthly Metrics'!$B:$B,F$8,'Data - Monthly Metrics'!$C:$C,"Spokane/NE",'Data - Monthly Metrics'!$D:$D,"Goal - Penetration %")-0.05)</formula>
    </cfRule>
    <cfRule type="expression" rank="0" priority="129" equalAverage="0" aboveAverage="0" dxfId="1" stopIfTrue="1" text="" percent="0" bottom="0">
      <formula>AND(ISNUMBER(F68),COUNTIFS('Data - Monthly Metrics'!$A:$A,$B$4,'Data - Monthly Metrics'!$B:$B,F$8,'Data - Monthly Metrics'!$C:$C,"Spokane/NE",'Data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Metrics'!$C:$C,"Spokane/NE",'Data - Monthly Metrics'!$D:$D,"Goal - Penetration %")&gt;0,G68&gt;=SUMIFS('Data - Monthly Metrics'!$E:$E,'Data - Monthly Metrics'!$A:$A,$B$4,'Data - Monthly Metrics'!$B:$B,G$8,'Data - Monthly Metrics'!$C:$C,"Spokane/NE",'Data - Monthly Metrics'!$D:$D,"Goal - Penetration %"))</formula>
    </cfRule>
    <cfRule type="expression" rank="0" priority="131" equalAverage="0" aboveAverage="0" dxfId="2" stopIfTrue="1" text="" percent="0" bottom="0">
      <formula>AND(ISNUMBER(G68),COUNTIFS('Data - Monthly Metrics'!$A:$A,$B$4,'Data - Monthly Metrics'!$B:$B,G$8,'Data - Monthly Metrics'!$C:$C,"Spokane/NE",'Data - Monthly Metrics'!$D:$D,"Goal - Penetration %")&gt;0,G68&gt;=SUMIFS('Data - Monthly Metrics'!$E:$E,'Data - Monthly Metrics'!$A:$A,$B$4,'Data - Monthly Metrics'!$B:$B,G$8,'Data - Monthly Metrics'!$C:$C,"Spokane/NE",'Data - Monthly Metrics'!$D:$D,"Goal - Penetration %")-0.05)</formula>
    </cfRule>
    <cfRule type="expression" rank="0" priority="132" equalAverage="0" aboveAverage="0" dxfId="1" stopIfTrue="1" text="" percent="0" bottom="0">
      <formula>AND(ISNUMBER(G68),COUNTIFS('Data - Monthly Metrics'!$A:$A,$B$4,'Data - Monthly Metrics'!$B:$B,G$8,'Data - Monthly Metrics'!$C:$C,"Spokane/NE",'Data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Metrics'!$C:$C,"Spokane/NE",'Data - Monthly Metrics'!$D:$D,"Goal - Penetration %")&gt;0,H68&gt;=SUMIFS('Data - Monthly Metrics'!$E:$E,'Data - Monthly Metrics'!$A:$A,$B$4,'Data - Monthly Metrics'!$B:$B,H$8,'Data - Monthly Metrics'!$C:$C,"Spokane/NE",'Data - Monthly Metrics'!$D:$D,"Goal - Penetration %"))</formula>
    </cfRule>
    <cfRule type="expression" rank="0" priority="134" equalAverage="0" aboveAverage="0" dxfId="2" stopIfTrue="1" text="" percent="0" bottom="0">
      <formula>AND(ISNUMBER(H68),COUNTIFS('Data - Monthly Metrics'!$A:$A,$B$4,'Data - Monthly Metrics'!$B:$B,H$8,'Data - Monthly Metrics'!$C:$C,"Spokane/NE",'Data - Monthly Metrics'!$D:$D,"Goal - Penetration %")&gt;0,H68&gt;=SUMIFS('Data - Monthly Metrics'!$E:$E,'Data - Monthly Metrics'!$A:$A,$B$4,'Data - Monthly Metrics'!$B:$B,H$8,'Data - Monthly Metrics'!$C:$C,"Spokane/NE",'Data - Monthly Metrics'!$D:$D,"Goal - Penetration %")-0.05)</formula>
    </cfRule>
    <cfRule type="expression" rank="0" priority="135" equalAverage="0" aboveAverage="0" dxfId="1" stopIfTrue="1" text="" percent="0" bottom="0">
      <formula>AND(ISNUMBER(H68),COUNTIFS('Data - Monthly Metrics'!$A:$A,$B$4,'Data - Monthly Metrics'!$B:$B,H$8,'Data - Monthly Metrics'!$C:$C,"Spokane/NE",'Data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Metrics'!$C:$C,"Spokane/NE",'Data - Monthly Metrics'!$D:$D,"Goal - Penetration %")&gt;0,J68&gt;=SUMIFS('Data - Monthly Metrics'!$E:$E,'Data - Monthly Metrics'!$A:$A,$B$4,'Data - Monthly Metrics'!$B:$B,J$8,'Data - Monthly Metrics'!$C:$C,"Spokane/NE",'Data - Monthly Metrics'!$D:$D,"Goal - Penetration %"))</formula>
    </cfRule>
    <cfRule type="expression" rank="0" priority="137" equalAverage="0" aboveAverage="0" dxfId="2" stopIfTrue="1" text="" percent="0" bottom="0">
      <formula>AND(ISNUMBER(J68),COUNTIFS('Data - Monthly Metrics'!$A:$A,$B$4,'Data - Monthly Metrics'!$B:$B,J$8,'Data - Monthly Metrics'!$C:$C,"Spokane/NE",'Data - Monthly Metrics'!$D:$D,"Goal - Penetration %")&gt;0,J68&gt;=SUMIFS('Data - Monthly Metrics'!$E:$E,'Data - Monthly Metrics'!$A:$A,$B$4,'Data - Monthly Metrics'!$B:$B,J$8,'Data - Monthly Metrics'!$C:$C,"Spokane/NE",'Data - Monthly Metrics'!$D:$D,"Goal - Penetration %")-0.05)</formula>
    </cfRule>
    <cfRule type="expression" rank="0" priority="138" equalAverage="0" aboveAverage="0" dxfId="1" stopIfTrue="1" text="" percent="0" bottom="0">
      <formula>AND(ISNUMBER(J68),COUNTIFS('Data - Monthly Metrics'!$A:$A,$B$4,'Data - Monthly Metrics'!$B:$B,J$8,'Data - Monthly Metrics'!$C:$C,"Spokane/NE",'Data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Metrics'!$C:$C,"Spokane/NE",'Data - Monthly Metrics'!$D:$D,"Goal - Penetration %")&gt;0,K68&gt;=SUMIFS('Data - Monthly Metrics'!$E:$E,'Data - Monthly Metrics'!$A:$A,$B$4,'Data - Monthly Metrics'!$B:$B,K$8,'Data - Monthly Metrics'!$C:$C,"Spokane/NE",'Data - Monthly Metrics'!$D:$D,"Goal - Penetration %"))</formula>
    </cfRule>
    <cfRule type="expression" rank="0" priority="140" equalAverage="0" aboveAverage="0" dxfId="2" stopIfTrue="1" text="" percent="0" bottom="0">
      <formula>AND(ISNUMBER(K68),COUNTIFS('Data - Monthly Metrics'!$A:$A,$B$4,'Data - Monthly Metrics'!$B:$B,K$8,'Data - Monthly Metrics'!$C:$C,"Spokane/NE",'Data - Monthly Metrics'!$D:$D,"Goal - Penetration %")&gt;0,K68&gt;=SUMIFS('Data - Monthly Metrics'!$E:$E,'Data - Monthly Metrics'!$A:$A,$B$4,'Data - Monthly Metrics'!$B:$B,K$8,'Data - Monthly Metrics'!$C:$C,"Spokane/NE",'Data - Monthly Metrics'!$D:$D,"Goal - Penetration %")-0.05)</formula>
    </cfRule>
    <cfRule type="expression" rank="0" priority="141" equalAverage="0" aboveAverage="0" dxfId="1" stopIfTrue="1" text="" percent="0" bottom="0">
      <formula>AND(ISNUMBER(K68),COUNTIFS('Data - Monthly Metrics'!$A:$A,$B$4,'Data - Monthly Metrics'!$B:$B,K$8,'Data - Monthly Metrics'!$C:$C,"Spokane/NE",'Data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Metrics'!$C:$C,"Spokane/NE",'Data - Monthly Metrics'!$D:$D,"Goal - Penetration %")&gt;0,L68&gt;=SUMIFS('Data - Monthly Metrics'!$E:$E,'Data - Monthly Metrics'!$A:$A,$B$4,'Data - Monthly Metrics'!$B:$B,L$8,'Data - Monthly Metrics'!$C:$C,"Spokane/NE",'Data - Monthly Metrics'!$D:$D,"Goal - Penetration %"))</formula>
    </cfRule>
    <cfRule type="expression" rank="0" priority="143" equalAverage="0" aboveAverage="0" dxfId="2" stopIfTrue="1" text="" percent="0" bottom="0">
      <formula>AND(ISNUMBER(L68),COUNTIFS('Data - Monthly Metrics'!$A:$A,$B$4,'Data - Monthly Metrics'!$B:$B,L$8,'Data - Monthly Metrics'!$C:$C,"Spokane/NE",'Data - Monthly Metrics'!$D:$D,"Goal - Penetration %")&gt;0,L68&gt;=SUMIFS('Data - Monthly Metrics'!$E:$E,'Data - Monthly Metrics'!$A:$A,$B$4,'Data - Monthly Metrics'!$B:$B,L$8,'Data - Monthly Metrics'!$C:$C,"Spokane/NE",'Data - Monthly Metrics'!$D:$D,"Goal - Penetration %")-0.05)</formula>
    </cfRule>
    <cfRule type="expression" rank="0" priority="144" equalAverage="0" aboveAverage="0" dxfId="1" stopIfTrue="1" text="" percent="0" bottom="0">
      <formula>AND(ISNUMBER(L68),COUNTIFS('Data - Monthly Metrics'!$A:$A,$B$4,'Data - Monthly Metrics'!$B:$B,L$8,'Data - Monthly Metrics'!$C:$C,"Spokane/NE",'Data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Metrics'!$C:$C,"Spokane/NE",'Data - Monthly Metrics'!$D:$D,"Goal - Penetration %")&gt;0,N68&gt;=SUMIFS('Data - Monthly Metrics'!$E:$E,'Data - Monthly Metrics'!$A:$A,$B$4,'Data - Monthly Metrics'!$B:$B,N$8,'Data - Monthly Metrics'!$C:$C,"Spokane/NE",'Data - Monthly Metrics'!$D:$D,"Goal - Penetration %"))</formula>
    </cfRule>
    <cfRule type="expression" rank="0" priority="146" equalAverage="0" aboveAverage="0" dxfId="2" stopIfTrue="1" text="" percent="0" bottom="0">
      <formula>AND(ISNUMBER(N68),COUNTIFS('Data - Monthly Metrics'!$A:$A,$B$4,'Data - Monthly Metrics'!$B:$B,N$8,'Data - Monthly Metrics'!$C:$C,"Spokane/NE",'Data - Monthly Metrics'!$D:$D,"Goal - Penetration %")&gt;0,N68&gt;=SUMIFS('Data - Monthly Metrics'!$E:$E,'Data - Monthly Metrics'!$A:$A,$B$4,'Data - Monthly Metrics'!$B:$B,N$8,'Data - Monthly Metrics'!$C:$C,"Spokane/NE",'Data - Monthly Metrics'!$D:$D,"Goal - Penetration %")-0.05)</formula>
    </cfRule>
    <cfRule type="expression" rank="0" priority="147" equalAverage="0" aboveAverage="0" dxfId="1" stopIfTrue="1" text="" percent="0" bottom="0">
      <formula>AND(ISNUMBER(N68),COUNTIFS('Data - Monthly Metrics'!$A:$A,$B$4,'Data - Monthly Metrics'!$B:$B,N$8,'Data - Monthly Metrics'!$C:$C,"Spokane/NE",'Data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Metrics'!$C:$C,"Spokane/NE",'Data - Monthly Metrics'!$D:$D,"Goal - Penetration %")&gt;0,O68&gt;=SUMIFS('Data - Monthly Metrics'!$E:$E,'Data - Monthly Metrics'!$A:$A,$B$4,'Data - Monthly Metrics'!$B:$B,O$8,'Data - Monthly Metrics'!$C:$C,"Spokane/NE",'Data - Monthly Metrics'!$D:$D,"Goal - Penetration %"))</formula>
    </cfRule>
    <cfRule type="expression" rank="0" priority="149" equalAverage="0" aboveAverage="0" dxfId="2" stopIfTrue="1" text="" percent="0" bottom="0">
      <formula>AND(ISNUMBER(O68),COUNTIFS('Data - Monthly Metrics'!$A:$A,$B$4,'Data - Monthly Metrics'!$B:$B,O$8,'Data - Monthly Metrics'!$C:$C,"Spokane/NE",'Data - Monthly Metrics'!$D:$D,"Goal - Penetration %")&gt;0,O68&gt;=SUMIFS('Data - Monthly Metrics'!$E:$E,'Data - Monthly Metrics'!$A:$A,$B$4,'Data - Monthly Metrics'!$B:$B,O$8,'Data - Monthly Metrics'!$C:$C,"Spokane/NE",'Data - Monthly Metrics'!$D:$D,"Goal - Penetration %")-0.05)</formula>
    </cfRule>
    <cfRule type="expression" rank="0" priority="150" equalAverage="0" aboveAverage="0" dxfId="1" stopIfTrue="1" text="" percent="0" bottom="0">
      <formula>AND(ISNUMBER(O68),COUNTIFS('Data - Monthly Metrics'!$A:$A,$B$4,'Data - Monthly Metrics'!$B:$B,O$8,'Data - Monthly Metrics'!$C:$C,"Spokane/NE",'Data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Metrics'!$C:$C,"Spokane/NE",'Data - Monthly Metrics'!$D:$D,"Goal - Penetration %")&gt;0,P68&gt;=SUMIFS('Data - Monthly Metrics'!$E:$E,'Data - Monthly Metrics'!$A:$A,$B$4,'Data - Monthly Metrics'!$B:$B,P$8,'Data - Monthly Metrics'!$C:$C,"Spokane/NE",'Data - Monthly Metrics'!$D:$D,"Goal - Penetration %"))</formula>
    </cfRule>
    <cfRule type="expression" rank="0" priority="152" equalAverage="0" aboveAverage="0" dxfId="2" stopIfTrue="1" text="" percent="0" bottom="0">
      <formula>AND(ISNUMBER(P68),COUNTIFS('Data - Monthly Metrics'!$A:$A,$B$4,'Data - Monthly Metrics'!$B:$B,P$8,'Data - Monthly Metrics'!$C:$C,"Spokane/NE",'Data - Monthly Metrics'!$D:$D,"Goal - Penetration %")&gt;0,P68&gt;=SUMIFS('Data - Monthly Metrics'!$E:$E,'Data - Monthly Metrics'!$A:$A,$B$4,'Data - Monthly Metrics'!$B:$B,P$8,'Data - Monthly Metrics'!$C:$C,"Spokane/NE",'Data - Monthly Metrics'!$D:$D,"Goal - Penetration %")-0.05)</formula>
    </cfRule>
    <cfRule type="expression" rank="0" priority="153" equalAverage="0" aboveAverage="0" dxfId="1" stopIfTrue="1" text="" percent="0" bottom="0">
      <formula>AND(ISNUMBER(P68),COUNTIFS('Data - Monthly Metrics'!$A:$A,$B$4,'Data - Monthly Metrics'!$B:$B,P$8,'Data - Monthly Metrics'!$C:$C,"Spokane/NE",'Data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Metrics'!$C:$C,"Spokane/NE",'Data - Monthly Metrics'!$D:$D,"Goal - Penetration %")&gt;0,B69&gt;=SUMIFS('Data - Monthly Metrics'!$E:$E,'Data - Monthly Metrics'!$A:$A,$B$4-1,'Data - Monthly Metrics'!$B:$B,B$8,'Data - Monthly Metrics'!$C:$C,"Spokane/NE",'Data - Monthly Metrics'!$D:$D,"Goal - Penetration %"))</formula>
    </cfRule>
    <cfRule type="expression" rank="0" priority="155" equalAverage="0" aboveAverage="0" dxfId="2" stopIfTrue="1" text="" percent="0" bottom="0">
      <formula>AND(ISNUMBER(B69),COUNTIFS('Data - Monthly Metrics'!$A:$A,$B$4-1,'Data - Monthly Metrics'!$B:$B,B$8,'Data - Monthly Metrics'!$C:$C,"Spokane/NE",'Data - Monthly Metrics'!$D:$D,"Goal - Penetration %")&gt;0,B69&gt;=SUMIFS('Data - Monthly Metrics'!$E:$E,'Data - Monthly Metrics'!$A:$A,$B$4-1,'Data - Monthly Metrics'!$B:$B,B$8,'Data - Monthly Metrics'!$C:$C,"Spokane/NE",'Data - Monthly Metrics'!$D:$D,"Goal - Penetration %")-0.05)</formula>
    </cfRule>
    <cfRule type="expression" rank="0" priority="156" equalAverage="0" aboveAverage="0" dxfId="1" stopIfTrue="1" text="" percent="0" bottom="0">
      <formula>AND(ISNUMBER(B69),COUNTIFS('Data - Monthly Metrics'!$A:$A,$B$4-1,'Data - Monthly Metrics'!$B:$B,B$8,'Data - Monthly Metrics'!$C:$C,"Spokane/NE",'Data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Metrics'!$C:$C,"Spokane/NE",'Data - Monthly Metrics'!$D:$D,"Goal - Penetration %")&gt;0,C69&gt;=SUMIFS('Data - Monthly Metrics'!$E:$E,'Data - Monthly Metrics'!$A:$A,$B$4-1,'Data - Monthly Metrics'!$B:$B,C$8,'Data - Monthly Metrics'!$C:$C,"Spokane/NE",'Data - Monthly Metrics'!$D:$D,"Goal - Penetration %"))</formula>
    </cfRule>
    <cfRule type="expression" rank="0" priority="158" equalAverage="0" aboveAverage="0" dxfId="2" stopIfTrue="1" text="" percent="0" bottom="0">
      <formula>AND(ISNUMBER(C69),COUNTIFS('Data - Monthly Metrics'!$A:$A,$B$4-1,'Data - Monthly Metrics'!$B:$B,C$8,'Data - Monthly Metrics'!$C:$C,"Spokane/NE",'Data - Monthly Metrics'!$D:$D,"Goal - Penetration %")&gt;0,C69&gt;=SUMIFS('Data - Monthly Metrics'!$E:$E,'Data - Monthly Metrics'!$A:$A,$B$4-1,'Data - Monthly Metrics'!$B:$B,C$8,'Data - Monthly Metrics'!$C:$C,"Spokane/NE",'Data - Monthly Metrics'!$D:$D,"Goal - Penetration %")-0.05)</formula>
    </cfRule>
    <cfRule type="expression" rank="0" priority="159" equalAverage="0" aboveAverage="0" dxfId="1" stopIfTrue="1" text="" percent="0" bottom="0">
      <formula>AND(ISNUMBER(C69),COUNTIFS('Data - Monthly Metrics'!$A:$A,$B$4-1,'Data - Monthly Metrics'!$B:$B,C$8,'Data - Monthly Metrics'!$C:$C,"Spokane/NE",'Data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Metrics'!$C:$C,"Spokane/NE",'Data - Monthly Metrics'!$D:$D,"Goal - Penetration %")&gt;0,D69&gt;=SUMIFS('Data - Monthly Metrics'!$E:$E,'Data - Monthly Metrics'!$A:$A,$B$4-1,'Data - Monthly Metrics'!$B:$B,D$8,'Data - Monthly Metrics'!$C:$C,"Spokane/NE",'Data - Monthly Metrics'!$D:$D,"Goal - Penetration %"))</formula>
    </cfRule>
    <cfRule type="expression" rank="0" priority="161" equalAverage="0" aboveAverage="0" dxfId="2" stopIfTrue="1" text="" percent="0" bottom="0">
      <formula>AND(ISNUMBER(D69),COUNTIFS('Data - Monthly Metrics'!$A:$A,$B$4-1,'Data - Monthly Metrics'!$B:$B,D$8,'Data - Monthly Metrics'!$C:$C,"Spokane/NE",'Data - Monthly Metrics'!$D:$D,"Goal - Penetration %")&gt;0,D69&gt;=SUMIFS('Data - Monthly Metrics'!$E:$E,'Data - Monthly Metrics'!$A:$A,$B$4-1,'Data - Monthly Metrics'!$B:$B,D$8,'Data - Monthly Metrics'!$C:$C,"Spokane/NE",'Data - Monthly Metrics'!$D:$D,"Goal - Penetration %")-0.05)</formula>
    </cfRule>
    <cfRule type="expression" rank="0" priority="162" equalAverage="0" aboveAverage="0" dxfId="1" stopIfTrue="1" text="" percent="0" bottom="0">
      <formula>AND(ISNUMBER(D69),COUNTIFS('Data - Monthly Metrics'!$A:$A,$B$4-1,'Data - Monthly Metrics'!$B:$B,D$8,'Data - Monthly Metrics'!$C:$C,"Spokane/NE",'Data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Metrics'!$C:$C,"Spokane/NE",'Data - Monthly Metrics'!$D:$D,"Goal - Penetration %")&gt;0,F69&gt;=SUMIFS('Data - Monthly Metrics'!$E:$E,'Data - Monthly Metrics'!$A:$A,$B$4,'Data - Monthly Metrics'!$B:$B,F$8,'Data - Monthly Metrics'!$C:$C,"Spokane/NE",'Data - Monthly Metrics'!$D:$D,"Goal - Penetration %"))</formula>
    </cfRule>
    <cfRule type="expression" rank="0" priority="164" equalAverage="0" aboveAverage="0" dxfId="2" stopIfTrue="1" text="" percent="0" bottom="0">
      <formula>AND(ISNUMBER(F69),COUNTIFS('Data - Monthly Metrics'!$A:$A,$B$4,'Data - Monthly Metrics'!$B:$B,F$8,'Data - Monthly Metrics'!$C:$C,"Spokane/NE",'Data - Monthly Metrics'!$D:$D,"Goal - Penetration %")&gt;0,F69&gt;=SUMIFS('Data - Monthly Metrics'!$E:$E,'Data - Monthly Metrics'!$A:$A,$B$4,'Data - Monthly Metrics'!$B:$B,F$8,'Data - Monthly Metrics'!$C:$C,"Spokane/NE",'Data - Monthly Metrics'!$D:$D,"Goal - Penetration %")-0.05)</formula>
    </cfRule>
    <cfRule type="expression" rank="0" priority="165" equalAverage="0" aboveAverage="0" dxfId="1" stopIfTrue="1" text="" percent="0" bottom="0">
      <formula>AND(ISNUMBER(F69),COUNTIFS('Data - Monthly Metrics'!$A:$A,$B$4,'Data - Monthly Metrics'!$B:$B,F$8,'Data - Monthly Metrics'!$C:$C,"Spokane/NE",'Data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Metrics'!$C:$C,"Spokane/NE",'Data - Monthly Metrics'!$D:$D,"Goal - Penetration %")&gt;0,G69&gt;=SUMIFS('Data - Monthly Metrics'!$E:$E,'Data - Monthly Metrics'!$A:$A,$B$4,'Data - Monthly Metrics'!$B:$B,G$8,'Data - Monthly Metrics'!$C:$C,"Spokane/NE",'Data - Monthly Metrics'!$D:$D,"Goal - Penetration %"))</formula>
    </cfRule>
    <cfRule type="expression" rank="0" priority="167" equalAverage="0" aboveAverage="0" dxfId="2" stopIfTrue="1" text="" percent="0" bottom="0">
      <formula>AND(ISNUMBER(G69),COUNTIFS('Data - Monthly Metrics'!$A:$A,$B$4,'Data - Monthly Metrics'!$B:$B,G$8,'Data - Monthly Metrics'!$C:$C,"Spokane/NE",'Data - Monthly Metrics'!$D:$D,"Goal - Penetration %")&gt;0,G69&gt;=SUMIFS('Data - Monthly Metrics'!$E:$E,'Data - Monthly Metrics'!$A:$A,$B$4,'Data - Monthly Metrics'!$B:$B,G$8,'Data - Monthly Metrics'!$C:$C,"Spokane/NE",'Data - Monthly Metrics'!$D:$D,"Goal - Penetration %")-0.05)</formula>
    </cfRule>
    <cfRule type="expression" rank="0" priority="168" equalAverage="0" aboveAverage="0" dxfId="1" stopIfTrue="1" text="" percent="0" bottom="0">
      <formula>AND(ISNUMBER(G69),COUNTIFS('Data - Monthly Metrics'!$A:$A,$B$4,'Data - Monthly Metrics'!$B:$B,G$8,'Data - Monthly Metrics'!$C:$C,"Spokane/NE",'Data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Metrics'!$C:$C,"Spokane/NE",'Data - Monthly Metrics'!$D:$D,"Goal - Penetration %")&gt;0,H69&gt;=SUMIFS('Data - Monthly Metrics'!$E:$E,'Data - Monthly Metrics'!$A:$A,$B$4,'Data - Monthly Metrics'!$B:$B,H$8,'Data - Monthly Metrics'!$C:$C,"Spokane/NE",'Data - Monthly Metrics'!$D:$D,"Goal - Penetration %"))</formula>
    </cfRule>
    <cfRule type="expression" rank="0" priority="170" equalAverage="0" aboveAverage="0" dxfId="2" stopIfTrue="1" text="" percent="0" bottom="0">
      <formula>AND(ISNUMBER(H69),COUNTIFS('Data - Monthly Metrics'!$A:$A,$B$4,'Data - Monthly Metrics'!$B:$B,H$8,'Data - Monthly Metrics'!$C:$C,"Spokane/NE",'Data - Monthly Metrics'!$D:$D,"Goal - Penetration %")&gt;0,H69&gt;=SUMIFS('Data - Monthly Metrics'!$E:$E,'Data - Monthly Metrics'!$A:$A,$B$4,'Data - Monthly Metrics'!$B:$B,H$8,'Data - Monthly Metrics'!$C:$C,"Spokane/NE",'Data - Monthly Metrics'!$D:$D,"Goal - Penetration %")-0.05)</formula>
    </cfRule>
    <cfRule type="expression" rank="0" priority="171" equalAverage="0" aboveAverage="0" dxfId="1" stopIfTrue="1" text="" percent="0" bottom="0">
      <formula>AND(ISNUMBER(H69),COUNTIFS('Data - Monthly Metrics'!$A:$A,$B$4,'Data - Monthly Metrics'!$B:$B,H$8,'Data - Monthly Metrics'!$C:$C,"Spokane/NE",'Data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Metrics'!$C:$C,"Spokane/NE",'Data - Monthly Metrics'!$D:$D,"Goal - Penetration %")&gt;0,J69&gt;=SUMIFS('Data - Monthly Metrics'!$E:$E,'Data - Monthly Metrics'!$A:$A,$B$4,'Data - Monthly Metrics'!$B:$B,J$8,'Data - Monthly Metrics'!$C:$C,"Spokane/NE",'Data - Monthly Metrics'!$D:$D,"Goal - Penetration %"))</formula>
    </cfRule>
    <cfRule type="expression" rank="0" priority="173" equalAverage="0" aboveAverage="0" dxfId="2" stopIfTrue="1" text="" percent="0" bottom="0">
      <formula>AND(ISNUMBER(J69),COUNTIFS('Data - Monthly Metrics'!$A:$A,$B$4,'Data - Monthly Metrics'!$B:$B,J$8,'Data - Monthly Metrics'!$C:$C,"Spokane/NE",'Data - Monthly Metrics'!$D:$D,"Goal - Penetration %")&gt;0,J69&gt;=SUMIFS('Data - Monthly Metrics'!$E:$E,'Data - Monthly Metrics'!$A:$A,$B$4,'Data - Monthly Metrics'!$B:$B,J$8,'Data - Monthly Metrics'!$C:$C,"Spokane/NE",'Data - Monthly Metrics'!$D:$D,"Goal - Penetration %")-0.05)</formula>
    </cfRule>
    <cfRule type="expression" rank="0" priority="174" equalAverage="0" aboveAverage="0" dxfId="1" stopIfTrue="1" text="" percent="0" bottom="0">
      <formula>AND(ISNUMBER(J69),COUNTIFS('Data - Monthly Metrics'!$A:$A,$B$4,'Data - Monthly Metrics'!$B:$B,J$8,'Data - Monthly Metrics'!$C:$C,"Spokane/NE",'Data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Metrics'!$C:$C,"Spokane/NE",'Data - Monthly Metrics'!$D:$D,"Goal - Penetration %")&gt;0,K69&gt;=SUMIFS('Data - Monthly Metrics'!$E:$E,'Data - Monthly Metrics'!$A:$A,$B$4,'Data - Monthly Metrics'!$B:$B,K$8,'Data - Monthly Metrics'!$C:$C,"Spokane/NE",'Data - Monthly Metrics'!$D:$D,"Goal - Penetration %"))</formula>
    </cfRule>
    <cfRule type="expression" rank="0" priority="176" equalAverage="0" aboveAverage="0" dxfId="2" stopIfTrue="1" text="" percent="0" bottom="0">
      <formula>AND(ISNUMBER(K69),COUNTIFS('Data - Monthly Metrics'!$A:$A,$B$4,'Data - Monthly Metrics'!$B:$B,K$8,'Data - Monthly Metrics'!$C:$C,"Spokane/NE",'Data - Monthly Metrics'!$D:$D,"Goal - Penetration %")&gt;0,K69&gt;=SUMIFS('Data - Monthly Metrics'!$E:$E,'Data - Monthly Metrics'!$A:$A,$B$4,'Data - Monthly Metrics'!$B:$B,K$8,'Data - Monthly Metrics'!$C:$C,"Spokane/NE",'Data - Monthly Metrics'!$D:$D,"Goal - Penetration %")-0.05)</formula>
    </cfRule>
    <cfRule type="expression" rank="0" priority="177" equalAverage="0" aboveAverage="0" dxfId="1" stopIfTrue="1" text="" percent="0" bottom="0">
      <formula>AND(ISNUMBER(K69),COUNTIFS('Data - Monthly Metrics'!$A:$A,$B$4,'Data - Monthly Metrics'!$B:$B,K$8,'Data - Monthly Metrics'!$C:$C,"Spokane/NE",'Data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Metrics'!$C:$C,"Spokane/NE",'Data - Monthly Metrics'!$D:$D,"Goal - Penetration %")&gt;0,L69&gt;=SUMIFS('Data - Monthly Metrics'!$E:$E,'Data - Monthly Metrics'!$A:$A,$B$4,'Data - Monthly Metrics'!$B:$B,L$8,'Data - Monthly Metrics'!$C:$C,"Spokane/NE",'Data - Monthly Metrics'!$D:$D,"Goal - Penetration %"))</formula>
    </cfRule>
    <cfRule type="expression" rank="0" priority="179" equalAverage="0" aboveAverage="0" dxfId="2" stopIfTrue="1" text="" percent="0" bottom="0">
      <formula>AND(ISNUMBER(L69),COUNTIFS('Data - Monthly Metrics'!$A:$A,$B$4,'Data - Monthly Metrics'!$B:$B,L$8,'Data - Monthly Metrics'!$C:$C,"Spokane/NE",'Data - Monthly Metrics'!$D:$D,"Goal - Penetration %")&gt;0,L69&gt;=SUMIFS('Data - Monthly Metrics'!$E:$E,'Data - Monthly Metrics'!$A:$A,$B$4,'Data - Monthly Metrics'!$B:$B,L$8,'Data - Monthly Metrics'!$C:$C,"Spokane/NE",'Data - Monthly Metrics'!$D:$D,"Goal - Penetration %")-0.05)</formula>
    </cfRule>
    <cfRule type="expression" rank="0" priority="180" equalAverage="0" aboveAverage="0" dxfId="1" stopIfTrue="1" text="" percent="0" bottom="0">
      <formula>AND(ISNUMBER(L69),COUNTIFS('Data - Monthly Metrics'!$A:$A,$B$4,'Data - Monthly Metrics'!$B:$B,L$8,'Data - Monthly Metrics'!$C:$C,"Spokane/NE",'Data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Metrics'!$C:$C,"Spokane/NE",'Data - Monthly Metrics'!$D:$D,"Goal - Penetration %")&gt;0,N69&gt;=SUMIFS('Data - Monthly Metrics'!$E:$E,'Data - Monthly Metrics'!$A:$A,$B$4,'Data - Monthly Metrics'!$B:$B,N$8,'Data - Monthly Metrics'!$C:$C,"Spokane/NE",'Data - Monthly Metrics'!$D:$D,"Goal - Penetration %"))</formula>
    </cfRule>
    <cfRule type="expression" rank="0" priority="182" equalAverage="0" aboveAverage="0" dxfId="2" stopIfTrue="1" text="" percent="0" bottom="0">
      <formula>AND(ISNUMBER(N69),COUNTIFS('Data - Monthly Metrics'!$A:$A,$B$4,'Data - Monthly Metrics'!$B:$B,N$8,'Data - Monthly Metrics'!$C:$C,"Spokane/NE",'Data - Monthly Metrics'!$D:$D,"Goal - Penetration %")&gt;0,N69&gt;=SUMIFS('Data - Monthly Metrics'!$E:$E,'Data - Monthly Metrics'!$A:$A,$B$4,'Data - Monthly Metrics'!$B:$B,N$8,'Data - Monthly Metrics'!$C:$C,"Spokane/NE",'Data - Monthly Metrics'!$D:$D,"Goal - Penetration %")-0.05)</formula>
    </cfRule>
    <cfRule type="expression" rank="0" priority="183" equalAverage="0" aboveAverage="0" dxfId="1" stopIfTrue="1" text="" percent="0" bottom="0">
      <formula>AND(ISNUMBER(N69),COUNTIFS('Data - Monthly Metrics'!$A:$A,$B$4,'Data - Monthly Metrics'!$B:$B,N$8,'Data - Monthly Metrics'!$C:$C,"Spokane/NE",'Data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Metrics'!$C:$C,"Spokane/NE",'Data - Monthly Metrics'!$D:$D,"Goal - Penetration %")&gt;0,O69&gt;=SUMIFS('Data - Monthly Metrics'!$E:$E,'Data - Monthly Metrics'!$A:$A,$B$4,'Data - Monthly Metrics'!$B:$B,O$8,'Data - Monthly Metrics'!$C:$C,"Spokane/NE",'Data - Monthly Metrics'!$D:$D,"Goal - Penetration %"))</formula>
    </cfRule>
    <cfRule type="expression" rank="0" priority="185" equalAverage="0" aboveAverage="0" dxfId="2" stopIfTrue="1" text="" percent="0" bottom="0">
      <formula>AND(ISNUMBER(O69),COUNTIFS('Data - Monthly Metrics'!$A:$A,$B$4,'Data - Monthly Metrics'!$B:$B,O$8,'Data - Monthly Metrics'!$C:$C,"Spokane/NE",'Data - Monthly Metrics'!$D:$D,"Goal - Penetration %")&gt;0,O69&gt;=SUMIFS('Data - Monthly Metrics'!$E:$E,'Data - Monthly Metrics'!$A:$A,$B$4,'Data - Monthly Metrics'!$B:$B,O$8,'Data - Monthly Metrics'!$C:$C,"Spokane/NE",'Data - Monthly Metrics'!$D:$D,"Goal - Penetration %")-0.05)</formula>
    </cfRule>
    <cfRule type="expression" rank="0" priority="186" equalAverage="0" aboveAverage="0" dxfId="1" stopIfTrue="1" text="" percent="0" bottom="0">
      <formula>AND(ISNUMBER(O69),COUNTIFS('Data - Monthly Metrics'!$A:$A,$B$4,'Data - Monthly Metrics'!$B:$B,O$8,'Data - Monthly Metrics'!$C:$C,"Spokane/NE",'Data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Metrics'!$C:$C,"Spokane/NE",'Data - Monthly Metrics'!$D:$D,"Goal - Penetration %")&gt;0,P69&gt;=SUMIFS('Data - Monthly Metrics'!$E:$E,'Data - Monthly Metrics'!$A:$A,$B$4,'Data - Monthly Metrics'!$B:$B,P$8,'Data - Monthly Metrics'!$C:$C,"Spokane/NE",'Data - Monthly Metrics'!$D:$D,"Goal - Penetration %"))</formula>
    </cfRule>
    <cfRule type="expression" rank="0" priority="188" equalAverage="0" aboveAverage="0" dxfId="2" stopIfTrue="1" text="" percent="0" bottom="0">
      <formula>AND(ISNUMBER(P69),COUNTIFS('Data - Monthly Metrics'!$A:$A,$B$4,'Data - Monthly Metrics'!$B:$B,P$8,'Data - Monthly Metrics'!$C:$C,"Spokane/NE",'Data - Monthly Metrics'!$D:$D,"Goal - Penetration %")&gt;0,P69&gt;=SUMIFS('Data - Monthly Metrics'!$E:$E,'Data - Monthly Metrics'!$A:$A,$B$4,'Data - Monthly Metrics'!$B:$B,P$8,'Data - Monthly Metrics'!$C:$C,"Spokane/NE",'Data - Monthly Metrics'!$D:$D,"Goal - Penetration %")-0.05)</formula>
    </cfRule>
    <cfRule type="expression" rank="0" priority="189" equalAverage="0" aboveAverage="0" dxfId="1" stopIfTrue="1" text="" percent="0" bottom="0">
      <formula>AND(ISNUMBER(P69),COUNTIFS('Data - Monthly Metrics'!$A:$A,$B$4,'Data - Monthly Metrics'!$B:$B,P$8,'Data - Monthly Metrics'!$C:$C,"Spokane/NE",'Data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Metrics'!$C:$C,"Spokane/NE",'Data - Monthly Metrics'!$D:$D,"Goal - Penetration %")&gt;0,B70&gt;=SUMIFS('Data - Monthly Metrics'!$E:$E,'Data - Monthly Metrics'!$A:$A,$B$4-1,'Data - Monthly Metrics'!$B:$B,B$8,'Data - Monthly Metrics'!$C:$C,"Spokane/NE",'Data - Monthly Metrics'!$D:$D,"Goal - Penetration %"))</formula>
    </cfRule>
    <cfRule type="expression" rank="0" priority="191" equalAverage="0" aboveAverage="0" dxfId="2" stopIfTrue="1" text="" percent="0" bottom="0">
      <formula>AND(ISNUMBER(B70),COUNTIFS('Data - Monthly Metrics'!$A:$A,$B$4-1,'Data - Monthly Metrics'!$B:$B,B$8,'Data - Monthly Metrics'!$C:$C,"Spokane/NE",'Data - Monthly Metrics'!$D:$D,"Goal - Penetration %")&gt;0,B70&gt;=SUMIFS('Data - Monthly Metrics'!$E:$E,'Data - Monthly Metrics'!$A:$A,$B$4-1,'Data - Monthly Metrics'!$B:$B,B$8,'Data - Monthly Metrics'!$C:$C,"Spokane/NE",'Data - Monthly Metrics'!$D:$D,"Goal - Penetration %")-0.05)</formula>
    </cfRule>
    <cfRule type="expression" rank="0" priority="192" equalAverage="0" aboveAverage="0" dxfId="1" stopIfTrue="1" text="" percent="0" bottom="0">
      <formula>AND(ISNUMBER(B70),COUNTIFS('Data - Monthly Metrics'!$A:$A,$B$4-1,'Data - Monthly Metrics'!$B:$B,B$8,'Data - Monthly Metrics'!$C:$C,"Spokane/NE",'Data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Metrics'!$C:$C,"Spokane/NE",'Data - Monthly Metrics'!$D:$D,"Goal - Penetration %")&gt;0,C70&gt;=SUMIFS('Data - Monthly Metrics'!$E:$E,'Data - Monthly Metrics'!$A:$A,$B$4-1,'Data - Monthly Metrics'!$B:$B,C$8,'Data - Monthly Metrics'!$C:$C,"Spokane/NE",'Data - Monthly Metrics'!$D:$D,"Goal - Penetration %"))</formula>
    </cfRule>
    <cfRule type="expression" rank="0" priority="194" equalAverage="0" aboveAverage="0" dxfId="2" stopIfTrue="1" text="" percent="0" bottom="0">
      <formula>AND(ISNUMBER(C70),COUNTIFS('Data - Monthly Metrics'!$A:$A,$B$4-1,'Data - Monthly Metrics'!$B:$B,C$8,'Data - Monthly Metrics'!$C:$C,"Spokane/NE",'Data - Monthly Metrics'!$D:$D,"Goal - Penetration %")&gt;0,C70&gt;=SUMIFS('Data - Monthly Metrics'!$E:$E,'Data - Monthly Metrics'!$A:$A,$B$4-1,'Data - Monthly Metrics'!$B:$B,C$8,'Data - Monthly Metrics'!$C:$C,"Spokane/NE",'Data - Monthly Metrics'!$D:$D,"Goal - Penetration %")-0.05)</formula>
    </cfRule>
    <cfRule type="expression" rank="0" priority="195" equalAverage="0" aboveAverage="0" dxfId="1" stopIfTrue="1" text="" percent="0" bottom="0">
      <formula>AND(ISNUMBER(C70),COUNTIFS('Data - Monthly Metrics'!$A:$A,$B$4-1,'Data - Monthly Metrics'!$B:$B,C$8,'Data - Monthly Metrics'!$C:$C,"Spokane/NE",'Data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Metrics'!$C:$C,"Spokane/NE",'Data - Monthly Metrics'!$D:$D,"Goal - Penetration %")&gt;0,D70&gt;=SUMIFS('Data - Monthly Metrics'!$E:$E,'Data - Monthly Metrics'!$A:$A,$B$4-1,'Data - Monthly Metrics'!$B:$B,D$8,'Data - Monthly Metrics'!$C:$C,"Spokane/NE",'Data - Monthly Metrics'!$D:$D,"Goal - Penetration %"))</formula>
    </cfRule>
    <cfRule type="expression" rank="0" priority="197" equalAverage="0" aboveAverage="0" dxfId="2" stopIfTrue="1" text="" percent="0" bottom="0">
      <formula>AND(ISNUMBER(D70),COUNTIFS('Data - Monthly Metrics'!$A:$A,$B$4-1,'Data - Monthly Metrics'!$B:$B,D$8,'Data - Monthly Metrics'!$C:$C,"Spokane/NE",'Data - Monthly Metrics'!$D:$D,"Goal - Penetration %")&gt;0,D70&gt;=SUMIFS('Data - Monthly Metrics'!$E:$E,'Data - Monthly Metrics'!$A:$A,$B$4-1,'Data - Monthly Metrics'!$B:$B,D$8,'Data - Monthly Metrics'!$C:$C,"Spokane/NE",'Data - Monthly Metrics'!$D:$D,"Goal - Penetration %")-0.05)</formula>
    </cfRule>
    <cfRule type="expression" rank="0" priority="198" equalAverage="0" aboveAverage="0" dxfId="1" stopIfTrue="1" text="" percent="0" bottom="0">
      <formula>AND(ISNUMBER(D70),COUNTIFS('Data - Monthly Metrics'!$A:$A,$B$4-1,'Data - Monthly Metrics'!$B:$B,D$8,'Data - Monthly Metrics'!$C:$C,"Spokane/NE",'Data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Metrics'!$C:$C,"Spokane/NE",'Data - Monthly Metrics'!$D:$D,"Goal - Penetration %")&gt;0,F70&gt;=SUMIFS('Data - Monthly Metrics'!$E:$E,'Data - Monthly Metrics'!$A:$A,$B$4,'Data - Monthly Metrics'!$B:$B,F$8,'Data - Monthly Metrics'!$C:$C,"Spokane/NE",'Data - Monthly Metrics'!$D:$D,"Goal - Penetration %"))</formula>
    </cfRule>
    <cfRule type="expression" rank="0" priority="200" equalAverage="0" aboveAverage="0" dxfId="2" stopIfTrue="1" text="" percent="0" bottom="0">
      <formula>AND(ISNUMBER(F70),COUNTIFS('Data - Monthly Metrics'!$A:$A,$B$4,'Data - Monthly Metrics'!$B:$B,F$8,'Data - Monthly Metrics'!$C:$C,"Spokane/NE",'Data - Monthly Metrics'!$D:$D,"Goal - Penetration %")&gt;0,F70&gt;=SUMIFS('Data - Monthly Metrics'!$E:$E,'Data - Monthly Metrics'!$A:$A,$B$4,'Data - Monthly Metrics'!$B:$B,F$8,'Data - Monthly Metrics'!$C:$C,"Spokane/NE",'Data - Monthly Metrics'!$D:$D,"Goal - Penetration %")-0.05)</formula>
    </cfRule>
    <cfRule type="expression" rank="0" priority="201" equalAverage="0" aboveAverage="0" dxfId="1" stopIfTrue="1" text="" percent="0" bottom="0">
      <formula>AND(ISNUMBER(F70),COUNTIFS('Data - Monthly Metrics'!$A:$A,$B$4,'Data - Monthly Metrics'!$B:$B,F$8,'Data - Monthly Metrics'!$C:$C,"Spokane/NE",'Data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Metrics'!$C:$C,"Spokane/NE",'Data - Monthly Metrics'!$D:$D,"Goal - Penetration %")&gt;0,G70&gt;=SUMIFS('Data - Monthly Metrics'!$E:$E,'Data - Monthly Metrics'!$A:$A,$B$4,'Data - Monthly Metrics'!$B:$B,G$8,'Data - Monthly Metrics'!$C:$C,"Spokane/NE",'Data - Monthly Metrics'!$D:$D,"Goal - Penetration %"))</formula>
    </cfRule>
    <cfRule type="expression" rank="0" priority="203" equalAverage="0" aboveAverage="0" dxfId="2" stopIfTrue="1" text="" percent="0" bottom="0">
      <formula>AND(ISNUMBER(G70),COUNTIFS('Data - Monthly Metrics'!$A:$A,$B$4,'Data - Monthly Metrics'!$B:$B,G$8,'Data - Monthly Metrics'!$C:$C,"Spokane/NE",'Data - Monthly Metrics'!$D:$D,"Goal - Penetration %")&gt;0,G70&gt;=SUMIFS('Data - Monthly Metrics'!$E:$E,'Data - Monthly Metrics'!$A:$A,$B$4,'Data - Monthly Metrics'!$B:$B,G$8,'Data - Monthly Metrics'!$C:$C,"Spokane/NE",'Data - Monthly Metrics'!$D:$D,"Goal - Penetration %")-0.05)</formula>
    </cfRule>
    <cfRule type="expression" rank="0" priority="204" equalAverage="0" aboveAverage="0" dxfId="1" stopIfTrue="1" text="" percent="0" bottom="0">
      <formula>AND(ISNUMBER(G70),COUNTIFS('Data - Monthly Metrics'!$A:$A,$B$4,'Data - Monthly Metrics'!$B:$B,G$8,'Data - Monthly Metrics'!$C:$C,"Spokane/NE",'Data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Metrics'!$C:$C,"Spokane/NE",'Data - Monthly Metrics'!$D:$D,"Goal - Penetration %")&gt;0,H70&gt;=SUMIFS('Data - Monthly Metrics'!$E:$E,'Data - Monthly Metrics'!$A:$A,$B$4,'Data - Monthly Metrics'!$B:$B,H$8,'Data - Monthly Metrics'!$C:$C,"Spokane/NE",'Data - Monthly Metrics'!$D:$D,"Goal - Penetration %"))</formula>
    </cfRule>
    <cfRule type="expression" rank="0" priority="206" equalAverage="0" aboveAverage="0" dxfId="2" stopIfTrue="1" text="" percent="0" bottom="0">
      <formula>AND(ISNUMBER(H70),COUNTIFS('Data - Monthly Metrics'!$A:$A,$B$4,'Data - Monthly Metrics'!$B:$B,H$8,'Data - Monthly Metrics'!$C:$C,"Spokane/NE",'Data - Monthly Metrics'!$D:$D,"Goal - Penetration %")&gt;0,H70&gt;=SUMIFS('Data - Monthly Metrics'!$E:$E,'Data - Monthly Metrics'!$A:$A,$B$4,'Data - Monthly Metrics'!$B:$B,H$8,'Data - Monthly Metrics'!$C:$C,"Spokane/NE",'Data - Monthly Metrics'!$D:$D,"Goal - Penetration %")-0.05)</formula>
    </cfRule>
    <cfRule type="expression" rank="0" priority="207" equalAverage="0" aboveAverage="0" dxfId="1" stopIfTrue="1" text="" percent="0" bottom="0">
      <formula>AND(ISNUMBER(H70),COUNTIFS('Data - Monthly Metrics'!$A:$A,$B$4,'Data - Monthly Metrics'!$B:$B,H$8,'Data - Monthly Metrics'!$C:$C,"Spokane/NE",'Data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Metrics'!$C:$C,"Spokane/NE",'Data - Monthly Metrics'!$D:$D,"Goal - Penetration %")&gt;0,J70&gt;=SUMIFS('Data - Monthly Metrics'!$E:$E,'Data - Monthly Metrics'!$A:$A,$B$4,'Data - Monthly Metrics'!$B:$B,J$8,'Data - Monthly Metrics'!$C:$C,"Spokane/NE",'Data - Monthly Metrics'!$D:$D,"Goal - Penetration %"))</formula>
    </cfRule>
    <cfRule type="expression" rank="0" priority="209" equalAverage="0" aboveAverage="0" dxfId="2" stopIfTrue="1" text="" percent="0" bottom="0">
      <formula>AND(ISNUMBER(J70),COUNTIFS('Data - Monthly Metrics'!$A:$A,$B$4,'Data - Monthly Metrics'!$B:$B,J$8,'Data - Monthly Metrics'!$C:$C,"Spokane/NE",'Data - Monthly Metrics'!$D:$D,"Goal - Penetration %")&gt;0,J70&gt;=SUMIFS('Data - Monthly Metrics'!$E:$E,'Data - Monthly Metrics'!$A:$A,$B$4,'Data - Monthly Metrics'!$B:$B,J$8,'Data - Monthly Metrics'!$C:$C,"Spokane/NE",'Data - Monthly Metrics'!$D:$D,"Goal - Penetration %")-0.05)</formula>
    </cfRule>
    <cfRule type="expression" rank="0" priority="210" equalAverage="0" aboveAverage="0" dxfId="1" stopIfTrue="1" text="" percent="0" bottom="0">
      <formula>AND(ISNUMBER(J70),COUNTIFS('Data - Monthly Metrics'!$A:$A,$B$4,'Data - Monthly Metrics'!$B:$B,J$8,'Data - Monthly Metrics'!$C:$C,"Spokane/NE",'Data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Metrics'!$C:$C,"Spokane/NE",'Data - Monthly Metrics'!$D:$D,"Goal - Penetration %")&gt;0,K70&gt;=SUMIFS('Data - Monthly Metrics'!$E:$E,'Data - Monthly Metrics'!$A:$A,$B$4,'Data - Monthly Metrics'!$B:$B,K$8,'Data - Monthly Metrics'!$C:$C,"Spokane/NE",'Data - Monthly Metrics'!$D:$D,"Goal - Penetration %"))</formula>
    </cfRule>
    <cfRule type="expression" rank="0" priority="212" equalAverage="0" aboveAverage="0" dxfId="2" stopIfTrue="1" text="" percent="0" bottom="0">
      <formula>AND(ISNUMBER(K70),COUNTIFS('Data - Monthly Metrics'!$A:$A,$B$4,'Data - Monthly Metrics'!$B:$B,K$8,'Data - Monthly Metrics'!$C:$C,"Spokane/NE",'Data - Monthly Metrics'!$D:$D,"Goal - Penetration %")&gt;0,K70&gt;=SUMIFS('Data - Monthly Metrics'!$E:$E,'Data - Monthly Metrics'!$A:$A,$B$4,'Data - Monthly Metrics'!$B:$B,K$8,'Data - Monthly Metrics'!$C:$C,"Spokane/NE",'Data - Monthly Metrics'!$D:$D,"Goal - Penetration %")-0.05)</formula>
    </cfRule>
    <cfRule type="expression" rank="0" priority="213" equalAverage="0" aboveAverage="0" dxfId="1" stopIfTrue="1" text="" percent="0" bottom="0">
      <formula>AND(ISNUMBER(K70),COUNTIFS('Data - Monthly Metrics'!$A:$A,$B$4,'Data - Monthly Metrics'!$B:$B,K$8,'Data - Monthly Metrics'!$C:$C,"Spokane/NE",'Data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Metrics'!$C:$C,"Spokane/NE",'Data - Monthly Metrics'!$D:$D,"Goal - Penetration %")&gt;0,L70&gt;=SUMIFS('Data - Monthly Metrics'!$E:$E,'Data - Monthly Metrics'!$A:$A,$B$4,'Data - Monthly Metrics'!$B:$B,L$8,'Data - Monthly Metrics'!$C:$C,"Spokane/NE",'Data - Monthly Metrics'!$D:$D,"Goal - Penetration %"))</formula>
    </cfRule>
    <cfRule type="expression" rank="0" priority="215" equalAverage="0" aboveAverage="0" dxfId="2" stopIfTrue="1" text="" percent="0" bottom="0">
      <formula>AND(ISNUMBER(L70),COUNTIFS('Data - Monthly Metrics'!$A:$A,$B$4,'Data - Monthly Metrics'!$B:$B,L$8,'Data - Monthly Metrics'!$C:$C,"Spokane/NE",'Data - Monthly Metrics'!$D:$D,"Goal - Penetration %")&gt;0,L70&gt;=SUMIFS('Data - Monthly Metrics'!$E:$E,'Data - Monthly Metrics'!$A:$A,$B$4,'Data - Monthly Metrics'!$B:$B,L$8,'Data - Monthly Metrics'!$C:$C,"Spokane/NE",'Data - Monthly Metrics'!$D:$D,"Goal - Penetration %")-0.05)</formula>
    </cfRule>
    <cfRule type="expression" rank="0" priority="216" equalAverage="0" aboveAverage="0" dxfId="1" stopIfTrue="1" text="" percent="0" bottom="0">
      <formula>AND(ISNUMBER(L70),COUNTIFS('Data - Monthly Metrics'!$A:$A,$B$4,'Data - Monthly Metrics'!$B:$B,L$8,'Data - Monthly Metrics'!$C:$C,"Spokane/NE",'Data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Metrics'!$C:$C,"Spokane/NE",'Data - Monthly Metrics'!$D:$D,"Goal - Penetration %")&gt;0,N70&gt;=SUMIFS('Data - Monthly Metrics'!$E:$E,'Data - Monthly Metrics'!$A:$A,$B$4,'Data - Monthly Metrics'!$B:$B,N$8,'Data - Monthly Metrics'!$C:$C,"Spokane/NE",'Data - Monthly Metrics'!$D:$D,"Goal - Penetration %"))</formula>
    </cfRule>
    <cfRule type="expression" rank="0" priority="218" equalAverage="0" aboveAverage="0" dxfId="2" stopIfTrue="1" text="" percent="0" bottom="0">
      <formula>AND(ISNUMBER(N70),COUNTIFS('Data - Monthly Metrics'!$A:$A,$B$4,'Data - Monthly Metrics'!$B:$B,N$8,'Data - Monthly Metrics'!$C:$C,"Spokane/NE",'Data - Monthly Metrics'!$D:$D,"Goal - Penetration %")&gt;0,N70&gt;=SUMIFS('Data - Monthly Metrics'!$E:$E,'Data - Monthly Metrics'!$A:$A,$B$4,'Data - Monthly Metrics'!$B:$B,N$8,'Data - Monthly Metrics'!$C:$C,"Spokane/NE",'Data - Monthly Metrics'!$D:$D,"Goal - Penetration %")-0.05)</formula>
    </cfRule>
    <cfRule type="expression" rank="0" priority="219" equalAverage="0" aboveAverage="0" dxfId="1" stopIfTrue="1" text="" percent="0" bottom="0">
      <formula>AND(ISNUMBER(N70),COUNTIFS('Data - Monthly Metrics'!$A:$A,$B$4,'Data - Monthly Metrics'!$B:$B,N$8,'Data - Monthly Metrics'!$C:$C,"Spokane/NE",'Data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Metrics'!$C:$C,"Spokane/NE",'Data - Monthly Metrics'!$D:$D,"Goal - Penetration %")&gt;0,O70&gt;=SUMIFS('Data - Monthly Metrics'!$E:$E,'Data - Monthly Metrics'!$A:$A,$B$4,'Data - Monthly Metrics'!$B:$B,O$8,'Data - Monthly Metrics'!$C:$C,"Spokane/NE",'Data - Monthly Metrics'!$D:$D,"Goal - Penetration %"))</formula>
    </cfRule>
    <cfRule type="expression" rank="0" priority="221" equalAverage="0" aboveAverage="0" dxfId="2" stopIfTrue="1" text="" percent="0" bottom="0">
      <formula>AND(ISNUMBER(O70),COUNTIFS('Data - Monthly Metrics'!$A:$A,$B$4,'Data - Monthly Metrics'!$B:$B,O$8,'Data - Monthly Metrics'!$C:$C,"Spokane/NE",'Data - Monthly Metrics'!$D:$D,"Goal - Penetration %")&gt;0,O70&gt;=SUMIFS('Data - Monthly Metrics'!$E:$E,'Data - Monthly Metrics'!$A:$A,$B$4,'Data - Monthly Metrics'!$B:$B,O$8,'Data - Monthly Metrics'!$C:$C,"Spokane/NE",'Data - Monthly Metrics'!$D:$D,"Goal - Penetration %")-0.05)</formula>
    </cfRule>
    <cfRule type="expression" rank="0" priority="222" equalAverage="0" aboveAverage="0" dxfId="1" stopIfTrue="1" text="" percent="0" bottom="0">
      <formula>AND(ISNUMBER(O70),COUNTIFS('Data - Monthly Metrics'!$A:$A,$B$4,'Data - Monthly Metrics'!$B:$B,O$8,'Data - Monthly Metrics'!$C:$C,"Spokane/NE",'Data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Metrics'!$C:$C,"Spokane/NE",'Data - Monthly Metrics'!$D:$D,"Goal - Penetration %")&gt;0,P70&gt;=SUMIFS('Data - Monthly Metrics'!$E:$E,'Data - Monthly Metrics'!$A:$A,$B$4,'Data - Monthly Metrics'!$B:$B,P$8,'Data - Monthly Metrics'!$C:$C,"Spokane/NE",'Data - Monthly Metrics'!$D:$D,"Goal - Penetration %"))</formula>
    </cfRule>
    <cfRule type="expression" rank="0" priority="224" equalAverage="0" aboveAverage="0" dxfId="2" stopIfTrue="1" text="" percent="0" bottom="0">
      <formula>AND(ISNUMBER(P70),COUNTIFS('Data - Monthly Metrics'!$A:$A,$B$4,'Data - Monthly Metrics'!$B:$B,P$8,'Data - Monthly Metrics'!$C:$C,"Spokane/NE",'Data - Monthly Metrics'!$D:$D,"Goal - Penetration %")&gt;0,P70&gt;=SUMIFS('Data - Monthly Metrics'!$E:$E,'Data - Monthly Metrics'!$A:$A,$B$4,'Data - Monthly Metrics'!$B:$B,P$8,'Data - Monthly Metrics'!$C:$C,"Spokane/NE",'Data - Monthly Metrics'!$D:$D,"Goal - Penetration %")-0.05)</formula>
    </cfRule>
    <cfRule type="expression" rank="0" priority="225" equalAverage="0" aboveAverage="0" dxfId="1" stopIfTrue="1" text="" percent="0" bottom="0">
      <formula>AND(ISNUMBER(P70),COUNTIFS('Data - Monthly Metrics'!$A:$A,$B$4,'Data - Monthly Metrics'!$B:$B,P$8,'Data - Monthly Metrics'!$C:$C,"Spokane/NE",'Data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Metrics'!$C:$C,"Spokane/NE",'Data - Monthly Metrics'!$D:$D,"Goal - Penetration %")&gt;0,B105&gt;=SUMIFS('Data - Monthly Metrics'!$E:$E,'Data - Monthly Metrics'!$A:$A,$B$4-1,'Data - Monthly Metrics'!$B:$B,B$8,'Data - Monthly Metrics'!$C:$C,"Spokane/NE",'Data - Monthly Metrics'!$D:$D,"Goal - Penetration %"))</formula>
    </cfRule>
    <cfRule type="expression" rank="0" priority="227" equalAverage="0" aboveAverage="0" dxfId="2" stopIfTrue="1" text="" percent="0" bottom="0">
      <formula>AND(ISNUMBER(B105),COUNTIFS('Data - Monthly Metrics'!$A:$A,$B$4-1,'Data - Monthly Metrics'!$B:$B,B$8,'Data - Monthly Metrics'!$C:$C,"Spokane/NE",'Data - Monthly Metrics'!$D:$D,"Goal - Penetration %")&gt;0,B105&gt;=SUMIFS('Data - Monthly Metrics'!$E:$E,'Data - Monthly Metrics'!$A:$A,$B$4-1,'Data - Monthly Metrics'!$B:$B,B$8,'Data - Monthly Metrics'!$C:$C,"Spokane/NE",'Data - Monthly Metrics'!$D:$D,"Goal - Penetration %")-0.05)</formula>
    </cfRule>
    <cfRule type="expression" rank="0" priority="228" equalAverage="0" aboveAverage="0" dxfId="1" stopIfTrue="1" text="" percent="0" bottom="0">
      <formula>AND(ISNUMBER(B105),COUNTIFS('Data - Monthly Metrics'!$A:$A,$B$4-1,'Data - Monthly Metrics'!$B:$B,B$8,'Data - Monthly Metrics'!$C:$C,"Spokane/NE",'Data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Metrics'!$C:$C,"Spokane/NE",'Data - Monthly Metrics'!$D:$D,"Goal - Penetration %")&gt;0,C105&gt;=SUMIFS('Data - Monthly Metrics'!$E:$E,'Data - Monthly Metrics'!$A:$A,$B$4-1,'Data - Monthly Metrics'!$B:$B,C$8,'Data - Monthly Metrics'!$C:$C,"Spokane/NE",'Data - Monthly Metrics'!$D:$D,"Goal - Penetration %"))</formula>
    </cfRule>
    <cfRule type="expression" rank="0" priority="230" equalAverage="0" aboveAverage="0" dxfId="2" stopIfTrue="1" text="" percent="0" bottom="0">
      <formula>AND(ISNUMBER(C105),COUNTIFS('Data - Monthly Metrics'!$A:$A,$B$4-1,'Data - Monthly Metrics'!$B:$B,C$8,'Data - Monthly Metrics'!$C:$C,"Spokane/NE",'Data - Monthly Metrics'!$D:$D,"Goal - Penetration %")&gt;0,C105&gt;=SUMIFS('Data - Monthly Metrics'!$E:$E,'Data - Monthly Metrics'!$A:$A,$B$4-1,'Data - Monthly Metrics'!$B:$B,C$8,'Data - Monthly Metrics'!$C:$C,"Spokane/NE",'Data - Monthly Metrics'!$D:$D,"Goal - Penetration %")-0.05)</formula>
    </cfRule>
    <cfRule type="expression" rank="0" priority="231" equalAverage="0" aboveAverage="0" dxfId="1" stopIfTrue="1" text="" percent="0" bottom="0">
      <formula>AND(ISNUMBER(C105),COUNTIFS('Data - Monthly Metrics'!$A:$A,$B$4-1,'Data - Monthly Metrics'!$B:$B,C$8,'Data - Monthly Metrics'!$C:$C,"Spokane/NE",'Data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Metrics'!$C:$C,"Spokane/NE",'Data - Monthly Metrics'!$D:$D,"Goal - Penetration %")&gt;0,D105&gt;=SUMIFS('Data - Monthly Metrics'!$E:$E,'Data - Monthly Metrics'!$A:$A,$B$4-1,'Data - Monthly Metrics'!$B:$B,D$8,'Data - Monthly Metrics'!$C:$C,"Spokane/NE",'Data - Monthly Metrics'!$D:$D,"Goal - Penetration %"))</formula>
    </cfRule>
    <cfRule type="expression" rank="0" priority="233" equalAverage="0" aboveAverage="0" dxfId="2" stopIfTrue="1" text="" percent="0" bottom="0">
      <formula>AND(ISNUMBER(D105),COUNTIFS('Data - Monthly Metrics'!$A:$A,$B$4-1,'Data - Monthly Metrics'!$B:$B,D$8,'Data - Monthly Metrics'!$C:$C,"Spokane/NE",'Data - Monthly Metrics'!$D:$D,"Goal - Penetration %")&gt;0,D105&gt;=SUMIFS('Data - Monthly Metrics'!$E:$E,'Data - Monthly Metrics'!$A:$A,$B$4-1,'Data - Monthly Metrics'!$B:$B,D$8,'Data - Monthly Metrics'!$C:$C,"Spokane/NE",'Data - Monthly Metrics'!$D:$D,"Goal - Penetration %")-0.05)</formula>
    </cfRule>
    <cfRule type="expression" rank="0" priority="234" equalAverage="0" aboveAverage="0" dxfId="1" stopIfTrue="1" text="" percent="0" bottom="0">
      <formula>AND(ISNUMBER(D105),COUNTIFS('Data - Monthly Metrics'!$A:$A,$B$4-1,'Data - Monthly Metrics'!$B:$B,D$8,'Data - Monthly Metrics'!$C:$C,"Spokane/NE",'Data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Metrics'!$C:$C,"Spokane/NE",'Data - Monthly Metrics'!$D:$D,"Goal - Penetration %")&gt;0,F105&gt;=SUMIFS('Data - Monthly Metrics'!$E:$E,'Data - Monthly Metrics'!$A:$A,$B$4,'Data - Monthly Metrics'!$B:$B,F$8,'Data - Monthly Metrics'!$C:$C,"Spokane/NE",'Data - Monthly Metrics'!$D:$D,"Goal - Penetration %"))</formula>
    </cfRule>
    <cfRule type="expression" rank="0" priority="236" equalAverage="0" aboveAverage="0" dxfId="2" stopIfTrue="1" text="" percent="0" bottom="0">
      <formula>AND(ISNUMBER(F105),COUNTIFS('Data - Monthly Metrics'!$A:$A,$B$4,'Data - Monthly Metrics'!$B:$B,F$8,'Data - Monthly Metrics'!$C:$C,"Spokane/NE",'Data - Monthly Metrics'!$D:$D,"Goal - Penetration %")&gt;0,F105&gt;=SUMIFS('Data - Monthly Metrics'!$E:$E,'Data - Monthly Metrics'!$A:$A,$B$4,'Data - Monthly Metrics'!$B:$B,F$8,'Data - Monthly Metrics'!$C:$C,"Spokane/NE",'Data - Monthly Metrics'!$D:$D,"Goal - Penetration %")-0.05)</formula>
    </cfRule>
    <cfRule type="expression" rank="0" priority="237" equalAverage="0" aboveAverage="0" dxfId="1" stopIfTrue="1" text="" percent="0" bottom="0">
      <formula>AND(ISNUMBER(F105),COUNTIFS('Data - Monthly Metrics'!$A:$A,$B$4,'Data - Monthly Metrics'!$B:$B,F$8,'Data - Monthly Metrics'!$C:$C,"Spokane/NE",'Data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Metrics'!$C:$C,"Spokane/NE",'Data - Monthly Metrics'!$D:$D,"Goal - Penetration %")&gt;0,G105&gt;=SUMIFS('Data - Monthly Metrics'!$E:$E,'Data - Monthly Metrics'!$A:$A,$B$4,'Data - Monthly Metrics'!$B:$B,G$8,'Data - Monthly Metrics'!$C:$C,"Spokane/NE",'Data - Monthly Metrics'!$D:$D,"Goal - Penetration %"))</formula>
    </cfRule>
    <cfRule type="expression" rank="0" priority="239" equalAverage="0" aboveAverage="0" dxfId="2" stopIfTrue="1" text="" percent="0" bottom="0">
      <formula>AND(ISNUMBER(G105),COUNTIFS('Data - Monthly Metrics'!$A:$A,$B$4,'Data - Monthly Metrics'!$B:$B,G$8,'Data - Monthly Metrics'!$C:$C,"Spokane/NE",'Data - Monthly Metrics'!$D:$D,"Goal - Penetration %")&gt;0,G105&gt;=SUMIFS('Data - Monthly Metrics'!$E:$E,'Data - Monthly Metrics'!$A:$A,$B$4,'Data - Monthly Metrics'!$B:$B,G$8,'Data - Monthly Metrics'!$C:$C,"Spokane/NE",'Data - Monthly Metrics'!$D:$D,"Goal - Penetration %")-0.05)</formula>
    </cfRule>
    <cfRule type="expression" rank="0" priority="240" equalAverage="0" aboveAverage="0" dxfId="1" stopIfTrue="1" text="" percent="0" bottom="0">
      <formula>AND(ISNUMBER(G105),COUNTIFS('Data - Monthly Metrics'!$A:$A,$B$4,'Data - Monthly Metrics'!$B:$B,G$8,'Data - Monthly Metrics'!$C:$C,"Spokane/NE",'Data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Metrics'!$C:$C,"Spokane/NE",'Data - Monthly Metrics'!$D:$D,"Goal - Penetration %")&gt;0,H105&gt;=SUMIFS('Data - Monthly Metrics'!$E:$E,'Data - Monthly Metrics'!$A:$A,$B$4,'Data - Monthly Metrics'!$B:$B,H$8,'Data - Monthly Metrics'!$C:$C,"Spokane/NE",'Data - Monthly Metrics'!$D:$D,"Goal - Penetration %"))</formula>
    </cfRule>
    <cfRule type="expression" rank="0" priority="242" equalAverage="0" aboveAverage="0" dxfId="2" stopIfTrue="1" text="" percent="0" bottom="0">
      <formula>AND(ISNUMBER(H105),COUNTIFS('Data - Monthly Metrics'!$A:$A,$B$4,'Data - Monthly Metrics'!$B:$B,H$8,'Data - Monthly Metrics'!$C:$C,"Spokane/NE",'Data - Monthly Metrics'!$D:$D,"Goal - Penetration %")&gt;0,H105&gt;=SUMIFS('Data - Monthly Metrics'!$E:$E,'Data - Monthly Metrics'!$A:$A,$B$4,'Data - Monthly Metrics'!$B:$B,H$8,'Data - Monthly Metrics'!$C:$C,"Spokane/NE",'Data - Monthly Metrics'!$D:$D,"Goal - Penetration %")-0.05)</formula>
    </cfRule>
    <cfRule type="expression" rank="0" priority="243" equalAverage="0" aboveAverage="0" dxfId="1" stopIfTrue="1" text="" percent="0" bottom="0">
      <formula>AND(ISNUMBER(H105),COUNTIFS('Data - Monthly Metrics'!$A:$A,$B$4,'Data - Monthly Metrics'!$B:$B,H$8,'Data - Monthly Metrics'!$C:$C,"Spokane/NE",'Data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Metrics'!$C:$C,"Spokane/NE",'Data - Monthly Metrics'!$D:$D,"Goal - Penetration %")&gt;0,J105&gt;=SUMIFS('Data - Monthly Metrics'!$E:$E,'Data - Monthly Metrics'!$A:$A,$B$4,'Data - Monthly Metrics'!$B:$B,J$8,'Data - Monthly Metrics'!$C:$C,"Spokane/NE",'Data - Monthly Metrics'!$D:$D,"Goal - Penetration %"))</formula>
    </cfRule>
    <cfRule type="expression" rank="0" priority="245" equalAverage="0" aboveAverage="0" dxfId="2" stopIfTrue="1" text="" percent="0" bottom="0">
      <formula>AND(ISNUMBER(J105),COUNTIFS('Data - Monthly Metrics'!$A:$A,$B$4,'Data - Monthly Metrics'!$B:$B,J$8,'Data - Monthly Metrics'!$C:$C,"Spokane/NE",'Data - Monthly Metrics'!$D:$D,"Goal - Penetration %")&gt;0,J105&gt;=SUMIFS('Data - Monthly Metrics'!$E:$E,'Data - Monthly Metrics'!$A:$A,$B$4,'Data - Monthly Metrics'!$B:$B,J$8,'Data - Monthly Metrics'!$C:$C,"Spokane/NE",'Data - Monthly Metrics'!$D:$D,"Goal - Penetration %")-0.05)</formula>
    </cfRule>
    <cfRule type="expression" rank="0" priority="246" equalAverage="0" aboveAverage="0" dxfId="1" stopIfTrue="1" text="" percent="0" bottom="0">
      <formula>AND(ISNUMBER(J105),COUNTIFS('Data - Monthly Metrics'!$A:$A,$B$4,'Data - Monthly Metrics'!$B:$B,J$8,'Data - Monthly Metrics'!$C:$C,"Spokane/NE",'Data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Metrics'!$C:$C,"Spokane/NE",'Data - Monthly Metrics'!$D:$D,"Goal - Penetration %")&gt;0,K105&gt;=SUMIFS('Data - Monthly Metrics'!$E:$E,'Data - Monthly Metrics'!$A:$A,$B$4,'Data - Monthly Metrics'!$B:$B,K$8,'Data - Monthly Metrics'!$C:$C,"Spokane/NE",'Data - Monthly Metrics'!$D:$D,"Goal - Penetration %"))</formula>
    </cfRule>
    <cfRule type="expression" rank="0" priority="248" equalAverage="0" aboveAverage="0" dxfId="2" stopIfTrue="1" text="" percent="0" bottom="0">
      <formula>AND(ISNUMBER(K105),COUNTIFS('Data - Monthly Metrics'!$A:$A,$B$4,'Data - Monthly Metrics'!$B:$B,K$8,'Data - Monthly Metrics'!$C:$C,"Spokane/NE",'Data - Monthly Metrics'!$D:$D,"Goal - Penetration %")&gt;0,K105&gt;=SUMIFS('Data - Monthly Metrics'!$E:$E,'Data - Monthly Metrics'!$A:$A,$B$4,'Data - Monthly Metrics'!$B:$B,K$8,'Data - Monthly Metrics'!$C:$C,"Spokane/NE",'Data - Monthly Metrics'!$D:$D,"Goal - Penetration %")-0.05)</formula>
    </cfRule>
    <cfRule type="expression" rank="0" priority="249" equalAverage="0" aboveAverage="0" dxfId="1" stopIfTrue="1" text="" percent="0" bottom="0">
      <formula>AND(ISNUMBER(K105),COUNTIFS('Data - Monthly Metrics'!$A:$A,$B$4,'Data - Monthly Metrics'!$B:$B,K$8,'Data - Monthly Metrics'!$C:$C,"Spokane/NE",'Data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Metrics'!$C:$C,"Spokane/NE",'Data - Monthly Metrics'!$D:$D,"Goal - Penetration %")&gt;0,L105&gt;=SUMIFS('Data - Monthly Metrics'!$E:$E,'Data - Monthly Metrics'!$A:$A,$B$4,'Data - Monthly Metrics'!$B:$B,L$8,'Data - Monthly Metrics'!$C:$C,"Spokane/NE",'Data - Monthly Metrics'!$D:$D,"Goal - Penetration %"))</formula>
    </cfRule>
    <cfRule type="expression" rank="0" priority="251" equalAverage="0" aboveAverage="0" dxfId="2" stopIfTrue="1" text="" percent="0" bottom="0">
      <formula>AND(ISNUMBER(L105),COUNTIFS('Data - Monthly Metrics'!$A:$A,$B$4,'Data - Monthly Metrics'!$B:$B,L$8,'Data - Monthly Metrics'!$C:$C,"Spokane/NE",'Data - Monthly Metrics'!$D:$D,"Goal - Penetration %")&gt;0,L105&gt;=SUMIFS('Data - Monthly Metrics'!$E:$E,'Data - Monthly Metrics'!$A:$A,$B$4,'Data - Monthly Metrics'!$B:$B,L$8,'Data - Monthly Metrics'!$C:$C,"Spokane/NE",'Data - Monthly Metrics'!$D:$D,"Goal - Penetration %")-0.05)</formula>
    </cfRule>
    <cfRule type="expression" rank="0" priority="252" equalAverage="0" aboveAverage="0" dxfId="1" stopIfTrue="1" text="" percent="0" bottom="0">
      <formula>AND(ISNUMBER(L105),COUNTIFS('Data - Monthly Metrics'!$A:$A,$B$4,'Data - Monthly Metrics'!$B:$B,L$8,'Data - Monthly Metrics'!$C:$C,"Spokane/NE",'Data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Metrics'!$C:$C,"Spokane/NE",'Data - Monthly Metrics'!$D:$D,"Goal - Penetration %")&gt;0,N105&gt;=SUMIFS('Data - Monthly Metrics'!$E:$E,'Data - Monthly Metrics'!$A:$A,$B$4,'Data - Monthly Metrics'!$B:$B,N$8,'Data - Monthly Metrics'!$C:$C,"Spokane/NE",'Data - Monthly Metrics'!$D:$D,"Goal - Penetration %"))</formula>
    </cfRule>
    <cfRule type="expression" rank="0" priority="254" equalAverage="0" aboveAverage="0" dxfId="2" stopIfTrue="1" text="" percent="0" bottom="0">
      <formula>AND(ISNUMBER(N105),COUNTIFS('Data - Monthly Metrics'!$A:$A,$B$4,'Data - Monthly Metrics'!$B:$B,N$8,'Data - Monthly Metrics'!$C:$C,"Spokane/NE",'Data - Monthly Metrics'!$D:$D,"Goal - Penetration %")&gt;0,N105&gt;=SUMIFS('Data - Monthly Metrics'!$E:$E,'Data - Monthly Metrics'!$A:$A,$B$4,'Data - Monthly Metrics'!$B:$B,N$8,'Data - Monthly Metrics'!$C:$C,"Spokane/NE",'Data - Monthly Metrics'!$D:$D,"Goal - Penetration %")-0.05)</formula>
    </cfRule>
    <cfRule type="expression" rank="0" priority="255" equalAverage="0" aboveAverage="0" dxfId="1" stopIfTrue="1" text="" percent="0" bottom="0">
      <formula>AND(ISNUMBER(N105),COUNTIFS('Data - Monthly Metrics'!$A:$A,$B$4,'Data - Monthly Metrics'!$B:$B,N$8,'Data - Monthly Metrics'!$C:$C,"Spokane/NE",'Data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Metrics'!$C:$C,"Spokane/NE",'Data - Monthly Metrics'!$D:$D,"Goal - Penetration %")&gt;0,O105&gt;=SUMIFS('Data - Monthly Metrics'!$E:$E,'Data - Monthly Metrics'!$A:$A,$B$4,'Data - Monthly Metrics'!$B:$B,O$8,'Data - Monthly Metrics'!$C:$C,"Spokane/NE",'Data - Monthly Metrics'!$D:$D,"Goal - Penetration %"))</formula>
    </cfRule>
    <cfRule type="expression" rank="0" priority="257" equalAverage="0" aboveAverage="0" dxfId="2" stopIfTrue="1" text="" percent="0" bottom="0">
      <formula>AND(ISNUMBER(O105),COUNTIFS('Data - Monthly Metrics'!$A:$A,$B$4,'Data - Monthly Metrics'!$B:$B,O$8,'Data - Monthly Metrics'!$C:$C,"Spokane/NE",'Data - Monthly Metrics'!$D:$D,"Goal - Penetration %")&gt;0,O105&gt;=SUMIFS('Data - Monthly Metrics'!$E:$E,'Data - Monthly Metrics'!$A:$A,$B$4,'Data - Monthly Metrics'!$B:$B,O$8,'Data - Monthly Metrics'!$C:$C,"Spokane/NE",'Data - Monthly Metrics'!$D:$D,"Goal - Penetration %")-0.05)</formula>
    </cfRule>
    <cfRule type="expression" rank="0" priority="258" equalAverage="0" aboveAverage="0" dxfId="1" stopIfTrue="1" text="" percent="0" bottom="0">
      <formula>AND(ISNUMBER(O105),COUNTIFS('Data - Monthly Metrics'!$A:$A,$B$4,'Data - Monthly Metrics'!$B:$B,O$8,'Data - Monthly Metrics'!$C:$C,"Spokane/NE",'Data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Metrics'!$C:$C,"Spokane/NE",'Data - Monthly Metrics'!$D:$D,"Goal - Penetration %")&gt;0,P105&gt;=SUMIFS('Data - Monthly Metrics'!$E:$E,'Data - Monthly Metrics'!$A:$A,$B$4,'Data - Monthly Metrics'!$B:$B,P$8,'Data - Monthly Metrics'!$C:$C,"Spokane/NE",'Data - Monthly Metrics'!$D:$D,"Goal - Penetration %"))</formula>
    </cfRule>
    <cfRule type="expression" rank="0" priority="260" equalAverage="0" aboveAverage="0" dxfId="2" stopIfTrue="1" text="" percent="0" bottom="0">
      <formula>AND(ISNUMBER(P105),COUNTIFS('Data - Monthly Metrics'!$A:$A,$B$4,'Data - Monthly Metrics'!$B:$B,P$8,'Data - Monthly Metrics'!$C:$C,"Spokane/NE",'Data - Monthly Metrics'!$D:$D,"Goal - Penetration %")&gt;0,P105&gt;=SUMIFS('Data - Monthly Metrics'!$E:$E,'Data - Monthly Metrics'!$A:$A,$B$4,'Data - Monthly Metrics'!$B:$B,P$8,'Data - Monthly Metrics'!$C:$C,"Spokane/NE",'Data - Monthly Metrics'!$D:$D,"Goal - Penetration %")-0.05)</formula>
    </cfRule>
    <cfRule type="expression" rank="0" priority="261" equalAverage="0" aboveAverage="0" dxfId="1" stopIfTrue="1" text="" percent="0" bottom="0">
      <formula>AND(ISNUMBER(P105),COUNTIFS('Data - Monthly Metrics'!$A:$A,$B$4,'Data - Monthly Metrics'!$B:$B,P$8,'Data - Monthly Metrics'!$C:$C,"Spokane/NE",'Data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Metrics'!$C:$C,"Spokane/NE",'Data - Monthly Metrics'!$D:$D,"Goal - Penetration %")&gt;0,B106&gt;=SUMIFS('Data - Monthly Metrics'!$E:$E,'Data - Monthly Metrics'!$A:$A,$B$4-1,'Data - Monthly Metrics'!$B:$B,B$8,'Data - Monthly Metrics'!$C:$C,"Spokane/NE",'Data - Monthly Metrics'!$D:$D,"Goal - Penetration %"))</formula>
    </cfRule>
    <cfRule type="expression" rank="0" priority="263" equalAverage="0" aboveAverage="0" dxfId="2" stopIfTrue="1" text="" percent="0" bottom="0">
      <formula>AND(ISNUMBER(B106),COUNTIFS('Data - Monthly Metrics'!$A:$A,$B$4-1,'Data - Monthly Metrics'!$B:$B,B$8,'Data - Monthly Metrics'!$C:$C,"Spokane/NE",'Data - Monthly Metrics'!$D:$D,"Goal - Penetration %")&gt;0,B106&gt;=SUMIFS('Data - Monthly Metrics'!$E:$E,'Data - Monthly Metrics'!$A:$A,$B$4-1,'Data - Monthly Metrics'!$B:$B,B$8,'Data - Monthly Metrics'!$C:$C,"Spokane/NE",'Data - Monthly Metrics'!$D:$D,"Goal - Penetration %")-0.05)</formula>
    </cfRule>
    <cfRule type="expression" rank="0" priority="264" equalAverage="0" aboveAverage="0" dxfId="1" stopIfTrue="1" text="" percent="0" bottom="0">
      <formula>AND(ISNUMBER(B106),COUNTIFS('Data - Monthly Metrics'!$A:$A,$B$4-1,'Data - Monthly Metrics'!$B:$B,B$8,'Data - Monthly Metrics'!$C:$C,"Spokane/NE",'Data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Metrics'!$C:$C,"Spokane/NE",'Data - Monthly Metrics'!$D:$D,"Goal - Penetration %")&gt;0,C106&gt;=SUMIFS('Data - Monthly Metrics'!$E:$E,'Data - Monthly Metrics'!$A:$A,$B$4-1,'Data - Monthly Metrics'!$B:$B,C$8,'Data - Monthly Metrics'!$C:$C,"Spokane/NE",'Data - Monthly Metrics'!$D:$D,"Goal - Penetration %"))</formula>
    </cfRule>
    <cfRule type="expression" rank="0" priority="266" equalAverage="0" aboveAverage="0" dxfId="2" stopIfTrue="1" text="" percent="0" bottom="0">
      <formula>AND(ISNUMBER(C106),COUNTIFS('Data - Monthly Metrics'!$A:$A,$B$4-1,'Data - Monthly Metrics'!$B:$B,C$8,'Data - Monthly Metrics'!$C:$C,"Spokane/NE",'Data - Monthly Metrics'!$D:$D,"Goal - Penetration %")&gt;0,C106&gt;=SUMIFS('Data - Monthly Metrics'!$E:$E,'Data - Monthly Metrics'!$A:$A,$B$4-1,'Data - Monthly Metrics'!$B:$B,C$8,'Data - Monthly Metrics'!$C:$C,"Spokane/NE",'Data - Monthly Metrics'!$D:$D,"Goal - Penetration %")-0.05)</formula>
    </cfRule>
    <cfRule type="expression" rank="0" priority="267" equalAverage="0" aboveAverage="0" dxfId="1" stopIfTrue="1" text="" percent="0" bottom="0">
      <formula>AND(ISNUMBER(C106),COUNTIFS('Data - Monthly Metrics'!$A:$A,$B$4-1,'Data - Monthly Metrics'!$B:$B,C$8,'Data - Monthly Metrics'!$C:$C,"Spokane/NE",'Data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Metrics'!$C:$C,"Spokane/NE",'Data - Monthly Metrics'!$D:$D,"Goal - Penetration %")&gt;0,D106&gt;=SUMIFS('Data - Monthly Metrics'!$E:$E,'Data - Monthly Metrics'!$A:$A,$B$4-1,'Data - Monthly Metrics'!$B:$B,D$8,'Data - Monthly Metrics'!$C:$C,"Spokane/NE",'Data - Monthly Metrics'!$D:$D,"Goal - Penetration %"))</formula>
    </cfRule>
    <cfRule type="expression" rank="0" priority="269" equalAverage="0" aboveAverage="0" dxfId="2" stopIfTrue="1" text="" percent="0" bottom="0">
      <formula>AND(ISNUMBER(D106),COUNTIFS('Data - Monthly Metrics'!$A:$A,$B$4-1,'Data - Monthly Metrics'!$B:$B,D$8,'Data - Monthly Metrics'!$C:$C,"Spokane/NE",'Data - Monthly Metrics'!$D:$D,"Goal - Penetration %")&gt;0,D106&gt;=SUMIFS('Data - Monthly Metrics'!$E:$E,'Data - Monthly Metrics'!$A:$A,$B$4-1,'Data - Monthly Metrics'!$B:$B,D$8,'Data - Monthly Metrics'!$C:$C,"Spokane/NE",'Data - Monthly Metrics'!$D:$D,"Goal - Penetration %")-0.05)</formula>
    </cfRule>
    <cfRule type="expression" rank="0" priority="270" equalAverage="0" aboveAverage="0" dxfId="1" stopIfTrue="1" text="" percent="0" bottom="0">
      <formula>AND(ISNUMBER(D106),COUNTIFS('Data - Monthly Metrics'!$A:$A,$B$4-1,'Data - Monthly Metrics'!$B:$B,D$8,'Data - Monthly Metrics'!$C:$C,"Spokane/NE",'Data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Metrics'!$C:$C,"Spokane/NE",'Data - Monthly Metrics'!$D:$D,"Goal - Penetration %")&gt;0,F106&gt;=SUMIFS('Data - Monthly Metrics'!$E:$E,'Data - Monthly Metrics'!$A:$A,$B$4,'Data - Monthly Metrics'!$B:$B,F$8,'Data - Monthly Metrics'!$C:$C,"Spokane/NE",'Data - Monthly Metrics'!$D:$D,"Goal - Penetration %"))</formula>
    </cfRule>
    <cfRule type="expression" rank="0" priority="272" equalAverage="0" aboveAverage="0" dxfId="2" stopIfTrue="1" text="" percent="0" bottom="0">
      <formula>AND(ISNUMBER(F106),COUNTIFS('Data - Monthly Metrics'!$A:$A,$B$4,'Data - Monthly Metrics'!$B:$B,F$8,'Data - Monthly Metrics'!$C:$C,"Spokane/NE",'Data - Monthly Metrics'!$D:$D,"Goal - Penetration %")&gt;0,F106&gt;=SUMIFS('Data - Monthly Metrics'!$E:$E,'Data - Monthly Metrics'!$A:$A,$B$4,'Data - Monthly Metrics'!$B:$B,F$8,'Data - Monthly Metrics'!$C:$C,"Spokane/NE",'Data - Monthly Metrics'!$D:$D,"Goal - Penetration %")-0.05)</formula>
    </cfRule>
    <cfRule type="expression" rank="0" priority="273" equalAverage="0" aboveAverage="0" dxfId="1" stopIfTrue="1" text="" percent="0" bottom="0">
      <formula>AND(ISNUMBER(F106),COUNTIFS('Data - Monthly Metrics'!$A:$A,$B$4,'Data - Monthly Metrics'!$B:$B,F$8,'Data - Monthly Metrics'!$C:$C,"Spokane/NE",'Data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Metrics'!$C:$C,"Spokane/NE",'Data - Monthly Metrics'!$D:$D,"Goal - Penetration %")&gt;0,G106&gt;=SUMIFS('Data - Monthly Metrics'!$E:$E,'Data - Monthly Metrics'!$A:$A,$B$4,'Data - Monthly Metrics'!$B:$B,G$8,'Data - Monthly Metrics'!$C:$C,"Spokane/NE",'Data - Monthly Metrics'!$D:$D,"Goal - Penetration %"))</formula>
    </cfRule>
    <cfRule type="expression" rank="0" priority="275" equalAverage="0" aboveAverage="0" dxfId="2" stopIfTrue="1" text="" percent="0" bottom="0">
      <formula>AND(ISNUMBER(G106),COUNTIFS('Data - Monthly Metrics'!$A:$A,$B$4,'Data - Monthly Metrics'!$B:$B,G$8,'Data - Monthly Metrics'!$C:$C,"Spokane/NE",'Data - Monthly Metrics'!$D:$D,"Goal - Penetration %")&gt;0,G106&gt;=SUMIFS('Data - Monthly Metrics'!$E:$E,'Data - Monthly Metrics'!$A:$A,$B$4,'Data - Monthly Metrics'!$B:$B,G$8,'Data - Monthly Metrics'!$C:$C,"Spokane/NE",'Data - Monthly Metrics'!$D:$D,"Goal - Penetration %")-0.05)</formula>
    </cfRule>
    <cfRule type="expression" rank="0" priority="276" equalAverage="0" aboveAverage="0" dxfId="1" stopIfTrue="1" text="" percent="0" bottom="0">
      <formula>AND(ISNUMBER(G106),COUNTIFS('Data - Monthly Metrics'!$A:$A,$B$4,'Data - Monthly Metrics'!$B:$B,G$8,'Data - Monthly Metrics'!$C:$C,"Spokane/NE",'Data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Metrics'!$C:$C,"Spokane/NE",'Data - Monthly Metrics'!$D:$D,"Goal - Penetration %")&gt;0,H106&gt;=SUMIFS('Data - Monthly Metrics'!$E:$E,'Data - Monthly Metrics'!$A:$A,$B$4,'Data - Monthly Metrics'!$B:$B,H$8,'Data - Monthly Metrics'!$C:$C,"Spokane/NE",'Data - Monthly Metrics'!$D:$D,"Goal - Penetration %"))</formula>
    </cfRule>
    <cfRule type="expression" rank="0" priority="278" equalAverage="0" aboveAverage="0" dxfId="2" stopIfTrue="1" text="" percent="0" bottom="0">
      <formula>AND(ISNUMBER(H106),COUNTIFS('Data - Monthly Metrics'!$A:$A,$B$4,'Data - Monthly Metrics'!$B:$B,H$8,'Data - Monthly Metrics'!$C:$C,"Spokane/NE",'Data - Monthly Metrics'!$D:$D,"Goal - Penetration %")&gt;0,H106&gt;=SUMIFS('Data - Monthly Metrics'!$E:$E,'Data - Monthly Metrics'!$A:$A,$B$4,'Data - Monthly Metrics'!$B:$B,H$8,'Data - Monthly Metrics'!$C:$C,"Spokane/NE",'Data - Monthly Metrics'!$D:$D,"Goal - Penetration %")-0.05)</formula>
    </cfRule>
    <cfRule type="expression" rank="0" priority="279" equalAverage="0" aboveAverage="0" dxfId="1" stopIfTrue="1" text="" percent="0" bottom="0">
      <formula>AND(ISNUMBER(H106),COUNTIFS('Data - Monthly Metrics'!$A:$A,$B$4,'Data - Monthly Metrics'!$B:$B,H$8,'Data - Monthly Metrics'!$C:$C,"Spokane/NE",'Data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Metrics'!$C:$C,"Spokane/NE",'Data - Monthly Metrics'!$D:$D,"Goal - Penetration %")&gt;0,J106&gt;=SUMIFS('Data - Monthly Metrics'!$E:$E,'Data - Monthly Metrics'!$A:$A,$B$4,'Data - Monthly Metrics'!$B:$B,J$8,'Data - Monthly Metrics'!$C:$C,"Spokane/NE",'Data - Monthly Metrics'!$D:$D,"Goal - Penetration %"))</formula>
    </cfRule>
    <cfRule type="expression" rank="0" priority="281" equalAverage="0" aboveAverage="0" dxfId="2" stopIfTrue="1" text="" percent="0" bottom="0">
      <formula>AND(ISNUMBER(J106),COUNTIFS('Data - Monthly Metrics'!$A:$A,$B$4,'Data - Monthly Metrics'!$B:$B,J$8,'Data - Monthly Metrics'!$C:$C,"Spokane/NE",'Data - Monthly Metrics'!$D:$D,"Goal - Penetration %")&gt;0,J106&gt;=SUMIFS('Data - Monthly Metrics'!$E:$E,'Data - Monthly Metrics'!$A:$A,$B$4,'Data - Monthly Metrics'!$B:$B,J$8,'Data - Monthly Metrics'!$C:$C,"Spokane/NE",'Data - Monthly Metrics'!$D:$D,"Goal - Penetration %")-0.05)</formula>
    </cfRule>
    <cfRule type="expression" rank="0" priority="282" equalAverage="0" aboveAverage="0" dxfId="1" stopIfTrue="1" text="" percent="0" bottom="0">
      <formula>AND(ISNUMBER(J106),COUNTIFS('Data - Monthly Metrics'!$A:$A,$B$4,'Data - Monthly Metrics'!$B:$B,J$8,'Data - Monthly Metrics'!$C:$C,"Spokane/NE",'Data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Metrics'!$C:$C,"Spokane/NE",'Data - Monthly Metrics'!$D:$D,"Goal - Penetration %")&gt;0,K106&gt;=SUMIFS('Data - Monthly Metrics'!$E:$E,'Data - Monthly Metrics'!$A:$A,$B$4,'Data - Monthly Metrics'!$B:$B,K$8,'Data - Monthly Metrics'!$C:$C,"Spokane/NE",'Data - Monthly Metrics'!$D:$D,"Goal - Penetration %"))</formula>
    </cfRule>
    <cfRule type="expression" rank="0" priority="284" equalAverage="0" aboveAverage="0" dxfId="2" stopIfTrue="1" text="" percent="0" bottom="0">
      <formula>AND(ISNUMBER(K106),COUNTIFS('Data - Monthly Metrics'!$A:$A,$B$4,'Data - Monthly Metrics'!$B:$B,K$8,'Data - Monthly Metrics'!$C:$C,"Spokane/NE",'Data - Monthly Metrics'!$D:$D,"Goal - Penetration %")&gt;0,K106&gt;=SUMIFS('Data - Monthly Metrics'!$E:$E,'Data - Monthly Metrics'!$A:$A,$B$4,'Data - Monthly Metrics'!$B:$B,K$8,'Data - Monthly Metrics'!$C:$C,"Spokane/NE",'Data - Monthly Metrics'!$D:$D,"Goal - Penetration %")-0.05)</formula>
    </cfRule>
    <cfRule type="expression" rank="0" priority="285" equalAverage="0" aboveAverage="0" dxfId="1" stopIfTrue="1" text="" percent="0" bottom="0">
      <formula>AND(ISNUMBER(K106),COUNTIFS('Data - Monthly Metrics'!$A:$A,$B$4,'Data - Monthly Metrics'!$B:$B,K$8,'Data - Monthly Metrics'!$C:$C,"Spokane/NE",'Data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Metrics'!$C:$C,"Spokane/NE",'Data - Monthly Metrics'!$D:$D,"Goal - Penetration %")&gt;0,L106&gt;=SUMIFS('Data - Monthly Metrics'!$E:$E,'Data - Monthly Metrics'!$A:$A,$B$4,'Data - Monthly Metrics'!$B:$B,L$8,'Data - Monthly Metrics'!$C:$C,"Spokane/NE",'Data - Monthly Metrics'!$D:$D,"Goal - Penetration %"))</formula>
    </cfRule>
    <cfRule type="expression" rank="0" priority="287" equalAverage="0" aboveAverage="0" dxfId="2" stopIfTrue="1" text="" percent="0" bottom="0">
      <formula>AND(ISNUMBER(L106),COUNTIFS('Data - Monthly Metrics'!$A:$A,$B$4,'Data - Monthly Metrics'!$B:$B,L$8,'Data - Monthly Metrics'!$C:$C,"Spokane/NE",'Data - Monthly Metrics'!$D:$D,"Goal - Penetration %")&gt;0,L106&gt;=SUMIFS('Data - Monthly Metrics'!$E:$E,'Data - Monthly Metrics'!$A:$A,$B$4,'Data - Monthly Metrics'!$B:$B,L$8,'Data - Monthly Metrics'!$C:$C,"Spokane/NE",'Data - Monthly Metrics'!$D:$D,"Goal - Penetration %")-0.05)</formula>
    </cfRule>
    <cfRule type="expression" rank="0" priority="288" equalAverage="0" aboveAverage="0" dxfId="1" stopIfTrue="1" text="" percent="0" bottom="0">
      <formula>AND(ISNUMBER(L106),COUNTIFS('Data - Monthly Metrics'!$A:$A,$B$4,'Data - Monthly Metrics'!$B:$B,L$8,'Data - Monthly Metrics'!$C:$C,"Spokane/NE",'Data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Metrics'!$C:$C,"Spokane/NE",'Data - Monthly Metrics'!$D:$D,"Goal - Penetration %")&gt;0,N106&gt;=SUMIFS('Data - Monthly Metrics'!$E:$E,'Data - Monthly Metrics'!$A:$A,$B$4,'Data - Monthly Metrics'!$B:$B,N$8,'Data - Monthly Metrics'!$C:$C,"Spokane/NE",'Data - Monthly Metrics'!$D:$D,"Goal - Penetration %"))</formula>
    </cfRule>
    <cfRule type="expression" rank="0" priority="290" equalAverage="0" aboveAverage="0" dxfId="2" stopIfTrue="1" text="" percent="0" bottom="0">
      <formula>AND(ISNUMBER(N106),COUNTIFS('Data - Monthly Metrics'!$A:$A,$B$4,'Data - Monthly Metrics'!$B:$B,N$8,'Data - Monthly Metrics'!$C:$C,"Spokane/NE",'Data - Monthly Metrics'!$D:$D,"Goal - Penetration %")&gt;0,N106&gt;=SUMIFS('Data - Monthly Metrics'!$E:$E,'Data - Monthly Metrics'!$A:$A,$B$4,'Data - Monthly Metrics'!$B:$B,N$8,'Data - Monthly Metrics'!$C:$C,"Spokane/NE",'Data - Monthly Metrics'!$D:$D,"Goal - Penetration %")-0.05)</formula>
    </cfRule>
    <cfRule type="expression" rank="0" priority="291" equalAverage="0" aboveAverage="0" dxfId="1" stopIfTrue="1" text="" percent="0" bottom="0">
      <formula>AND(ISNUMBER(N106),COUNTIFS('Data - Monthly Metrics'!$A:$A,$B$4,'Data - Monthly Metrics'!$B:$B,N$8,'Data - Monthly Metrics'!$C:$C,"Spokane/NE",'Data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Metrics'!$C:$C,"Spokane/NE",'Data - Monthly Metrics'!$D:$D,"Goal - Penetration %")&gt;0,O106&gt;=SUMIFS('Data - Monthly Metrics'!$E:$E,'Data - Monthly Metrics'!$A:$A,$B$4,'Data - Monthly Metrics'!$B:$B,O$8,'Data - Monthly Metrics'!$C:$C,"Spokane/NE",'Data - Monthly Metrics'!$D:$D,"Goal - Penetration %"))</formula>
    </cfRule>
    <cfRule type="expression" rank="0" priority="293" equalAverage="0" aboveAverage="0" dxfId="2" stopIfTrue="1" text="" percent="0" bottom="0">
      <formula>AND(ISNUMBER(O106),COUNTIFS('Data - Monthly Metrics'!$A:$A,$B$4,'Data - Monthly Metrics'!$B:$B,O$8,'Data - Monthly Metrics'!$C:$C,"Spokane/NE",'Data - Monthly Metrics'!$D:$D,"Goal - Penetration %")&gt;0,O106&gt;=SUMIFS('Data - Monthly Metrics'!$E:$E,'Data - Monthly Metrics'!$A:$A,$B$4,'Data - Monthly Metrics'!$B:$B,O$8,'Data - Monthly Metrics'!$C:$C,"Spokane/NE",'Data - Monthly Metrics'!$D:$D,"Goal - Penetration %")-0.05)</formula>
    </cfRule>
    <cfRule type="expression" rank="0" priority="294" equalAverage="0" aboveAverage="0" dxfId="1" stopIfTrue="1" text="" percent="0" bottom="0">
      <formula>AND(ISNUMBER(O106),COUNTIFS('Data - Monthly Metrics'!$A:$A,$B$4,'Data - Monthly Metrics'!$B:$B,O$8,'Data - Monthly Metrics'!$C:$C,"Spokane/NE",'Data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Metrics'!$C:$C,"Spokane/NE",'Data - Monthly Metrics'!$D:$D,"Goal - Penetration %")&gt;0,P106&gt;=SUMIFS('Data - Monthly Metrics'!$E:$E,'Data - Monthly Metrics'!$A:$A,$B$4,'Data - Monthly Metrics'!$B:$B,P$8,'Data - Monthly Metrics'!$C:$C,"Spokane/NE",'Data - Monthly Metrics'!$D:$D,"Goal - Penetration %"))</formula>
    </cfRule>
    <cfRule type="expression" rank="0" priority="296" equalAverage="0" aboveAverage="0" dxfId="2" stopIfTrue="1" text="" percent="0" bottom="0">
      <formula>AND(ISNUMBER(P106),COUNTIFS('Data - Monthly Metrics'!$A:$A,$B$4,'Data - Monthly Metrics'!$B:$B,P$8,'Data - Monthly Metrics'!$C:$C,"Spokane/NE",'Data - Monthly Metrics'!$D:$D,"Goal - Penetration %")&gt;0,P106&gt;=SUMIFS('Data - Monthly Metrics'!$E:$E,'Data - Monthly Metrics'!$A:$A,$B$4,'Data - Monthly Metrics'!$B:$B,P$8,'Data - Monthly Metrics'!$C:$C,"Spokane/NE",'Data - Monthly Metrics'!$D:$D,"Goal - Penetration %")-0.05)</formula>
    </cfRule>
    <cfRule type="expression" rank="0" priority="297" equalAverage="0" aboveAverage="0" dxfId="1" stopIfTrue="1" text="" percent="0" bottom="0">
      <formula>AND(ISNUMBER(P106),COUNTIFS('Data - Monthly Metrics'!$A:$A,$B$4,'Data - Monthly Metrics'!$B:$B,P$8,'Data - Monthly Metrics'!$C:$C,"Spokane/NE",'Data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Metrics'!$C:$C,"Spokane/NE",'Data - Monthly Metrics'!$D:$D,"Goal - Penetration %")&gt;0,B107&gt;=SUMIFS('Data - Monthly Metrics'!$E:$E,'Data - Monthly Metrics'!$A:$A,$B$4-1,'Data - Monthly Metrics'!$B:$B,B$8,'Data - Monthly Metrics'!$C:$C,"Spokane/NE",'Data - Monthly Metrics'!$D:$D,"Goal - Penetration %"))</formula>
    </cfRule>
    <cfRule type="expression" rank="0" priority="299" equalAverage="0" aboveAverage="0" dxfId="2" stopIfTrue="1" text="" percent="0" bottom="0">
      <formula>AND(ISNUMBER(B107),COUNTIFS('Data - Monthly Metrics'!$A:$A,$B$4-1,'Data - Monthly Metrics'!$B:$B,B$8,'Data - Monthly Metrics'!$C:$C,"Spokane/NE",'Data - Monthly Metrics'!$D:$D,"Goal - Penetration %")&gt;0,B107&gt;=SUMIFS('Data - Monthly Metrics'!$E:$E,'Data - Monthly Metrics'!$A:$A,$B$4-1,'Data - Monthly Metrics'!$B:$B,B$8,'Data - Monthly Metrics'!$C:$C,"Spokane/NE",'Data - Monthly Metrics'!$D:$D,"Goal - Penetration %")-0.05)</formula>
    </cfRule>
    <cfRule type="expression" rank="0" priority="300" equalAverage="0" aboveAverage="0" dxfId="1" stopIfTrue="1" text="" percent="0" bottom="0">
      <formula>AND(ISNUMBER(B107),COUNTIFS('Data - Monthly Metrics'!$A:$A,$B$4-1,'Data - Monthly Metrics'!$B:$B,B$8,'Data - Monthly Metrics'!$C:$C,"Spokane/NE",'Data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Metrics'!$C:$C,"Spokane/NE",'Data - Monthly Metrics'!$D:$D,"Goal - Penetration %")&gt;0,C107&gt;=SUMIFS('Data - Monthly Metrics'!$E:$E,'Data - Monthly Metrics'!$A:$A,$B$4-1,'Data - Monthly Metrics'!$B:$B,C$8,'Data - Monthly Metrics'!$C:$C,"Spokane/NE",'Data - Monthly Metrics'!$D:$D,"Goal - Penetration %"))</formula>
    </cfRule>
    <cfRule type="expression" rank="0" priority="302" equalAverage="0" aboveAverage="0" dxfId="2" stopIfTrue="1" text="" percent="0" bottom="0">
      <formula>AND(ISNUMBER(C107),COUNTIFS('Data - Monthly Metrics'!$A:$A,$B$4-1,'Data - Monthly Metrics'!$B:$B,C$8,'Data - Monthly Metrics'!$C:$C,"Spokane/NE",'Data - Monthly Metrics'!$D:$D,"Goal - Penetration %")&gt;0,C107&gt;=SUMIFS('Data - Monthly Metrics'!$E:$E,'Data - Monthly Metrics'!$A:$A,$B$4-1,'Data - Monthly Metrics'!$B:$B,C$8,'Data - Monthly Metrics'!$C:$C,"Spokane/NE",'Data - Monthly Metrics'!$D:$D,"Goal - Penetration %")-0.05)</formula>
    </cfRule>
    <cfRule type="expression" rank="0" priority="303" equalAverage="0" aboveAverage="0" dxfId="1" stopIfTrue="1" text="" percent="0" bottom="0">
      <formula>AND(ISNUMBER(C107),COUNTIFS('Data - Monthly Metrics'!$A:$A,$B$4-1,'Data - Monthly Metrics'!$B:$B,C$8,'Data - Monthly Metrics'!$C:$C,"Spokane/NE",'Data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Metrics'!$C:$C,"Spokane/NE",'Data - Monthly Metrics'!$D:$D,"Goal - Penetration %")&gt;0,D107&gt;=SUMIFS('Data - Monthly Metrics'!$E:$E,'Data - Monthly Metrics'!$A:$A,$B$4-1,'Data - Monthly Metrics'!$B:$B,D$8,'Data - Monthly Metrics'!$C:$C,"Spokane/NE",'Data - Monthly Metrics'!$D:$D,"Goal - Penetration %"))</formula>
    </cfRule>
    <cfRule type="expression" rank="0" priority="305" equalAverage="0" aboveAverage="0" dxfId="2" stopIfTrue="1" text="" percent="0" bottom="0">
      <formula>AND(ISNUMBER(D107),COUNTIFS('Data - Monthly Metrics'!$A:$A,$B$4-1,'Data - Monthly Metrics'!$B:$B,D$8,'Data - Monthly Metrics'!$C:$C,"Spokane/NE",'Data - Monthly Metrics'!$D:$D,"Goal - Penetration %")&gt;0,D107&gt;=SUMIFS('Data - Monthly Metrics'!$E:$E,'Data - Monthly Metrics'!$A:$A,$B$4-1,'Data - Monthly Metrics'!$B:$B,D$8,'Data - Monthly Metrics'!$C:$C,"Spokane/NE",'Data - Monthly Metrics'!$D:$D,"Goal - Penetration %")-0.05)</formula>
    </cfRule>
    <cfRule type="expression" rank="0" priority="306" equalAverage="0" aboveAverage="0" dxfId="1" stopIfTrue="1" text="" percent="0" bottom="0">
      <formula>AND(ISNUMBER(D107),COUNTIFS('Data - Monthly Metrics'!$A:$A,$B$4-1,'Data - Monthly Metrics'!$B:$B,D$8,'Data - Monthly Metrics'!$C:$C,"Spokane/NE",'Data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Metrics'!$C:$C,"Spokane/NE",'Data - Monthly Metrics'!$D:$D,"Goal - Penetration %")&gt;0,F107&gt;=SUMIFS('Data - Monthly Metrics'!$E:$E,'Data - Monthly Metrics'!$A:$A,$B$4,'Data - Monthly Metrics'!$B:$B,F$8,'Data - Monthly Metrics'!$C:$C,"Spokane/NE",'Data - Monthly Metrics'!$D:$D,"Goal - Penetration %"))</formula>
    </cfRule>
    <cfRule type="expression" rank="0" priority="308" equalAverage="0" aboveAverage="0" dxfId="2" stopIfTrue="1" text="" percent="0" bottom="0">
      <formula>AND(ISNUMBER(F107),COUNTIFS('Data - Monthly Metrics'!$A:$A,$B$4,'Data - Monthly Metrics'!$B:$B,F$8,'Data - Monthly Metrics'!$C:$C,"Spokane/NE",'Data - Monthly Metrics'!$D:$D,"Goal - Penetration %")&gt;0,F107&gt;=SUMIFS('Data - Monthly Metrics'!$E:$E,'Data - Monthly Metrics'!$A:$A,$B$4,'Data - Monthly Metrics'!$B:$B,F$8,'Data - Monthly Metrics'!$C:$C,"Spokane/NE",'Data - Monthly Metrics'!$D:$D,"Goal - Penetration %")-0.05)</formula>
    </cfRule>
    <cfRule type="expression" rank="0" priority="309" equalAverage="0" aboveAverage="0" dxfId="1" stopIfTrue="1" text="" percent="0" bottom="0">
      <formula>AND(ISNUMBER(F107),COUNTIFS('Data - Monthly Metrics'!$A:$A,$B$4,'Data - Monthly Metrics'!$B:$B,F$8,'Data - Monthly Metrics'!$C:$C,"Spokane/NE",'Data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Metrics'!$C:$C,"Spokane/NE",'Data - Monthly Metrics'!$D:$D,"Goal - Penetration %")&gt;0,G107&gt;=SUMIFS('Data - Monthly Metrics'!$E:$E,'Data - Monthly Metrics'!$A:$A,$B$4,'Data - Monthly Metrics'!$B:$B,G$8,'Data - Monthly Metrics'!$C:$C,"Spokane/NE",'Data - Monthly Metrics'!$D:$D,"Goal - Penetration %"))</formula>
    </cfRule>
    <cfRule type="expression" rank="0" priority="311" equalAverage="0" aboveAverage="0" dxfId="2" stopIfTrue="1" text="" percent="0" bottom="0">
      <formula>AND(ISNUMBER(G107),COUNTIFS('Data - Monthly Metrics'!$A:$A,$B$4,'Data - Monthly Metrics'!$B:$B,G$8,'Data - Monthly Metrics'!$C:$C,"Spokane/NE",'Data - Monthly Metrics'!$D:$D,"Goal - Penetration %")&gt;0,G107&gt;=SUMIFS('Data - Monthly Metrics'!$E:$E,'Data - Monthly Metrics'!$A:$A,$B$4,'Data - Monthly Metrics'!$B:$B,G$8,'Data - Monthly Metrics'!$C:$C,"Spokane/NE",'Data - Monthly Metrics'!$D:$D,"Goal - Penetration %")-0.05)</formula>
    </cfRule>
    <cfRule type="expression" rank="0" priority="312" equalAverage="0" aboveAverage="0" dxfId="1" stopIfTrue="1" text="" percent="0" bottom="0">
      <formula>AND(ISNUMBER(G107),COUNTIFS('Data - Monthly Metrics'!$A:$A,$B$4,'Data - Monthly Metrics'!$B:$B,G$8,'Data - Monthly Metrics'!$C:$C,"Spokane/NE",'Data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Metrics'!$C:$C,"Spokane/NE",'Data - Monthly Metrics'!$D:$D,"Goal - Penetration %")&gt;0,H107&gt;=SUMIFS('Data - Monthly Metrics'!$E:$E,'Data - Monthly Metrics'!$A:$A,$B$4,'Data - Monthly Metrics'!$B:$B,H$8,'Data - Monthly Metrics'!$C:$C,"Spokane/NE",'Data - Monthly Metrics'!$D:$D,"Goal - Penetration %"))</formula>
    </cfRule>
    <cfRule type="expression" rank="0" priority="314" equalAverage="0" aboveAverage="0" dxfId="2" stopIfTrue="1" text="" percent="0" bottom="0">
      <formula>AND(ISNUMBER(H107),COUNTIFS('Data - Monthly Metrics'!$A:$A,$B$4,'Data - Monthly Metrics'!$B:$B,H$8,'Data - Monthly Metrics'!$C:$C,"Spokane/NE",'Data - Monthly Metrics'!$D:$D,"Goal - Penetration %")&gt;0,H107&gt;=SUMIFS('Data - Monthly Metrics'!$E:$E,'Data - Monthly Metrics'!$A:$A,$B$4,'Data - Monthly Metrics'!$B:$B,H$8,'Data - Monthly Metrics'!$C:$C,"Spokane/NE",'Data - Monthly Metrics'!$D:$D,"Goal - Penetration %")-0.05)</formula>
    </cfRule>
    <cfRule type="expression" rank="0" priority="315" equalAverage="0" aboveAverage="0" dxfId="1" stopIfTrue="1" text="" percent="0" bottom="0">
      <formula>AND(ISNUMBER(H107),COUNTIFS('Data - Monthly Metrics'!$A:$A,$B$4,'Data - Monthly Metrics'!$B:$B,H$8,'Data - Monthly Metrics'!$C:$C,"Spokane/NE",'Data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Metrics'!$C:$C,"Spokane/NE",'Data - Monthly Metrics'!$D:$D,"Goal - Penetration %")&gt;0,J107&gt;=SUMIFS('Data - Monthly Metrics'!$E:$E,'Data - Monthly Metrics'!$A:$A,$B$4,'Data - Monthly Metrics'!$B:$B,J$8,'Data - Monthly Metrics'!$C:$C,"Spokane/NE",'Data - Monthly Metrics'!$D:$D,"Goal - Penetration %"))</formula>
    </cfRule>
    <cfRule type="expression" rank="0" priority="317" equalAverage="0" aboveAverage="0" dxfId="2" stopIfTrue="1" text="" percent="0" bottom="0">
      <formula>AND(ISNUMBER(J107),COUNTIFS('Data - Monthly Metrics'!$A:$A,$B$4,'Data - Monthly Metrics'!$B:$B,J$8,'Data - Monthly Metrics'!$C:$C,"Spokane/NE",'Data - Monthly Metrics'!$D:$D,"Goal - Penetration %")&gt;0,J107&gt;=SUMIFS('Data - Monthly Metrics'!$E:$E,'Data - Monthly Metrics'!$A:$A,$B$4,'Data - Monthly Metrics'!$B:$B,J$8,'Data - Monthly Metrics'!$C:$C,"Spokane/NE",'Data - Monthly Metrics'!$D:$D,"Goal - Penetration %")-0.05)</formula>
    </cfRule>
    <cfRule type="expression" rank="0" priority="318" equalAverage="0" aboveAverage="0" dxfId="1" stopIfTrue="1" text="" percent="0" bottom="0">
      <formula>AND(ISNUMBER(J107),COUNTIFS('Data - Monthly Metrics'!$A:$A,$B$4,'Data - Monthly Metrics'!$B:$B,J$8,'Data - Monthly Metrics'!$C:$C,"Spokane/NE",'Data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Metrics'!$C:$C,"Spokane/NE",'Data - Monthly Metrics'!$D:$D,"Goal - Penetration %")&gt;0,K107&gt;=SUMIFS('Data - Monthly Metrics'!$E:$E,'Data - Monthly Metrics'!$A:$A,$B$4,'Data - Monthly Metrics'!$B:$B,K$8,'Data - Monthly Metrics'!$C:$C,"Spokane/NE",'Data - Monthly Metrics'!$D:$D,"Goal - Penetration %"))</formula>
    </cfRule>
    <cfRule type="expression" rank="0" priority="320" equalAverage="0" aboveAverage="0" dxfId="2" stopIfTrue="1" text="" percent="0" bottom="0">
      <formula>AND(ISNUMBER(K107),COUNTIFS('Data - Monthly Metrics'!$A:$A,$B$4,'Data - Monthly Metrics'!$B:$B,K$8,'Data - Monthly Metrics'!$C:$C,"Spokane/NE",'Data - Monthly Metrics'!$D:$D,"Goal - Penetration %")&gt;0,K107&gt;=SUMIFS('Data - Monthly Metrics'!$E:$E,'Data - Monthly Metrics'!$A:$A,$B$4,'Data - Monthly Metrics'!$B:$B,K$8,'Data - Monthly Metrics'!$C:$C,"Spokane/NE",'Data - Monthly Metrics'!$D:$D,"Goal - Penetration %")-0.05)</formula>
    </cfRule>
    <cfRule type="expression" rank="0" priority="321" equalAverage="0" aboveAverage="0" dxfId="1" stopIfTrue="1" text="" percent="0" bottom="0">
      <formula>AND(ISNUMBER(K107),COUNTIFS('Data - Monthly Metrics'!$A:$A,$B$4,'Data - Monthly Metrics'!$B:$B,K$8,'Data - Monthly Metrics'!$C:$C,"Spokane/NE",'Data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Metrics'!$C:$C,"Spokane/NE",'Data - Monthly Metrics'!$D:$D,"Goal - Penetration %")&gt;0,L107&gt;=SUMIFS('Data - Monthly Metrics'!$E:$E,'Data - Monthly Metrics'!$A:$A,$B$4,'Data - Monthly Metrics'!$B:$B,L$8,'Data - Monthly Metrics'!$C:$C,"Spokane/NE",'Data - Monthly Metrics'!$D:$D,"Goal - Penetration %"))</formula>
    </cfRule>
    <cfRule type="expression" rank="0" priority="323" equalAverage="0" aboveAverage="0" dxfId="2" stopIfTrue="1" text="" percent="0" bottom="0">
      <formula>AND(ISNUMBER(L107),COUNTIFS('Data - Monthly Metrics'!$A:$A,$B$4,'Data - Monthly Metrics'!$B:$B,L$8,'Data - Monthly Metrics'!$C:$C,"Spokane/NE",'Data - Monthly Metrics'!$D:$D,"Goal - Penetration %")&gt;0,L107&gt;=SUMIFS('Data - Monthly Metrics'!$E:$E,'Data - Monthly Metrics'!$A:$A,$B$4,'Data - Monthly Metrics'!$B:$B,L$8,'Data - Monthly Metrics'!$C:$C,"Spokane/NE",'Data - Monthly Metrics'!$D:$D,"Goal - Penetration %")-0.05)</formula>
    </cfRule>
    <cfRule type="expression" rank="0" priority="324" equalAverage="0" aboveAverage="0" dxfId="1" stopIfTrue="1" text="" percent="0" bottom="0">
      <formula>AND(ISNUMBER(L107),COUNTIFS('Data - Monthly Metrics'!$A:$A,$B$4,'Data - Monthly Metrics'!$B:$B,L$8,'Data - Monthly Metrics'!$C:$C,"Spokane/NE",'Data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Metrics'!$C:$C,"Spokane/NE",'Data - Monthly Metrics'!$D:$D,"Goal - Penetration %")&gt;0,N107&gt;=SUMIFS('Data - Monthly Metrics'!$E:$E,'Data - Monthly Metrics'!$A:$A,$B$4,'Data - Monthly Metrics'!$B:$B,N$8,'Data - Monthly Metrics'!$C:$C,"Spokane/NE",'Data - Monthly Metrics'!$D:$D,"Goal - Penetration %"))</formula>
    </cfRule>
    <cfRule type="expression" rank="0" priority="326" equalAverage="0" aboveAverage="0" dxfId="2" stopIfTrue="1" text="" percent="0" bottom="0">
      <formula>AND(ISNUMBER(N107),COUNTIFS('Data - Monthly Metrics'!$A:$A,$B$4,'Data - Monthly Metrics'!$B:$B,N$8,'Data - Monthly Metrics'!$C:$C,"Spokane/NE",'Data - Monthly Metrics'!$D:$D,"Goal - Penetration %")&gt;0,N107&gt;=SUMIFS('Data - Monthly Metrics'!$E:$E,'Data - Monthly Metrics'!$A:$A,$B$4,'Data - Monthly Metrics'!$B:$B,N$8,'Data - Monthly Metrics'!$C:$C,"Spokane/NE",'Data - Monthly Metrics'!$D:$D,"Goal - Penetration %")-0.05)</formula>
    </cfRule>
    <cfRule type="expression" rank="0" priority="327" equalAverage="0" aboveAverage="0" dxfId="1" stopIfTrue="1" text="" percent="0" bottom="0">
      <formula>AND(ISNUMBER(N107),COUNTIFS('Data - Monthly Metrics'!$A:$A,$B$4,'Data - Monthly Metrics'!$B:$B,N$8,'Data - Monthly Metrics'!$C:$C,"Spokane/NE",'Data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Metrics'!$C:$C,"Spokane/NE",'Data - Monthly Metrics'!$D:$D,"Goal - Penetration %")&gt;0,O107&gt;=SUMIFS('Data - Monthly Metrics'!$E:$E,'Data - Monthly Metrics'!$A:$A,$B$4,'Data - Monthly Metrics'!$B:$B,O$8,'Data - Monthly Metrics'!$C:$C,"Spokane/NE",'Data - Monthly Metrics'!$D:$D,"Goal - Penetration %"))</formula>
    </cfRule>
    <cfRule type="expression" rank="0" priority="329" equalAverage="0" aboveAverage="0" dxfId="2" stopIfTrue="1" text="" percent="0" bottom="0">
      <formula>AND(ISNUMBER(O107),COUNTIFS('Data - Monthly Metrics'!$A:$A,$B$4,'Data - Monthly Metrics'!$B:$B,O$8,'Data - Monthly Metrics'!$C:$C,"Spokane/NE",'Data - Monthly Metrics'!$D:$D,"Goal - Penetration %")&gt;0,O107&gt;=SUMIFS('Data - Monthly Metrics'!$E:$E,'Data - Monthly Metrics'!$A:$A,$B$4,'Data - Monthly Metrics'!$B:$B,O$8,'Data - Monthly Metrics'!$C:$C,"Spokane/NE",'Data - Monthly Metrics'!$D:$D,"Goal - Penetration %")-0.05)</formula>
    </cfRule>
    <cfRule type="expression" rank="0" priority="330" equalAverage="0" aboveAverage="0" dxfId="1" stopIfTrue="1" text="" percent="0" bottom="0">
      <formula>AND(ISNUMBER(O107),COUNTIFS('Data - Monthly Metrics'!$A:$A,$B$4,'Data - Monthly Metrics'!$B:$B,O$8,'Data - Monthly Metrics'!$C:$C,"Spokane/NE",'Data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Metrics'!$C:$C,"Spokane/NE",'Data - Monthly Metrics'!$D:$D,"Goal - Penetration %")&gt;0,P107&gt;=SUMIFS('Data - Monthly Metrics'!$E:$E,'Data - Monthly Metrics'!$A:$A,$B$4,'Data - Monthly Metrics'!$B:$B,P$8,'Data - Monthly Metrics'!$C:$C,"Spokane/NE",'Data - Monthly Metrics'!$D:$D,"Goal - Penetration %"))</formula>
    </cfRule>
    <cfRule type="expression" rank="0" priority="332" equalAverage="0" aboveAverage="0" dxfId="2" stopIfTrue="1" text="" percent="0" bottom="0">
      <formula>AND(ISNUMBER(P107),COUNTIFS('Data - Monthly Metrics'!$A:$A,$B$4,'Data - Monthly Metrics'!$B:$B,P$8,'Data - Monthly Metrics'!$C:$C,"Spokane/NE",'Data - Monthly Metrics'!$D:$D,"Goal - Penetration %")&gt;0,P107&gt;=SUMIFS('Data - Monthly Metrics'!$E:$E,'Data - Monthly Metrics'!$A:$A,$B$4,'Data - Monthly Metrics'!$B:$B,P$8,'Data - Monthly Metrics'!$C:$C,"Spokane/NE",'Data - Monthly Metrics'!$D:$D,"Goal - Penetration %")-0.05)</formula>
    </cfRule>
    <cfRule type="expression" rank="0" priority="333" equalAverage="0" aboveAverage="0" dxfId="1" stopIfTrue="1" text="" percent="0" bottom="0">
      <formula>AND(ISNUMBER(P107),COUNTIFS('Data - Monthly Metrics'!$A:$A,$B$4,'Data - Monthly Metrics'!$B:$B,P$8,'Data - Monthly Metrics'!$C:$C,"Spokane/NE",'Data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Metrics'!$C:$C,"Spokane/NE",'Data - Monthly Metrics'!$D:$D,"Goal - Retention %")&gt;0,B19&gt;=SUMIFS('Data - Monthly Metrics'!$E:$E,'Data - Monthly Metrics'!$A:$A,$B$4-1,'Data - Monthly Metrics'!$B:$B,B$8,'Data - Monthly Metrics'!$C:$C,"Spokane/NE",'Data - Monthly Metrics'!$D:$D,"Goal - Retention %"))</formula>
    </cfRule>
    <cfRule type="expression" rank="0" priority="335" equalAverage="0" aboveAverage="0" dxfId="2" stopIfTrue="1" text="" percent="0" bottom="0">
      <formula>AND(ISNUMBER(B19),COUNTIFS('Data - Monthly Metrics'!$A:$A,$B$4-1,'Data - Monthly Metrics'!$B:$B,B$8,'Data - Monthly Metrics'!$C:$C,"Spokane/NE",'Data - Monthly Metrics'!$D:$D,"Goal - Retention %")&gt;0,B19&gt;=SUMIFS('Data - Monthly Metrics'!$E:$E,'Data - Monthly Metrics'!$A:$A,$B$4-1,'Data - Monthly Metrics'!$B:$B,B$8,'Data - Monthly Metrics'!$C:$C,"Spokane/NE",'Data - Monthly Metrics'!$D:$D,"Goal - Retention %")-0.05)</formula>
    </cfRule>
    <cfRule type="expression" rank="0" priority="336" equalAverage="0" aboveAverage="0" dxfId="1" stopIfTrue="1" text="" percent="0" bottom="0">
      <formula>AND(ISNUMBER(B19),COUNTIFS('Data - Monthly Metrics'!$A:$A,$B$4-1,'Data - Monthly Metrics'!$B:$B,B$8,'Data - Monthly Metrics'!$C:$C,"Spokane/NE",'Data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Metrics'!$C:$C,"Spokane/NE",'Data - Monthly Metrics'!$D:$D,"Goal - Retention %")&gt;0,C19&gt;=SUMIFS('Data - Monthly Metrics'!$E:$E,'Data - Monthly Metrics'!$A:$A,$B$4-1,'Data - Monthly Metrics'!$B:$B,C$8,'Data - Monthly Metrics'!$C:$C,"Spokane/NE",'Data - Monthly Metrics'!$D:$D,"Goal - Retention %"))</formula>
    </cfRule>
    <cfRule type="expression" rank="0" priority="338" equalAverage="0" aboveAverage="0" dxfId="2" stopIfTrue="1" text="" percent="0" bottom="0">
      <formula>AND(ISNUMBER(C19),COUNTIFS('Data - Monthly Metrics'!$A:$A,$B$4-1,'Data - Monthly Metrics'!$B:$B,C$8,'Data - Monthly Metrics'!$C:$C,"Spokane/NE",'Data - Monthly Metrics'!$D:$D,"Goal - Retention %")&gt;0,C19&gt;=SUMIFS('Data - Monthly Metrics'!$E:$E,'Data - Monthly Metrics'!$A:$A,$B$4-1,'Data - Monthly Metrics'!$B:$B,C$8,'Data - Monthly Metrics'!$C:$C,"Spokane/NE",'Data - Monthly Metrics'!$D:$D,"Goal - Retention %")-0.05)</formula>
    </cfRule>
    <cfRule type="expression" rank="0" priority="339" equalAverage="0" aboveAverage="0" dxfId="1" stopIfTrue="1" text="" percent="0" bottom="0">
      <formula>AND(ISNUMBER(C19),COUNTIFS('Data - Monthly Metrics'!$A:$A,$B$4-1,'Data - Monthly Metrics'!$B:$B,C$8,'Data - Monthly Metrics'!$C:$C,"Spokane/NE",'Data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Metrics'!$C:$C,"Spokane/NE",'Data - Monthly Metrics'!$D:$D,"Goal - Retention %")&gt;0,D19&gt;=SUMIFS('Data - Monthly Metrics'!$E:$E,'Data - Monthly Metrics'!$A:$A,$B$4-1,'Data - Monthly Metrics'!$B:$B,D$8,'Data - Monthly Metrics'!$C:$C,"Spokane/NE",'Data - Monthly Metrics'!$D:$D,"Goal - Retention %"))</formula>
    </cfRule>
    <cfRule type="expression" rank="0" priority="341" equalAverage="0" aboveAverage="0" dxfId="2" stopIfTrue="1" text="" percent="0" bottom="0">
      <formula>AND(ISNUMBER(D19),COUNTIFS('Data - Monthly Metrics'!$A:$A,$B$4-1,'Data - Monthly Metrics'!$B:$B,D$8,'Data - Monthly Metrics'!$C:$C,"Spokane/NE",'Data - Monthly Metrics'!$D:$D,"Goal - Retention %")&gt;0,D19&gt;=SUMIFS('Data - Monthly Metrics'!$E:$E,'Data - Monthly Metrics'!$A:$A,$B$4-1,'Data - Monthly Metrics'!$B:$B,D$8,'Data - Monthly Metrics'!$C:$C,"Spokane/NE",'Data - Monthly Metrics'!$D:$D,"Goal - Retention %")-0.05)</formula>
    </cfRule>
    <cfRule type="expression" rank="0" priority="342" equalAverage="0" aboveAverage="0" dxfId="1" stopIfTrue="1" text="" percent="0" bottom="0">
      <formula>AND(ISNUMBER(D19),COUNTIFS('Data - Monthly Metrics'!$A:$A,$B$4-1,'Data - Monthly Metrics'!$B:$B,D$8,'Data - Monthly Metrics'!$C:$C,"Spokane/NE",'Data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Metrics'!$C:$C,"Spokane/NE",'Data - Monthly Metrics'!$D:$D,"Goal - Retention %")&gt;0,F19&gt;=SUMIFS('Data - Monthly Metrics'!$E:$E,'Data - Monthly Metrics'!$A:$A,$B$4,'Data - Monthly Metrics'!$B:$B,F$8,'Data - Monthly Metrics'!$C:$C,"Spokane/NE",'Data - Monthly Metrics'!$D:$D,"Goal - Retention %"))</formula>
    </cfRule>
    <cfRule type="expression" rank="0" priority="344" equalAverage="0" aboveAverage="0" dxfId="2" stopIfTrue="1" text="" percent="0" bottom="0">
      <formula>AND(ISNUMBER(F19),COUNTIFS('Data - Monthly Metrics'!$A:$A,$B$4,'Data - Monthly Metrics'!$B:$B,F$8,'Data - Monthly Metrics'!$C:$C,"Spokane/NE",'Data - Monthly Metrics'!$D:$D,"Goal - Retention %")&gt;0,F19&gt;=SUMIFS('Data - Monthly Metrics'!$E:$E,'Data - Monthly Metrics'!$A:$A,$B$4,'Data - Monthly Metrics'!$B:$B,F$8,'Data - Monthly Metrics'!$C:$C,"Spokane/NE",'Data - Monthly Metrics'!$D:$D,"Goal - Retention %")-0.05)</formula>
    </cfRule>
    <cfRule type="expression" rank="0" priority="345" equalAverage="0" aboveAverage="0" dxfId="1" stopIfTrue="1" text="" percent="0" bottom="0">
      <formula>AND(ISNUMBER(F19),COUNTIFS('Data - Monthly Metrics'!$A:$A,$B$4,'Data - Monthly Metrics'!$B:$B,F$8,'Data - Monthly Metrics'!$C:$C,"Spokane/NE",'Data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Metrics'!$C:$C,"Spokane/NE",'Data - Monthly Metrics'!$D:$D,"Goal - Retention %")&gt;0,G19&gt;=SUMIFS('Data - Monthly Metrics'!$E:$E,'Data - Monthly Metrics'!$A:$A,$B$4,'Data - Monthly Metrics'!$B:$B,G$8,'Data - Monthly Metrics'!$C:$C,"Spokane/NE",'Data - Monthly Metrics'!$D:$D,"Goal - Retention %"))</formula>
    </cfRule>
    <cfRule type="expression" rank="0" priority="347" equalAverage="0" aboveAverage="0" dxfId="2" stopIfTrue="1" text="" percent="0" bottom="0">
      <formula>AND(ISNUMBER(G19),COUNTIFS('Data - Monthly Metrics'!$A:$A,$B$4,'Data - Monthly Metrics'!$B:$B,G$8,'Data - Monthly Metrics'!$C:$C,"Spokane/NE",'Data - Monthly Metrics'!$D:$D,"Goal - Retention %")&gt;0,G19&gt;=SUMIFS('Data - Monthly Metrics'!$E:$E,'Data - Monthly Metrics'!$A:$A,$B$4,'Data - Monthly Metrics'!$B:$B,G$8,'Data - Monthly Metrics'!$C:$C,"Spokane/NE",'Data - Monthly Metrics'!$D:$D,"Goal - Retention %")-0.05)</formula>
    </cfRule>
    <cfRule type="expression" rank="0" priority="348" equalAverage="0" aboveAverage="0" dxfId="1" stopIfTrue="1" text="" percent="0" bottom="0">
      <formula>AND(ISNUMBER(G19),COUNTIFS('Data - Monthly Metrics'!$A:$A,$B$4,'Data - Monthly Metrics'!$B:$B,G$8,'Data - Monthly Metrics'!$C:$C,"Spokane/NE",'Data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Metrics'!$C:$C,"Spokane/NE",'Data - Monthly Metrics'!$D:$D,"Goal - Retention %")&gt;0,H19&gt;=SUMIFS('Data - Monthly Metrics'!$E:$E,'Data - Monthly Metrics'!$A:$A,$B$4,'Data - Monthly Metrics'!$B:$B,H$8,'Data - Monthly Metrics'!$C:$C,"Spokane/NE",'Data - Monthly Metrics'!$D:$D,"Goal - Retention %"))</formula>
    </cfRule>
    <cfRule type="expression" rank="0" priority="350" equalAverage="0" aboveAverage="0" dxfId="2" stopIfTrue="1" text="" percent="0" bottom="0">
      <formula>AND(ISNUMBER(H19),COUNTIFS('Data - Monthly Metrics'!$A:$A,$B$4,'Data - Monthly Metrics'!$B:$B,H$8,'Data - Monthly Metrics'!$C:$C,"Spokane/NE",'Data - Monthly Metrics'!$D:$D,"Goal - Retention %")&gt;0,H19&gt;=SUMIFS('Data - Monthly Metrics'!$E:$E,'Data - Monthly Metrics'!$A:$A,$B$4,'Data - Monthly Metrics'!$B:$B,H$8,'Data - Monthly Metrics'!$C:$C,"Spokane/NE",'Data - Monthly Metrics'!$D:$D,"Goal - Retention %")-0.05)</formula>
    </cfRule>
    <cfRule type="expression" rank="0" priority="351" equalAverage="0" aboveAverage="0" dxfId="1" stopIfTrue="1" text="" percent="0" bottom="0">
      <formula>AND(ISNUMBER(H19),COUNTIFS('Data - Monthly Metrics'!$A:$A,$B$4,'Data - Monthly Metrics'!$B:$B,H$8,'Data - Monthly Metrics'!$C:$C,"Spokane/NE",'Data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Metrics'!$C:$C,"Spokane/NE",'Data - Monthly Metrics'!$D:$D,"Goal - Retention %")&gt;0,J19&gt;=SUMIFS('Data - Monthly Metrics'!$E:$E,'Data - Monthly Metrics'!$A:$A,$B$4,'Data - Monthly Metrics'!$B:$B,J$8,'Data - Monthly Metrics'!$C:$C,"Spokane/NE",'Data - Monthly Metrics'!$D:$D,"Goal - Retention %"))</formula>
    </cfRule>
    <cfRule type="expression" rank="0" priority="353" equalAverage="0" aboveAverage="0" dxfId="2" stopIfTrue="1" text="" percent="0" bottom="0">
      <formula>AND(ISNUMBER(J19),COUNTIFS('Data - Monthly Metrics'!$A:$A,$B$4,'Data - Monthly Metrics'!$B:$B,J$8,'Data - Monthly Metrics'!$C:$C,"Spokane/NE",'Data - Monthly Metrics'!$D:$D,"Goal - Retention %")&gt;0,J19&gt;=SUMIFS('Data - Monthly Metrics'!$E:$E,'Data - Monthly Metrics'!$A:$A,$B$4,'Data - Monthly Metrics'!$B:$B,J$8,'Data - Monthly Metrics'!$C:$C,"Spokane/NE",'Data - Monthly Metrics'!$D:$D,"Goal - Retention %")-0.05)</formula>
    </cfRule>
    <cfRule type="expression" rank="0" priority="354" equalAverage="0" aboveAverage="0" dxfId="1" stopIfTrue="1" text="" percent="0" bottom="0">
      <formula>AND(ISNUMBER(J19),COUNTIFS('Data - Monthly Metrics'!$A:$A,$B$4,'Data - Monthly Metrics'!$B:$B,J$8,'Data - Monthly Metrics'!$C:$C,"Spokane/NE",'Data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Metrics'!$C:$C,"Spokane/NE",'Data - Monthly Metrics'!$D:$D,"Goal - Retention %")&gt;0,K19&gt;=SUMIFS('Data - Monthly Metrics'!$E:$E,'Data - Monthly Metrics'!$A:$A,$B$4,'Data - Monthly Metrics'!$B:$B,K$8,'Data - Monthly Metrics'!$C:$C,"Spokane/NE",'Data - Monthly Metrics'!$D:$D,"Goal - Retention %"))</formula>
    </cfRule>
    <cfRule type="expression" rank="0" priority="356" equalAverage="0" aboveAverage="0" dxfId="2" stopIfTrue="1" text="" percent="0" bottom="0">
      <formula>AND(ISNUMBER(K19),COUNTIFS('Data - Monthly Metrics'!$A:$A,$B$4,'Data - Monthly Metrics'!$B:$B,K$8,'Data - Monthly Metrics'!$C:$C,"Spokane/NE",'Data - Monthly Metrics'!$D:$D,"Goal - Retention %")&gt;0,K19&gt;=SUMIFS('Data - Monthly Metrics'!$E:$E,'Data - Monthly Metrics'!$A:$A,$B$4,'Data - Monthly Metrics'!$B:$B,K$8,'Data - Monthly Metrics'!$C:$C,"Spokane/NE",'Data - Monthly Metrics'!$D:$D,"Goal - Retention %")-0.05)</formula>
    </cfRule>
    <cfRule type="expression" rank="0" priority="357" equalAverage="0" aboveAverage="0" dxfId="1" stopIfTrue="1" text="" percent="0" bottom="0">
      <formula>AND(ISNUMBER(K19),COUNTIFS('Data - Monthly Metrics'!$A:$A,$B$4,'Data - Monthly Metrics'!$B:$B,K$8,'Data - Monthly Metrics'!$C:$C,"Spokane/NE",'Data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Metrics'!$C:$C,"Spokane/NE",'Data - Monthly Metrics'!$D:$D,"Goal - Retention %")&gt;0,L19&gt;=SUMIFS('Data - Monthly Metrics'!$E:$E,'Data - Monthly Metrics'!$A:$A,$B$4,'Data - Monthly Metrics'!$B:$B,L$8,'Data - Monthly Metrics'!$C:$C,"Spokane/NE",'Data - Monthly Metrics'!$D:$D,"Goal - Retention %"))</formula>
    </cfRule>
    <cfRule type="expression" rank="0" priority="359" equalAverage="0" aboveAverage="0" dxfId="2" stopIfTrue="1" text="" percent="0" bottom="0">
      <formula>AND(ISNUMBER(L19),COUNTIFS('Data - Monthly Metrics'!$A:$A,$B$4,'Data - Monthly Metrics'!$B:$B,L$8,'Data - Monthly Metrics'!$C:$C,"Spokane/NE",'Data - Monthly Metrics'!$D:$D,"Goal - Retention %")&gt;0,L19&gt;=SUMIFS('Data - Monthly Metrics'!$E:$E,'Data - Monthly Metrics'!$A:$A,$B$4,'Data - Monthly Metrics'!$B:$B,L$8,'Data - Monthly Metrics'!$C:$C,"Spokane/NE",'Data - Monthly Metrics'!$D:$D,"Goal - Retention %")-0.05)</formula>
    </cfRule>
    <cfRule type="expression" rank="0" priority="360" equalAverage="0" aboveAverage="0" dxfId="1" stopIfTrue="1" text="" percent="0" bottom="0">
      <formula>AND(ISNUMBER(L19),COUNTIFS('Data - Monthly Metrics'!$A:$A,$B$4,'Data - Monthly Metrics'!$B:$B,L$8,'Data - Monthly Metrics'!$C:$C,"Spokane/NE",'Data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Metrics'!$C:$C,"Spokane/NE",'Data - Monthly Metrics'!$D:$D,"Goal - Retention %")&gt;0,N19&gt;=SUMIFS('Data - Monthly Metrics'!$E:$E,'Data - Monthly Metrics'!$A:$A,$B$4,'Data - Monthly Metrics'!$B:$B,N$8,'Data - Monthly Metrics'!$C:$C,"Spokane/NE",'Data - Monthly Metrics'!$D:$D,"Goal - Retention %"))</formula>
    </cfRule>
    <cfRule type="expression" rank="0" priority="362" equalAverage="0" aboveAverage="0" dxfId="2" stopIfTrue="1" text="" percent="0" bottom="0">
      <formula>AND(ISNUMBER(N19),COUNTIFS('Data - Monthly Metrics'!$A:$A,$B$4,'Data - Monthly Metrics'!$B:$B,N$8,'Data - Monthly Metrics'!$C:$C,"Spokane/NE",'Data - Monthly Metrics'!$D:$D,"Goal - Retention %")&gt;0,N19&gt;=SUMIFS('Data - Monthly Metrics'!$E:$E,'Data - Monthly Metrics'!$A:$A,$B$4,'Data - Monthly Metrics'!$B:$B,N$8,'Data - Monthly Metrics'!$C:$C,"Spokane/NE",'Data - Monthly Metrics'!$D:$D,"Goal - Retention %")-0.05)</formula>
    </cfRule>
    <cfRule type="expression" rank="0" priority="363" equalAverage="0" aboveAverage="0" dxfId="1" stopIfTrue="1" text="" percent="0" bottom="0">
      <formula>AND(ISNUMBER(N19),COUNTIFS('Data - Monthly Metrics'!$A:$A,$B$4,'Data - Monthly Metrics'!$B:$B,N$8,'Data - Monthly Metrics'!$C:$C,"Spokane/NE",'Data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Metrics'!$C:$C,"Spokane/NE",'Data - Monthly Metrics'!$D:$D,"Goal - Retention %")&gt;0,O19&gt;=SUMIFS('Data - Monthly Metrics'!$E:$E,'Data - Monthly Metrics'!$A:$A,$B$4,'Data - Monthly Metrics'!$B:$B,O$8,'Data - Monthly Metrics'!$C:$C,"Spokane/NE",'Data - Monthly Metrics'!$D:$D,"Goal - Retention %"))</formula>
    </cfRule>
    <cfRule type="expression" rank="0" priority="365" equalAverage="0" aboveAverage="0" dxfId="2" stopIfTrue="1" text="" percent="0" bottom="0">
      <formula>AND(ISNUMBER(O19),COUNTIFS('Data - Monthly Metrics'!$A:$A,$B$4,'Data - Monthly Metrics'!$B:$B,O$8,'Data - Monthly Metrics'!$C:$C,"Spokane/NE",'Data - Monthly Metrics'!$D:$D,"Goal - Retention %")&gt;0,O19&gt;=SUMIFS('Data - Monthly Metrics'!$E:$E,'Data - Monthly Metrics'!$A:$A,$B$4,'Data - Monthly Metrics'!$B:$B,O$8,'Data - Monthly Metrics'!$C:$C,"Spokane/NE",'Data - Monthly Metrics'!$D:$D,"Goal - Retention %")-0.05)</formula>
    </cfRule>
    <cfRule type="expression" rank="0" priority="366" equalAverage="0" aboveAverage="0" dxfId="1" stopIfTrue="1" text="" percent="0" bottom="0">
      <formula>AND(ISNUMBER(O19),COUNTIFS('Data - Monthly Metrics'!$A:$A,$B$4,'Data - Monthly Metrics'!$B:$B,O$8,'Data - Monthly Metrics'!$C:$C,"Spokane/NE",'Data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Metrics'!$C:$C,"Spokane/NE",'Data - Monthly Metrics'!$D:$D,"Goal - Retention %")&gt;0,P19&gt;=SUMIFS('Data - Monthly Metrics'!$E:$E,'Data - Monthly Metrics'!$A:$A,$B$4,'Data - Monthly Metrics'!$B:$B,P$8,'Data - Monthly Metrics'!$C:$C,"Spokane/NE",'Data - Monthly Metrics'!$D:$D,"Goal - Retention %"))</formula>
    </cfRule>
    <cfRule type="expression" rank="0" priority="368" equalAverage="0" aboveAverage="0" dxfId="2" stopIfTrue="1" text="" percent="0" bottom="0">
      <formula>AND(ISNUMBER(P19),COUNTIFS('Data - Monthly Metrics'!$A:$A,$B$4,'Data - Monthly Metrics'!$B:$B,P$8,'Data - Monthly Metrics'!$C:$C,"Spokane/NE",'Data - Monthly Metrics'!$D:$D,"Goal - Retention %")&gt;0,P19&gt;=SUMIFS('Data - Monthly Metrics'!$E:$E,'Data - Monthly Metrics'!$A:$A,$B$4,'Data - Monthly Metrics'!$B:$B,P$8,'Data - Monthly Metrics'!$C:$C,"Spokane/NE",'Data - Monthly Metrics'!$D:$D,"Goal - Retention %")-0.05)</formula>
    </cfRule>
    <cfRule type="expression" rank="0" priority="369" equalAverage="0" aboveAverage="0" dxfId="1" stopIfTrue="1" text="" percent="0" bottom="0">
      <formula>AND(ISNUMBER(P19),COUNTIFS('Data - Monthly Metrics'!$A:$A,$B$4,'Data - Monthly Metrics'!$B:$B,P$8,'Data - Monthly Metrics'!$C:$C,"Spokane/NE",'Data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Metrics'!$C:$C,"Spokane/NE",'Data - Monthly Metrics'!$D:$D,"Goal - Retention %")&gt;0,B28&gt;=SUMIFS('Data - Monthly Metrics'!$E:$E,'Data - Monthly Metrics'!$A:$A,$B$4-1,'Data - Monthly Metrics'!$B:$B,B$8,'Data - Monthly Metrics'!$C:$C,"Spokane/NE",'Data - Monthly Metrics'!$D:$D,"Goal - Retention %"))</formula>
    </cfRule>
    <cfRule type="expression" rank="0" priority="371" equalAverage="0" aboveAverage="0" dxfId="2" stopIfTrue="1" text="" percent="0" bottom="0">
      <formula>AND(ISNUMBER(B28),COUNTIFS('Data - Monthly Metrics'!$A:$A,$B$4-1,'Data - Monthly Metrics'!$B:$B,B$8,'Data - Monthly Metrics'!$C:$C,"Spokane/NE",'Data - Monthly Metrics'!$D:$D,"Goal - Retention %")&gt;0,B28&gt;=SUMIFS('Data - Monthly Metrics'!$E:$E,'Data - Monthly Metrics'!$A:$A,$B$4-1,'Data - Monthly Metrics'!$B:$B,B$8,'Data - Monthly Metrics'!$C:$C,"Spokane/NE",'Data - Monthly Metrics'!$D:$D,"Goal - Retention %")-0.05)</formula>
    </cfRule>
    <cfRule type="expression" rank="0" priority="372" equalAverage="0" aboveAverage="0" dxfId="1" stopIfTrue="1" text="" percent="0" bottom="0">
      <formula>AND(ISNUMBER(B28),COUNTIFS('Data - Monthly Metrics'!$A:$A,$B$4-1,'Data - Monthly Metrics'!$B:$B,B$8,'Data - Monthly Metrics'!$C:$C,"Spokane/NE",'Data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Metrics'!$C:$C,"Spokane/NE",'Data - Monthly Metrics'!$D:$D,"Goal - Retention %")&gt;0,C28&gt;=SUMIFS('Data - Monthly Metrics'!$E:$E,'Data - Monthly Metrics'!$A:$A,$B$4-1,'Data - Monthly Metrics'!$B:$B,C$8,'Data - Monthly Metrics'!$C:$C,"Spokane/NE",'Data - Monthly Metrics'!$D:$D,"Goal - Retention %"))</formula>
    </cfRule>
    <cfRule type="expression" rank="0" priority="374" equalAverage="0" aboveAverage="0" dxfId="2" stopIfTrue="1" text="" percent="0" bottom="0">
      <formula>AND(ISNUMBER(C28),COUNTIFS('Data - Monthly Metrics'!$A:$A,$B$4-1,'Data - Monthly Metrics'!$B:$B,C$8,'Data - Monthly Metrics'!$C:$C,"Spokane/NE",'Data - Monthly Metrics'!$D:$D,"Goal - Retention %")&gt;0,C28&gt;=SUMIFS('Data - Monthly Metrics'!$E:$E,'Data - Monthly Metrics'!$A:$A,$B$4-1,'Data - Monthly Metrics'!$B:$B,C$8,'Data - Monthly Metrics'!$C:$C,"Spokane/NE",'Data - Monthly Metrics'!$D:$D,"Goal - Retention %")-0.05)</formula>
    </cfRule>
    <cfRule type="expression" rank="0" priority="375" equalAverage="0" aboveAverage="0" dxfId="1" stopIfTrue="1" text="" percent="0" bottom="0">
      <formula>AND(ISNUMBER(C28),COUNTIFS('Data - Monthly Metrics'!$A:$A,$B$4-1,'Data - Monthly Metrics'!$B:$B,C$8,'Data - Monthly Metrics'!$C:$C,"Spokane/NE",'Data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Metrics'!$C:$C,"Spokane/NE",'Data - Monthly Metrics'!$D:$D,"Goal - Retention %")&gt;0,D28&gt;=SUMIFS('Data - Monthly Metrics'!$E:$E,'Data - Monthly Metrics'!$A:$A,$B$4-1,'Data - Monthly Metrics'!$B:$B,D$8,'Data - Monthly Metrics'!$C:$C,"Spokane/NE",'Data - Monthly Metrics'!$D:$D,"Goal - Retention %"))</formula>
    </cfRule>
    <cfRule type="expression" rank="0" priority="377" equalAverage="0" aboveAverage="0" dxfId="2" stopIfTrue="1" text="" percent="0" bottom="0">
      <formula>AND(ISNUMBER(D28),COUNTIFS('Data - Monthly Metrics'!$A:$A,$B$4-1,'Data - Monthly Metrics'!$B:$B,D$8,'Data - Monthly Metrics'!$C:$C,"Spokane/NE",'Data - Monthly Metrics'!$D:$D,"Goal - Retention %")&gt;0,D28&gt;=SUMIFS('Data - Monthly Metrics'!$E:$E,'Data - Monthly Metrics'!$A:$A,$B$4-1,'Data - Monthly Metrics'!$B:$B,D$8,'Data - Monthly Metrics'!$C:$C,"Spokane/NE",'Data - Monthly Metrics'!$D:$D,"Goal - Retention %")-0.05)</formula>
    </cfRule>
    <cfRule type="expression" rank="0" priority="378" equalAverage="0" aboveAverage="0" dxfId="1" stopIfTrue="1" text="" percent="0" bottom="0">
      <formula>AND(ISNUMBER(D28),COUNTIFS('Data - Monthly Metrics'!$A:$A,$B$4-1,'Data - Monthly Metrics'!$B:$B,D$8,'Data - Monthly Metrics'!$C:$C,"Spokane/NE",'Data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Metrics'!$C:$C,"Spokane/NE",'Data - Monthly Metrics'!$D:$D,"Goal - Retention %")&gt;0,F28&gt;=SUMIFS('Data - Monthly Metrics'!$E:$E,'Data - Monthly Metrics'!$A:$A,$B$4,'Data - Monthly Metrics'!$B:$B,F$8,'Data - Monthly Metrics'!$C:$C,"Spokane/NE",'Data - Monthly Metrics'!$D:$D,"Goal - Retention %"))</formula>
    </cfRule>
    <cfRule type="expression" rank="0" priority="380" equalAverage="0" aboveAverage="0" dxfId="2" stopIfTrue="1" text="" percent="0" bottom="0">
      <formula>AND(ISNUMBER(F28),COUNTIFS('Data - Monthly Metrics'!$A:$A,$B$4,'Data - Monthly Metrics'!$B:$B,F$8,'Data - Monthly Metrics'!$C:$C,"Spokane/NE",'Data - Monthly Metrics'!$D:$D,"Goal - Retention %")&gt;0,F28&gt;=SUMIFS('Data - Monthly Metrics'!$E:$E,'Data - Monthly Metrics'!$A:$A,$B$4,'Data - Monthly Metrics'!$B:$B,F$8,'Data - Monthly Metrics'!$C:$C,"Spokane/NE",'Data - Monthly Metrics'!$D:$D,"Goal - Retention %")-0.05)</formula>
    </cfRule>
    <cfRule type="expression" rank="0" priority="381" equalAverage="0" aboveAverage="0" dxfId="1" stopIfTrue="1" text="" percent="0" bottom="0">
      <formula>AND(ISNUMBER(F28),COUNTIFS('Data - Monthly Metrics'!$A:$A,$B$4,'Data - Monthly Metrics'!$B:$B,F$8,'Data - Monthly Metrics'!$C:$C,"Spokane/NE",'Data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Metrics'!$C:$C,"Spokane/NE",'Data - Monthly Metrics'!$D:$D,"Goal - Retention %")&gt;0,G28&gt;=SUMIFS('Data - Monthly Metrics'!$E:$E,'Data - Monthly Metrics'!$A:$A,$B$4,'Data - Monthly Metrics'!$B:$B,G$8,'Data - Monthly Metrics'!$C:$C,"Spokane/NE",'Data - Monthly Metrics'!$D:$D,"Goal - Retention %"))</formula>
    </cfRule>
    <cfRule type="expression" rank="0" priority="383" equalAverage="0" aboveAverage="0" dxfId="2" stopIfTrue="1" text="" percent="0" bottom="0">
      <formula>AND(ISNUMBER(G28),COUNTIFS('Data - Monthly Metrics'!$A:$A,$B$4,'Data - Monthly Metrics'!$B:$B,G$8,'Data - Monthly Metrics'!$C:$C,"Spokane/NE",'Data - Monthly Metrics'!$D:$D,"Goal - Retention %")&gt;0,G28&gt;=SUMIFS('Data - Monthly Metrics'!$E:$E,'Data - Monthly Metrics'!$A:$A,$B$4,'Data - Monthly Metrics'!$B:$B,G$8,'Data - Monthly Metrics'!$C:$C,"Spokane/NE",'Data - Monthly Metrics'!$D:$D,"Goal - Retention %")-0.05)</formula>
    </cfRule>
    <cfRule type="expression" rank="0" priority="384" equalAverage="0" aboveAverage="0" dxfId="1" stopIfTrue="1" text="" percent="0" bottom="0">
      <formula>AND(ISNUMBER(G28),COUNTIFS('Data - Monthly Metrics'!$A:$A,$B$4,'Data - Monthly Metrics'!$B:$B,G$8,'Data - Monthly Metrics'!$C:$C,"Spokane/NE",'Data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Metrics'!$C:$C,"Spokane/NE",'Data - Monthly Metrics'!$D:$D,"Goal - Retention %")&gt;0,H28&gt;=SUMIFS('Data - Monthly Metrics'!$E:$E,'Data - Monthly Metrics'!$A:$A,$B$4,'Data - Monthly Metrics'!$B:$B,H$8,'Data - Monthly Metrics'!$C:$C,"Spokane/NE",'Data - Monthly Metrics'!$D:$D,"Goal - Retention %"))</formula>
    </cfRule>
    <cfRule type="expression" rank="0" priority="386" equalAverage="0" aboveAverage="0" dxfId="2" stopIfTrue="1" text="" percent="0" bottom="0">
      <formula>AND(ISNUMBER(H28),COUNTIFS('Data - Monthly Metrics'!$A:$A,$B$4,'Data - Monthly Metrics'!$B:$B,H$8,'Data - Monthly Metrics'!$C:$C,"Spokane/NE",'Data - Monthly Metrics'!$D:$D,"Goal - Retention %")&gt;0,H28&gt;=SUMIFS('Data - Monthly Metrics'!$E:$E,'Data - Monthly Metrics'!$A:$A,$B$4,'Data - Monthly Metrics'!$B:$B,H$8,'Data - Monthly Metrics'!$C:$C,"Spokane/NE",'Data - Monthly Metrics'!$D:$D,"Goal - Retention %")-0.05)</formula>
    </cfRule>
    <cfRule type="expression" rank="0" priority="387" equalAverage="0" aboveAverage="0" dxfId="1" stopIfTrue="1" text="" percent="0" bottom="0">
      <formula>AND(ISNUMBER(H28),COUNTIFS('Data - Monthly Metrics'!$A:$A,$B$4,'Data - Monthly Metrics'!$B:$B,H$8,'Data - Monthly Metrics'!$C:$C,"Spokane/NE",'Data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Metrics'!$C:$C,"Spokane/NE",'Data - Monthly Metrics'!$D:$D,"Goal - Retention %")&gt;0,J28&gt;=SUMIFS('Data - Monthly Metrics'!$E:$E,'Data - Monthly Metrics'!$A:$A,$B$4,'Data - Monthly Metrics'!$B:$B,J$8,'Data - Monthly Metrics'!$C:$C,"Spokane/NE",'Data - Monthly Metrics'!$D:$D,"Goal - Retention %"))</formula>
    </cfRule>
    <cfRule type="expression" rank="0" priority="389" equalAverage="0" aboveAverage="0" dxfId="2" stopIfTrue="1" text="" percent="0" bottom="0">
      <formula>AND(ISNUMBER(J28),COUNTIFS('Data - Monthly Metrics'!$A:$A,$B$4,'Data - Monthly Metrics'!$B:$B,J$8,'Data - Monthly Metrics'!$C:$C,"Spokane/NE",'Data - Monthly Metrics'!$D:$D,"Goal - Retention %")&gt;0,J28&gt;=SUMIFS('Data - Monthly Metrics'!$E:$E,'Data - Monthly Metrics'!$A:$A,$B$4,'Data - Monthly Metrics'!$B:$B,J$8,'Data - Monthly Metrics'!$C:$C,"Spokane/NE",'Data - Monthly Metrics'!$D:$D,"Goal - Retention %")-0.05)</formula>
    </cfRule>
    <cfRule type="expression" rank="0" priority="390" equalAverage="0" aboveAverage="0" dxfId="1" stopIfTrue="1" text="" percent="0" bottom="0">
      <formula>AND(ISNUMBER(J28),COUNTIFS('Data - Monthly Metrics'!$A:$A,$B$4,'Data - Monthly Metrics'!$B:$B,J$8,'Data - Monthly Metrics'!$C:$C,"Spokane/NE",'Data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Metrics'!$C:$C,"Spokane/NE",'Data - Monthly Metrics'!$D:$D,"Goal - Retention %")&gt;0,K28&gt;=SUMIFS('Data - Monthly Metrics'!$E:$E,'Data - Monthly Metrics'!$A:$A,$B$4,'Data - Monthly Metrics'!$B:$B,K$8,'Data - Monthly Metrics'!$C:$C,"Spokane/NE",'Data - Monthly Metrics'!$D:$D,"Goal - Retention %"))</formula>
    </cfRule>
    <cfRule type="expression" rank="0" priority="392" equalAverage="0" aboveAverage="0" dxfId="2" stopIfTrue="1" text="" percent="0" bottom="0">
      <formula>AND(ISNUMBER(K28),COUNTIFS('Data - Monthly Metrics'!$A:$A,$B$4,'Data - Monthly Metrics'!$B:$B,K$8,'Data - Monthly Metrics'!$C:$C,"Spokane/NE",'Data - Monthly Metrics'!$D:$D,"Goal - Retention %")&gt;0,K28&gt;=SUMIFS('Data - Monthly Metrics'!$E:$E,'Data - Monthly Metrics'!$A:$A,$B$4,'Data - Monthly Metrics'!$B:$B,K$8,'Data - Monthly Metrics'!$C:$C,"Spokane/NE",'Data - Monthly Metrics'!$D:$D,"Goal - Retention %")-0.05)</formula>
    </cfRule>
    <cfRule type="expression" rank="0" priority="393" equalAverage="0" aboveAverage="0" dxfId="1" stopIfTrue="1" text="" percent="0" bottom="0">
      <formula>AND(ISNUMBER(K28),COUNTIFS('Data - Monthly Metrics'!$A:$A,$B$4,'Data - Monthly Metrics'!$B:$B,K$8,'Data - Monthly Metrics'!$C:$C,"Spokane/NE",'Data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Metrics'!$C:$C,"Spokane/NE",'Data - Monthly Metrics'!$D:$D,"Goal - Retention %")&gt;0,L28&gt;=SUMIFS('Data - Monthly Metrics'!$E:$E,'Data - Monthly Metrics'!$A:$A,$B$4,'Data - Monthly Metrics'!$B:$B,L$8,'Data - Monthly Metrics'!$C:$C,"Spokane/NE",'Data - Monthly Metrics'!$D:$D,"Goal - Retention %"))</formula>
    </cfRule>
    <cfRule type="expression" rank="0" priority="395" equalAverage="0" aboveAverage="0" dxfId="2" stopIfTrue="1" text="" percent="0" bottom="0">
      <formula>AND(ISNUMBER(L28),COUNTIFS('Data - Monthly Metrics'!$A:$A,$B$4,'Data - Monthly Metrics'!$B:$B,L$8,'Data - Monthly Metrics'!$C:$C,"Spokane/NE",'Data - Monthly Metrics'!$D:$D,"Goal - Retention %")&gt;0,L28&gt;=SUMIFS('Data - Monthly Metrics'!$E:$E,'Data - Monthly Metrics'!$A:$A,$B$4,'Data - Monthly Metrics'!$B:$B,L$8,'Data - Monthly Metrics'!$C:$C,"Spokane/NE",'Data - Monthly Metrics'!$D:$D,"Goal - Retention %")-0.05)</formula>
    </cfRule>
    <cfRule type="expression" rank="0" priority="396" equalAverage="0" aboveAverage="0" dxfId="1" stopIfTrue="1" text="" percent="0" bottom="0">
      <formula>AND(ISNUMBER(L28),COUNTIFS('Data - Monthly Metrics'!$A:$A,$B$4,'Data - Monthly Metrics'!$B:$B,L$8,'Data - Monthly Metrics'!$C:$C,"Spokane/NE",'Data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Metrics'!$C:$C,"Spokane/NE",'Data - Monthly Metrics'!$D:$D,"Goal - Retention %")&gt;0,N28&gt;=SUMIFS('Data - Monthly Metrics'!$E:$E,'Data - Monthly Metrics'!$A:$A,$B$4,'Data - Monthly Metrics'!$B:$B,N$8,'Data - Monthly Metrics'!$C:$C,"Spokane/NE",'Data - Monthly Metrics'!$D:$D,"Goal - Retention %"))</formula>
    </cfRule>
    <cfRule type="expression" rank="0" priority="398" equalAverage="0" aboveAverage="0" dxfId="2" stopIfTrue="1" text="" percent="0" bottom="0">
      <formula>AND(ISNUMBER(N28),COUNTIFS('Data - Monthly Metrics'!$A:$A,$B$4,'Data - Monthly Metrics'!$B:$B,N$8,'Data - Monthly Metrics'!$C:$C,"Spokane/NE",'Data - Monthly Metrics'!$D:$D,"Goal - Retention %")&gt;0,N28&gt;=SUMIFS('Data - Monthly Metrics'!$E:$E,'Data - Monthly Metrics'!$A:$A,$B$4,'Data - Monthly Metrics'!$B:$B,N$8,'Data - Monthly Metrics'!$C:$C,"Spokane/NE",'Data - Monthly Metrics'!$D:$D,"Goal - Retention %")-0.05)</formula>
    </cfRule>
    <cfRule type="expression" rank="0" priority="399" equalAverage="0" aboveAverage="0" dxfId="1" stopIfTrue="1" text="" percent="0" bottom="0">
      <formula>AND(ISNUMBER(N28),COUNTIFS('Data - Monthly Metrics'!$A:$A,$B$4,'Data - Monthly Metrics'!$B:$B,N$8,'Data - Monthly Metrics'!$C:$C,"Spokane/NE",'Data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Metrics'!$C:$C,"Spokane/NE",'Data - Monthly Metrics'!$D:$D,"Goal - Retention %")&gt;0,O28&gt;=SUMIFS('Data - Monthly Metrics'!$E:$E,'Data - Monthly Metrics'!$A:$A,$B$4,'Data - Monthly Metrics'!$B:$B,O$8,'Data - Monthly Metrics'!$C:$C,"Spokane/NE",'Data - Monthly Metrics'!$D:$D,"Goal - Retention %"))</formula>
    </cfRule>
    <cfRule type="expression" rank="0" priority="401" equalAverage="0" aboveAverage="0" dxfId="2" stopIfTrue="1" text="" percent="0" bottom="0">
      <formula>AND(ISNUMBER(O28),COUNTIFS('Data - Monthly Metrics'!$A:$A,$B$4,'Data - Monthly Metrics'!$B:$B,O$8,'Data - Monthly Metrics'!$C:$C,"Spokane/NE",'Data - Monthly Metrics'!$D:$D,"Goal - Retention %")&gt;0,O28&gt;=SUMIFS('Data - Monthly Metrics'!$E:$E,'Data - Monthly Metrics'!$A:$A,$B$4,'Data - Monthly Metrics'!$B:$B,O$8,'Data - Monthly Metrics'!$C:$C,"Spokane/NE",'Data - Monthly Metrics'!$D:$D,"Goal - Retention %")-0.05)</formula>
    </cfRule>
    <cfRule type="expression" rank="0" priority="402" equalAverage="0" aboveAverage="0" dxfId="1" stopIfTrue="1" text="" percent="0" bottom="0">
      <formula>AND(ISNUMBER(O28),COUNTIFS('Data - Monthly Metrics'!$A:$A,$B$4,'Data - Monthly Metrics'!$B:$B,O$8,'Data - Monthly Metrics'!$C:$C,"Spokane/NE",'Data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Metrics'!$C:$C,"Spokane/NE",'Data - Monthly Metrics'!$D:$D,"Goal - Retention %")&gt;0,P28&gt;=SUMIFS('Data - Monthly Metrics'!$E:$E,'Data - Monthly Metrics'!$A:$A,$B$4,'Data - Monthly Metrics'!$B:$B,P$8,'Data - Monthly Metrics'!$C:$C,"Spokane/NE",'Data - Monthly Metrics'!$D:$D,"Goal - Retention %"))</formula>
    </cfRule>
    <cfRule type="expression" rank="0" priority="404" equalAverage="0" aboveAverage="0" dxfId="2" stopIfTrue="1" text="" percent="0" bottom="0">
      <formula>AND(ISNUMBER(P28),COUNTIFS('Data - Monthly Metrics'!$A:$A,$B$4,'Data - Monthly Metrics'!$B:$B,P$8,'Data - Monthly Metrics'!$C:$C,"Spokane/NE",'Data - Monthly Metrics'!$D:$D,"Goal - Retention %")&gt;0,P28&gt;=SUMIFS('Data - Monthly Metrics'!$E:$E,'Data - Monthly Metrics'!$A:$A,$B$4,'Data - Monthly Metrics'!$B:$B,P$8,'Data - Monthly Metrics'!$C:$C,"Spokane/NE",'Data - Monthly Metrics'!$D:$D,"Goal - Retention %")-0.05)</formula>
    </cfRule>
    <cfRule type="expression" rank="0" priority="405" equalAverage="0" aboveAverage="0" dxfId="1" stopIfTrue="1" text="" percent="0" bottom="0">
      <formula>AND(ISNUMBER(P28),COUNTIFS('Data - Monthly Metrics'!$A:$A,$B$4,'Data - Monthly Metrics'!$B:$B,P$8,'Data - Monthly Metrics'!$C:$C,"Spokane/NE",'Data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Metrics'!$C:$C,"Spokane/NE",'Data - Monthly Metrics'!$D:$D,"Goal - Penetration %")&gt;0,B29&gt;=SUMIFS('Data - Monthly Metrics'!$E:$E,'Data - Monthly Metrics'!$A:$A,$B$4-1,'Data - Monthly Metrics'!$B:$B,B$8,'Data - Monthly Metrics'!$C:$C,"Spokane/NE",'Data - Monthly Metrics'!$D:$D,"Goal - Penetration %"))</formula>
    </cfRule>
    <cfRule type="expression" rank="0" priority="407" equalAverage="0" aboveAverage="0" dxfId="2" stopIfTrue="1" text="" percent="0" bottom="0">
      <formula>AND(ISNUMBER(B29),COUNTIFS('Data - Monthly Metrics'!$A:$A,$B$4-1,'Data - Monthly Metrics'!$B:$B,B$8,'Data - Monthly Metrics'!$C:$C,"Spokane/NE",'Data - Monthly Metrics'!$D:$D,"Goal - Penetration %")&gt;0,B29&gt;=SUMIFS('Data - Monthly Metrics'!$E:$E,'Data - Monthly Metrics'!$A:$A,$B$4-1,'Data - Monthly Metrics'!$B:$B,B$8,'Data - Monthly Metrics'!$C:$C,"Spokane/NE",'Data - Monthly Metrics'!$D:$D,"Goal - Penetration %")-0.05)</formula>
    </cfRule>
    <cfRule type="expression" rank="0" priority="408" equalAverage="0" aboveAverage="0" dxfId="1" stopIfTrue="1" text="" percent="0" bottom="0">
      <formula>AND(ISNUMBER(B29),COUNTIFS('Data - Monthly Metrics'!$A:$A,$B$4-1,'Data - Monthly Metrics'!$B:$B,B$8,'Data - Monthly Metrics'!$C:$C,"Spokane/NE",'Data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Metrics'!$C:$C,"Spokane/NE",'Data - Monthly Metrics'!$D:$D,"Goal - Penetration %")&gt;0,C29&gt;=SUMIFS('Data - Monthly Metrics'!$E:$E,'Data - Monthly Metrics'!$A:$A,$B$4-1,'Data - Monthly Metrics'!$B:$B,C$8,'Data - Monthly Metrics'!$C:$C,"Spokane/NE",'Data - Monthly Metrics'!$D:$D,"Goal - Penetration %"))</formula>
    </cfRule>
    <cfRule type="expression" rank="0" priority="410" equalAverage="0" aboveAverage="0" dxfId="2" stopIfTrue="1" text="" percent="0" bottom="0">
      <formula>AND(ISNUMBER(C29),COUNTIFS('Data - Monthly Metrics'!$A:$A,$B$4-1,'Data - Monthly Metrics'!$B:$B,C$8,'Data - Monthly Metrics'!$C:$C,"Spokane/NE",'Data - Monthly Metrics'!$D:$D,"Goal - Penetration %")&gt;0,C29&gt;=SUMIFS('Data - Monthly Metrics'!$E:$E,'Data - Monthly Metrics'!$A:$A,$B$4-1,'Data - Monthly Metrics'!$B:$B,C$8,'Data - Monthly Metrics'!$C:$C,"Spokane/NE",'Data - Monthly Metrics'!$D:$D,"Goal - Penetration %")-0.05)</formula>
    </cfRule>
    <cfRule type="expression" rank="0" priority="411" equalAverage="0" aboveAverage="0" dxfId="1" stopIfTrue="1" text="" percent="0" bottom="0">
      <formula>AND(ISNUMBER(C29),COUNTIFS('Data - Monthly Metrics'!$A:$A,$B$4-1,'Data - Monthly Metrics'!$B:$B,C$8,'Data - Monthly Metrics'!$C:$C,"Spokane/NE",'Data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Metrics'!$C:$C,"Spokane/NE",'Data - Monthly Metrics'!$D:$D,"Goal - Penetration %")&gt;0,D29&gt;=SUMIFS('Data - Monthly Metrics'!$E:$E,'Data - Monthly Metrics'!$A:$A,$B$4-1,'Data - Monthly Metrics'!$B:$B,D$8,'Data - Monthly Metrics'!$C:$C,"Spokane/NE",'Data - Monthly Metrics'!$D:$D,"Goal - Penetration %"))</formula>
    </cfRule>
    <cfRule type="expression" rank="0" priority="413" equalAverage="0" aboveAverage="0" dxfId="2" stopIfTrue="1" text="" percent="0" bottom="0">
      <formula>AND(ISNUMBER(D29),COUNTIFS('Data - Monthly Metrics'!$A:$A,$B$4-1,'Data - Monthly Metrics'!$B:$B,D$8,'Data - Monthly Metrics'!$C:$C,"Spokane/NE",'Data - Monthly Metrics'!$D:$D,"Goal - Penetration %")&gt;0,D29&gt;=SUMIFS('Data - Monthly Metrics'!$E:$E,'Data - Monthly Metrics'!$A:$A,$B$4-1,'Data - Monthly Metrics'!$B:$B,D$8,'Data - Monthly Metrics'!$C:$C,"Spokane/NE",'Data - Monthly Metrics'!$D:$D,"Goal - Penetration %")-0.05)</formula>
    </cfRule>
    <cfRule type="expression" rank="0" priority="414" equalAverage="0" aboveAverage="0" dxfId="1" stopIfTrue="1" text="" percent="0" bottom="0">
      <formula>AND(ISNUMBER(D29),COUNTIFS('Data - Monthly Metrics'!$A:$A,$B$4-1,'Data - Monthly Metrics'!$B:$B,D$8,'Data - Monthly Metrics'!$C:$C,"Spokane/NE",'Data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Metrics'!$C:$C,"Spokane/NE",'Data - Monthly Metrics'!$D:$D,"Goal - Penetration %")&gt;0,F29&gt;=SUMIFS('Data - Monthly Metrics'!$E:$E,'Data - Monthly Metrics'!$A:$A,$B$4,'Data - Monthly Metrics'!$B:$B,F$8,'Data - Monthly Metrics'!$C:$C,"Spokane/NE",'Data - Monthly Metrics'!$D:$D,"Goal - Penetration %"))</formula>
    </cfRule>
    <cfRule type="expression" rank="0" priority="416" equalAverage="0" aboveAverage="0" dxfId="2" stopIfTrue="1" text="" percent="0" bottom="0">
      <formula>AND(ISNUMBER(F29),COUNTIFS('Data - Monthly Metrics'!$A:$A,$B$4,'Data - Monthly Metrics'!$B:$B,F$8,'Data - Monthly Metrics'!$C:$C,"Spokane/NE",'Data - Monthly Metrics'!$D:$D,"Goal - Penetration %")&gt;0,F29&gt;=SUMIFS('Data - Monthly Metrics'!$E:$E,'Data - Monthly Metrics'!$A:$A,$B$4,'Data - Monthly Metrics'!$B:$B,F$8,'Data - Monthly Metrics'!$C:$C,"Spokane/NE",'Data - Monthly Metrics'!$D:$D,"Goal - Penetration %")-0.05)</formula>
    </cfRule>
    <cfRule type="expression" rank="0" priority="417" equalAverage="0" aboveAverage="0" dxfId="1" stopIfTrue="1" text="" percent="0" bottom="0">
      <formula>AND(ISNUMBER(F29),COUNTIFS('Data - Monthly Metrics'!$A:$A,$B$4,'Data - Monthly Metrics'!$B:$B,F$8,'Data - Monthly Metrics'!$C:$C,"Spokane/NE",'Data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Metrics'!$C:$C,"Spokane/NE",'Data - Monthly Metrics'!$D:$D,"Goal - Penetration %")&gt;0,G29&gt;=SUMIFS('Data - Monthly Metrics'!$E:$E,'Data - Monthly Metrics'!$A:$A,$B$4,'Data - Monthly Metrics'!$B:$B,G$8,'Data - Monthly Metrics'!$C:$C,"Spokane/NE",'Data - Monthly Metrics'!$D:$D,"Goal - Penetration %"))</formula>
    </cfRule>
    <cfRule type="expression" rank="0" priority="419" equalAverage="0" aboveAverage="0" dxfId="2" stopIfTrue="1" text="" percent="0" bottom="0">
      <formula>AND(ISNUMBER(G29),COUNTIFS('Data - Monthly Metrics'!$A:$A,$B$4,'Data - Monthly Metrics'!$B:$B,G$8,'Data - Monthly Metrics'!$C:$C,"Spokane/NE",'Data - Monthly Metrics'!$D:$D,"Goal - Penetration %")&gt;0,G29&gt;=SUMIFS('Data - Monthly Metrics'!$E:$E,'Data - Monthly Metrics'!$A:$A,$B$4,'Data - Monthly Metrics'!$B:$B,G$8,'Data - Monthly Metrics'!$C:$C,"Spokane/NE",'Data - Monthly Metrics'!$D:$D,"Goal - Penetration %")-0.05)</formula>
    </cfRule>
    <cfRule type="expression" rank="0" priority="420" equalAverage="0" aboveAverage="0" dxfId="1" stopIfTrue="1" text="" percent="0" bottom="0">
      <formula>AND(ISNUMBER(G29),COUNTIFS('Data - Monthly Metrics'!$A:$A,$B$4,'Data - Monthly Metrics'!$B:$B,G$8,'Data - Monthly Metrics'!$C:$C,"Spokane/NE",'Data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Metrics'!$C:$C,"Spokane/NE",'Data - Monthly Metrics'!$D:$D,"Goal - Penetration %")&gt;0,H29&gt;=SUMIFS('Data - Monthly Metrics'!$E:$E,'Data - Monthly Metrics'!$A:$A,$B$4,'Data - Monthly Metrics'!$B:$B,H$8,'Data - Monthly Metrics'!$C:$C,"Spokane/NE",'Data - Monthly Metrics'!$D:$D,"Goal - Penetration %"))</formula>
    </cfRule>
    <cfRule type="expression" rank="0" priority="422" equalAverage="0" aboveAverage="0" dxfId="2" stopIfTrue="1" text="" percent="0" bottom="0">
      <formula>AND(ISNUMBER(H29),COUNTIFS('Data - Monthly Metrics'!$A:$A,$B$4,'Data - Monthly Metrics'!$B:$B,H$8,'Data - Monthly Metrics'!$C:$C,"Spokane/NE",'Data - Monthly Metrics'!$D:$D,"Goal - Penetration %")&gt;0,H29&gt;=SUMIFS('Data - Monthly Metrics'!$E:$E,'Data - Monthly Metrics'!$A:$A,$B$4,'Data - Monthly Metrics'!$B:$B,H$8,'Data - Monthly Metrics'!$C:$C,"Spokane/NE",'Data - Monthly Metrics'!$D:$D,"Goal - Penetration %")-0.05)</formula>
    </cfRule>
    <cfRule type="expression" rank="0" priority="423" equalAverage="0" aboveAverage="0" dxfId="1" stopIfTrue="1" text="" percent="0" bottom="0">
      <formula>AND(ISNUMBER(H29),COUNTIFS('Data - Monthly Metrics'!$A:$A,$B$4,'Data - Monthly Metrics'!$B:$B,H$8,'Data - Monthly Metrics'!$C:$C,"Spokane/NE",'Data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Metrics'!$C:$C,"Spokane/NE",'Data - Monthly Metrics'!$D:$D,"Goal - Penetration %")&gt;0,J29&gt;=SUMIFS('Data - Monthly Metrics'!$E:$E,'Data - Monthly Metrics'!$A:$A,$B$4,'Data - Monthly Metrics'!$B:$B,J$8,'Data - Monthly Metrics'!$C:$C,"Spokane/NE",'Data - Monthly Metrics'!$D:$D,"Goal - Penetration %"))</formula>
    </cfRule>
    <cfRule type="expression" rank="0" priority="425" equalAverage="0" aboveAverage="0" dxfId="2" stopIfTrue="1" text="" percent="0" bottom="0">
      <formula>AND(ISNUMBER(J29),COUNTIFS('Data - Monthly Metrics'!$A:$A,$B$4,'Data - Monthly Metrics'!$B:$B,J$8,'Data - Monthly Metrics'!$C:$C,"Spokane/NE",'Data - Monthly Metrics'!$D:$D,"Goal - Penetration %")&gt;0,J29&gt;=SUMIFS('Data - Monthly Metrics'!$E:$E,'Data - Monthly Metrics'!$A:$A,$B$4,'Data - Monthly Metrics'!$B:$B,J$8,'Data - Monthly Metrics'!$C:$C,"Spokane/NE",'Data - Monthly Metrics'!$D:$D,"Goal - Penetration %")-0.05)</formula>
    </cfRule>
    <cfRule type="expression" rank="0" priority="426" equalAverage="0" aboveAverage="0" dxfId="1" stopIfTrue="1" text="" percent="0" bottom="0">
      <formula>AND(ISNUMBER(J29),COUNTIFS('Data - Monthly Metrics'!$A:$A,$B$4,'Data - Monthly Metrics'!$B:$B,J$8,'Data - Monthly Metrics'!$C:$C,"Spokane/NE",'Data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Metrics'!$C:$C,"Spokane/NE",'Data - Monthly Metrics'!$D:$D,"Goal - Penetration %")&gt;0,K29&gt;=SUMIFS('Data - Monthly Metrics'!$E:$E,'Data - Monthly Metrics'!$A:$A,$B$4,'Data - Monthly Metrics'!$B:$B,K$8,'Data - Monthly Metrics'!$C:$C,"Spokane/NE",'Data - Monthly Metrics'!$D:$D,"Goal - Penetration %"))</formula>
    </cfRule>
    <cfRule type="expression" rank="0" priority="428" equalAverage="0" aboveAverage="0" dxfId="2" stopIfTrue="1" text="" percent="0" bottom="0">
      <formula>AND(ISNUMBER(K29),COUNTIFS('Data - Monthly Metrics'!$A:$A,$B$4,'Data - Monthly Metrics'!$B:$B,K$8,'Data - Monthly Metrics'!$C:$C,"Spokane/NE",'Data - Monthly Metrics'!$D:$D,"Goal - Penetration %")&gt;0,K29&gt;=SUMIFS('Data - Monthly Metrics'!$E:$E,'Data - Monthly Metrics'!$A:$A,$B$4,'Data - Monthly Metrics'!$B:$B,K$8,'Data - Monthly Metrics'!$C:$C,"Spokane/NE",'Data - Monthly Metrics'!$D:$D,"Goal - Penetration %")-0.05)</formula>
    </cfRule>
    <cfRule type="expression" rank="0" priority="429" equalAverage="0" aboveAverage="0" dxfId="1" stopIfTrue="1" text="" percent="0" bottom="0">
      <formula>AND(ISNUMBER(K29),COUNTIFS('Data - Monthly Metrics'!$A:$A,$B$4,'Data - Monthly Metrics'!$B:$B,K$8,'Data - Monthly Metrics'!$C:$C,"Spokane/NE",'Data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Metrics'!$C:$C,"Spokane/NE",'Data - Monthly Metrics'!$D:$D,"Goal - Penetration %")&gt;0,L29&gt;=SUMIFS('Data - Monthly Metrics'!$E:$E,'Data - Monthly Metrics'!$A:$A,$B$4,'Data - Monthly Metrics'!$B:$B,L$8,'Data - Monthly Metrics'!$C:$C,"Spokane/NE",'Data - Monthly Metrics'!$D:$D,"Goal - Penetration %"))</formula>
    </cfRule>
    <cfRule type="expression" rank="0" priority="431" equalAverage="0" aboveAverage="0" dxfId="2" stopIfTrue="1" text="" percent="0" bottom="0">
      <formula>AND(ISNUMBER(L29),COUNTIFS('Data - Monthly Metrics'!$A:$A,$B$4,'Data - Monthly Metrics'!$B:$B,L$8,'Data - Monthly Metrics'!$C:$C,"Spokane/NE",'Data - Monthly Metrics'!$D:$D,"Goal - Penetration %")&gt;0,L29&gt;=SUMIFS('Data - Monthly Metrics'!$E:$E,'Data - Monthly Metrics'!$A:$A,$B$4,'Data - Monthly Metrics'!$B:$B,L$8,'Data - Monthly Metrics'!$C:$C,"Spokane/NE",'Data - Monthly Metrics'!$D:$D,"Goal - Penetration %")-0.05)</formula>
    </cfRule>
    <cfRule type="expression" rank="0" priority="432" equalAverage="0" aboveAverage="0" dxfId="1" stopIfTrue="1" text="" percent="0" bottom="0">
      <formula>AND(ISNUMBER(L29),COUNTIFS('Data - Monthly Metrics'!$A:$A,$B$4,'Data - Monthly Metrics'!$B:$B,L$8,'Data - Monthly Metrics'!$C:$C,"Spokane/NE",'Data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Metrics'!$C:$C,"Spokane/NE",'Data - Monthly Metrics'!$D:$D,"Goal - Penetration %")&gt;0,N29&gt;=SUMIFS('Data - Monthly Metrics'!$E:$E,'Data - Monthly Metrics'!$A:$A,$B$4,'Data - Monthly Metrics'!$B:$B,N$8,'Data - Monthly Metrics'!$C:$C,"Spokane/NE",'Data - Monthly Metrics'!$D:$D,"Goal - Penetration %"))</formula>
    </cfRule>
    <cfRule type="expression" rank="0" priority="434" equalAverage="0" aboveAverage="0" dxfId="2" stopIfTrue="1" text="" percent="0" bottom="0">
      <formula>AND(ISNUMBER(N29),COUNTIFS('Data - Monthly Metrics'!$A:$A,$B$4,'Data - Monthly Metrics'!$B:$B,N$8,'Data - Monthly Metrics'!$C:$C,"Spokane/NE",'Data - Monthly Metrics'!$D:$D,"Goal - Penetration %")&gt;0,N29&gt;=SUMIFS('Data - Monthly Metrics'!$E:$E,'Data - Monthly Metrics'!$A:$A,$B$4,'Data - Monthly Metrics'!$B:$B,N$8,'Data - Monthly Metrics'!$C:$C,"Spokane/NE",'Data - Monthly Metrics'!$D:$D,"Goal - Penetration %")-0.05)</formula>
    </cfRule>
    <cfRule type="expression" rank="0" priority="435" equalAverage="0" aboveAverage="0" dxfId="1" stopIfTrue="1" text="" percent="0" bottom="0">
      <formula>AND(ISNUMBER(N29),COUNTIFS('Data - Monthly Metrics'!$A:$A,$B$4,'Data - Monthly Metrics'!$B:$B,N$8,'Data - Monthly Metrics'!$C:$C,"Spokane/NE",'Data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Metrics'!$C:$C,"Spokane/NE",'Data - Monthly Metrics'!$D:$D,"Goal - Penetration %")&gt;0,O29&gt;=SUMIFS('Data - Monthly Metrics'!$E:$E,'Data - Monthly Metrics'!$A:$A,$B$4,'Data - Monthly Metrics'!$B:$B,O$8,'Data - Monthly Metrics'!$C:$C,"Spokane/NE",'Data - Monthly Metrics'!$D:$D,"Goal - Penetration %"))</formula>
    </cfRule>
    <cfRule type="expression" rank="0" priority="437" equalAverage="0" aboveAverage="0" dxfId="2" stopIfTrue="1" text="" percent="0" bottom="0">
      <formula>AND(ISNUMBER(O29),COUNTIFS('Data - Monthly Metrics'!$A:$A,$B$4,'Data - Monthly Metrics'!$B:$B,O$8,'Data - Monthly Metrics'!$C:$C,"Spokane/NE",'Data - Monthly Metrics'!$D:$D,"Goal - Penetration %")&gt;0,O29&gt;=SUMIFS('Data - Monthly Metrics'!$E:$E,'Data - Monthly Metrics'!$A:$A,$B$4,'Data - Monthly Metrics'!$B:$B,O$8,'Data - Monthly Metrics'!$C:$C,"Spokane/NE",'Data - Monthly Metrics'!$D:$D,"Goal - Penetration %")-0.05)</formula>
    </cfRule>
    <cfRule type="expression" rank="0" priority="438" equalAverage="0" aboveAverage="0" dxfId="1" stopIfTrue="1" text="" percent="0" bottom="0">
      <formula>AND(ISNUMBER(O29),COUNTIFS('Data - Monthly Metrics'!$A:$A,$B$4,'Data - Monthly Metrics'!$B:$B,O$8,'Data - Monthly Metrics'!$C:$C,"Spokane/NE",'Data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Metrics'!$C:$C,"Spokane/NE",'Data - Monthly Metrics'!$D:$D,"Goal - Penetration %")&gt;0,P29&gt;=SUMIFS('Data - Monthly Metrics'!$E:$E,'Data - Monthly Metrics'!$A:$A,$B$4,'Data - Monthly Metrics'!$B:$B,P$8,'Data - Monthly Metrics'!$C:$C,"Spokane/NE",'Data - Monthly Metrics'!$D:$D,"Goal - Penetration %"))</formula>
    </cfRule>
    <cfRule type="expression" rank="0" priority="440" equalAverage="0" aboveAverage="0" dxfId="2" stopIfTrue="1" text="" percent="0" bottom="0">
      <formula>AND(ISNUMBER(P29),COUNTIFS('Data - Monthly Metrics'!$A:$A,$B$4,'Data - Monthly Metrics'!$B:$B,P$8,'Data - Monthly Metrics'!$C:$C,"Spokane/NE",'Data - Monthly Metrics'!$D:$D,"Goal - Penetration %")&gt;0,P29&gt;=SUMIFS('Data - Monthly Metrics'!$E:$E,'Data - Monthly Metrics'!$A:$A,$B$4,'Data - Monthly Metrics'!$B:$B,P$8,'Data - Monthly Metrics'!$C:$C,"Spokane/NE",'Data - Monthly Metrics'!$D:$D,"Goal - Penetration %")-0.05)</formula>
    </cfRule>
    <cfRule type="expression" rank="0" priority="441" equalAverage="0" aboveAverage="0" dxfId="1" stopIfTrue="1" text="" percent="0" bottom="0">
      <formula>AND(ISNUMBER(P29),COUNTIFS('Data - Monthly Metrics'!$A:$A,$B$4,'Data - Monthly Metrics'!$B:$B,P$8,'Data - Monthly Metrics'!$C:$C,"Spokane/NE",'Data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Metrics'!$C:$C,"Spokane/NE",'Data - Monthly Metrics'!$D:$D,"Goal - Penetration %")&gt;0,B30&gt;=SUMIFS('Data - Monthly Metrics'!$E:$E,'Data - Monthly Metrics'!$A:$A,$B$4-1,'Data - Monthly Metrics'!$B:$B,B$8,'Data - Monthly Metrics'!$C:$C,"Spokane/NE",'Data - Monthly Metrics'!$D:$D,"Goal - Penetration %"))</formula>
    </cfRule>
    <cfRule type="expression" rank="0" priority="443" equalAverage="0" aboveAverage="0" dxfId="2" stopIfTrue="1" text="" percent="0" bottom="0">
      <formula>AND(ISNUMBER(B30),COUNTIFS('Data - Monthly Metrics'!$A:$A,$B$4-1,'Data - Monthly Metrics'!$B:$B,B$8,'Data - Monthly Metrics'!$C:$C,"Spokane/NE",'Data - Monthly Metrics'!$D:$D,"Goal - Penetration %")&gt;0,B30&gt;=SUMIFS('Data - Monthly Metrics'!$E:$E,'Data - Monthly Metrics'!$A:$A,$B$4-1,'Data - Monthly Metrics'!$B:$B,B$8,'Data - Monthly Metrics'!$C:$C,"Spokane/NE",'Data - Monthly Metrics'!$D:$D,"Goal - Penetration %")-0.05)</formula>
    </cfRule>
    <cfRule type="expression" rank="0" priority="444" equalAverage="0" aboveAverage="0" dxfId="1" stopIfTrue="1" text="" percent="0" bottom="0">
      <formula>AND(ISNUMBER(B30),COUNTIFS('Data - Monthly Metrics'!$A:$A,$B$4-1,'Data - Monthly Metrics'!$B:$B,B$8,'Data - Monthly Metrics'!$C:$C,"Spokane/NE",'Data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Metrics'!$C:$C,"Spokane/NE",'Data - Monthly Metrics'!$D:$D,"Goal - Penetration %")&gt;0,C30&gt;=SUMIFS('Data - Monthly Metrics'!$E:$E,'Data - Monthly Metrics'!$A:$A,$B$4-1,'Data - Monthly Metrics'!$B:$B,C$8,'Data - Monthly Metrics'!$C:$C,"Spokane/NE",'Data - Monthly Metrics'!$D:$D,"Goal - Penetration %"))</formula>
    </cfRule>
    <cfRule type="expression" rank="0" priority="446" equalAverage="0" aboveAverage="0" dxfId="2" stopIfTrue="1" text="" percent="0" bottom="0">
      <formula>AND(ISNUMBER(C30),COUNTIFS('Data - Monthly Metrics'!$A:$A,$B$4-1,'Data - Monthly Metrics'!$B:$B,C$8,'Data - Monthly Metrics'!$C:$C,"Spokane/NE",'Data - Monthly Metrics'!$D:$D,"Goal - Penetration %")&gt;0,C30&gt;=SUMIFS('Data - Monthly Metrics'!$E:$E,'Data - Monthly Metrics'!$A:$A,$B$4-1,'Data - Monthly Metrics'!$B:$B,C$8,'Data - Monthly Metrics'!$C:$C,"Spokane/NE",'Data - Monthly Metrics'!$D:$D,"Goal - Penetration %")-0.05)</formula>
    </cfRule>
    <cfRule type="expression" rank="0" priority="447" equalAverage="0" aboveAverage="0" dxfId="1" stopIfTrue="1" text="" percent="0" bottom="0">
      <formula>AND(ISNUMBER(C30),COUNTIFS('Data - Monthly Metrics'!$A:$A,$B$4-1,'Data - Monthly Metrics'!$B:$B,C$8,'Data - Monthly Metrics'!$C:$C,"Spokane/NE",'Data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Metrics'!$C:$C,"Spokane/NE",'Data - Monthly Metrics'!$D:$D,"Goal - Penetration %")&gt;0,D30&gt;=SUMIFS('Data - Monthly Metrics'!$E:$E,'Data - Monthly Metrics'!$A:$A,$B$4-1,'Data - Monthly Metrics'!$B:$B,D$8,'Data - Monthly Metrics'!$C:$C,"Spokane/NE",'Data - Monthly Metrics'!$D:$D,"Goal - Penetration %"))</formula>
    </cfRule>
    <cfRule type="expression" rank="0" priority="449" equalAverage="0" aboveAverage="0" dxfId="2" stopIfTrue="1" text="" percent="0" bottom="0">
      <formula>AND(ISNUMBER(D30),COUNTIFS('Data - Monthly Metrics'!$A:$A,$B$4-1,'Data - Monthly Metrics'!$B:$B,D$8,'Data - Monthly Metrics'!$C:$C,"Spokane/NE",'Data - Monthly Metrics'!$D:$D,"Goal - Penetration %")&gt;0,D30&gt;=SUMIFS('Data - Monthly Metrics'!$E:$E,'Data - Monthly Metrics'!$A:$A,$B$4-1,'Data - Monthly Metrics'!$B:$B,D$8,'Data - Monthly Metrics'!$C:$C,"Spokane/NE",'Data - Monthly Metrics'!$D:$D,"Goal - Penetration %")-0.05)</formula>
    </cfRule>
    <cfRule type="expression" rank="0" priority="450" equalAverage="0" aboveAverage="0" dxfId="1" stopIfTrue="1" text="" percent="0" bottom="0">
      <formula>AND(ISNUMBER(D30),COUNTIFS('Data - Monthly Metrics'!$A:$A,$B$4-1,'Data - Monthly Metrics'!$B:$B,D$8,'Data - Monthly Metrics'!$C:$C,"Spokane/NE",'Data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Metrics'!$C:$C,"Spokane/NE",'Data - Monthly Metrics'!$D:$D,"Goal - Penetration %")&gt;0,F30&gt;=SUMIFS('Data - Monthly Metrics'!$E:$E,'Data - Monthly Metrics'!$A:$A,$B$4,'Data - Monthly Metrics'!$B:$B,F$8,'Data - Monthly Metrics'!$C:$C,"Spokane/NE",'Data - Monthly Metrics'!$D:$D,"Goal - Penetration %"))</formula>
    </cfRule>
    <cfRule type="expression" rank="0" priority="452" equalAverage="0" aboveAverage="0" dxfId="2" stopIfTrue="1" text="" percent="0" bottom="0">
      <formula>AND(ISNUMBER(F30),COUNTIFS('Data - Monthly Metrics'!$A:$A,$B$4,'Data - Monthly Metrics'!$B:$B,F$8,'Data - Monthly Metrics'!$C:$C,"Spokane/NE",'Data - Monthly Metrics'!$D:$D,"Goal - Penetration %")&gt;0,F30&gt;=SUMIFS('Data - Monthly Metrics'!$E:$E,'Data - Monthly Metrics'!$A:$A,$B$4,'Data - Monthly Metrics'!$B:$B,F$8,'Data - Monthly Metrics'!$C:$C,"Spokane/NE",'Data - Monthly Metrics'!$D:$D,"Goal - Penetration %")-0.05)</formula>
    </cfRule>
    <cfRule type="expression" rank="0" priority="453" equalAverage="0" aboveAverage="0" dxfId="1" stopIfTrue="1" text="" percent="0" bottom="0">
      <formula>AND(ISNUMBER(F30),COUNTIFS('Data - Monthly Metrics'!$A:$A,$B$4,'Data - Monthly Metrics'!$B:$B,F$8,'Data - Monthly Metrics'!$C:$C,"Spokane/NE",'Data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Metrics'!$C:$C,"Spokane/NE",'Data - Monthly Metrics'!$D:$D,"Goal - Penetration %")&gt;0,G30&gt;=SUMIFS('Data - Monthly Metrics'!$E:$E,'Data - Monthly Metrics'!$A:$A,$B$4,'Data - Monthly Metrics'!$B:$B,G$8,'Data - Monthly Metrics'!$C:$C,"Spokane/NE",'Data - Monthly Metrics'!$D:$D,"Goal - Penetration %"))</formula>
    </cfRule>
    <cfRule type="expression" rank="0" priority="455" equalAverage="0" aboveAverage="0" dxfId="2" stopIfTrue="1" text="" percent="0" bottom="0">
      <formula>AND(ISNUMBER(G30),COUNTIFS('Data - Monthly Metrics'!$A:$A,$B$4,'Data - Monthly Metrics'!$B:$B,G$8,'Data - Monthly Metrics'!$C:$C,"Spokane/NE",'Data - Monthly Metrics'!$D:$D,"Goal - Penetration %")&gt;0,G30&gt;=SUMIFS('Data - Monthly Metrics'!$E:$E,'Data - Monthly Metrics'!$A:$A,$B$4,'Data - Monthly Metrics'!$B:$B,G$8,'Data - Monthly Metrics'!$C:$C,"Spokane/NE",'Data - Monthly Metrics'!$D:$D,"Goal - Penetration %")-0.05)</formula>
    </cfRule>
    <cfRule type="expression" rank="0" priority="456" equalAverage="0" aboveAverage="0" dxfId="1" stopIfTrue="1" text="" percent="0" bottom="0">
      <formula>AND(ISNUMBER(G30),COUNTIFS('Data - Monthly Metrics'!$A:$A,$B$4,'Data - Monthly Metrics'!$B:$B,G$8,'Data - Monthly Metrics'!$C:$C,"Spokane/NE",'Data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Metrics'!$C:$C,"Spokane/NE",'Data - Monthly Metrics'!$D:$D,"Goal - Penetration %")&gt;0,H30&gt;=SUMIFS('Data - Monthly Metrics'!$E:$E,'Data - Monthly Metrics'!$A:$A,$B$4,'Data - Monthly Metrics'!$B:$B,H$8,'Data - Monthly Metrics'!$C:$C,"Spokane/NE",'Data - Monthly Metrics'!$D:$D,"Goal - Penetration %"))</formula>
    </cfRule>
    <cfRule type="expression" rank="0" priority="458" equalAverage="0" aboveAverage="0" dxfId="2" stopIfTrue="1" text="" percent="0" bottom="0">
      <formula>AND(ISNUMBER(H30),COUNTIFS('Data - Monthly Metrics'!$A:$A,$B$4,'Data - Monthly Metrics'!$B:$B,H$8,'Data - Monthly Metrics'!$C:$C,"Spokane/NE",'Data - Monthly Metrics'!$D:$D,"Goal - Penetration %")&gt;0,H30&gt;=SUMIFS('Data - Monthly Metrics'!$E:$E,'Data - Monthly Metrics'!$A:$A,$B$4,'Data - Monthly Metrics'!$B:$B,H$8,'Data - Monthly Metrics'!$C:$C,"Spokane/NE",'Data - Monthly Metrics'!$D:$D,"Goal - Penetration %")-0.05)</formula>
    </cfRule>
    <cfRule type="expression" rank="0" priority="459" equalAverage="0" aboveAverage="0" dxfId="1" stopIfTrue="1" text="" percent="0" bottom="0">
      <formula>AND(ISNUMBER(H30),COUNTIFS('Data - Monthly Metrics'!$A:$A,$B$4,'Data - Monthly Metrics'!$B:$B,H$8,'Data - Monthly Metrics'!$C:$C,"Spokane/NE",'Data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Metrics'!$C:$C,"Spokane/NE",'Data - Monthly Metrics'!$D:$D,"Goal - Penetration %")&gt;0,J30&gt;=SUMIFS('Data - Monthly Metrics'!$E:$E,'Data - Monthly Metrics'!$A:$A,$B$4,'Data - Monthly Metrics'!$B:$B,J$8,'Data - Monthly Metrics'!$C:$C,"Spokane/NE",'Data - Monthly Metrics'!$D:$D,"Goal - Penetration %"))</formula>
    </cfRule>
    <cfRule type="expression" rank="0" priority="461" equalAverage="0" aboveAverage="0" dxfId="2" stopIfTrue="1" text="" percent="0" bottom="0">
      <formula>AND(ISNUMBER(J30),COUNTIFS('Data - Monthly Metrics'!$A:$A,$B$4,'Data - Monthly Metrics'!$B:$B,J$8,'Data - Monthly Metrics'!$C:$C,"Spokane/NE",'Data - Monthly Metrics'!$D:$D,"Goal - Penetration %")&gt;0,J30&gt;=SUMIFS('Data - Monthly Metrics'!$E:$E,'Data - Monthly Metrics'!$A:$A,$B$4,'Data - Monthly Metrics'!$B:$B,J$8,'Data - Monthly Metrics'!$C:$C,"Spokane/NE",'Data - Monthly Metrics'!$D:$D,"Goal - Penetration %")-0.05)</formula>
    </cfRule>
    <cfRule type="expression" rank="0" priority="462" equalAverage="0" aboveAverage="0" dxfId="1" stopIfTrue="1" text="" percent="0" bottom="0">
      <formula>AND(ISNUMBER(J30),COUNTIFS('Data - Monthly Metrics'!$A:$A,$B$4,'Data - Monthly Metrics'!$B:$B,J$8,'Data - Monthly Metrics'!$C:$C,"Spokane/NE",'Data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Metrics'!$C:$C,"Spokane/NE",'Data - Monthly Metrics'!$D:$D,"Goal - Penetration %")&gt;0,K30&gt;=SUMIFS('Data - Monthly Metrics'!$E:$E,'Data - Monthly Metrics'!$A:$A,$B$4,'Data - Monthly Metrics'!$B:$B,K$8,'Data - Monthly Metrics'!$C:$C,"Spokane/NE",'Data - Monthly Metrics'!$D:$D,"Goal - Penetration %"))</formula>
    </cfRule>
    <cfRule type="expression" rank="0" priority="464" equalAverage="0" aboveAverage="0" dxfId="2" stopIfTrue="1" text="" percent="0" bottom="0">
      <formula>AND(ISNUMBER(K30),COUNTIFS('Data - Monthly Metrics'!$A:$A,$B$4,'Data - Monthly Metrics'!$B:$B,K$8,'Data - Monthly Metrics'!$C:$C,"Spokane/NE",'Data - Monthly Metrics'!$D:$D,"Goal - Penetration %")&gt;0,K30&gt;=SUMIFS('Data - Monthly Metrics'!$E:$E,'Data - Monthly Metrics'!$A:$A,$B$4,'Data - Monthly Metrics'!$B:$B,K$8,'Data - Monthly Metrics'!$C:$C,"Spokane/NE",'Data - Monthly Metrics'!$D:$D,"Goal - Penetration %")-0.05)</formula>
    </cfRule>
    <cfRule type="expression" rank="0" priority="465" equalAverage="0" aboveAverage="0" dxfId="1" stopIfTrue="1" text="" percent="0" bottom="0">
      <formula>AND(ISNUMBER(K30),COUNTIFS('Data - Monthly Metrics'!$A:$A,$B$4,'Data - Monthly Metrics'!$B:$B,K$8,'Data - Monthly Metrics'!$C:$C,"Spokane/NE",'Data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Metrics'!$C:$C,"Spokane/NE",'Data - Monthly Metrics'!$D:$D,"Goal - Penetration %")&gt;0,L30&gt;=SUMIFS('Data - Monthly Metrics'!$E:$E,'Data - Monthly Metrics'!$A:$A,$B$4,'Data - Monthly Metrics'!$B:$B,L$8,'Data - Monthly Metrics'!$C:$C,"Spokane/NE",'Data - Monthly Metrics'!$D:$D,"Goal - Penetration %"))</formula>
    </cfRule>
    <cfRule type="expression" rank="0" priority="467" equalAverage="0" aboveAverage="0" dxfId="2" stopIfTrue="1" text="" percent="0" bottom="0">
      <formula>AND(ISNUMBER(L30),COUNTIFS('Data - Monthly Metrics'!$A:$A,$B$4,'Data - Monthly Metrics'!$B:$B,L$8,'Data - Monthly Metrics'!$C:$C,"Spokane/NE",'Data - Monthly Metrics'!$D:$D,"Goal - Penetration %")&gt;0,L30&gt;=SUMIFS('Data - Monthly Metrics'!$E:$E,'Data - Monthly Metrics'!$A:$A,$B$4,'Data - Monthly Metrics'!$B:$B,L$8,'Data - Monthly Metrics'!$C:$C,"Spokane/NE",'Data - Monthly Metrics'!$D:$D,"Goal - Penetration %")-0.05)</formula>
    </cfRule>
    <cfRule type="expression" rank="0" priority="468" equalAverage="0" aboveAverage="0" dxfId="1" stopIfTrue="1" text="" percent="0" bottom="0">
      <formula>AND(ISNUMBER(L30),COUNTIFS('Data - Monthly Metrics'!$A:$A,$B$4,'Data - Monthly Metrics'!$B:$B,L$8,'Data - Monthly Metrics'!$C:$C,"Spokane/NE",'Data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Metrics'!$C:$C,"Spokane/NE",'Data - Monthly Metrics'!$D:$D,"Goal - Penetration %")&gt;0,N30&gt;=SUMIFS('Data - Monthly Metrics'!$E:$E,'Data - Monthly Metrics'!$A:$A,$B$4,'Data - Monthly Metrics'!$B:$B,N$8,'Data - Monthly Metrics'!$C:$C,"Spokane/NE",'Data - Monthly Metrics'!$D:$D,"Goal - Penetration %"))</formula>
    </cfRule>
    <cfRule type="expression" rank="0" priority="470" equalAverage="0" aboveAverage="0" dxfId="2" stopIfTrue="1" text="" percent="0" bottom="0">
      <formula>AND(ISNUMBER(N30),COUNTIFS('Data - Monthly Metrics'!$A:$A,$B$4,'Data - Monthly Metrics'!$B:$B,N$8,'Data - Monthly Metrics'!$C:$C,"Spokane/NE",'Data - Monthly Metrics'!$D:$D,"Goal - Penetration %")&gt;0,N30&gt;=SUMIFS('Data - Monthly Metrics'!$E:$E,'Data - Monthly Metrics'!$A:$A,$B$4,'Data - Monthly Metrics'!$B:$B,N$8,'Data - Monthly Metrics'!$C:$C,"Spokane/NE",'Data - Monthly Metrics'!$D:$D,"Goal - Penetration %")-0.05)</formula>
    </cfRule>
    <cfRule type="expression" rank="0" priority="471" equalAverage="0" aboveAverage="0" dxfId="1" stopIfTrue="1" text="" percent="0" bottom="0">
      <formula>AND(ISNUMBER(N30),COUNTIFS('Data - Monthly Metrics'!$A:$A,$B$4,'Data - Monthly Metrics'!$B:$B,N$8,'Data - Monthly Metrics'!$C:$C,"Spokane/NE",'Data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Metrics'!$C:$C,"Spokane/NE",'Data - Monthly Metrics'!$D:$D,"Goal - Penetration %")&gt;0,O30&gt;=SUMIFS('Data - Monthly Metrics'!$E:$E,'Data - Monthly Metrics'!$A:$A,$B$4,'Data - Monthly Metrics'!$B:$B,O$8,'Data - Monthly Metrics'!$C:$C,"Spokane/NE",'Data - Monthly Metrics'!$D:$D,"Goal - Penetration %"))</formula>
    </cfRule>
    <cfRule type="expression" rank="0" priority="473" equalAverage="0" aboveAverage="0" dxfId="2" stopIfTrue="1" text="" percent="0" bottom="0">
      <formula>AND(ISNUMBER(O30),COUNTIFS('Data - Monthly Metrics'!$A:$A,$B$4,'Data - Monthly Metrics'!$B:$B,O$8,'Data - Monthly Metrics'!$C:$C,"Spokane/NE",'Data - Monthly Metrics'!$D:$D,"Goal - Penetration %")&gt;0,O30&gt;=SUMIFS('Data - Monthly Metrics'!$E:$E,'Data - Monthly Metrics'!$A:$A,$B$4,'Data - Monthly Metrics'!$B:$B,O$8,'Data - Monthly Metrics'!$C:$C,"Spokane/NE",'Data - Monthly Metrics'!$D:$D,"Goal - Penetration %")-0.05)</formula>
    </cfRule>
    <cfRule type="expression" rank="0" priority="474" equalAverage="0" aboveAverage="0" dxfId="1" stopIfTrue="1" text="" percent="0" bottom="0">
      <formula>AND(ISNUMBER(O30),COUNTIFS('Data - Monthly Metrics'!$A:$A,$B$4,'Data - Monthly Metrics'!$B:$B,O$8,'Data - Monthly Metrics'!$C:$C,"Spokane/NE",'Data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Metrics'!$C:$C,"Spokane/NE",'Data - Monthly Metrics'!$D:$D,"Goal - Penetration %")&gt;0,P30&gt;=SUMIFS('Data - Monthly Metrics'!$E:$E,'Data - Monthly Metrics'!$A:$A,$B$4,'Data - Monthly Metrics'!$B:$B,P$8,'Data - Monthly Metrics'!$C:$C,"Spokane/NE",'Data - Monthly Metrics'!$D:$D,"Goal - Penetration %"))</formula>
    </cfRule>
    <cfRule type="expression" rank="0" priority="476" equalAverage="0" aboveAverage="0" dxfId="2" stopIfTrue="1" text="" percent="0" bottom="0">
      <formula>AND(ISNUMBER(P30),COUNTIFS('Data - Monthly Metrics'!$A:$A,$B$4,'Data - Monthly Metrics'!$B:$B,P$8,'Data - Monthly Metrics'!$C:$C,"Spokane/NE",'Data - Monthly Metrics'!$D:$D,"Goal - Penetration %")&gt;0,P30&gt;=SUMIFS('Data - Monthly Metrics'!$E:$E,'Data - Monthly Metrics'!$A:$A,$B$4,'Data - Monthly Metrics'!$B:$B,P$8,'Data - Monthly Metrics'!$C:$C,"Spokane/NE",'Data - Monthly Metrics'!$D:$D,"Goal - Penetration %")-0.05)</formula>
    </cfRule>
    <cfRule type="expression" rank="0" priority="477" equalAverage="0" aboveAverage="0" dxfId="1" stopIfTrue="1" text="" percent="0" bottom="0">
      <formula>AND(ISNUMBER(P30),COUNTIFS('Data - Monthly Metrics'!$A:$A,$B$4,'Data - Monthly Metrics'!$B:$B,P$8,'Data - Monthly Metrics'!$C:$C,"Spokane/NE",'Data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Metrics'!$C:$C,"Spokane/NE",'Data - Monthly Metrics'!$D:$D,"Goal - Penetration %")&gt;0,B31&gt;=SUMIFS('Data - Monthly Metrics'!$E:$E,'Data - Monthly Metrics'!$A:$A,$B$4-1,'Data - Monthly Metrics'!$B:$B,B$8,'Data - Monthly Metrics'!$C:$C,"Spokane/NE",'Data - Monthly Metrics'!$D:$D,"Goal - Penetration %"))</formula>
    </cfRule>
    <cfRule type="expression" rank="0" priority="479" equalAverage="0" aboveAverage="0" dxfId="2" stopIfTrue="1" text="" percent="0" bottom="0">
      <formula>AND(ISNUMBER(B31),COUNTIFS('Data - Monthly Metrics'!$A:$A,$B$4-1,'Data - Monthly Metrics'!$B:$B,B$8,'Data - Monthly Metrics'!$C:$C,"Spokane/NE",'Data - Monthly Metrics'!$D:$D,"Goal - Penetration %")&gt;0,B31&gt;=SUMIFS('Data - Monthly Metrics'!$E:$E,'Data - Monthly Metrics'!$A:$A,$B$4-1,'Data - Monthly Metrics'!$B:$B,B$8,'Data - Monthly Metrics'!$C:$C,"Spokane/NE",'Data - Monthly Metrics'!$D:$D,"Goal - Penetration %")-0.05)</formula>
    </cfRule>
    <cfRule type="expression" rank="0" priority="480" equalAverage="0" aboveAverage="0" dxfId="1" stopIfTrue="1" text="" percent="0" bottom="0">
      <formula>AND(ISNUMBER(B31),COUNTIFS('Data - Monthly Metrics'!$A:$A,$B$4-1,'Data - Monthly Metrics'!$B:$B,B$8,'Data - Monthly Metrics'!$C:$C,"Spokane/NE",'Data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Metrics'!$C:$C,"Spokane/NE",'Data - Monthly Metrics'!$D:$D,"Goal - Penetration %")&gt;0,C31&gt;=SUMIFS('Data - Monthly Metrics'!$E:$E,'Data - Monthly Metrics'!$A:$A,$B$4-1,'Data - Monthly Metrics'!$B:$B,C$8,'Data - Monthly Metrics'!$C:$C,"Spokane/NE",'Data - Monthly Metrics'!$D:$D,"Goal - Penetration %"))</formula>
    </cfRule>
    <cfRule type="expression" rank="0" priority="482" equalAverage="0" aboveAverage="0" dxfId="2" stopIfTrue="1" text="" percent="0" bottom="0">
      <formula>AND(ISNUMBER(C31),COUNTIFS('Data - Monthly Metrics'!$A:$A,$B$4-1,'Data - Monthly Metrics'!$B:$B,C$8,'Data - Monthly Metrics'!$C:$C,"Spokane/NE",'Data - Monthly Metrics'!$D:$D,"Goal - Penetration %")&gt;0,C31&gt;=SUMIFS('Data - Monthly Metrics'!$E:$E,'Data - Monthly Metrics'!$A:$A,$B$4-1,'Data - Monthly Metrics'!$B:$B,C$8,'Data - Monthly Metrics'!$C:$C,"Spokane/NE",'Data - Monthly Metrics'!$D:$D,"Goal - Penetration %")-0.05)</formula>
    </cfRule>
    <cfRule type="expression" rank="0" priority="483" equalAverage="0" aboveAverage="0" dxfId="1" stopIfTrue="1" text="" percent="0" bottom="0">
      <formula>AND(ISNUMBER(C31),COUNTIFS('Data - Monthly Metrics'!$A:$A,$B$4-1,'Data - Monthly Metrics'!$B:$B,C$8,'Data - Monthly Metrics'!$C:$C,"Spokane/NE",'Data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Metrics'!$C:$C,"Spokane/NE",'Data - Monthly Metrics'!$D:$D,"Goal - Penetration %")&gt;0,D31&gt;=SUMIFS('Data - Monthly Metrics'!$E:$E,'Data - Monthly Metrics'!$A:$A,$B$4-1,'Data - Monthly Metrics'!$B:$B,D$8,'Data - Monthly Metrics'!$C:$C,"Spokane/NE",'Data - Monthly Metrics'!$D:$D,"Goal - Penetration %"))</formula>
    </cfRule>
    <cfRule type="expression" rank="0" priority="485" equalAverage="0" aboveAverage="0" dxfId="2" stopIfTrue="1" text="" percent="0" bottom="0">
      <formula>AND(ISNUMBER(D31),COUNTIFS('Data - Monthly Metrics'!$A:$A,$B$4-1,'Data - Monthly Metrics'!$B:$B,D$8,'Data - Monthly Metrics'!$C:$C,"Spokane/NE",'Data - Monthly Metrics'!$D:$D,"Goal - Penetration %")&gt;0,D31&gt;=SUMIFS('Data - Monthly Metrics'!$E:$E,'Data - Monthly Metrics'!$A:$A,$B$4-1,'Data - Monthly Metrics'!$B:$B,D$8,'Data - Monthly Metrics'!$C:$C,"Spokane/NE",'Data - Monthly Metrics'!$D:$D,"Goal - Penetration %")-0.05)</formula>
    </cfRule>
    <cfRule type="expression" rank="0" priority="486" equalAverage="0" aboveAverage="0" dxfId="1" stopIfTrue="1" text="" percent="0" bottom="0">
      <formula>AND(ISNUMBER(D31),COUNTIFS('Data - Monthly Metrics'!$A:$A,$B$4-1,'Data - Monthly Metrics'!$B:$B,D$8,'Data - Monthly Metrics'!$C:$C,"Spokane/NE",'Data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Metrics'!$C:$C,"Spokane/NE",'Data - Monthly Metrics'!$D:$D,"Goal - Penetration %")&gt;0,F31&gt;=SUMIFS('Data - Monthly Metrics'!$E:$E,'Data - Monthly Metrics'!$A:$A,$B$4,'Data - Monthly Metrics'!$B:$B,F$8,'Data - Monthly Metrics'!$C:$C,"Spokane/NE",'Data - Monthly Metrics'!$D:$D,"Goal - Penetration %"))</formula>
    </cfRule>
    <cfRule type="expression" rank="0" priority="488" equalAverage="0" aboveAverage="0" dxfId="2" stopIfTrue="1" text="" percent="0" bottom="0">
      <formula>AND(ISNUMBER(F31),COUNTIFS('Data - Monthly Metrics'!$A:$A,$B$4,'Data - Monthly Metrics'!$B:$B,F$8,'Data - Monthly Metrics'!$C:$C,"Spokane/NE",'Data - Monthly Metrics'!$D:$D,"Goal - Penetration %")&gt;0,F31&gt;=SUMIFS('Data - Monthly Metrics'!$E:$E,'Data - Monthly Metrics'!$A:$A,$B$4,'Data - Monthly Metrics'!$B:$B,F$8,'Data - Monthly Metrics'!$C:$C,"Spokane/NE",'Data - Monthly Metrics'!$D:$D,"Goal - Penetration %")-0.05)</formula>
    </cfRule>
    <cfRule type="expression" rank="0" priority="489" equalAverage="0" aboveAverage="0" dxfId="1" stopIfTrue="1" text="" percent="0" bottom="0">
      <formula>AND(ISNUMBER(F31),COUNTIFS('Data - Monthly Metrics'!$A:$A,$B$4,'Data - Monthly Metrics'!$B:$B,F$8,'Data - Monthly Metrics'!$C:$C,"Spokane/NE",'Data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Metrics'!$C:$C,"Spokane/NE",'Data - Monthly Metrics'!$D:$D,"Goal - Penetration %")&gt;0,G31&gt;=SUMIFS('Data - Monthly Metrics'!$E:$E,'Data - Monthly Metrics'!$A:$A,$B$4,'Data - Monthly Metrics'!$B:$B,G$8,'Data - Monthly Metrics'!$C:$C,"Spokane/NE",'Data - Monthly Metrics'!$D:$D,"Goal - Penetration %"))</formula>
    </cfRule>
    <cfRule type="expression" rank="0" priority="491" equalAverage="0" aboveAverage="0" dxfId="2" stopIfTrue="1" text="" percent="0" bottom="0">
      <formula>AND(ISNUMBER(G31),COUNTIFS('Data - Monthly Metrics'!$A:$A,$B$4,'Data - Monthly Metrics'!$B:$B,G$8,'Data - Monthly Metrics'!$C:$C,"Spokane/NE",'Data - Monthly Metrics'!$D:$D,"Goal - Penetration %")&gt;0,G31&gt;=SUMIFS('Data - Monthly Metrics'!$E:$E,'Data - Monthly Metrics'!$A:$A,$B$4,'Data - Monthly Metrics'!$B:$B,G$8,'Data - Monthly Metrics'!$C:$C,"Spokane/NE",'Data - Monthly Metrics'!$D:$D,"Goal - Penetration %")-0.05)</formula>
    </cfRule>
    <cfRule type="expression" rank="0" priority="492" equalAverage="0" aboveAverage="0" dxfId="1" stopIfTrue="1" text="" percent="0" bottom="0">
      <formula>AND(ISNUMBER(G31),COUNTIFS('Data - Monthly Metrics'!$A:$A,$B$4,'Data - Monthly Metrics'!$B:$B,G$8,'Data - Monthly Metrics'!$C:$C,"Spokane/NE",'Data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Metrics'!$C:$C,"Spokane/NE",'Data - Monthly Metrics'!$D:$D,"Goal - Penetration %")&gt;0,H31&gt;=SUMIFS('Data - Monthly Metrics'!$E:$E,'Data - Monthly Metrics'!$A:$A,$B$4,'Data - Monthly Metrics'!$B:$B,H$8,'Data - Monthly Metrics'!$C:$C,"Spokane/NE",'Data - Monthly Metrics'!$D:$D,"Goal - Penetration %"))</formula>
    </cfRule>
    <cfRule type="expression" rank="0" priority="494" equalAverage="0" aboveAverage="0" dxfId="2" stopIfTrue="1" text="" percent="0" bottom="0">
      <formula>AND(ISNUMBER(H31),COUNTIFS('Data - Monthly Metrics'!$A:$A,$B$4,'Data - Monthly Metrics'!$B:$B,H$8,'Data - Monthly Metrics'!$C:$C,"Spokane/NE",'Data - Monthly Metrics'!$D:$D,"Goal - Penetration %")&gt;0,H31&gt;=SUMIFS('Data - Monthly Metrics'!$E:$E,'Data - Monthly Metrics'!$A:$A,$B$4,'Data - Monthly Metrics'!$B:$B,H$8,'Data - Monthly Metrics'!$C:$C,"Spokane/NE",'Data - Monthly Metrics'!$D:$D,"Goal - Penetration %")-0.05)</formula>
    </cfRule>
    <cfRule type="expression" rank="0" priority="495" equalAverage="0" aboveAverage="0" dxfId="1" stopIfTrue="1" text="" percent="0" bottom="0">
      <formula>AND(ISNUMBER(H31),COUNTIFS('Data - Monthly Metrics'!$A:$A,$B$4,'Data - Monthly Metrics'!$B:$B,H$8,'Data - Monthly Metrics'!$C:$C,"Spokane/NE",'Data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Metrics'!$C:$C,"Spokane/NE",'Data - Monthly Metrics'!$D:$D,"Goal - Penetration %")&gt;0,J31&gt;=SUMIFS('Data - Monthly Metrics'!$E:$E,'Data - Monthly Metrics'!$A:$A,$B$4,'Data - Monthly Metrics'!$B:$B,J$8,'Data - Monthly Metrics'!$C:$C,"Spokane/NE",'Data - Monthly Metrics'!$D:$D,"Goal - Penetration %"))</formula>
    </cfRule>
    <cfRule type="expression" rank="0" priority="497" equalAverage="0" aboveAverage="0" dxfId="2" stopIfTrue="1" text="" percent="0" bottom="0">
      <formula>AND(ISNUMBER(J31),COUNTIFS('Data - Monthly Metrics'!$A:$A,$B$4,'Data - Monthly Metrics'!$B:$B,J$8,'Data - Monthly Metrics'!$C:$C,"Spokane/NE",'Data - Monthly Metrics'!$D:$D,"Goal - Penetration %")&gt;0,J31&gt;=SUMIFS('Data - Monthly Metrics'!$E:$E,'Data - Monthly Metrics'!$A:$A,$B$4,'Data - Monthly Metrics'!$B:$B,J$8,'Data - Monthly Metrics'!$C:$C,"Spokane/NE",'Data - Monthly Metrics'!$D:$D,"Goal - Penetration %")-0.05)</formula>
    </cfRule>
    <cfRule type="expression" rank="0" priority="498" equalAverage="0" aboveAverage="0" dxfId="1" stopIfTrue="1" text="" percent="0" bottom="0">
      <formula>AND(ISNUMBER(J31),COUNTIFS('Data - Monthly Metrics'!$A:$A,$B$4,'Data - Monthly Metrics'!$B:$B,J$8,'Data - Monthly Metrics'!$C:$C,"Spokane/NE",'Data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Metrics'!$C:$C,"Spokane/NE",'Data - Monthly Metrics'!$D:$D,"Goal - Penetration %")&gt;0,K31&gt;=SUMIFS('Data - Monthly Metrics'!$E:$E,'Data - Monthly Metrics'!$A:$A,$B$4,'Data - Monthly Metrics'!$B:$B,K$8,'Data - Monthly Metrics'!$C:$C,"Spokane/NE",'Data - Monthly Metrics'!$D:$D,"Goal - Penetration %"))</formula>
    </cfRule>
    <cfRule type="expression" rank="0" priority="500" equalAverage="0" aboveAverage="0" dxfId="2" stopIfTrue="1" text="" percent="0" bottom="0">
      <formula>AND(ISNUMBER(K31),COUNTIFS('Data - Monthly Metrics'!$A:$A,$B$4,'Data - Monthly Metrics'!$B:$B,K$8,'Data - Monthly Metrics'!$C:$C,"Spokane/NE",'Data - Monthly Metrics'!$D:$D,"Goal - Penetration %")&gt;0,K31&gt;=SUMIFS('Data - Monthly Metrics'!$E:$E,'Data - Monthly Metrics'!$A:$A,$B$4,'Data - Monthly Metrics'!$B:$B,K$8,'Data - Monthly Metrics'!$C:$C,"Spokane/NE",'Data - Monthly Metrics'!$D:$D,"Goal - Penetration %")-0.05)</formula>
    </cfRule>
    <cfRule type="expression" rank="0" priority="501" equalAverage="0" aboveAverage="0" dxfId="1" stopIfTrue="1" text="" percent="0" bottom="0">
      <formula>AND(ISNUMBER(K31),COUNTIFS('Data - Monthly Metrics'!$A:$A,$B$4,'Data - Monthly Metrics'!$B:$B,K$8,'Data - Monthly Metrics'!$C:$C,"Spokane/NE",'Data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Metrics'!$C:$C,"Spokane/NE",'Data - Monthly Metrics'!$D:$D,"Goal - Penetration %")&gt;0,L31&gt;=SUMIFS('Data - Monthly Metrics'!$E:$E,'Data - Monthly Metrics'!$A:$A,$B$4,'Data - Monthly Metrics'!$B:$B,L$8,'Data - Monthly Metrics'!$C:$C,"Spokane/NE",'Data - Monthly Metrics'!$D:$D,"Goal - Penetration %"))</formula>
    </cfRule>
    <cfRule type="expression" rank="0" priority="503" equalAverage="0" aboveAverage="0" dxfId="2" stopIfTrue="1" text="" percent="0" bottom="0">
      <formula>AND(ISNUMBER(L31),COUNTIFS('Data - Monthly Metrics'!$A:$A,$B$4,'Data - Monthly Metrics'!$B:$B,L$8,'Data - Monthly Metrics'!$C:$C,"Spokane/NE",'Data - Monthly Metrics'!$D:$D,"Goal - Penetration %")&gt;0,L31&gt;=SUMIFS('Data - Monthly Metrics'!$E:$E,'Data - Monthly Metrics'!$A:$A,$B$4,'Data - Monthly Metrics'!$B:$B,L$8,'Data - Monthly Metrics'!$C:$C,"Spokane/NE",'Data - Monthly Metrics'!$D:$D,"Goal - Penetration %")-0.05)</formula>
    </cfRule>
    <cfRule type="expression" rank="0" priority="504" equalAverage="0" aboveAverage="0" dxfId="1" stopIfTrue="1" text="" percent="0" bottom="0">
      <formula>AND(ISNUMBER(L31),COUNTIFS('Data - Monthly Metrics'!$A:$A,$B$4,'Data - Monthly Metrics'!$B:$B,L$8,'Data - Monthly Metrics'!$C:$C,"Spokane/NE",'Data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Metrics'!$C:$C,"Spokane/NE",'Data - Monthly Metrics'!$D:$D,"Goal - Penetration %")&gt;0,N31&gt;=SUMIFS('Data - Monthly Metrics'!$E:$E,'Data - Monthly Metrics'!$A:$A,$B$4,'Data - Monthly Metrics'!$B:$B,N$8,'Data - Monthly Metrics'!$C:$C,"Spokane/NE",'Data - Monthly Metrics'!$D:$D,"Goal - Penetration %"))</formula>
    </cfRule>
    <cfRule type="expression" rank="0" priority="506" equalAverage="0" aboveAverage="0" dxfId="2" stopIfTrue="1" text="" percent="0" bottom="0">
      <formula>AND(ISNUMBER(N31),COUNTIFS('Data - Monthly Metrics'!$A:$A,$B$4,'Data - Monthly Metrics'!$B:$B,N$8,'Data - Monthly Metrics'!$C:$C,"Spokane/NE",'Data - Monthly Metrics'!$D:$D,"Goal - Penetration %")&gt;0,N31&gt;=SUMIFS('Data - Monthly Metrics'!$E:$E,'Data - Monthly Metrics'!$A:$A,$B$4,'Data - Monthly Metrics'!$B:$B,N$8,'Data - Monthly Metrics'!$C:$C,"Spokane/NE",'Data - Monthly Metrics'!$D:$D,"Goal - Penetration %")-0.05)</formula>
    </cfRule>
    <cfRule type="expression" rank="0" priority="507" equalAverage="0" aboveAverage="0" dxfId="1" stopIfTrue="1" text="" percent="0" bottom="0">
      <formula>AND(ISNUMBER(N31),COUNTIFS('Data - Monthly Metrics'!$A:$A,$B$4,'Data - Monthly Metrics'!$B:$B,N$8,'Data - Monthly Metrics'!$C:$C,"Spokane/NE",'Data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Metrics'!$C:$C,"Spokane/NE",'Data - Monthly Metrics'!$D:$D,"Goal - Penetration %")&gt;0,O31&gt;=SUMIFS('Data - Monthly Metrics'!$E:$E,'Data - Monthly Metrics'!$A:$A,$B$4,'Data - Monthly Metrics'!$B:$B,O$8,'Data - Monthly Metrics'!$C:$C,"Spokane/NE",'Data - Monthly Metrics'!$D:$D,"Goal - Penetration %"))</formula>
    </cfRule>
    <cfRule type="expression" rank="0" priority="509" equalAverage="0" aboveAverage="0" dxfId="2" stopIfTrue="1" text="" percent="0" bottom="0">
      <formula>AND(ISNUMBER(O31),COUNTIFS('Data - Monthly Metrics'!$A:$A,$B$4,'Data - Monthly Metrics'!$B:$B,O$8,'Data - Monthly Metrics'!$C:$C,"Spokane/NE",'Data - Monthly Metrics'!$D:$D,"Goal - Penetration %")&gt;0,O31&gt;=SUMIFS('Data - Monthly Metrics'!$E:$E,'Data - Monthly Metrics'!$A:$A,$B$4,'Data - Monthly Metrics'!$B:$B,O$8,'Data - Monthly Metrics'!$C:$C,"Spokane/NE",'Data - Monthly Metrics'!$D:$D,"Goal - Penetration %")-0.05)</formula>
    </cfRule>
    <cfRule type="expression" rank="0" priority="510" equalAverage="0" aboveAverage="0" dxfId="1" stopIfTrue="1" text="" percent="0" bottom="0">
      <formula>AND(ISNUMBER(O31),COUNTIFS('Data - Monthly Metrics'!$A:$A,$B$4,'Data - Monthly Metrics'!$B:$B,O$8,'Data - Monthly Metrics'!$C:$C,"Spokane/NE",'Data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Metrics'!$C:$C,"Spokane/NE",'Data - Monthly Metrics'!$D:$D,"Goal - Penetration %")&gt;0,P31&gt;=SUMIFS('Data - Monthly Metrics'!$E:$E,'Data - Monthly Metrics'!$A:$A,$B$4,'Data - Monthly Metrics'!$B:$B,P$8,'Data - Monthly Metrics'!$C:$C,"Spokane/NE",'Data - Monthly Metrics'!$D:$D,"Goal - Penetration %"))</formula>
    </cfRule>
    <cfRule type="expression" rank="0" priority="512" equalAverage="0" aboveAverage="0" dxfId="2" stopIfTrue="1" text="" percent="0" bottom="0">
      <formula>AND(ISNUMBER(P31),COUNTIFS('Data - Monthly Metrics'!$A:$A,$B$4,'Data - Monthly Metrics'!$B:$B,P$8,'Data - Monthly Metrics'!$C:$C,"Spokane/NE",'Data - Monthly Metrics'!$D:$D,"Goal - Penetration %")&gt;0,P31&gt;=SUMIFS('Data - Monthly Metrics'!$E:$E,'Data - Monthly Metrics'!$A:$A,$B$4,'Data - Monthly Metrics'!$B:$B,P$8,'Data - Monthly Metrics'!$C:$C,"Spokane/NE",'Data - Monthly Metrics'!$D:$D,"Goal - Penetration %")-0.05)</formula>
    </cfRule>
    <cfRule type="expression" rank="0" priority="513" equalAverage="0" aboveAverage="0" dxfId="1" stopIfTrue="1" text="" percent="0" bottom="0">
      <formula>AND(ISNUMBER(P31),COUNTIFS('Data - Monthly Metrics'!$A:$A,$B$4,'Data - Monthly Metrics'!$B:$B,P$8,'Data - Monthly Metrics'!$C:$C,"Spokane/NE",'Data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9" activeCellId="0" sqref="A19"/>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Southwest</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Metrics'!C:C,"Southwest",'Data - Monthly Metrics'!D:D,"New Sales Revenue - BOB/Promo ($)")=0,"-",SUMIFS('Data - Monthly Metrics'!E:E,'Data - Monthly Metrics'!A:A,$B$4-1,'Data - Monthly Metrics'!B:B,"Oct",'Data - Monthly Metrics'!C:C,"Southwest",'Data - Monthly Metrics'!D:D,"New Sales Revenue - BOB/Promo ($)"))</f>
        <v/>
      </c>
      <c r="C10" s="91">
        <f>IF(COUNTIFS('Data - Monthly Metrics'!A:A,$B$4-1,'Data - Monthly Metrics'!B:B,"Nov",'Data - Monthly Metrics'!C:C,"Southwest",'Data - Monthly Metrics'!D:D,"New Sales Revenue - BOB/Promo ($)")=0,"-",SUMIFS('Data - Monthly Metrics'!E:E,'Data - Monthly Metrics'!A:A,$B$4-1,'Data - Monthly Metrics'!B:B,"Nov",'Data - Monthly Metrics'!C:C,"Southwest",'Data - Monthly Metrics'!D:D,"New Sales Revenue - BOB/Promo ($)"))</f>
        <v/>
      </c>
      <c r="D10" s="91">
        <f>IF(COUNTIFS('Data - Monthly Metrics'!A:A,$B$4-1,'Data - Monthly Metrics'!B:B,"Dec",'Data - Monthly Metrics'!C:C,"Southwest",'Data - Monthly Metrics'!D:D,"New Sales Revenue - BOB/Promo ($)")=0,"-",SUMIFS('Data - Monthly Metrics'!E:E,'Data - Monthly Metrics'!A:A,$B$4-1,'Data - Monthly Metrics'!B:B,"Dec",'Data - Monthly Metrics'!C:C,"Southwest",'Data - Monthly Metrics'!D:D,"New Sales Revenue - BOB/Promo ($)"))</f>
        <v/>
      </c>
      <c r="E10" s="101">
        <f>SUM(B10,C10,D10)</f>
        <v/>
      </c>
      <c r="F10" s="91">
        <f>IF(COUNTIFS('Data - Monthly Metrics'!A:A,$B$4,'Data - Monthly Metrics'!B:B,"Jan",'Data - Monthly Metrics'!C:C,"Southwest",'Data - Monthly Metrics'!D:D,"New Sales Revenue - BOB/Promo ($)")=0,"-",SUMIFS('Data - Monthly Metrics'!E:E,'Data - Monthly Metrics'!A:A,$B$4,'Data - Monthly Metrics'!B:B,"Jan",'Data - Monthly Metrics'!C:C,"Southwest",'Data - Monthly Metrics'!D:D,"New Sales Revenue - BOB/Promo ($)"))</f>
        <v/>
      </c>
      <c r="G10" s="91">
        <f>IF(COUNTIFS('Data - Monthly Metrics'!A:A,$B$4,'Data - Monthly Metrics'!B:B,"Feb",'Data - Monthly Metrics'!C:C,"Southwest",'Data - Monthly Metrics'!D:D,"New Sales Revenue - BOB/Promo ($)")=0,"-",SUMIFS('Data - Monthly Metrics'!E:E,'Data - Monthly Metrics'!A:A,$B$4,'Data - Monthly Metrics'!B:B,"Feb",'Data - Monthly Metrics'!C:C,"Southwest",'Data - Monthly Metrics'!D:D,"New Sales Revenue - BOB/Promo ($)"))</f>
        <v/>
      </c>
      <c r="H10" s="91">
        <f>IF(COUNTIFS('Data - Monthly Metrics'!A:A,$B$4,'Data - Monthly Metrics'!B:B,"Mar",'Data - Monthly Metrics'!C:C,"Southwest",'Data - Monthly Metrics'!D:D,"New Sales Revenue - BOB/Promo ($)")=0,"-",SUMIFS('Data - Monthly Metrics'!E:E,'Data - Monthly Metrics'!A:A,$B$4,'Data - Monthly Metrics'!B:B,"Mar",'Data - Monthly Metrics'!C:C,"Southwest",'Data - Monthly Metrics'!D:D,"New Sales Revenue - BOB/Promo ($)"))</f>
        <v/>
      </c>
      <c r="I10" s="101">
        <f>SUM(F10,G10,H10)</f>
        <v/>
      </c>
      <c r="J10" s="91">
        <f>IF(COUNTIFS('Data - Monthly Metrics'!A:A,$B$4,'Data - Monthly Metrics'!B:B,"Apr",'Data - Monthly Metrics'!C:C,"Southwest",'Data - Monthly Metrics'!D:D,"New Sales Revenue - BOB/Promo ($)")=0,"-",SUMIFS('Data - Monthly Metrics'!E:E,'Data - Monthly Metrics'!A:A,$B$4,'Data - Monthly Metrics'!B:B,"Apr",'Data - Monthly Metrics'!C:C,"Southwest",'Data - Monthly Metrics'!D:D,"New Sales Revenue - BOB/Promo ($)"))</f>
        <v/>
      </c>
      <c r="K10" s="91">
        <f>IF(COUNTIFS('Data - Monthly Metrics'!A:A,$B$4,'Data - Monthly Metrics'!B:B,"May",'Data - Monthly Metrics'!C:C,"Southwest",'Data - Monthly Metrics'!D:D,"New Sales Revenue - BOB/Promo ($)")=0,"-",SUMIFS('Data - Monthly Metrics'!E:E,'Data - Monthly Metrics'!A:A,$B$4,'Data - Monthly Metrics'!B:B,"May",'Data - Monthly Metrics'!C:C,"Southwest",'Data - Monthly Metrics'!D:D,"New Sales Revenue - BOB/Promo ($)"))</f>
        <v/>
      </c>
      <c r="L10" s="91">
        <f>IF(COUNTIFS('Data - Monthly Metrics'!A:A,$B$4,'Data - Monthly Metrics'!B:B,"Jun",'Data - Monthly Metrics'!C:C,"Southwest",'Data - Monthly Metrics'!D:D,"New Sales Revenue - BOB/Promo ($)")=0,"-",SUMIFS('Data - Monthly Metrics'!E:E,'Data - Monthly Metrics'!A:A,$B$4,'Data - Monthly Metrics'!B:B,"Jun",'Data - Monthly Metrics'!C:C,"Southwest",'Data - Monthly Metrics'!D:D,"New Sales Revenue - BOB/Promo ($)"))</f>
        <v/>
      </c>
      <c r="M10" s="101">
        <f>SUM(J10,K10,L10)</f>
        <v/>
      </c>
      <c r="N10" s="91">
        <f>IF(COUNTIFS('Data - Monthly Metrics'!A:A,$B$4,'Data - Monthly Metrics'!B:B,"Jul",'Data - Monthly Metrics'!C:C,"Southwest",'Data - Monthly Metrics'!D:D,"New Sales Revenue - BOB/Promo ($)")=0,"-",SUMIFS('Data - Monthly Metrics'!E:E,'Data - Monthly Metrics'!A:A,$B$4,'Data - Monthly Metrics'!B:B,"Jul",'Data - Monthly Metrics'!C:C,"Southwest",'Data - Monthly Metrics'!D:D,"New Sales Revenue - BOB/Promo ($)"))</f>
        <v/>
      </c>
      <c r="O10" s="91">
        <f>IF(COUNTIFS('Data - Monthly Metrics'!A:A,$B$4,'Data - Monthly Metrics'!B:B,"Aug",'Data - Monthly Metrics'!C:C,"Southwest",'Data - Monthly Metrics'!D:D,"New Sales Revenue - BOB/Promo ($)")=0,"-",SUMIFS('Data - Monthly Metrics'!E:E,'Data - Monthly Metrics'!A:A,$B$4,'Data - Monthly Metrics'!B:B,"Aug",'Data - Monthly Metrics'!C:C,"Southwest",'Data - Monthly Metrics'!D:D,"New Sales Revenue - BOB/Promo ($)"))</f>
        <v/>
      </c>
      <c r="P10" s="91">
        <f>IF(COUNTIFS('Data - Monthly Metrics'!A:A,$B$4,'Data - Monthly Metrics'!B:B,"Sep",'Data - Monthly Metrics'!C:C,"Southwest",'Data - Monthly Metrics'!D:D,"New Sales Revenue - BOB/Promo ($)")=0,"-",SUMIFS('Data - Monthly Metrics'!E:E,'Data - Monthly Metrics'!A:A,$B$4,'Data - Monthly Metrics'!B:B,"Sep",'Data - Monthly Metrics'!C:C,"Southwest",'Data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Metrics'!C:C,"Southwest",'Data - Monthly Metrics'!D:D,"New Members - BOB (#)")=0,"-",SUMIFS('Data - Monthly Metrics'!E:E,'Data - Monthly Metrics'!A:A,$B$4-1,'Data - Monthly Metrics'!B:B,"Oct",'Data - Monthly Metrics'!C:C,"Southwest",'Data - Monthly Metrics'!D:D,"New Members - BOB (#)"))</f>
        <v/>
      </c>
      <c r="C11" s="93">
        <f>IF(COUNTIFS('Data - Monthly Metrics'!A:A,$B$4-1,'Data - Monthly Metrics'!B:B,"Nov",'Data - Monthly Metrics'!C:C,"Southwest",'Data - Monthly Metrics'!D:D,"New Members - BOB (#)")=0,"-",SUMIFS('Data - Monthly Metrics'!E:E,'Data - Monthly Metrics'!A:A,$B$4-1,'Data - Monthly Metrics'!B:B,"Nov",'Data - Monthly Metrics'!C:C,"Southwest",'Data - Monthly Metrics'!D:D,"New Members - BOB (#)"))</f>
        <v/>
      </c>
      <c r="D11" s="93">
        <f>IF(COUNTIFS('Data - Monthly Metrics'!A:A,$B$4-1,'Data - Monthly Metrics'!B:B,"Dec",'Data - Monthly Metrics'!C:C,"Southwest",'Data - Monthly Metrics'!D:D,"New Members - BOB (#)")=0,"-",SUMIFS('Data - Monthly Metrics'!E:E,'Data - Monthly Metrics'!A:A,$B$4-1,'Data - Monthly Metrics'!B:B,"Dec",'Data - Monthly Metrics'!C:C,"Southwest",'Data - Monthly Metrics'!D:D,"New Members - BOB (#)"))</f>
        <v/>
      </c>
      <c r="E11" s="103">
        <f>SUM(B11,C11,D11)</f>
        <v/>
      </c>
      <c r="F11" s="93">
        <f>IF(COUNTIFS('Data - Monthly Metrics'!A:A,$B$4,'Data - Monthly Metrics'!B:B,"Jan",'Data - Monthly Metrics'!C:C,"Southwest",'Data - Monthly Metrics'!D:D,"New Members - BOB (#)")=0,"-",SUMIFS('Data - Monthly Metrics'!E:E,'Data - Monthly Metrics'!A:A,$B$4,'Data - Monthly Metrics'!B:B,"Jan",'Data - Monthly Metrics'!C:C,"Southwest",'Data - Monthly Metrics'!D:D,"New Members - BOB (#)"))</f>
        <v/>
      </c>
      <c r="G11" s="93">
        <f>IF(COUNTIFS('Data - Monthly Metrics'!A:A,$B$4,'Data - Monthly Metrics'!B:B,"Feb",'Data - Monthly Metrics'!C:C,"Southwest",'Data - Monthly Metrics'!D:D,"New Members - BOB (#)")=0,"-",SUMIFS('Data - Monthly Metrics'!E:E,'Data - Monthly Metrics'!A:A,$B$4,'Data - Monthly Metrics'!B:B,"Feb",'Data - Monthly Metrics'!C:C,"Southwest",'Data - Monthly Metrics'!D:D,"New Members - BOB (#)"))</f>
        <v/>
      </c>
      <c r="H11" s="93">
        <f>IF(COUNTIFS('Data - Monthly Metrics'!A:A,$B$4,'Data - Monthly Metrics'!B:B,"Mar",'Data - Monthly Metrics'!C:C,"Southwest",'Data - Monthly Metrics'!D:D,"New Members - BOB (#)")=0,"-",SUMIFS('Data - Monthly Metrics'!E:E,'Data - Monthly Metrics'!A:A,$B$4,'Data - Monthly Metrics'!B:B,"Mar",'Data - Monthly Metrics'!C:C,"Southwest",'Data - Monthly Metrics'!D:D,"New Members - BOB (#)"))</f>
        <v/>
      </c>
      <c r="I11" s="103">
        <f>SUM(F11,G11,H11)</f>
        <v/>
      </c>
      <c r="J11" s="93">
        <f>IF(COUNTIFS('Data - Monthly Metrics'!A:A,$B$4,'Data - Monthly Metrics'!B:B,"Apr",'Data - Monthly Metrics'!C:C,"Southwest",'Data - Monthly Metrics'!D:D,"New Members - BOB (#)")=0,"-",SUMIFS('Data - Monthly Metrics'!E:E,'Data - Monthly Metrics'!A:A,$B$4,'Data - Monthly Metrics'!B:B,"Apr",'Data - Monthly Metrics'!C:C,"Southwest",'Data - Monthly Metrics'!D:D,"New Members - BOB (#)"))</f>
        <v/>
      </c>
      <c r="K11" s="93">
        <f>IF(COUNTIFS('Data - Monthly Metrics'!A:A,$B$4,'Data - Monthly Metrics'!B:B,"May",'Data - Monthly Metrics'!C:C,"Southwest",'Data - Monthly Metrics'!D:D,"New Members - BOB (#)")=0,"-",SUMIFS('Data - Monthly Metrics'!E:E,'Data - Monthly Metrics'!A:A,$B$4,'Data - Monthly Metrics'!B:B,"May",'Data - Monthly Metrics'!C:C,"Southwest",'Data - Monthly Metrics'!D:D,"New Members - BOB (#)"))</f>
        <v/>
      </c>
      <c r="L11" s="93">
        <f>IF(COUNTIFS('Data - Monthly Metrics'!A:A,$B$4,'Data - Monthly Metrics'!B:B,"Jun",'Data - Monthly Metrics'!C:C,"Southwest",'Data - Monthly Metrics'!D:D,"New Members - BOB (#)")=0,"-",SUMIFS('Data - Monthly Metrics'!E:E,'Data - Monthly Metrics'!A:A,$B$4,'Data - Monthly Metrics'!B:B,"Jun",'Data - Monthly Metrics'!C:C,"Southwest",'Data - Monthly Metrics'!D:D,"New Members - BOB (#)"))</f>
        <v/>
      </c>
      <c r="M11" s="103">
        <f>SUM(J11,K11,L11)</f>
        <v/>
      </c>
      <c r="N11" s="93">
        <f>IF(COUNTIFS('Data - Monthly Metrics'!A:A,$B$4,'Data - Monthly Metrics'!B:B,"Jul",'Data - Monthly Metrics'!C:C,"Southwest",'Data - Monthly Metrics'!D:D,"New Members - BOB (#)")=0,"-",SUMIFS('Data - Monthly Metrics'!E:E,'Data - Monthly Metrics'!A:A,$B$4,'Data - Monthly Metrics'!B:B,"Jul",'Data - Monthly Metrics'!C:C,"Southwest",'Data - Monthly Metrics'!D:D,"New Members - BOB (#)"))</f>
        <v/>
      </c>
      <c r="O11" s="93">
        <f>IF(COUNTIFS('Data - Monthly Metrics'!A:A,$B$4,'Data - Monthly Metrics'!B:B,"Aug",'Data - Monthly Metrics'!C:C,"Southwest",'Data - Monthly Metrics'!D:D,"New Members - BOB (#)")=0,"-",SUMIFS('Data - Monthly Metrics'!E:E,'Data - Monthly Metrics'!A:A,$B$4,'Data - Monthly Metrics'!B:B,"Aug",'Data - Monthly Metrics'!C:C,"Southwest",'Data - Monthly Metrics'!D:D,"New Members - BOB (#)"))</f>
        <v/>
      </c>
      <c r="P11" s="93">
        <f>IF(COUNTIFS('Data - Monthly Metrics'!A:A,$B$4,'Data - Monthly Metrics'!B:B,"Sep",'Data - Monthly Metrics'!C:C,"Southwest",'Data - Monthly Metrics'!D:D,"New Members - BOB (#)")=0,"-",SUMIFS('Data - Monthly Metrics'!E:E,'Data - Monthly Metrics'!A:A,$B$4,'Data - Monthly Metrics'!B:B,"Sep",'Data - Monthly Metrics'!C:C,"Southwest",'Data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Metrics'!C:C,"Southwest",'Data - Monthly Metrics'!D:D,"New Sales - Comped ($)")=0,"-",SUMIFS('Data - Monthly Metrics'!E:E,'Data - Monthly Metrics'!A:A,$B$4-1,'Data - Monthly Metrics'!B:B,"Oct",'Data - Monthly Metrics'!C:C,"Southwest",'Data - Monthly Metrics'!D:D,"New Sales - Comped ($)"))</f>
        <v/>
      </c>
      <c r="C12" s="91">
        <f>IF(COUNTIFS('Data - Monthly Metrics'!A:A,$B$4-1,'Data - Monthly Metrics'!B:B,"Nov",'Data - Monthly Metrics'!C:C,"Southwest",'Data - Monthly Metrics'!D:D,"New Sales - Comped ($)")=0,"-",SUMIFS('Data - Monthly Metrics'!E:E,'Data - Monthly Metrics'!A:A,$B$4-1,'Data - Monthly Metrics'!B:B,"Nov",'Data - Monthly Metrics'!C:C,"Southwest",'Data - Monthly Metrics'!D:D,"New Sales - Comped ($)"))</f>
        <v/>
      </c>
      <c r="D12" s="91">
        <f>IF(COUNTIFS('Data - Monthly Metrics'!A:A,$B$4-1,'Data - Monthly Metrics'!B:B,"Dec",'Data - Monthly Metrics'!C:C,"Southwest",'Data - Monthly Metrics'!D:D,"New Sales - Comped ($)")=0,"-",SUMIFS('Data - Monthly Metrics'!E:E,'Data - Monthly Metrics'!A:A,$B$4-1,'Data - Monthly Metrics'!B:B,"Dec",'Data - Monthly Metrics'!C:C,"Southwest",'Data - Monthly Metrics'!D:D,"New Sales - Comped ($)"))</f>
        <v/>
      </c>
      <c r="E12" s="101">
        <f>SUM(B12,C12,D12)</f>
        <v/>
      </c>
      <c r="F12" s="91">
        <f>IF(COUNTIFS('Data - Monthly Metrics'!A:A,$B$4,'Data - Monthly Metrics'!B:B,"Jan",'Data - Monthly Metrics'!C:C,"Southwest",'Data - Monthly Metrics'!D:D,"New Sales - Comped ($)")=0,"-",SUMIFS('Data - Monthly Metrics'!E:E,'Data - Monthly Metrics'!A:A,$B$4,'Data - Monthly Metrics'!B:B,"Jan",'Data - Monthly Metrics'!C:C,"Southwest",'Data - Monthly Metrics'!D:D,"New Sales - Comped ($)"))</f>
        <v/>
      </c>
      <c r="G12" s="91">
        <f>IF(COUNTIFS('Data - Monthly Metrics'!A:A,$B$4,'Data - Monthly Metrics'!B:B,"Feb",'Data - Monthly Metrics'!C:C,"Southwest",'Data - Monthly Metrics'!D:D,"New Sales - Comped ($)")=0,"-",SUMIFS('Data - Monthly Metrics'!E:E,'Data - Monthly Metrics'!A:A,$B$4,'Data - Monthly Metrics'!B:B,"Feb",'Data - Monthly Metrics'!C:C,"Southwest",'Data - Monthly Metrics'!D:D,"New Sales - Comped ($)"))</f>
        <v/>
      </c>
      <c r="H12" s="91">
        <f>IF(COUNTIFS('Data - Monthly Metrics'!A:A,$B$4,'Data - Monthly Metrics'!B:B,"Mar",'Data - Monthly Metrics'!C:C,"Southwest",'Data - Monthly Metrics'!D:D,"New Sales - Comped ($)")=0,"-",SUMIFS('Data - Monthly Metrics'!E:E,'Data - Monthly Metrics'!A:A,$B$4,'Data - Monthly Metrics'!B:B,"Mar",'Data - Monthly Metrics'!C:C,"Southwest",'Data - Monthly Metrics'!D:D,"New Sales - Comped ($)"))</f>
        <v/>
      </c>
      <c r="I12" s="101">
        <f>SUM(F12,G12,H12)</f>
        <v/>
      </c>
      <c r="J12" s="91">
        <f>IF(COUNTIFS('Data - Monthly Metrics'!A:A,$B$4,'Data - Monthly Metrics'!B:B,"Apr",'Data - Monthly Metrics'!C:C,"Southwest",'Data - Monthly Metrics'!D:D,"New Sales - Comped ($)")=0,"-",SUMIFS('Data - Monthly Metrics'!E:E,'Data - Monthly Metrics'!A:A,$B$4,'Data - Monthly Metrics'!B:B,"Apr",'Data - Monthly Metrics'!C:C,"Southwest",'Data - Monthly Metrics'!D:D,"New Sales - Comped ($)"))</f>
        <v/>
      </c>
      <c r="K12" s="91">
        <f>IF(COUNTIFS('Data - Monthly Metrics'!A:A,$B$4,'Data - Monthly Metrics'!B:B,"May",'Data - Monthly Metrics'!C:C,"Southwest",'Data - Monthly Metrics'!D:D,"New Sales - Comped ($)")=0,"-",SUMIFS('Data - Monthly Metrics'!E:E,'Data - Monthly Metrics'!A:A,$B$4,'Data - Monthly Metrics'!B:B,"May",'Data - Monthly Metrics'!C:C,"Southwest",'Data - Monthly Metrics'!D:D,"New Sales - Comped ($)"))</f>
        <v/>
      </c>
      <c r="L12" s="91">
        <f>IF(COUNTIFS('Data - Monthly Metrics'!A:A,$B$4,'Data - Monthly Metrics'!B:B,"Jun",'Data - Monthly Metrics'!C:C,"Southwest",'Data - Monthly Metrics'!D:D,"New Sales - Comped ($)")=0,"-",SUMIFS('Data - Monthly Metrics'!E:E,'Data - Monthly Metrics'!A:A,$B$4,'Data - Monthly Metrics'!B:B,"Jun",'Data - Monthly Metrics'!C:C,"Southwest",'Data - Monthly Metrics'!D:D,"New Sales - Comped ($)"))</f>
        <v/>
      </c>
      <c r="M12" s="101">
        <f>SUM(J12,K12,L12)</f>
        <v/>
      </c>
      <c r="N12" s="91">
        <f>IF(COUNTIFS('Data - Monthly Metrics'!A:A,$B$4,'Data - Monthly Metrics'!B:B,"Jul",'Data - Monthly Metrics'!C:C,"Southwest",'Data - Monthly Metrics'!D:D,"New Sales - Comped ($)")=0,"-",SUMIFS('Data - Monthly Metrics'!E:E,'Data - Monthly Metrics'!A:A,$B$4,'Data - Monthly Metrics'!B:B,"Jul",'Data - Monthly Metrics'!C:C,"Southwest",'Data - Monthly Metrics'!D:D,"New Sales - Comped ($)"))</f>
        <v/>
      </c>
      <c r="O12" s="91">
        <f>IF(COUNTIFS('Data - Monthly Metrics'!A:A,$B$4,'Data - Monthly Metrics'!B:B,"Aug",'Data - Monthly Metrics'!C:C,"Southwest",'Data - Monthly Metrics'!D:D,"New Sales - Comped ($)")=0,"-",SUMIFS('Data - Monthly Metrics'!E:E,'Data - Monthly Metrics'!A:A,$B$4,'Data - Monthly Metrics'!B:B,"Aug",'Data - Monthly Metrics'!C:C,"Southwest",'Data - Monthly Metrics'!D:D,"New Sales - Comped ($)"))</f>
        <v/>
      </c>
      <c r="P12" s="91">
        <f>IF(COUNTIFS('Data - Monthly Metrics'!A:A,$B$4,'Data - Monthly Metrics'!B:B,"Sep",'Data - Monthly Metrics'!C:C,"Southwest",'Data - Monthly Metrics'!D:D,"New Sales - Comped ($)")=0,"-",SUMIFS('Data - Monthly Metrics'!E:E,'Data - Monthly Metrics'!A:A,$B$4,'Data - Monthly Metrics'!B:B,"Sep",'Data - Monthly Metrics'!C:C,"Southwest",'Data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Metrics'!C:C,"Southwest",'Data - Monthly Metrics'!D:D,"Revenue Up for Renewal - Target ($)")+SUMIFS('Data - Monthly Metrics'!E:E,'Data - Monthly Metrics'!A:A,$B$4-1,'Data - Monthly Metrics'!B:B,"Oct",'Data - Monthly Metrics'!C:C,"Southwest",'Data - Monthly Metrics'!D:D,"Revenue Up for Renewal - Non-Target ($)")</f>
        <v/>
      </c>
      <c r="C22" s="110">
        <f>SUMIFS('Data - Monthly Metrics'!E:E,'Data - Monthly Metrics'!A:A,$B$4-1,'Data - Monthly Metrics'!B:B,"Nov",'Data - Monthly Metrics'!C:C,"Southwest",'Data - Monthly Metrics'!D:D,"Revenue Up for Renewal - Target ($)")+SUMIFS('Data - Monthly Metrics'!E:E,'Data - Monthly Metrics'!A:A,$B$4-1,'Data - Monthly Metrics'!B:B,"Nov",'Data - Monthly Metrics'!C:C,"Southwest",'Data - Monthly Metrics'!D:D,"Revenue Up for Renewal - Non-Target ($)")</f>
        <v/>
      </c>
      <c r="D22" s="110">
        <f>SUMIFS('Data - Monthly Metrics'!E:E,'Data - Monthly Metrics'!A:A,$B$4-1,'Data - Monthly Metrics'!B:B,"Dec",'Data - Monthly Metrics'!C:C,"Southwest",'Data - Monthly Metrics'!D:D,"Revenue Up for Renewal - Target ($)")+SUMIFS('Data - Monthly Metrics'!E:E,'Data - Monthly Metrics'!A:A,$B$4-1,'Data - Monthly Metrics'!B:B,"Dec",'Data - Monthly Metrics'!C:C,"Southwest",'Data - Monthly Metrics'!D:D,"Revenue Up for Renewal - Non-Target ($)")</f>
        <v/>
      </c>
      <c r="E22" s="111">
        <f>SUM(B22,C22,D22)</f>
        <v/>
      </c>
      <c r="F22" s="110">
        <f>SUMIFS('Data - Monthly Metrics'!E:E,'Data - Monthly Metrics'!A:A,$B$4,'Data - Monthly Metrics'!B:B,"Jan",'Data - Monthly Metrics'!C:C,"Southwest",'Data - Monthly Metrics'!D:D,"Revenue Up for Renewal - Target ($)")+SUMIFS('Data - Monthly Metrics'!E:E,'Data - Monthly Metrics'!A:A,$B$4,'Data - Monthly Metrics'!B:B,"Jan",'Data - Monthly Metrics'!C:C,"Southwest",'Data - Monthly Metrics'!D:D,"Revenue Up for Renewal - Non-Target ($)")</f>
        <v/>
      </c>
      <c r="G22" s="110">
        <f>SUMIFS('Data - Monthly Metrics'!E:E,'Data - Monthly Metrics'!A:A,$B$4,'Data - Monthly Metrics'!B:B,"Feb",'Data - Monthly Metrics'!C:C,"Southwest",'Data - Monthly Metrics'!D:D,"Revenue Up for Renewal - Target ($)")+SUMIFS('Data - Monthly Metrics'!E:E,'Data - Monthly Metrics'!A:A,$B$4,'Data - Monthly Metrics'!B:B,"Feb",'Data - Monthly Metrics'!C:C,"Southwest",'Data - Monthly Metrics'!D:D,"Revenue Up for Renewal - Non-Target ($)")</f>
        <v/>
      </c>
      <c r="H22" s="110">
        <f>SUMIFS('Data - Monthly Metrics'!E:E,'Data - Monthly Metrics'!A:A,$B$4,'Data - Monthly Metrics'!B:B,"Mar",'Data - Monthly Metrics'!C:C,"Southwest",'Data - Monthly Metrics'!D:D,"Revenue Up for Renewal - Target ($)")+SUMIFS('Data - Monthly Metrics'!E:E,'Data - Monthly Metrics'!A:A,$B$4,'Data - Monthly Metrics'!B:B,"Mar",'Data - Monthly Metrics'!C:C,"Southwest",'Data - Monthly Metrics'!D:D,"Revenue Up for Renewal - Non-Target ($)")</f>
        <v/>
      </c>
      <c r="I22" s="111">
        <f>SUM(F22,G22,H22)</f>
        <v/>
      </c>
      <c r="J22" s="110">
        <f>SUMIFS('Data - Monthly Metrics'!E:E,'Data - Monthly Metrics'!A:A,$B$4,'Data - Monthly Metrics'!B:B,"Apr",'Data - Monthly Metrics'!C:C,"Southwest",'Data - Monthly Metrics'!D:D,"Revenue Up for Renewal - Target ($)")+SUMIFS('Data - Monthly Metrics'!E:E,'Data - Monthly Metrics'!A:A,$B$4,'Data - Monthly Metrics'!B:B,"Apr",'Data - Monthly Metrics'!C:C,"Southwest",'Data - Monthly Metrics'!D:D,"Revenue Up for Renewal - Non-Target ($)")</f>
        <v/>
      </c>
      <c r="K22" s="110">
        <f>SUMIFS('Data - Monthly Metrics'!E:E,'Data - Monthly Metrics'!A:A,$B$4,'Data - Monthly Metrics'!B:B,"May",'Data - Monthly Metrics'!C:C,"Southwest",'Data - Monthly Metrics'!D:D,"Revenue Up for Renewal - Target ($)")+SUMIFS('Data - Monthly Metrics'!E:E,'Data - Monthly Metrics'!A:A,$B$4,'Data - Monthly Metrics'!B:B,"May",'Data - Monthly Metrics'!C:C,"Southwest",'Data - Monthly Metrics'!D:D,"Revenue Up for Renewal - Non-Target ($)")</f>
        <v/>
      </c>
      <c r="L22" s="110">
        <f>SUMIFS('Data - Monthly Metrics'!E:E,'Data - Monthly Metrics'!A:A,$B$4,'Data - Monthly Metrics'!B:B,"Jun",'Data - Monthly Metrics'!C:C,"Southwest",'Data - Monthly Metrics'!D:D,"Revenue Up for Renewal - Target ($)")+SUMIFS('Data - Monthly Metrics'!E:E,'Data - Monthly Metrics'!A:A,$B$4,'Data - Monthly Metrics'!B:B,"Jun",'Data - Monthly Metrics'!C:C,"Southwest",'Data - Monthly Metrics'!D:D,"Revenue Up for Renewal - Non-Target ($)")</f>
        <v/>
      </c>
      <c r="M22" s="111">
        <f>SUM(J22,K22,L22)</f>
        <v/>
      </c>
      <c r="N22" s="110">
        <f>SUMIFS('Data - Monthly Metrics'!E:E,'Data - Monthly Metrics'!A:A,$B$4,'Data - Monthly Metrics'!B:B,"Jul",'Data - Monthly Metrics'!C:C,"Southwest",'Data - Monthly Metrics'!D:D,"Revenue Up for Renewal - Target ($)")+SUMIFS('Data - Monthly Metrics'!E:E,'Data - Monthly Metrics'!A:A,$B$4,'Data - Monthly Metrics'!B:B,"Jul",'Data - Monthly Metrics'!C:C,"Southwest",'Data - Monthly Metrics'!D:D,"Revenue Up for Renewal - Non-Target ($)")</f>
        <v/>
      </c>
      <c r="O22" s="110">
        <f>SUMIFS('Data - Monthly Metrics'!E:E,'Data - Monthly Metrics'!A:A,$B$4,'Data - Monthly Metrics'!B:B,"Aug",'Data - Monthly Metrics'!C:C,"Southwest",'Data - Monthly Metrics'!D:D,"Revenue Up for Renewal - Target ($)")+SUMIFS('Data - Monthly Metrics'!E:E,'Data - Monthly Metrics'!A:A,$B$4,'Data - Monthly Metrics'!B:B,"Aug",'Data - Monthly Metrics'!C:C,"Southwest",'Data - Monthly Metrics'!D:D,"Revenue Up for Renewal - Non-Target ($)")</f>
        <v/>
      </c>
      <c r="P22" s="110">
        <f>SUMIFS('Data - Monthly Metrics'!E:E,'Data - Monthly Metrics'!A:A,$B$4,'Data - Monthly Metrics'!B:B,"Sep",'Data - Monthly Metrics'!C:C,"Southwest",'Data - Monthly Metrics'!D:D,"Revenue Up for Renewal - Target ($)")+SUMIFS('Data - Monthly Metrics'!E:E,'Data - Monthly Metrics'!A:A,$B$4,'Data - Monthly Metrics'!B:B,"Sep",'Data - Monthly Metrics'!C:C,"Southwest",'Data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Metrics'!C:C,"Southwest",'Data - Monthly Metrics'!D:D,"Revenue Retained - Target ($)")+SUMIFS('Data - Monthly Metrics'!E:E,'Data - Monthly Metrics'!A:A,$B$4-1,'Data - Monthly Metrics'!B:B,"Oct",'Data - Monthly Metrics'!C:C,"Southwest",'Data - Monthly Metrics'!D:D,"Revenue Retained - Non-Target ($)")</f>
        <v/>
      </c>
      <c r="C23" s="112">
        <f>SUMIFS('Data - Monthly Metrics'!E:E,'Data - Monthly Metrics'!A:A,$B$4-1,'Data - Monthly Metrics'!B:B,"Nov",'Data - Monthly Metrics'!C:C,"Southwest",'Data - Monthly Metrics'!D:D,"Revenue Retained - Target ($)")+SUMIFS('Data - Monthly Metrics'!E:E,'Data - Monthly Metrics'!A:A,$B$4-1,'Data - Monthly Metrics'!B:B,"Nov",'Data - Monthly Metrics'!C:C,"Southwest",'Data - Monthly Metrics'!D:D,"Revenue Retained - Non-Target ($)")</f>
        <v/>
      </c>
      <c r="D23" s="112">
        <f>SUMIFS('Data - Monthly Metrics'!E:E,'Data - Monthly Metrics'!A:A,$B$4-1,'Data - Monthly Metrics'!B:B,"Dec",'Data - Monthly Metrics'!C:C,"Southwest",'Data - Monthly Metrics'!D:D,"Revenue Retained - Target ($)")+SUMIFS('Data - Monthly Metrics'!E:E,'Data - Monthly Metrics'!A:A,$B$4-1,'Data - Monthly Metrics'!B:B,"Dec",'Data - Monthly Metrics'!C:C,"Southwest",'Data - Monthly Metrics'!D:D,"Revenue Retained - Non-Target ($)")</f>
        <v/>
      </c>
      <c r="E23" s="111">
        <f>SUM(B23,C23,D23)</f>
        <v/>
      </c>
      <c r="F23" s="112">
        <f>SUMIFS('Data - Monthly Metrics'!E:E,'Data - Monthly Metrics'!A:A,$B$4,'Data - Monthly Metrics'!B:B,"Jan",'Data - Monthly Metrics'!C:C,"Southwest",'Data - Monthly Metrics'!D:D,"Revenue Retained - Target ($)")+SUMIFS('Data - Monthly Metrics'!E:E,'Data - Monthly Metrics'!A:A,$B$4,'Data - Monthly Metrics'!B:B,"Jan",'Data - Monthly Metrics'!C:C,"Southwest",'Data - Monthly Metrics'!D:D,"Revenue Retained - Non-Target ($)")</f>
        <v/>
      </c>
      <c r="G23" s="112">
        <f>SUMIFS('Data - Monthly Metrics'!E:E,'Data - Monthly Metrics'!A:A,$B$4,'Data - Monthly Metrics'!B:B,"Feb",'Data - Monthly Metrics'!C:C,"Southwest",'Data - Monthly Metrics'!D:D,"Revenue Retained - Target ($)")+SUMIFS('Data - Monthly Metrics'!E:E,'Data - Monthly Metrics'!A:A,$B$4,'Data - Monthly Metrics'!B:B,"Feb",'Data - Monthly Metrics'!C:C,"Southwest",'Data - Monthly Metrics'!D:D,"Revenue Retained - Non-Target ($)")</f>
        <v/>
      </c>
      <c r="H23" s="112">
        <f>SUMIFS('Data - Monthly Metrics'!E:E,'Data - Monthly Metrics'!A:A,$B$4,'Data - Monthly Metrics'!B:B,"Mar",'Data - Monthly Metrics'!C:C,"Southwest",'Data - Monthly Metrics'!D:D,"Revenue Retained - Target ($)")+SUMIFS('Data - Monthly Metrics'!E:E,'Data - Monthly Metrics'!A:A,$B$4,'Data - Monthly Metrics'!B:B,"Mar",'Data - Monthly Metrics'!C:C,"Southwest",'Data - Monthly Metrics'!D:D,"Revenue Retained - Non-Target ($)")</f>
        <v/>
      </c>
      <c r="I23" s="111">
        <f>SUM(F23,G23,H23)</f>
        <v/>
      </c>
      <c r="J23" s="112">
        <f>SUMIFS('Data - Monthly Metrics'!E:E,'Data - Monthly Metrics'!A:A,$B$4,'Data - Monthly Metrics'!B:B,"Apr",'Data - Monthly Metrics'!C:C,"Southwest",'Data - Monthly Metrics'!D:D,"Revenue Retained - Target ($)")+SUMIFS('Data - Monthly Metrics'!E:E,'Data - Monthly Metrics'!A:A,$B$4,'Data - Monthly Metrics'!B:B,"Apr",'Data - Monthly Metrics'!C:C,"Southwest",'Data - Monthly Metrics'!D:D,"Revenue Retained - Non-Target ($)")</f>
        <v/>
      </c>
      <c r="K23" s="112">
        <f>SUMIFS('Data - Monthly Metrics'!E:E,'Data - Monthly Metrics'!A:A,$B$4,'Data - Monthly Metrics'!B:B,"May",'Data - Monthly Metrics'!C:C,"Southwest",'Data - Monthly Metrics'!D:D,"Revenue Retained - Target ($)")+SUMIFS('Data - Monthly Metrics'!E:E,'Data - Monthly Metrics'!A:A,$B$4,'Data - Monthly Metrics'!B:B,"May",'Data - Monthly Metrics'!C:C,"Southwest",'Data - Monthly Metrics'!D:D,"Revenue Retained - Non-Target ($)")</f>
        <v/>
      </c>
      <c r="L23" s="112">
        <f>SUMIFS('Data - Monthly Metrics'!E:E,'Data - Monthly Metrics'!A:A,$B$4,'Data - Monthly Metrics'!B:B,"Jun",'Data - Monthly Metrics'!C:C,"Southwest",'Data - Monthly Metrics'!D:D,"Revenue Retained - Target ($)")+SUMIFS('Data - Monthly Metrics'!E:E,'Data - Monthly Metrics'!A:A,$B$4,'Data - Monthly Metrics'!B:B,"Jun",'Data - Monthly Metrics'!C:C,"Southwest",'Data - Monthly Metrics'!D:D,"Revenue Retained - Non-Target ($)")</f>
        <v/>
      </c>
      <c r="M23" s="111">
        <f>SUM(J23,K23,L23)</f>
        <v/>
      </c>
      <c r="N23" s="112">
        <f>SUMIFS('Data - Monthly Metrics'!E:E,'Data - Monthly Metrics'!A:A,$B$4,'Data - Monthly Metrics'!B:B,"Jul",'Data - Monthly Metrics'!C:C,"Southwest",'Data - Monthly Metrics'!D:D,"Revenue Retained - Target ($)")+SUMIFS('Data - Monthly Metrics'!E:E,'Data - Monthly Metrics'!A:A,$B$4,'Data - Monthly Metrics'!B:B,"Jul",'Data - Monthly Metrics'!C:C,"Southwest",'Data - Monthly Metrics'!D:D,"Revenue Retained - Non-Target ($)")</f>
        <v/>
      </c>
      <c r="O23" s="112">
        <f>SUMIFS('Data - Monthly Metrics'!E:E,'Data - Monthly Metrics'!A:A,$B$4,'Data - Monthly Metrics'!B:B,"Aug",'Data - Monthly Metrics'!C:C,"Southwest",'Data - Monthly Metrics'!D:D,"Revenue Retained - Target ($)")+SUMIFS('Data - Monthly Metrics'!E:E,'Data - Monthly Metrics'!A:A,$B$4,'Data - Monthly Metrics'!B:B,"Aug",'Data - Monthly Metrics'!C:C,"Southwest",'Data - Monthly Metrics'!D:D,"Revenue Retained - Non-Target ($)")</f>
        <v/>
      </c>
      <c r="P23" s="112">
        <f>SUMIFS('Data - Monthly Metrics'!E:E,'Data - Monthly Metrics'!A:A,$B$4,'Data - Monthly Metrics'!B:B,"Sep",'Data - Monthly Metrics'!C:C,"Southwest",'Data - Monthly Metrics'!D:D,"Revenue Retained - Target ($)")+SUMIFS('Data - Monthly Metrics'!E:E,'Data - Monthly Metrics'!A:A,$B$4,'Data - Monthly Metrics'!B:B,"Sep",'Data - Monthly Metrics'!C:C,"Southwest",'Data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Metrics'!C:C,"Southwest",'Data - Monthly Metrics'!D:D,"Retention - Comped ($)")</f>
        <v/>
      </c>
      <c r="C24" s="112">
        <f>SUMIFS('Data - Monthly Metrics'!E:E,'Data - Monthly Metrics'!A:A,$B$4-1,'Data - Monthly Metrics'!B:B,"Nov",'Data - Monthly Metrics'!C:C,"Southwest",'Data - Monthly Metrics'!D:D,"Retention - Comped ($)")</f>
        <v/>
      </c>
      <c r="D24" s="112">
        <f>SUMIFS('Data - Monthly Metrics'!E:E,'Data - Monthly Metrics'!A:A,$B$4-1,'Data - Monthly Metrics'!B:B,"Dec",'Data - Monthly Metrics'!C:C,"Southwest",'Data - Monthly Metrics'!D:D,"Retention - Comped ($)")</f>
        <v/>
      </c>
      <c r="E24" s="111">
        <f>SUM(B24,C24,D24)</f>
        <v/>
      </c>
      <c r="F24" s="112">
        <f>SUMIFS('Data - Monthly Metrics'!E:E,'Data - Monthly Metrics'!A:A,$B$4,'Data - Monthly Metrics'!B:B,"Jan",'Data - Monthly Metrics'!C:C,"Southwest",'Data - Monthly Metrics'!D:D,"Retention - Comped ($)")</f>
        <v/>
      </c>
      <c r="G24" s="112">
        <f>SUMIFS('Data - Monthly Metrics'!E:E,'Data - Monthly Metrics'!A:A,$B$4,'Data - Monthly Metrics'!B:B,"Feb",'Data - Monthly Metrics'!C:C,"Southwest",'Data - Monthly Metrics'!D:D,"Retention - Comped ($)")</f>
        <v/>
      </c>
      <c r="H24" s="112">
        <f>SUMIFS('Data - Monthly Metrics'!E:E,'Data - Monthly Metrics'!A:A,$B$4,'Data - Monthly Metrics'!B:B,"Mar",'Data - Monthly Metrics'!C:C,"Southwest",'Data - Monthly Metrics'!D:D,"Retention - Comped ($)")</f>
        <v/>
      </c>
      <c r="I24" s="111">
        <f>SUM(F24,G24,H24)</f>
        <v/>
      </c>
      <c r="J24" s="112">
        <f>SUMIFS('Data - Monthly Metrics'!E:E,'Data - Monthly Metrics'!A:A,$B$4,'Data - Monthly Metrics'!B:B,"Apr",'Data - Monthly Metrics'!C:C,"Southwest",'Data - Monthly Metrics'!D:D,"Retention - Comped ($)")</f>
        <v/>
      </c>
      <c r="K24" s="112">
        <f>SUMIFS('Data - Monthly Metrics'!E:E,'Data - Monthly Metrics'!A:A,$B$4,'Data - Monthly Metrics'!B:B,"May",'Data - Monthly Metrics'!C:C,"Southwest",'Data - Monthly Metrics'!D:D,"Retention - Comped ($)")</f>
        <v/>
      </c>
      <c r="L24" s="112">
        <f>SUMIFS('Data - Monthly Metrics'!E:E,'Data - Monthly Metrics'!A:A,$B$4,'Data - Monthly Metrics'!B:B,"Jun",'Data - Monthly Metrics'!C:C,"Southwest",'Data - Monthly Metrics'!D:D,"Retention - Comped ($)")</f>
        <v/>
      </c>
      <c r="M24" s="111">
        <f>SUM(J24,K24,L24)</f>
        <v/>
      </c>
      <c r="N24" s="112">
        <f>SUMIFS('Data - Monthly Metrics'!E:E,'Data - Monthly Metrics'!A:A,$B$4,'Data - Monthly Metrics'!B:B,"Jul",'Data - Monthly Metrics'!C:C,"Southwest",'Data - Monthly Metrics'!D:D,"Retention - Comped ($)")</f>
        <v/>
      </c>
      <c r="O24" s="112">
        <f>SUMIFS('Data - Monthly Metrics'!E:E,'Data - Monthly Metrics'!A:A,$B$4,'Data - Monthly Metrics'!B:B,"Aug",'Data - Monthly Metrics'!C:C,"Southwest",'Data - Monthly Metrics'!D:D,"Retention - Comped ($)")</f>
        <v/>
      </c>
      <c r="P24" s="112">
        <f>SUMIFS('Data - Monthly Metrics'!E:E,'Data - Monthly Metrics'!A:A,$B$4,'Data - Monthly Metrics'!B:B,"Sep",'Data - Monthly Metrics'!C:C,"Southwest",'Data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Metrics'!C:C,"Southwest",'Data - Monthly Metrics'!D:D,"Retention - Comped (#)")</f>
        <v/>
      </c>
      <c r="C25" s="113">
        <f>SUMIFS('Data - Monthly Metrics'!E:E,'Data - Monthly Metrics'!A:A,$B$4-1,'Data - Monthly Metrics'!B:B,"Nov",'Data - Monthly Metrics'!C:C,"Southwest",'Data - Monthly Metrics'!D:D,"Retention - Comped (#)")</f>
        <v/>
      </c>
      <c r="D25" s="113">
        <f>SUMIFS('Data - Monthly Metrics'!E:E,'Data - Monthly Metrics'!A:A,$B$4-1,'Data - Monthly Metrics'!B:B,"Dec",'Data - Monthly Metrics'!C:C,"Southwest",'Data - Monthly Metrics'!D:D,"Retention - Comped (#)")</f>
        <v/>
      </c>
      <c r="E25" s="114">
        <f>SUM(B25,C25,D25)</f>
        <v/>
      </c>
      <c r="F25" s="113">
        <f>SUMIFS('Data - Monthly Metrics'!E:E,'Data - Monthly Metrics'!A:A,$B$4,'Data - Monthly Metrics'!B:B,"Jan",'Data - Monthly Metrics'!C:C,"Southwest",'Data - Monthly Metrics'!D:D,"Retention - Comped (#)")</f>
        <v/>
      </c>
      <c r="G25" s="113">
        <f>SUMIFS('Data - Monthly Metrics'!E:E,'Data - Monthly Metrics'!A:A,$B$4,'Data - Monthly Metrics'!B:B,"Feb",'Data - Monthly Metrics'!C:C,"Southwest",'Data - Monthly Metrics'!D:D,"Retention - Comped (#)")</f>
        <v/>
      </c>
      <c r="H25" s="113">
        <f>SUMIFS('Data - Monthly Metrics'!E:E,'Data - Monthly Metrics'!A:A,$B$4,'Data - Monthly Metrics'!B:B,"Mar",'Data - Monthly Metrics'!C:C,"Southwest",'Data - Monthly Metrics'!D:D,"Retention - Comped (#)")</f>
        <v/>
      </c>
      <c r="I25" s="114">
        <f>SUM(F25,G25,H25)</f>
        <v/>
      </c>
      <c r="J25" s="113">
        <f>SUMIFS('Data - Monthly Metrics'!E:E,'Data - Monthly Metrics'!A:A,$B$4,'Data - Monthly Metrics'!B:B,"Apr",'Data - Monthly Metrics'!C:C,"Southwest",'Data - Monthly Metrics'!D:D,"Retention - Comped (#)")</f>
        <v/>
      </c>
      <c r="K25" s="113">
        <f>SUMIFS('Data - Monthly Metrics'!E:E,'Data - Monthly Metrics'!A:A,$B$4,'Data - Monthly Metrics'!B:B,"May",'Data - Monthly Metrics'!C:C,"Southwest",'Data - Monthly Metrics'!D:D,"Retention - Comped (#)")</f>
        <v/>
      </c>
      <c r="L25" s="113">
        <f>SUMIFS('Data - Monthly Metrics'!E:E,'Data - Monthly Metrics'!A:A,$B$4,'Data - Monthly Metrics'!B:B,"Jun",'Data - Monthly Metrics'!C:C,"Southwest",'Data - Monthly Metrics'!D:D,"Retention - Comped (#)")</f>
        <v/>
      </c>
      <c r="M25" s="114">
        <f>SUM(J25,K25,L25)</f>
        <v/>
      </c>
      <c r="N25" s="113">
        <f>SUMIFS('Data - Monthly Metrics'!E:E,'Data - Monthly Metrics'!A:A,$B$4,'Data - Monthly Metrics'!B:B,"Jul",'Data - Monthly Metrics'!C:C,"Southwest",'Data - Monthly Metrics'!D:D,"Retention - Comped (#)")</f>
        <v/>
      </c>
      <c r="O25" s="113">
        <f>SUMIFS('Data - Monthly Metrics'!E:E,'Data - Monthly Metrics'!A:A,$B$4,'Data - Monthly Metrics'!B:B,"Aug",'Data - Monthly Metrics'!C:C,"Southwest",'Data - Monthly Metrics'!D:D,"Retention - Comped (#)")</f>
        <v/>
      </c>
      <c r="P25" s="113">
        <f>SUMIFS('Data - Monthly Metrics'!E:E,'Data - Monthly Metrics'!A:A,$B$4,'Data - Monthly Metrics'!B:B,"Sep",'Data - Monthly Metrics'!C:C,"Southwest",'Data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Metrics'!C:C,"Southwest",'Data - Monthly Metrics'!D:D,"Retention - BOB ($)")</f>
        <v/>
      </c>
      <c r="C26" s="112">
        <f>SUMIFS('Data - Monthly Metrics'!E:E,'Data - Monthly Metrics'!A:A,$B$4-1,'Data - Monthly Metrics'!B:B,"Nov",'Data - Monthly Metrics'!C:C,"Southwest",'Data - Monthly Metrics'!D:D,"Retention - BOB ($)")</f>
        <v/>
      </c>
      <c r="D26" s="112">
        <f>SUMIFS('Data - Monthly Metrics'!E:E,'Data - Monthly Metrics'!A:A,$B$4-1,'Data - Monthly Metrics'!B:B,"Dec",'Data - Monthly Metrics'!C:C,"Southwest",'Data - Monthly Metrics'!D:D,"Retention - BOB ($)")</f>
        <v/>
      </c>
      <c r="E26" s="111">
        <f>SUM(B26,C26,D26)</f>
        <v/>
      </c>
      <c r="F26" s="112">
        <f>SUMIFS('Data - Monthly Metrics'!E:E,'Data - Monthly Metrics'!A:A,$B$4,'Data - Monthly Metrics'!B:B,"Jan",'Data - Monthly Metrics'!C:C,"Southwest",'Data - Monthly Metrics'!D:D,"Retention - BOB ($)")</f>
        <v/>
      </c>
      <c r="G26" s="112">
        <f>SUMIFS('Data - Monthly Metrics'!E:E,'Data - Monthly Metrics'!A:A,$B$4,'Data - Monthly Metrics'!B:B,"Feb",'Data - Monthly Metrics'!C:C,"Southwest",'Data - Monthly Metrics'!D:D,"Retention - BOB ($)")</f>
        <v/>
      </c>
      <c r="H26" s="112">
        <f>SUMIFS('Data - Monthly Metrics'!E:E,'Data - Monthly Metrics'!A:A,$B$4,'Data - Monthly Metrics'!B:B,"Mar",'Data - Monthly Metrics'!C:C,"Southwest",'Data - Monthly Metrics'!D:D,"Retention - BOB ($)")</f>
        <v/>
      </c>
      <c r="I26" s="111">
        <f>SUM(F26,G26,H26)</f>
        <v/>
      </c>
      <c r="J26" s="112">
        <f>SUMIFS('Data - Monthly Metrics'!E:E,'Data - Monthly Metrics'!A:A,$B$4,'Data - Monthly Metrics'!B:B,"Apr",'Data - Monthly Metrics'!C:C,"Southwest",'Data - Monthly Metrics'!D:D,"Retention - BOB ($)")</f>
        <v/>
      </c>
      <c r="K26" s="112">
        <f>SUMIFS('Data - Monthly Metrics'!E:E,'Data - Monthly Metrics'!A:A,$B$4,'Data - Monthly Metrics'!B:B,"May",'Data - Monthly Metrics'!C:C,"Southwest",'Data - Monthly Metrics'!D:D,"Retention - BOB ($)")</f>
        <v/>
      </c>
      <c r="L26" s="112">
        <f>SUMIFS('Data - Monthly Metrics'!E:E,'Data - Monthly Metrics'!A:A,$B$4,'Data - Monthly Metrics'!B:B,"Jun",'Data - Monthly Metrics'!C:C,"Southwest",'Data - Monthly Metrics'!D:D,"Retention - BOB ($)")</f>
        <v/>
      </c>
      <c r="M26" s="111">
        <f>SUM(J26,K26,L26)</f>
        <v/>
      </c>
      <c r="N26" s="112">
        <f>SUMIFS('Data - Monthly Metrics'!E:E,'Data - Monthly Metrics'!A:A,$B$4,'Data - Monthly Metrics'!B:B,"Jul",'Data - Monthly Metrics'!C:C,"Southwest",'Data - Monthly Metrics'!D:D,"Retention - BOB ($)")</f>
        <v/>
      </c>
      <c r="O26" s="112">
        <f>SUMIFS('Data - Monthly Metrics'!E:E,'Data - Monthly Metrics'!A:A,$B$4,'Data - Monthly Metrics'!B:B,"Aug",'Data - Monthly Metrics'!C:C,"Southwest",'Data - Monthly Metrics'!D:D,"Retention - BOB ($)")</f>
        <v/>
      </c>
      <c r="P26" s="112">
        <f>SUMIFS('Data - Monthly Metrics'!E:E,'Data - Monthly Metrics'!A:A,$B$4,'Data - Monthly Metrics'!B:B,"Sep",'Data - Monthly Metrics'!C:C,"Southwest",'Data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Metrics'!C:C,"Southwest",'Data - Monthly Metrics'!D:D,"Retention - BOB (#)")</f>
        <v/>
      </c>
      <c r="C27" s="113">
        <f>SUMIFS('Data - Monthly Metrics'!E:E,'Data - Monthly Metrics'!A:A,$B$4-1,'Data - Monthly Metrics'!B:B,"Nov",'Data - Monthly Metrics'!C:C,"Southwest",'Data - Monthly Metrics'!D:D,"Retention - BOB (#)")</f>
        <v/>
      </c>
      <c r="D27" s="113">
        <f>SUMIFS('Data - Monthly Metrics'!E:E,'Data - Monthly Metrics'!A:A,$B$4-1,'Data - Monthly Metrics'!B:B,"Dec",'Data - Monthly Metrics'!C:C,"Southwest",'Data - Monthly Metrics'!D:D,"Retention - BOB (#)")</f>
        <v/>
      </c>
      <c r="E27" s="114">
        <f>SUM(B27,C27,D27)</f>
        <v/>
      </c>
      <c r="F27" s="113">
        <f>SUMIFS('Data - Monthly Metrics'!E:E,'Data - Monthly Metrics'!A:A,$B$4,'Data - Monthly Metrics'!B:B,"Jan",'Data - Monthly Metrics'!C:C,"Southwest",'Data - Monthly Metrics'!D:D,"Retention - BOB (#)")</f>
        <v/>
      </c>
      <c r="G27" s="113">
        <f>SUMIFS('Data - Monthly Metrics'!E:E,'Data - Monthly Metrics'!A:A,$B$4,'Data - Monthly Metrics'!B:B,"Feb",'Data - Monthly Metrics'!C:C,"Southwest",'Data - Monthly Metrics'!D:D,"Retention - BOB (#)")</f>
        <v/>
      </c>
      <c r="H27" s="113">
        <f>SUMIFS('Data - Monthly Metrics'!E:E,'Data - Monthly Metrics'!A:A,$B$4,'Data - Monthly Metrics'!B:B,"Mar",'Data - Monthly Metrics'!C:C,"Southwest",'Data - Monthly Metrics'!D:D,"Retention - BOB (#)")</f>
        <v/>
      </c>
      <c r="I27" s="114">
        <f>SUM(F27,G27,H27)</f>
        <v/>
      </c>
      <c r="J27" s="113">
        <f>SUMIFS('Data - Monthly Metrics'!E:E,'Data - Monthly Metrics'!A:A,$B$4,'Data - Monthly Metrics'!B:B,"Apr",'Data - Monthly Metrics'!C:C,"Southwest",'Data - Monthly Metrics'!D:D,"Retention - BOB (#)")</f>
        <v/>
      </c>
      <c r="K27" s="113">
        <f>SUMIFS('Data - Monthly Metrics'!E:E,'Data - Monthly Metrics'!A:A,$B$4,'Data - Monthly Metrics'!B:B,"May",'Data - Monthly Metrics'!C:C,"Southwest",'Data - Monthly Metrics'!D:D,"Retention - BOB (#)")</f>
        <v/>
      </c>
      <c r="L27" s="113">
        <f>SUMIFS('Data - Monthly Metrics'!E:E,'Data - Monthly Metrics'!A:A,$B$4,'Data - Monthly Metrics'!B:B,"Jun",'Data - Monthly Metrics'!C:C,"Southwest",'Data - Monthly Metrics'!D:D,"Retention - BOB (#)")</f>
        <v/>
      </c>
      <c r="M27" s="114">
        <f>SUM(J27,K27,L27)</f>
        <v/>
      </c>
      <c r="N27" s="113">
        <f>SUMIFS('Data - Monthly Metrics'!E:E,'Data - Monthly Metrics'!A:A,$B$4,'Data - Monthly Metrics'!B:B,"Jul",'Data - Monthly Metrics'!C:C,"Southwest",'Data - Monthly Metrics'!D:D,"Retention - BOB (#)")</f>
        <v/>
      </c>
      <c r="O27" s="113">
        <f>SUMIFS('Data - Monthly Metrics'!E:E,'Data - Monthly Metrics'!A:A,$B$4,'Data - Monthly Metrics'!B:B,"Aug",'Data - Monthly Metrics'!C:C,"Southwest",'Data - Monthly Metrics'!D:D,"Retention - BOB (#)")</f>
        <v/>
      </c>
      <c r="P27" s="113">
        <f>SUMIFS('Data - Monthly Metrics'!E:E,'Data - Monthly Metrics'!A:A,$B$4,'Data - Monthly Metrics'!B:B,"Sep",'Data - Monthly Metrics'!C:C,"Southwest",'Data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Metrics'!C:C,"Southwest",'Data - Monthly Metrics'!D:D,"Revenue Up for Renewal - Target ($)")+SUMIFS('Data - Monthly Metrics'!E:E,'Data - Monthly Metrics'!A:A,$B$4-1,'Data - Monthly Metrics'!B:B,"Oct",'Data - Monthly Metrics'!C:C,"Southwest",'Data - Monthly Metrics'!D:D,"Revenue Up for Renewal - Non-Target ($)"))=0,"-",(SUMIFS('Data - Monthly Metrics'!E:E,'Data - Monthly Metrics'!A:A,$B$4-1,'Data - Monthly Metrics'!B:B,"Oct",'Data - Monthly Metrics'!C:C,"Southwest",'Data - Monthly Metrics'!D:D,"Revenue Retained - Target ($)")+SUMIFS('Data - Monthly Metrics'!E:E,'Data - Monthly Metrics'!A:A,$B$4-1,'Data - Monthly Metrics'!B:B,"Oct",'Data - Monthly Metrics'!C:C,"Southwest",'Data - Monthly Metrics'!D:D,"Revenue Retained - Non-Target ($)"))/(SUMIFS('Data - Monthly Metrics'!E:E,'Data - Monthly Metrics'!A:A,$B$4-1,'Data - Monthly Metrics'!B:B,"Oct",'Data - Monthly Metrics'!C:C,"Southwest",'Data - Monthly Metrics'!D:D,"Revenue Up for Renewal - Target ($)")+SUMIFS('Data - Monthly Metrics'!E:E,'Data - Monthly Metrics'!A:A,$B$4-1,'Data - Monthly Metrics'!B:B,"Oct",'Data - Monthly Metrics'!C:C,"Southwest",'Data - Monthly Metrics'!D:D,"Revenue Up for Renewal - Non-Target ($)")))</f>
        <v/>
      </c>
      <c r="C28" s="115">
        <f>IF((SUMIFS('Data - Monthly Metrics'!E:E,'Data - Monthly Metrics'!A:A,$B$4-1,'Data - Monthly Metrics'!B:B,"Nov",'Data - Monthly Metrics'!C:C,"Southwest",'Data - Monthly Metrics'!D:D,"Revenue Up for Renewal - Target ($)")+SUMIFS('Data - Monthly Metrics'!E:E,'Data - Monthly Metrics'!A:A,$B$4-1,'Data - Monthly Metrics'!B:B,"Nov",'Data - Monthly Metrics'!C:C,"Southwest",'Data - Monthly Metrics'!D:D,"Revenue Up for Renewal - Non-Target ($)"))=0,"-",(SUMIFS('Data - Monthly Metrics'!E:E,'Data - Monthly Metrics'!A:A,$B$4-1,'Data - Monthly Metrics'!B:B,"Nov",'Data - Monthly Metrics'!C:C,"Southwest",'Data - Monthly Metrics'!D:D,"Revenue Retained - Target ($)")+SUMIFS('Data - Monthly Metrics'!E:E,'Data - Monthly Metrics'!A:A,$B$4-1,'Data - Monthly Metrics'!B:B,"Nov",'Data - Monthly Metrics'!C:C,"Southwest",'Data - Monthly Metrics'!D:D,"Revenue Retained - Non-Target ($)"))/(SUMIFS('Data - Monthly Metrics'!E:E,'Data - Monthly Metrics'!A:A,$B$4-1,'Data - Monthly Metrics'!B:B,"Nov",'Data - Monthly Metrics'!C:C,"Southwest",'Data - Monthly Metrics'!D:D,"Revenue Up for Renewal - Target ($)")+SUMIFS('Data - Monthly Metrics'!E:E,'Data - Monthly Metrics'!A:A,$B$4-1,'Data - Monthly Metrics'!B:B,"Nov",'Data - Monthly Metrics'!C:C,"Southwest",'Data - Monthly Metrics'!D:D,"Revenue Up for Renewal - Non-Target ($)")))</f>
        <v/>
      </c>
      <c r="D28" s="115">
        <f>IF((SUMIFS('Data - Monthly Metrics'!E:E,'Data - Monthly Metrics'!A:A,$B$4-1,'Data - Monthly Metrics'!B:B,"Dec",'Data - Monthly Metrics'!C:C,"Southwest",'Data - Monthly Metrics'!D:D,"Revenue Up for Renewal - Target ($)")+SUMIFS('Data - Monthly Metrics'!E:E,'Data - Monthly Metrics'!A:A,$B$4-1,'Data - Monthly Metrics'!B:B,"Dec",'Data - Monthly Metrics'!C:C,"Southwest",'Data - Monthly Metrics'!D:D,"Revenue Up for Renewal - Non-Target ($)"))=0,"-",(SUMIFS('Data - Monthly Metrics'!E:E,'Data - Monthly Metrics'!A:A,$B$4-1,'Data - Monthly Metrics'!B:B,"Dec",'Data - Monthly Metrics'!C:C,"Southwest",'Data - Monthly Metrics'!D:D,"Revenue Retained - Target ($)")+SUMIFS('Data - Monthly Metrics'!E:E,'Data - Monthly Metrics'!A:A,$B$4-1,'Data - Monthly Metrics'!B:B,"Dec",'Data - Monthly Metrics'!C:C,"Southwest",'Data - Monthly Metrics'!D:D,"Revenue Retained - Non-Target ($)"))/(SUMIFS('Data - Monthly Metrics'!E:E,'Data - Monthly Metrics'!A:A,$B$4-1,'Data - Monthly Metrics'!B:B,"Dec",'Data - Monthly Metrics'!C:C,"Southwest",'Data - Monthly Metrics'!D:D,"Revenue Up for Renewal - Target ($)")+SUMIFS('Data - Monthly Metrics'!E:E,'Data - Monthly Metrics'!A:A,$B$4-1,'Data - Monthly Metrics'!B:B,"Dec",'Data - Monthly Metrics'!C:C,"Southwest",'Data - Monthly Metrics'!D:D,"Revenue Up for Renewal - Non-Target ($)")))</f>
        <v/>
      </c>
      <c r="E28" s="116">
        <f>IF(E22=0,0,E23/E22)</f>
        <v/>
      </c>
      <c r="F28" s="115">
        <f>IF((SUMIFS('Data - Monthly Metrics'!E:E,'Data - Monthly Metrics'!A:A,$B$4,'Data - Monthly Metrics'!B:B,"Jan",'Data - Monthly Metrics'!C:C,"Southwest",'Data - Monthly Metrics'!D:D,"Revenue Up for Renewal - Target ($)")+SUMIFS('Data - Monthly Metrics'!E:E,'Data - Monthly Metrics'!A:A,$B$4,'Data - Monthly Metrics'!B:B,"Jan",'Data - Monthly Metrics'!C:C,"Southwest",'Data - Monthly Metrics'!D:D,"Revenue Up for Renewal - Non-Target ($)"))=0,"-",(SUMIFS('Data - Monthly Metrics'!E:E,'Data - Monthly Metrics'!A:A,$B$4,'Data - Monthly Metrics'!B:B,"Jan",'Data - Monthly Metrics'!C:C,"Southwest",'Data - Monthly Metrics'!D:D,"Revenue Retained - Target ($)")+SUMIFS('Data - Monthly Metrics'!E:E,'Data - Monthly Metrics'!A:A,$B$4,'Data - Monthly Metrics'!B:B,"Jan",'Data - Monthly Metrics'!C:C,"Southwest",'Data - Monthly Metrics'!D:D,"Revenue Retained - Non-Target ($)"))/(SUMIFS('Data - Monthly Metrics'!E:E,'Data - Monthly Metrics'!A:A,$B$4,'Data - Monthly Metrics'!B:B,"Jan",'Data - Monthly Metrics'!C:C,"Southwest",'Data - Monthly Metrics'!D:D,"Revenue Up for Renewal - Target ($)")+SUMIFS('Data - Monthly Metrics'!E:E,'Data - Monthly Metrics'!A:A,$B$4,'Data - Monthly Metrics'!B:B,"Jan",'Data - Monthly Metrics'!C:C,"Southwest",'Data - Monthly Metrics'!D:D,"Revenue Up for Renewal - Non-Target ($)")))</f>
        <v/>
      </c>
      <c r="G28" s="115">
        <f>IF((SUMIFS('Data - Monthly Metrics'!E:E,'Data - Monthly Metrics'!A:A,$B$4,'Data - Monthly Metrics'!B:B,"Feb",'Data - Monthly Metrics'!C:C,"Southwest",'Data - Monthly Metrics'!D:D,"Revenue Up for Renewal - Target ($)")+SUMIFS('Data - Monthly Metrics'!E:E,'Data - Monthly Metrics'!A:A,$B$4,'Data - Monthly Metrics'!B:B,"Feb",'Data - Monthly Metrics'!C:C,"Southwest",'Data - Monthly Metrics'!D:D,"Revenue Up for Renewal - Non-Target ($)"))=0,"-",(SUMIFS('Data - Monthly Metrics'!E:E,'Data - Monthly Metrics'!A:A,$B$4,'Data - Monthly Metrics'!B:B,"Feb",'Data - Monthly Metrics'!C:C,"Southwest",'Data - Monthly Metrics'!D:D,"Revenue Retained - Target ($)")+SUMIFS('Data - Monthly Metrics'!E:E,'Data - Monthly Metrics'!A:A,$B$4,'Data - Monthly Metrics'!B:B,"Feb",'Data - Monthly Metrics'!C:C,"Southwest",'Data - Monthly Metrics'!D:D,"Revenue Retained - Non-Target ($)"))/(SUMIFS('Data - Monthly Metrics'!E:E,'Data - Monthly Metrics'!A:A,$B$4,'Data - Monthly Metrics'!B:B,"Feb",'Data - Monthly Metrics'!C:C,"Southwest",'Data - Monthly Metrics'!D:D,"Revenue Up for Renewal - Target ($)")+SUMIFS('Data - Monthly Metrics'!E:E,'Data - Monthly Metrics'!A:A,$B$4,'Data - Monthly Metrics'!B:B,"Feb",'Data - Monthly Metrics'!C:C,"Southwest",'Data - Monthly Metrics'!D:D,"Revenue Up for Renewal - Non-Target ($)")))</f>
        <v/>
      </c>
      <c r="H28" s="115">
        <f>IF((SUMIFS('Data - Monthly Metrics'!E:E,'Data - Monthly Metrics'!A:A,$B$4,'Data - Monthly Metrics'!B:B,"Mar",'Data - Monthly Metrics'!C:C,"Southwest",'Data - Monthly Metrics'!D:D,"Revenue Up for Renewal - Target ($)")+SUMIFS('Data - Monthly Metrics'!E:E,'Data - Monthly Metrics'!A:A,$B$4,'Data - Monthly Metrics'!B:B,"Mar",'Data - Monthly Metrics'!C:C,"Southwest",'Data - Monthly Metrics'!D:D,"Revenue Up for Renewal - Non-Target ($)"))=0,"-",(SUMIFS('Data - Monthly Metrics'!E:E,'Data - Monthly Metrics'!A:A,$B$4,'Data - Monthly Metrics'!B:B,"Mar",'Data - Monthly Metrics'!C:C,"Southwest",'Data - Monthly Metrics'!D:D,"Revenue Retained - Target ($)")+SUMIFS('Data - Monthly Metrics'!E:E,'Data - Monthly Metrics'!A:A,$B$4,'Data - Monthly Metrics'!B:B,"Mar",'Data - Monthly Metrics'!C:C,"Southwest",'Data - Monthly Metrics'!D:D,"Revenue Retained - Non-Target ($)"))/(SUMIFS('Data - Monthly Metrics'!E:E,'Data - Monthly Metrics'!A:A,$B$4,'Data - Monthly Metrics'!B:B,"Mar",'Data - Monthly Metrics'!C:C,"Southwest",'Data - Monthly Metrics'!D:D,"Revenue Up for Renewal - Target ($)")+SUMIFS('Data - Monthly Metrics'!E:E,'Data - Monthly Metrics'!A:A,$B$4,'Data - Monthly Metrics'!B:B,"Mar",'Data - Monthly Metrics'!C:C,"Southwest",'Data - Monthly Metrics'!D:D,"Revenue Up for Renewal - Non-Target ($)")))</f>
        <v/>
      </c>
      <c r="I28" s="116">
        <f>IF(I22=0,0,I23/I22)</f>
        <v/>
      </c>
      <c r="J28" s="115">
        <f>IF((SUMIFS('Data - Monthly Metrics'!E:E,'Data - Monthly Metrics'!A:A,$B$4,'Data - Monthly Metrics'!B:B,"Apr",'Data - Monthly Metrics'!C:C,"Southwest",'Data - Monthly Metrics'!D:D,"Revenue Up for Renewal - Target ($)")+SUMIFS('Data - Monthly Metrics'!E:E,'Data - Monthly Metrics'!A:A,$B$4,'Data - Monthly Metrics'!B:B,"Apr",'Data - Monthly Metrics'!C:C,"Southwest",'Data - Monthly Metrics'!D:D,"Revenue Up for Renewal - Non-Target ($)"))=0,"-",(SUMIFS('Data - Monthly Metrics'!E:E,'Data - Monthly Metrics'!A:A,$B$4,'Data - Monthly Metrics'!B:B,"Apr",'Data - Monthly Metrics'!C:C,"Southwest",'Data - Monthly Metrics'!D:D,"Revenue Retained - Target ($)")+SUMIFS('Data - Monthly Metrics'!E:E,'Data - Monthly Metrics'!A:A,$B$4,'Data - Monthly Metrics'!B:B,"Apr",'Data - Monthly Metrics'!C:C,"Southwest",'Data - Monthly Metrics'!D:D,"Revenue Retained - Non-Target ($)"))/(SUMIFS('Data - Monthly Metrics'!E:E,'Data - Monthly Metrics'!A:A,$B$4,'Data - Monthly Metrics'!B:B,"Apr",'Data - Monthly Metrics'!C:C,"Southwest",'Data - Monthly Metrics'!D:D,"Revenue Up for Renewal - Target ($)")+SUMIFS('Data - Monthly Metrics'!E:E,'Data - Monthly Metrics'!A:A,$B$4,'Data - Monthly Metrics'!B:B,"Apr",'Data - Monthly Metrics'!C:C,"Southwest",'Data - Monthly Metrics'!D:D,"Revenue Up for Renewal - Non-Target ($)")))</f>
        <v/>
      </c>
      <c r="K28" s="115">
        <f>IF((SUMIFS('Data - Monthly Metrics'!E:E,'Data - Monthly Metrics'!A:A,$B$4,'Data - Monthly Metrics'!B:B,"May",'Data - Monthly Metrics'!C:C,"Southwest",'Data - Monthly Metrics'!D:D,"Revenue Up for Renewal - Target ($)")+SUMIFS('Data - Monthly Metrics'!E:E,'Data - Monthly Metrics'!A:A,$B$4,'Data - Monthly Metrics'!B:B,"May",'Data - Monthly Metrics'!C:C,"Southwest",'Data - Monthly Metrics'!D:D,"Revenue Up for Renewal - Non-Target ($)"))=0,"-",(SUMIFS('Data - Monthly Metrics'!E:E,'Data - Monthly Metrics'!A:A,$B$4,'Data - Monthly Metrics'!B:B,"May",'Data - Monthly Metrics'!C:C,"Southwest",'Data - Monthly Metrics'!D:D,"Revenue Retained - Target ($)")+SUMIFS('Data - Monthly Metrics'!E:E,'Data - Monthly Metrics'!A:A,$B$4,'Data - Monthly Metrics'!B:B,"May",'Data - Monthly Metrics'!C:C,"Southwest",'Data - Monthly Metrics'!D:D,"Revenue Retained - Non-Target ($)"))/(SUMIFS('Data - Monthly Metrics'!E:E,'Data - Monthly Metrics'!A:A,$B$4,'Data - Monthly Metrics'!B:B,"May",'Data - Monthly Metrics'!C:C,"Southwest",'Data - Monthly Metrics'!D:D,"Revenue Up for Renewal - Target ($)")+SUMIFS('Data - Monthly Metrics'!E:E,'Data - Monthly Metrics'!A:A,$B$4,'Data - Monthly Metrics'!B:B,"May",'Data - Monthly Metrics'!C:C,"Southwest",'Data - Monthly Metrics'!D:D,"Revenue Up for Renewal - Non-Target ($)")))</f>
        <v/>
      </c>
      <c r="L28" s="115">
        <f>IF((SUMIFS('Data - Monthly Metrics'!E:E,'Data - Monthly Metrics'!A:A,$B$4,'Data - Monthly Metrics'!B:B,"Jun",'Data - Monthly Metrics'!C:C,"Southwest",'Data - Monthly Metrics'!D:D,"Revenue Up for Renewal - Target ($)")+SUMIFS('Data - Monthly Metrics'!E:E,'Data - Monthly Metrics'!A:A,$B$4,'Data - Monthly Metrics'!B:B,"Jun",'Data - Monthly Metrics'!C:C,"Southwest",'Data - Monthly Metrics'!D:D,"Revenue Up for Renewal - Non-Target ($)"))=0,"-",(SUMIFS('Data - Monthly Metrics'!E:E,'Data - Monthly Metrics'!A:A,$B$4,'Data - Monthly Metrics'!B:B,"Jun",'Data - Monthly Metrics'!C:C,"Southwest",'Data - Monthly Metrics'!D:D,"Revenue Retained - Target ($)")+SUMIFS('Data - Monthly Metrics'!E:E,'Data - Monthly Metrics'!A:A,$B$4,'Data - Monthly Metrics'!B:B,"Jun",'Data - Monthly Metrics'!C:C,"Southwest",'Data - Monthly Metrics'!D:D,"Revenue Retained - Non-Target ($)"))/(SUMIFS('Data - Monthly Metrics'!E:E,'Data - Monthly Metrics'!A:A,$B$4,'Data - Monthly Metrics'!B:B,"Jun",'Data - Monthly Metrics'!C:C,"Southwest",'Data - Monthly Metrics'!D:D,"Revenue Up for Renewal - Target ($)")+SUMIFS('Data - Monthly Metrics'!E:E,'Data - Monthly Metrics'!A:A,$B$4,'Data - Monthly Metrics'!B:B,"Jun",'Data - Monthly Metrics'!C:C,"Southwest",'Data - Monthly Metrics'!D:D,"Revenue Up for Renewal - Non-Target ($)")))</f>
        <v/>
      </c>
      <c r="M28" s="116">
        <f>IF(M22=0,0,M23/M22)</f>
        <v/>
      </c>
      <c r="N28" s="115">
        <f>IF((SUMIFS('Data - Monthly Metrics'!E:E,'Data - Monthly Metrics'!A:A,$B$4,'Data - Monthly Metrics'!B:B,"Jul",'Data - Monthly Metrics'!C:C,"Southwest",'Data - Monthly Metrics'!D:D,"Revenue Up for Renewal - Target ($)")+SUMIFS('Data - Monthly Metrics'!E:E,'Data - Monthly Metrics'!A:A,$B$4,'Data - Monthly Metrics'!B:B,"Jul",'Data - Monthly Metrics'!C:C,"Southwest",'Data - Monthly Metrics'!D:D,"Revenue Up for Renewal - Non-Target ($)"))=0,"-",(SUMIFS('Data - Monthly Metrics'!E:E,'Data - Monthly Metrics'!A:A,$B$4,'Data - Monthly Metrics'!B:B,"Jul",'Data - Monthly Metrics'!C:C,"Southwest",'Data - Monthly Metrics'!D:D,"Revenue Retained - Target ($)")+SUMIFS('Data - Monthly Metrics'!E:E,'Data - Monthly Metrics'!A:A,$B$4,'Data - Monthly Metrics'!B:B,"Jul",'Data - Monthly Metrics'!C:C,"Southwest",'Data - Monthly Metrics'!D:D,"Revenue Retained - Non-Target ($)"))/(SUMIFS('Data - Monthly Metrics'!E:E,'Data - Monthly Metrics'!A:A,$B$4,'Data - Monthly Metrics'!B:B,"Jul",'Data - Monthly Metrics'!C:C,"Southwest",'Data - Monthly Metrics'!D:D,"Revenue Up for Renewal - Target ($)")+SUMIFS('Data - Monthly Metrics'!E:E,'Data - Monthly Metrics'!A:A,$B$4,'Data - Monthly Metrics'!B:B,"Jul",'Data - Monthly Metrics'!C:C,"Southwest",'Data - Monthly Metrics'!D:D,"Revenue Up for Renewal - Non-Target ($)")))</f>
        <v/>
      </c>
      <c r="O28" s="115">
        <f>IF((SUMIFS('Data - Monthly Metrics'!E:E,'Data - Monthly Metrics'!A:A,$B$4,'Data - Monthly Metrics'!B:B,"Aug",'Data - Monthly Metrics'!C:C,"Southwest",'Data - Monthly Metrics'!D:D,"Revenue Up for Renewal - Target ($)")+SUMIFS('Data - Monthly Metrics'!E:E,'Data - Monthly Metrics'!A:A,$B$4,'Data - Monthly Metrics'!B:B,"Aug",'Data - Monthly Metrics'!C:C,"Southwest",'Data - Monthly Metrics'!D:D,"Revenue Up for Renewal - Non-Target ($)"))=0,"-",(SUMIFS('Data - Monthly Metrics'!E:E,'Data - Monthly Metrics'!A:A,$B$4,'Data - Monthly Metrics'!B:B,"Aug",'Data - Monthly Metrics'!C:C,"Southwest",'Data - Monthly Metrics'!D:D,"Revenue Retained - Target ($)")+SUMIFS('Data - Monthly Metrics'!E:E,'Data - Monthly Metrics'!A:A,$B$4,'Data - Monthly Metrics'!B:B,"Aug",'Data - Monthly Metrics'!C:C,"Southwest",'Data - Monthly Metrics'!D:D,"Revenue Retained - Non-Target ($)"))/(SUMIFS('Data - Monthly Metrics'!E:E,'Data - Monthly Metrics'!A:A,$B$4,'Data - Monthly Metrics'!B:B,"Aug",'Data - Monthly Metrics'!C:C,"Southwest",'Data - Monthly Metrics'!D:D,"Revenue Up for Renewal - Target ($)")+SUMIFS('Data - Monthly Metrics'!E:E,'Data - Monthly Metrics'!A:A,$B$4,'Data - Monthly Metrics'!B:B,"Aug",'Data - Monthly Metrics'!C:C,"Southwest",'Data - Monthly Metrics'!D:D,"Revenue Up for Renewal - Non-Target ($)")))</f>
        <v/>
      </c>
      <c r="P28" s="115">
        <f>IF((SUMIFS('Data - Monthly Metrics'!E:E,'Data - Monthly Metrics'!A:A,$B$4,'Data - Monthly Metrics'!B:B,"Sep",'Data - Monthly Metrics'!C:C,"Southwest",'Data - Monthly Metrics'!D:D,"Revenue Up for Renewal - Target ($)")+SUMIFS('Data - Monthly Metrics'!E:E,'Data - Monthly Metrics'!A:A,$B$4,'Data - Monthly Metrics'!B:B,"Sep",'Data - Monthly Metrics'!C:C,"Southwest",'Data - Monthly Metrics'!D:D,"Revenue Up for Renewal - Non-Target ($)"))=0,"-",(SUMIFS('Data - Monthly Metrics'!E:E,'Data - Monthly Metrics'!A:A,$B$4,'Data - Monthly Metrics'!B:B,"Sep",'Data - Monthly Metrics'!C:C,"Southwest",'Data - Monthly Metrics'!D:D,"Revenue Retained - Target ($)")+SUMIFS('Data - Monthly Metrics'!E:E,'Data - Monthly Metrics'!A:A,$B$4,'Data - Monthly Metrics'!B:B,"Sep",'Data - Monthly Metrics'!C:C,"Southwest",'Data - Monthly Metrics'!D:D,"Revenue Retained - Non-Target ($)"))/(SUMIFS('Data - Monthly Metrics'!E:E,'Data - Monthly Metrics'!A:A,$B$4,'Data - Monthly Metrics'!B:B,"Sep",'Data - Monthly Metrics'!C:C,"Southwest",'Data - Monthly Metrics'!D:D,"Revenue Up for Renewal - Target ($)")+SUMIFS('Data - Monthly Metrics'!E:E,'Data - Monthly Metrics'!A:A,$B$4,'Data - Monthly Metrics'!B:B,"Sep",'Data - Monthly Metrics'!C:C,"Southwest",'Data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Metrics'!C:C,"Southwest",'Data - Monthly Metrics'!D:D,"Total Target Locations - Restaurant (#)")+SUMIFS('Data - Monthly Metrics'!E:E,'Data - Monthly Metrics'!A:A,$B$4-1,'Data - Monthly Metrics'!B:B,"Oct",'Data - Monthly Metrics'!C:C,"Southwest",'Data - Monthly Metrics'!D:D,"Non-Target Locations - Restaurant (#)"))=0,"-",(SUMIFS('Data - Monthly Metrics'!E:E,'Data - Monthly Metrics'!A:A,$B$4-1,'Data - Monthly Metrics'!B:B,"Oct",'Data - Monthly Metrics'!C:C,"Southwest",'Data - Monthly Metrics'!D:D,"Target Members - Restaurant (#)")+SUMIFS('Data - Monthly Metrics'!E:E,'Data - Monthly Metrics'!A:A,$B$4-1,'Data - Monthly Metrics'!B:B,"Oct",'Data - Monthly Metrics'!C:C,"Southwest",'Data - Monthly Metrics'!D:D,"Non-Target Members - Restaurant (#)"))/(SUMIFS('Data - Monthly Metrics'!E:E,'Data - Monthly Metrics'!A:A,$B$4-1,'Data - Monthly Metrics'!B:B,"Oct",'Data - Monthly Metrics'!C:C,"Southwest",'Data - Monthly Metrics'!D:D,"Total Target Locations - Restaurant (#)")+SUMIFS('Data - Monthly Metrics'!E:E,'Data - Monthly Metrics'!A:A,$B$4-1,'Data - Monthly Metrics'!B:B,"Oct",'Data - Monthly Metrics'!C:C,"Southwest",'Data - Monthly Metrics'!D:D,"Non-Target Locations - Restaurant (#)")))</f>
        <v/>
      </c>
      <c r="C29" s="115">
        <f>IF((SUMIFS('Data - Monthly Metrics'!E:E,'Data - Monthly Metrics'!A:A,$B$4-1,'Data - Monthly Metrics'!B:B,"Nov",'Data - Monthly Metrics'!C:C,"Southwest",'Data - Monthly Metrics'!D:D,"Total Target Locations - Restaurant (#)")+SUMIFS('Data - Monthly Metrics'!E:E,'Data - Monthly Metrics'!A:A,$B$4-1,'Data - Monthly Metrics'!B:B,"Nov",'Data - Monthly Metrics'!C:C,"Southwest",'Data - Monthly Metrics'!D:D,"Non-Target Locations - Restaurant (#)"))=0,"-",(SUMIFS('Data - Monthly Metrics'!E:E,'Data - Monthly Metrics'!A:A,$B$4-1,'Data - Monthly Metrics'!B:B,"Nov",'Data - Monthly Metrics'!C:C,"Southwest",'Data - Monthly Metrics'!D:D,"Target Members - Restaurant (#)")+SUMIFS('Data - Monthly Metrics'!E:E,'Data - Monthly Metrics'!A:A,$B$4-1,'Data - Monthly Metrics'!B:B,"Nov",'Data - Monthly Metrics'!C:C,"Southwest",'Data - Monthly Metrics'!D:D,"Non-Target Members - Restaurant (#)"))/(SUMIFS('Data - Monthly Metrics'!E:E,'Data - Monthly Metrics'!A:A,$B$4-1,'Data - Monthly Metrics'!B:B,"Nov",'Data - Monthly Metrics'!C:C,"Southwest",'Data - Monthly Metrics'!D:D,"Total Target Locations - Restaurant (#)")+SUMIFS('Data - Monthly Metrics'!E:E,'Data - Monthly Metrics'!A:A,$B$4-1,'Data - Monthly Metrics'!B:B,"Nov",'Data - Monthly Metrics'!C:C,"Southwest",'Data - Monthly Metrics'!D:D,"Non-Target Locations - Restaurant (#)")))</f>
        <v/>
      </c>
      <c r="D29" s="115">
        <f>IF((SUMIFS('Data - Monthly Metrics'!E:E,'Data - Monthly Metrics'!A:A,$B$4-1,'Data - Monthly Metrics'!B:B,"Dec",'Data - Monthly Metrics'!C:C,"Southwest",'Data - Monthly Metrics'!D:D,"Total Target Locations - Restaurant (#)")+SUMIFS('Data - Monthly Metrics'!E:E,'Data - Monthly Metrics'!A:A,$B$4-1,'Data - Monthly Metrics'!B:B,"Dec",'Data - Monthly Metrics'!C:C,"Southwest",'Data - Monthly Metrics'!D:D,"Non-Target Locations - Restaurant (#)"))=0,"-",(SUMIFS('Data - Monthly Metrics'!E:E,'Data - Monthly Metrics'!A:A,$B$4-1,'Data - Monthly Metrics'!B:B,"Dec",'Data - Monthly Metrics'!C:C,"Southwest",'Data - Monthly Metrics'!D:D,"Target Members - Restaurant (#)")+SUMIFS('Data - Monthly Metrics'!E:E,'Data - Monthly Metrics'!A:A,$B$4-1,'Data - Monthly Metrics'!B:B,"Dec",'Data - Monthly Metrics'!C:C,"Southwest",'Data - Monthly Metrics'!D:D,"Non-Target Members - Restaurant (#)"))/(SUMIFS('Data - Monthly Metrics'!E:E,'Data - Monthly Metrics'!A:A,$B$4-1,'Data - Monthly Metrics'!B:B,"Dec",'Data - Monthly Metrics'!C:C,"Southwest",'Data - Monthly Metrics'!D:D,"Total Target Locations - Restaurant (#)")+SUMIFS('Data - Monthly Metrics'!E:E,'Data - Monthly Metrics'!A:A,$B$4-1,'Data - Monthly Metrics'!B:B,"Dec",'Data - Monthly Metrics'!C:C,"Southwest",'Data - Monthly Metrics'!D:D,"Non-Target Locations - Restaurant (#)")))</f>
        <v/>
      </c>
      <c r="E29" s="116">
        <f>IF(ISNUMBER(D29),D29,IF(ISNUMBER(C29),C29,IF(ISNUMBER(B29),B29,"-")))</f>
        <v/>
      </c>
      <c r="F29" s="115">
        <f>IF((SUMIFS('Data - Monthly Metrics'!E:E,'Data - Monthly Metrics'!A:A,$B$4,'Data - Monthly Metrics'!B:B,"Jan",'Data - Monthly Metrics'!C:C,"Southwest",'Data - Monthly Metrics'!D:D,"Total Target Locations - Restaurant (#)")+SUMIFS('Data - Monthly Metrics'!E:E,'Data - Monthly Metrics'!A:A,$B$4,'Data - Monthly Metrics'!B:B,"Jan",'Data - Monthly Metrics'!C:C,"Southwest",'Data - Monthly Metrics'!D:D,"Non-Target Locations - Restaurant (#)"))=0,"-",(SUMIFS('Data - Monthly Metrics'!E:E,'Data - Monthly Metrics'!A:A,$B$4,'Data - Monthly Metrics'!B:B,"Jan",'Data - Monthly Metrics'!C:C,"Southwest",'Data - Monthly Metrics'!D:D,"Target Members - Restaurant (#)")+SUMIFS('Data - Monthly Metrics'!E:E,'Data - Monthly Metrics'!A:A,$B$4,'Data - Monthly Metrics'!B:B,"Jan",'Data - Monthly Metrics'!C:C,"Southwest",'Data - Monthly Metrics'!D:D,"Non-Target Members - Restaurant (#)"))/(SUMIFS('Data - Monthly Metrics'!E:E,'Data - Monthly Metrics'!A:A,$B$4,'Data - Monthly Metrics'!B:B,"Jan",'Data - Monthly Metrics'!C:C,"Southwest",'Data - Monthly Metrics'!D:D,"Total Target Locations - Restaurant (#)")+SUMIFS('Data - Monthly Metrics'!E:E,'Data - Monthly Metrics'!A:A,$B$4,'Data - Monthly Metrics'!B:B,"Jan",'Data - Monthly Metrics'!C:C,"Southwest",'Data - Monthly Metrics'!D:D,"Non-Target Locations - Restaurant (#)")))</f>
        <v/>
      </c>
      <c r="G29" s="115">
        <f>IF((SUMIFS('Data - Monthly Metrics'!E:E,'Data - Monthly Metrics'!A:A,$B$4,'Data - Monthly Metrics'!B:B,"Feb",'Data - Monthly Metrics'!C:C,"Southwest",'Data - Monthly Metrics'!D:D,"Total Target Locations - Restaurant (#)")+SUMIFS('Data - Monthly Metrics'!E:E,'Data - Monthly Metrics'!A:A,$B$4,'Data - Monthly Metrics'!B:B,"Feb",'Data - Monthly Metrics'!C:C,"Southwest",'Data - Monthly Metrics'!D:D,"Non-Target Locations - Restaurant (#)"))=0,"-",(SUMIFS('Data - Monthly Metrics'!E:E,'Data - Monthly Metrics'!A:A,$B$4,'Data - Monthly Metrics'!B:B,"Feb",'Data - Monthly Metrics'!C:C,"Southwest",'Data - Monthly Metrics'!D:D,"Target Members - Restaurant (#)")+SUMIFS('Data - Monthly Metrics'!E:E,'Data - Monthly Metrics'!A:A,$B$4,'Data - Monthly Metrics'!B:B,"Feb",'Data - Monthly Metrics'!C:C,"Southwest",'Data - Monthly Metrics'!D:D,"Non-Target Members - Restaurant (#)"))/(SUMIFS('Data - Monthly Metrics'!E:E,'Data - Monthly Metrics'!A:A,$B$4,'Data - Monthly Metrics'!B:B,"Feb",'Data - Monthly Metrics'!C:C,"Southwest",'Data - Monthly Metrics'!D:D,"Total Target Locations - Restaurant (#)")+SUMIFS('Data - Monthly Metrics'!E:E,'Data - Monthly Metrics'!A:A,$B$4,'Data - Monthly Metrics'!B:B,"Feb",'Data - Monthly Metrics'!C:C,"Southwest",'Data - Monthly Metrics'!D:D,"Non-Target Locations - Restaurant (#)")))</f>
        <v/>
      </c>
      <c r="H29" s="115">
        <f>IF((SUMIFS('Data - Monthly Metrics'!E:E,'Data - Monthly Metrics'!A:A,$B$4,'Data - Monthly Metrics'!B:B,"Mar",'Data - Monthly Metrics'!C:C,"Southwest",'Data - Monthly Metrics'!D:D,"Total Target Locations - Restaurant (#)")+SUMIFS('Data - Monthly Metrics'!E:E,'Data - Monthly Metrics'!A:A,$B$4,'Data - Monthly Metrics'!B:B,"Mar",'Data - Monthly Metrics'!C:C,"Southwest",'Data - Monthly Metrics'!D:D,"Non-Target Locations - Restaurant (#)"))=0,"-",(SUMIFS('Data - Monthly Metrics'!E:E,'Data - Monthly Metrics'!A:A,$B$4,'Data - Monthly Metrics'!B:B,"Mar",'Data - Monthly Metrics'!C:C,"Southwest",'Data - Monthly Metrics'!D:D,"Target Members - Restaurant (#)")+SUMIFS('Data - Monthly Metrics'!E:E,'Data - Monthly Metrics'!A:A,$B$4,'Data - Monthly Metrics'!B:B,"Mar",'Data - Monthly Metrics'!C:C,"Southwest",'Data - Monthly Metrics'!D:D,"Non-Target Members - Restaurant (#)"))/(SUMIFS('Data - Monthly Metrics'!E:E,'Data - Monthly Metrics'!A:A,$B$4,'Data - Monthly Metrics'!B:B,"Mar",'Data - Monthly Metrics'!C:C,"Southwest",'Data - Monthly Metrics'!D:D,"Total Target Locations - Restaurant (#)")+SUMIFS('Data - Monthly Metrics'!E:E,'Data - Monthly Metrics'!A:A,$B$4,'Data - Monthly Metrics'!B:B,"Mar",'Data - Monthly Metrics'!C:C,"Southwest",'Data - Monthly Metrics'!D:D,"Non-Target Locations - Restaurant (#)")))</f>
        <v/>
      </c>
      <c r="I29" s="116">
        <f>IF(ISNUMBER(H29),H29,IF(ISNUMBER(G29),G29,IF(ISNUMBER(F29),F29,"-")))</f>
        <v/>
      </c>
      <c r="J29" s="115">
        <f>IF((SUMIFS('Data - Monthly Metrics'!E:E,'Data - Monthly Metrics'!A:A,$B$4,'Data - Monthly Metrics'!B:B,"Apr",'Data - Monthly Metrics'!C:C,"Southwest",'Data - Monthly Metrics'!D:D,"Total Target Locations - Restaurant (#)")+SUMIFS('Data - Monthly Metrics'!E:E,'Data - Monthly Metrics'!A:A,$B$4,'Data - Monthly Metrics'!B:B,"Apr",'Data - Monthly Metrics'!C:C,"Southwest",'Data - Monthly Metrics'!D:D,"Non-Target Locations - Restaurant (#)"))=0,"-",(SUMIFS('Data - Monthly Metrics'!E:E,'Data - Monthly Metrics'!A:A,$B$4,'Data - Monthly Metrics'!B:B,"Apr",'Data - Monthly Metrics'!C:C,"Southwest",'Data - Monthly Metrics'!D:D,"Target Members - Restaurant (#)")+SUMIFS('Data - Monthly Metrics'!E:E,'Data - Monthly Metrics'!A:A,$B$4,'Data - Monthly Metrics'!B:B,"Apr",'Data - Monthly Metrics'!C:C,"Southwest",'Data - Monthly Metrics'!D:D,"Non-Target Members - Restaurant (#)"))/(SUMIFS('Data - Monthly Metrics'!E:E,'Data - Monthly Metrics'!A:A,$B$4,'Data - Monthly Metrics'!B:B,"Apr",'Data - Monthly Metrics'!C:C,"Southwest",'Data - Monthly Metrics'!D:D,"Total Target Locations - Restaurant (#)")+SUMIFS('Data - Monthly Metrics'!E:E,'Data - Monthly Metrics'!A:A,$B$4,'Data - Monthly Metrics'!B:B,"Apr",'Data - Monthly Metrics'!C:C,"Southwest",'Data - Monthly Metrics'!D:D,"Non-Target Locations - Restaurant (#)")))</f>
        <v/>
      </c>
      <c r="K29" s="115">
        <f>IF((SUMIFS('Data - Monthly Metrics'!E:E,'Data - Monthly Metrics'!A:A,$B$4,'Data - Monthly Metrics'!B:B,"May",'Data - Monthly Metrics'!C:C,"Southwest",'Data - Monthly Metrics'!D:D,"Total Target Locations - Restaurant (#)")+SUMIFS('Data - Monthly Metrics'!E:E,'Data - Monthly Metrics'!A:A,$B$4,'Data - Monthly Metrics'!B:B,"May",'Data - Monthly Metrics'!C:C,"Southwest",'Data - Monthly Metrics'!D:D,"Non-Target Locations - Restaurant (#)"))=0,"-",(SUMIFS('Data - Monthly Metrics'!E:E,'Data - Monthly Metrics'!A:A,$B$4,'Data - Monthly Metrics'!B:B,"May",'Data - Monthly Metrics'!C:C,"Southwest",'Data - Monthly Metrics'!D:D,"Target Members - Restaurant (#)")+SUMIFS('Data - Monthly Metrics'!E:E,'Data - Monthly Metrics'!A:A,$B$4,'Data - Monthly Metrics'!B:B,"May",'Data - Monthly Metrics'!C:C,"Southwest",'Data - Monthly Metrics'!D:D,"Non-Target Members - Restaurant (#)"))/(SUMIFS('Data - Monthly Metrics'!E:E,'Data - Monthly Metrics'!A:A,$B$4,'Data - Monthly Metrics'!B:B,"May",'Data - Monthly Metrics'!C:C,"Southwest",'Data - Monthly Metrics'!D:D,"Total Target Locations - Restaurant (#)")+SUMIFS('Data - Monthly Metrics'!E:E,'Data - Monthly Metrics'!A:A,$B$4,'Data - Monthly Metrics'!B:B,"May",'Data - Monthly Metrics'!C:C,"Southwest",'Data - Monthly Metrics'!D:D,"Non-Target Locations - Restaurant (#)")))</f>
        <v/>
      </c>
      <c r="L29" s="115">
        <f>IF((SUMIFS('Data - Monthly Metrics'!E:E,'Data - Monthly Metrics'!A:A,$B$4,'Data - Monthly Metrics'!B:B,"Jun",'Data - Monthly Metrics'!C:C,"Southwest",'Data - Monthly Metrics'!D:D,"Total Target Locations - Restaurant (#)")+SUMIFS('Data - Monthly Metrics'!E:E,'Data - Monthly Metrics'!A:A,$B$4,'Data - Monthly Metrics'!B:B,"Jun",'Data - Monthly Metrics'!C:C,"Southwest",'Data - Monthly Metrics'!D:D,"Non-Target Locations - Restaurant (#)"))=0,"-",(SUMIFS('Data - Monthly Metrics'!E:E,'Data - Monthly Metrics'!A:A,$B$4,'Data - Monthly Metrics'!B:B,"Jun",'Data - Monthly Metrics'!C:C,"Southwest",'Data - Monthly Metrics'!D:D,"Target Members - Restaurant (#)")+SUMIFS('Data - Monthly Metrics'!E:E,'Data - Monthly Metrics'!A:A,$B$4,'Data - Monthly Metrics'!B:B,"Jun",'Data - Monthly Metrics'!C:C,"Southwest",'Data - Monthly Metrics'!D:D,"Non-Target Members - Restaurant (#)"))/(SUMIFS('Data - Monthly Metrics'!E:E,'Data - Monthly Metrics'!A:A,$B$4,'Data - Monthly Metrics'!B:B,"Jun",'Data - Monthly Metrics'!C:C,"Southwest",'Data - Monthly Metrics'!D:D,"Total Target Locations - Restaurant (#)")+SUMIFS('Data - Monthly Metrics'!E:E,'Data - Monthly Metrics'!A:A,$B$4,'Data - Monthly Metrics'!B:B,"Jun",'Data - Monthly Metrics'!C:C,"Southwest",'Data - Monthly Metrics'!D:D,"Non-Target Locations - Restaurant (#)")))</f>
        <v/>
      </c>
      <c r="M29" s="116">
        <f>IF(ISNUMBER(L29),L29,IF(ISNUMBER(K29),K29,IF(ISNUMBER(J29),J29,"-")))</f>
        <v/>
      </c>
      <c r="N29" s="115">
        <f>IF((SUMIFS('Data - Monthly Metrics'!E:E,'Data - Monthly Metrics'!A:A,$B$4,'Data - Monthly Metrics'!B:B,"Jul",'Data - Monthly Metrics'!C:C,"Southwest",'Data - Monthly Metrics'!D:D,"Total Target Locations - Restaurant (#)")+SUMIFS('Data - Monthly Metrics'!E:E,'Data - Monthly Metrics'!A:A,$B$4,'Data - Monthly Metrics'!B:B,"Jul",'Data - Monthly Metrics'!C:C,"Southwest",'Data - Monthly Metrics'!D:D,"Non-Target Locations - Restaurant (#)"))=0,"-",(SUMIFS('Data - Monthly Metrics'!E:E,'Data - Monthly Metrics'!A:A,$B$4,'Data - Monthly Metrics'!B:B,"Jul",'Data - Monthly Metrics'!C:C,"Southwest",'Data - Monthly Metrics'!D:D,"Target Members - Restaurant (#)")+SUMIFS('Data - Monthly Metrics'!E:E,'Data - Monthly Metrics'!A:A,$B$4,'Data - Monthly Metrics'!B:B,"Jul",'Data - Monthly Metrics'!C:C,"Southwest",'Data - Monthly Metrics'!D:D,"Non-Target Members - Restaurant (#)"))/(SUMIFS('Data - Monthly Metrics'!E:E,'Data - Monthly Metrics'!A:A,$B$4,'Data - Monthly Metrics'!B:B,"Jul",'Data - Monthly Metrics'!C:C,"Southwest",'Data - Monthly Metrics'!D:D,"Total Target Locations - Restaurant (#)")+SUMIFS('Data - Monthly Metrics'!E:E,'Data - Monthly Metrics'!A:A,$B$4,'Data - Monthly Metrics'!B:B,"Jul",'Data - Monthly Metrics'!C:C,"Southwest",'Data - Monthly Metrics'!D:D,"Non-Target Locations - Restaurant (#)")))</f>
        <v/>
      </c>
      <c r="O29" s="115">
        <f>IF((SUMIFS('Data - Monthly Metrics'!E:E,'Data - Monthly Metrics'!A:A,$B$4,'Data - Monthly Metrics'!B:B,"Aug",'Data - Monthly Metrics'!C:C,"Southwest",'Data - Monthly Metrics'!D:D,"Total Target Locations - Restaurant (#)")+SUMIFS('Data - Monthly Metrics'!E:E,'Data - Monthly Metrics'!A:A,$B$4,'Data - Monthly Metrics'!B:B,"Aug",'Data - Monthly Metrics'!C:C,"Southwest",'Data - Monthly Metrics'!D:D,"Non-Target Locations - Restaurant (#)"))=0,"-",(SUMIFS('Data - Monthly Metrics'!E:E,'Data - Monthly Metrics'!A:A,$B$4,'Data - Monthly Metrics'!B:B,"Aug",'Data - Monthly Metrics'!C:C,"Southwest",'Data - Monthly Metrics'!D:D,"Target Members - Restaurant (#)")+SUMIFS('Data - Monthly Metrics'!E:E,'Data - Monthly Metrics'!A:A,$B$4,'Data - Monthly Metrics'!B:B,"Aug",'Data - Monthly Metrics'!C:C,"Southwest",'Data - Monthly Metrics'!D:D,"Non-Target Members - Restaurant (#)"))/(SUMIFS('Data - Monthly Metrics'!E:E,'Data - Monthly Metrics'!A:A,$B$4,'Data - Monthly Metrics'!B:B,"Aug",'Data - Monthly Metrics'!C:C,"Southwest",'Data - Monthly Metrics'!D:D,"Total Target Locations - Restaurant (#)")+SUMIFS('Data - Monthly Metrics'!E:E,'Data - Monthly Metrics'!A:A,$B$4,'Data - Monthly Metrics'!B:B,"Aug",'Data - Monthly Metrics'!C:C,"Southwest",'Data - Monthly Metrics'!D:D,"Non-Target Locations - Restaurant (#)")))</f>
        <v/>
      </c>
      <c r="P29" s="115">
        <f>IF((SUMIFS('Data - Monthly Metrics'!E:E,'Data - Monthly Metrics'!A:A,$B$4,'Data - Monthly Metrics'!B:B,"Sep",'Data - Monthly Metrics'!C:C,"Southwest",'Data - Monthly Metrics'!D:D,"Total Target Locations - Restaurant (#)")+SUMIFS('Data - Monthly Metrics'!E:E,'Data - Monthly Metrics'!A:A,$B$4,'Data - Monthly Metrics'!B:B,"Sep",'Data - Monthly Metrics'!C:C,"Southwest",'Data - Monthly Metrics'!D:D,"Non-Target Locations - Restaurant (#)"))=0,"-",(SUMIFS('Data - Monthly Metrics'!E:E,'Data - Monthly Metrics'!A:A,$B$4,'Data - Monthly Metrics'!B:B,"Sep",'Data - Monthly Metrics'!C:C,"Southwest",'Data - Monthly Metrics'!D:D,"Target Members - Restaurant (#)")+SUMIFS('Data - Monthly Metrics'!E:E,'Data - Monthly Metrics'!A:A,$B$4,'Data - Monthly Metrics'!B:B,"Sep",'Data - Monthly Metrics'!C:C,"Southwest",'Data - Monthly Metrics'!D:D,"Non-Target Members - Restaurant (#)"))/(SUMIFS('Data - Monthly Metrics'!E:E,'Data - Monthly Metrics'!A:A,$B$4,'Data - Monthly Metrics'!B:B,"Sep",'Data - Monthly Metrics'!C:C,"Southwest",'Data - Monthly Metrics'!D:D,"Total Target Locations - Restaurant (#)")+SUMIFS('Data - Monthly Metrics'!E:E,'Data - Monthly Metrics'!A:A,$B$4,'Data - Monthly Metrics'!B:B,"Sep",'Data - Monthly Metrics'!C:C,"Southwest",'Data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Metrics'!C:C,"Southwest",'Data - Monthly Metrics'!D:D,"Total Target Locations - Lodging (#)")+SUMIFS('Data - Monthly Metrics'!E:E,'Data - Monthly Metrics'!A:A,$B$4-1,'Data - Monthly Metrics'!B:B,"Oct",'Data - Monthly Metrics'!C:C,"Southwest",'Data - Monthly Metrics'!D:D,"Non-Target Locations - Lodging (#)"))=0,"-",(SUMIFS('Data - Monthly Metrics'!E:E,'Data - Monthly Metrics'!A:A,$B$4-1,'Data - Monthly Metrics'!B:B,"Oct",'Data - Monthly Metrics'!C:C,"Southwest",'Data - Monthly Metrics'!D:D,"Target Members - Lodging (#)")+SUMIFS('Data - Monthly Metrics'!E:E,'Data - Monthly Metrics'!A:A,$B$4-1,'Data - Monthly Metrics'!B:B,"Oct",'Data - Monthly Metrics'!C:C,"Southwest",'Data - Monthly Metrics'!D:D,"Non-Target Members - Lodging (#)"))/(SUMIFS('Data - Monthly Metrics'!E:E,'Data - Monthly Metrics'!A:A,$B$4-1,'Data - Monthly Metrics'!B:B,"Oct",'Data - Monthly Metrics'!C:C,"Southwest",'Data - Monthly Metrics'!D:D,"Total Target Locations - Lodging (#)")+SUMIFS('Data - Monthly Metrics'!E:E,'Data - Monthly Metrics'!A:A,$B$4-1,'Data - Monthly Metrics'!B:B,"Oct",'Data - Monthly Metrics'!C:C,"Southwest",'Data - Monthly Metrics'!D:D,"Non-Target Locations - Lodging (#)")))</f>
        <v/>
      </c>
      <c r="C30" s="118">
        <f>IF((SUMIFS('Data - Monthly Metrics'!E:E,'Data - Monthly Metrics'!A:A,$B$4-1,'Data - Monthly Metrics'!B:B,"Nov",'Data - Monthly Metrics'!C:C,"Southwest",'Data - Monthly Metrics'!D:D,"Total Target Locations - Lodging (#)")+SUMIFS('Data - Monthly Metrics'!E:E,'Data - Monthly Metrics'!A:A,$B$4-1,'Data - Monthly Metrics'!B:B,"Nov",'Data - Monthly Metrics'!C:C,"Southwest",'Data - Monthly Metrics'!D:D,"Non-Target Locations - Lodging (#)"))=0,"-",(SUMIFS('Data - Monthly Metrics'!E:E,'Data - Monthly Metrics'!A:A,$B$4-1,'Data - Monthly Metrics'!B:B,"Nov",'Data - Monthly Metrics'!C:C,"Southwest",'Data - Monthly Metrics'!D:D,"Target Members - Lodging (#)")+SUMIFS('Data - Monthly Metrics'!E:E,'Data - Monthly Metrics'!A:A,$B$4-1,'Data - Monthly Metrics'!B:B,"Nov",'Data - Monthly Metrics'!C:C,"Southwest",'Data - Monthly Metrics'!D:D,"Non-Target Members - Lodging (#)"))/(SUMIFS('Data - Monthly Metrics'!E:E,'Data - Monthly Metrics'!A:A,$B$4-1,'Data - Monthly Metrics'!B:B,"Nov",'Data - Monthly Metrics'!C:C,"Southwest",'Data - Monthly Metrics'!D:D,"Total Target Locations - Lodging (#)")+SUMIFS('Data - Monthly Metrics'!E:E,'Data - Monthly Metrics'!A:A,$B$4-1,'Data - Monthly Metrics'!B:B,"Nov",'Data - Monthly Metrics'!C:C,"Southwest",'Data - Monthly Metrics'!D:D,"Non-Target Locations - Lodging (#)")))</f>
        <v/>
      </c>
      <c r="D30" s="118">
        <f>IF((SUMIFS('Data - Monthly Metrics'!E:E,'Data - Monthly Metrics'!A:A,$B$4-1,'Data - Monthly Metrics'!B:B,"Dec",'Data - Monthly Metrics'!C:C,"Southwest",'Data - Monthly Metrics'!D:D,"Total Target Locations - Lodging (#)")+SUMIFS('Data - Monthly Metrics'!E:E,'Data - Monthly Metrics'!A:A,$B$4-1,'Data - Monthly Metrics'!B:B,"Dec",'Data - Monthly Metrics'!C:C,"Southwest",'Data - Monthly Metrics'!D:D,"Non-Target Locations - Lodging (#)"))=0,"-",(SUMIFS('Data - Monthly Metrics'!E:E,'Data - Monthly Metrics'!A:A,$B$4-1,'Data - Monthly Metrics'!B:B,"Dec",'Data - Monthly Metrics'!C:C,"Southwest",'Data - Monthly Metrics'!D:D,"Target Members - Lodging (#)")+SUMIFS('Data - Monthly Metrics'!E:E,'Data - Monthly Metrics'!A:A,$B$4-1,'Data - Monthly Metrics'!B:B,"Dec",'Data - Monthly Metrics'!C:C,"Southwest",'Data - Monthly Metrics'!D:D,"Non-Target Members - Lodging (#)"))/(SUMIFS('Data - Monthly Metrics'!E:E,'Data - Monthly Metrics'!A:A,$B$4-1,'Data - Monthly Metrics'!B:B,"Dec",'Data - Monthly Metrics'!C:C,"Southwest",'Data - Monthly Metrics'!D:D,"Total Target Locations - Lodging (#)")+SUMIFS('Data - Monthly Metrics'!E:E,'Data - Monthly Metrics'!A:A,$B$4-1,'Data - Monthly Metrics'!B:B,"Dec",'Data - Monthly Metrics'!C:C,"Southwest",'Data - Monthly Metrics'!D:D,"Non-Target Locations - Lodging (#)")))</f>
        <v/>
      </c>
      <c r="E30" s="116">
        <f>IF(ISNUMBER(D30),D30,IF(ISNUMBER(C30),C30,IF(ISNUMBER(B30),B30,"-")))</f>
        <v/>
      </c>
      <c r="F30" s="118">
        <f>IF((SUMIFS('Data - Monthly Metrics'!E:E,'Data - Monthly Metrics'!A:A,$B$4,'Data - Monthly Metrics'!B:B,"Jan",'Data - Monthly Metrics'!C:C,"Southwest",'Data - Monthly Metrics'!D:D,"Total Target Locations - Lodging (#)")+SUMIFS('Data - Monthly Metrics'!E:E,'Data - Monthly Metrics'!A:A,$B$4,'Data - Monthly Metrics'!B:B,"Jan",'Data - Monthly Metrics'!C:C,"Southwest",'Data - Monthly Metrics'!D:D,"Non-Target Locations - Lodging (#)"))=0,"-",(SUMIFS('Data - Monthly Metrics'!E:E,'Data - Monthly Metrics'!A:A,$B$4,'Data - Monthly Metrics'!B:B,"Jan",'Data - Monthly Metrics'!C:C,"Southwest",'Data - Monthly Metrics'!D:D,"Target Members - Lodging (#)")+SUMIFS('Data - Monthly Metrics'!E:E,'Data - Monthly Metrics'!A:A,$B$4,'Data - Monthly Metrics'!B:B,"Jan",'Data - Monthly Metrics'!C:C,"Southwest",'Data - Monthly Metrics'!D:D,"Non-Target Members - Lodging (#)"))/(SUMIFS('Data - Monthly Metrics'!E:E,'Data - Monthly Metrics'!A:A,$B$4,'Data - Monthly Metrics'!B:B,"Jan",'Data - Monthly Metrics'!C:C,"Southwest",'Data - Monthly Metrics'!D:D,"Total Target Locations - Lodging (#)")+SUMIFS('Data - Monthly Metrics'!E:E,'Data - Monthly Metrics'!A:A,$B$4,'Data - Monthly Metrics'!B:B,"Jan",'Data - Monthly Metrics'!C:C,"Southwest",'Data - Monthly Metrics'!D:D,"Non-Target Locations - Lodging (#)")))</f>
        <v/>
      </c>
      <c r="G30" s="118">
        <f>IF((SUMIFS('Data - Monthly Metrics'!E:E,'Data - Monthly Metrics'!A:A,$B$4,'Data - Monthly Metrics'!B:B,"Feb",'Data - Monthly Metrics'!C:C,"Southwest",'Data - Monthly Metrics'!D:D,"Total Target Locations - Lodging (#)")+SUMIFS('Data - Monthly Metrics'!E:E,'Data - Monthly Metrics'!A:A,$B$4,'Data - Monthly Metrics'!B:B,"Feb",'Data - Monthly Metrics'!C:C,"Southwest",'Data - Monthly Metrics'!D:D,"Non-Target Locations - Lodging (#)"))=0,"-",(SUMIFS('Data - Monthly Metrics'!E:E,'Data - Monthly Metrics'!A:A,$B$4,'Data - Monthly Metrics'!B:B,"Feb",'Data - Monthly Metrics'!C:C,"Southwest",'Data - Monthly Metrics'!D:D,"Target Members - Lodging (#)")+SUMIFS('Data - Monthly Metrics'!E:E,'Data - Monthly Metrics'!A:A,$B$4,'Data - Monthly Metrics'!B:B,"Feb",'Data - Monthly Metrics'!C:C,"Southwest",'Data - Monthly Metrics'!D:D,"Non-Target Members - Lodging (#)"))/(SUMIFS('Data - Monthly Metrics'!E:E,'Data - Monthly Metrics'!A:A,$B$4,'Data - Monthly Metrics'!B:B,"Feb",'Data - Monthly Metrics'!C:C,"Southwest",'Data - Monthly Metrics'!D:D,"Total Target Locations - Lodging (#)")+SUMIFS('Data - Monthly Metrics'!E:E,'Data - Monthly Metrics'!A:A,$B$4,'Data - Monthly Metrics'!B:B,"Feb",'Data - Monthly Metrics'!C:C,"Southwest",'Data - Monthly Metrics'!D:D,"Non-Target Locations - Lodging (#)")))</f>
        <v/>
      </c>
      <c r="H30" s="118">
        <f>IF((SUMIFS('Data - Monthly Metrics'!E:E,'Data - Monthly Metrics'!A:A,$B$4,'Data - Monthly Metrics'!B:B,"Mar",'Data - Monthly Metrics'!C:C,"Southwest",'Data - Monthly Metrics'!D:D,"Total Target Locations - Lodging (#)")+SUMIFS('Data - Monthly Metrics'!E:E,'Data - Monthly Metrics'!A:A,$B$4,'Data - Monthly Metrics'!B:B,"Mar",'Data - Monthly Metrics'!C:C,"Southwest",'Data - Monthly Metrics'!D:D,"Non-Target Locations - Lodging (#)"))=0,"-",(SUMIFS('Data - Monthly Metrics'!E:E,'Data - Monthly Metrics'!A:A,$B$4,'Data - Monthly Metrics'!B:B,"Mar",'Data - Monthly Metrics'!C:C,"Southwest",'Data - Monthly Metrics'!D:D,"Target Members - Lodging (#)")+SUMIFS('Data - Monthly Metrics'!E:E,'Data - Monthly Metrics'!A:A,$B$4,'Data - Monthly Metrics'!B:B,"Mar",'Data - Monthly Metrics'!C:C,"Southwest",'Data - Monthly Metrics'!D:D,"Non-Target Members - Lodging (#)"))/(SUMIFS('Data - Monthly Metrics'!E:E,'Data - Monthly Metrics'!A:A,$B$4,'Data - Monthly Metrics'!B:B,"Mar",'Data - Monthly Metrics'!C:C,"Southwest",'Data - Monthly Metrics'!D:D,"Total Target Locations - Lodging (#)")+SUMIFS('Data - Monthly Metrics'!E:E,'Data - Monthly Metrics'!A:A,$B$4,'Data - Monthly Metrics'!B:B,"Mar",'Data - Monthly Metrics'!C:C,"Southwest",'Data - Monthly Metrics'!D:D,"Non-Target Locations - Lodging (#)")))</f>
        <v/>
      </c>
      <c r="I30" s="116">
        <f>IF(ISNUMBER(H30),H30,IF(ISNUMBER(G30),G30,IF(ISNUMBER(F30),F30,"-")))</f>
        <v/>
      </c>
      <c r="J30" s="118">
        <f>IF((SUMIFS('Data - Monthly Metrics'!E:E,'Data - Monthly Metrics'!A:A,$B$4,'Data - Monthly Metrics'!B:B,"Apr",'Data - Monthly Metrics'!C:C,"Southwest",'Data - Monthly Metrics'!D:D,"Total Target Locations - Lodging (#)")+SUMIFS('Data - Monthly Metrics'!E:E,'Data - Monthly Metrics'!A:A,$B$4,'Data - Monthly Metrics'!B:B,"Apr",'Data - Monthly Metrics'!C:C,"Southwest",'Data - Monthly Metrics'!D:D,"Non-Target Locations - Lodging (#)"))=0,"-",(SUMIFS('Data - Monthly Metrics'!E:E,'Data - Monthly Metrics'!A:A,$B$4,'Data - Monthly Metrics'!B:B,"Apr",'Data - Monthly Metrics'!C:C,"Southwest",'Data - Monthly Metrics'!D:D,"Target Members - Lodging (#)")+SUMIFS('Data - Monthly Metrics'!E:E,'Data - Monthly Metrics'!A:A,$B$4,'Data - Monthly Metrics'!B:B,"Apr",'Data - Monthly Metrics'!C:C,"Southwest",'Data - Monthly Metrics'!D:D,"Non-Target Members - Lodging (#)"))/(SUMIFS('Data - Monthly Metrics'!E:E,'Data - Monthly Metrics'!A:A,$B$4,'Data - Monthly Metrics'!B:B,"Apr",'Data - Monthly Metrics'!C:C,"Southwest",'Data - Monthly Metrics'!D:D,"Total Target Locations - Lodging (#)")+SUMIFS('Data - Monthly Metrics'!E:E,'Data - Monthly Metrics'!A:A,$B$4,'Data - Monthly Metrics'!B:B,"Apr",'Data - Monthly Metrics'!C:C,"Southwest",'Data - Monthly Metrics'!D:D,"Non-Target Locations - Lodging (#)")))</f>
        <v/>
      </c>
      <c r="K30" s="118">
        <f>IF((SUMIFS('Data - Monthly Metrics'!E:E,'Data - Monthly Metrics'!A:A,$B$4,'Data - Monthly Metrics'!B:B,"May",'Data - Monthly Metrics'!C:C,"Southwest",'Data - Monthly Metrics'!D:D,"Total Target Locations - Lodging (#)")+SUMIFS('Data - Monthly Metrics'!E:E,'Data - Monthly Metrics'!A:A,$B$4,'Data - Monthly Metrics'!B:B,"May",'Data - Monthly Metrics'!C:C,"Southwest",'Data - Monthly Metrics'!D:D,"Non-Target Locations - Lodging (#)"))=0,"-",(SUMIFS('Data - Monthly Metrics'!E:E,'Data - Monthly Metrics'!A:A,$B$4,'Data - Monthly Metrics'!B:B,"May",'Data - Monthly Metrics'!C:C,"Southwest",'Data - Monthly Metrics'!D:D,"Target Members - Lodging (#)")+SUMIFS('Data - Monthly Metrics'!E:E,'Data - Monthly Metrics'!A:A,$B$4,'Data - Monthly Metrics'!B:B,"May",'Data - Monthly Metrics'!C:C,"Southwest",'Data - Monthly Metrics'!D:D,"Non-Target Members - Lodging (#)"))/(SUMIFS('Data - Monthly Metrics'!E:E,'Data - Monthly Metrics'!A:A,$B$4,'Data - Monthly Metrics'!B:B,"May",'Data - Monthly Metrics'!C:C,"Southwest",'Data - Monthly Metrics'!D:D,"Total Target Locations - Lodging (#)")+SUMIFS('Data - Monthly Metrics'!E:E,'Data - Monthly Metrics'!A:A,$B$4,'Data - Monthly Metrics'!B:B,"May",'Data - Monthly Metrics'!C:C,"Southwest",'Data - Monthly Metrics'!D:D,"Non-Target Locations - Lodging (#)")))</f>
        <v/>
      </c>
      <c r="L30" s="118">
        <f>IF((SUMIFS('Data - Monthly Metrics'!E:E,'Data - Monthly Metrics'!A:A,$B$4,'Data - Monthly Metrics'!B:B,"Jun",'Data - Monthly Metrics'!C:C,"Southwest",'Data - Monthly Metrics'!D:D,"Total Target Locations - Lodging (#)")+SUMIFS('Data - Monthly Metrics'!E:E,'Data - Monthly Metrics'!A:A,$B$4,'Data - Monthly Metrics'!B:B,"Jun",'Data - Monthly Metrics'!C:C,"Southwest",'Data - Monthly Metrics'!D:D,"Non-Target Locations - Lodging (#)"))=0,"-",(SUMIFS('Data - Monthly Metrics'!E:E,'Data - Monthly Metrics'!A:A,$B$4,'Data - Monthly Metrics'!B:B,"Jun",'Data - Monthly Metrics'!C:C,"Southwest",'Data - Monthly Metrics'!D:D,"Target Members - Lodging (#)")+SUMIFS('Data - Monthly Metrics'!E:E,'Data - Monthly Metrics'!A:A,$B$4,'Data - Monthly Metrics'!B:B,"Jun",'Data - Monthly Metrics'!C:C,"Southwest",'Data - Monthly Metrics'!D:D,"Non-Target Members - Lodging (#)"))/(SUMIFS('Data - Monthly Metrics'!E:E,'Data - Monthly Metrics'!A:A,$B$4,'Data - Monthly Metrics'!B:B,"Jun",'Data - Monthly Metrics'!C:C,"Southwest",'Data - Monthly Metrics'!D:D,"Total Target Locations - Lodging (#)")+SUMIFS('Data - Monthly Metrics'!E:E,'Data - Monthly Metrics'!A:A,$B$4,'Data - Monthly Metrics'!B:B,"Jun",'Data - Monthly Metrics'!C:C,"Southwest",'Data - Monthly Metrics'!D:D,"Non-Target Locations - Lodging (#)")))</f>
        <v/>
      </c>
      <c r="M30" s="116">
        <f>IF(ISNUMBER(L30),L30,IF(ISNUMBER(K30),K30,IF(ISNUMBER(J30),J30,"-")))</f>
        <v/>
      </c>
      <c r="N30" s="118">
        <f>IF((SUMIFS('Data - Monthly Metrics'!E:E,'Data - Monthly Metrics'!A:A,$B$4,'Data - Monthly Metrics'!B:B,"Jul",'Data - Monthly Metrics'!C:C,"Southwest",'Data - Monthly Metrics'!D:D,"Total Target Locations - Lodging (#)")+SUMIFS('Data - Monthly Metrics'!E:E,'Data - Monthly Metrics'!A:A,$B$4,'Data - Monthly Metrics'!B:B,"Jul",'Data - Monthly Metrics'!C:C,"Southwest",'Data - Monthly Metrics'!D:D,"Non-Target Locations - Lodging (#)"))=0,"-",(SUMIFS('Data - Monthly Metrics'!E:E,'Data - Monthly Metrics'!A:A,$B$4,'Data - Monthly Metrics'!B:B,"Jul",'Data - Monthly Metrics'!C:C,"Southwest",'Data - Monthly Metrics'!D:D,"Target Members - Lodging (#)")+SUMIFS('Data - Monthly Metrics'!E:E,'Data - Monthly Metrics'!A:A,$B$4,'Data - Monthly Metrics'!B:B,"Jul",'Data - Monthly Metrics'!C:C,"Southwest",'Data - Monthly Metrics'!D:D,"Non-Target Members - Lodging (#)"))/(SUMIFS('Data - Monthly Metrics'!E:E,'Data - Monthly Metrics'!A:A,$B$4,'Data - Monthly Metrics'!B:B,"Jul",'Data - Monthly Metrics'!C:C,"Southwest",'Data - Monthly Metrics'!D:D,"Total Target Locations - Lodging (#)")+SUMIFS('Data - Monthly Metrics'!E:E,'Data - Monthly Metrics'!A:A,$B$4,'Data - Monthly Metrics'!B:B,"Jul",'Data - Monthly Metrics'!C:C,"Southwest",'Data - Monthly Metrics'!D:D,"Non-Target Locations - Lodging (#)")))</f>
        <v/>
      </c>
      <c r="O30" s="118">
        <f>IF((SUMIFS('Data - Monthly Metrics'!E:E,'Data - Monthly Metrics'!A:A,$B$4,'Data - Monthly Metrics'!B:B,"Aug",'Data - Monthly Metrics'!C:C,"Southwest",'Data - Monthly Metrics'!D:D,"Total Target Locations - Lodging (#)")+SUMIFS('Data - Monthly Metrics'!E:E,'Data - Monthly Metrics'!A:A,$B$4,'Data - Monthly Metrics'!B:B,"Aug",'Data - Monthly Metrics'!C:C,"Southwest",'Data - Monthly Metrics'!D:D,"Non-Target Locations - Lodging (#)"))=0,"-",(SUMIFS('Data - Monthly Metrics'!E:E,'Data - Monthly Metrics'!A:A,$B$4,'Data - Monthly Metrics'!B:B,"Aug",'Data - Monthly Metrics'!C:C,"Southwest",'Data - Monthly Metrics'!D:D,"Target Members - Lodging (#)")+SUMIFS('Data - Monthly Metrics'!E:E,'Data - Monthly Metrics'!A:A,$B$4,'Data - Monthly Metrics'!B:B,"Aug",'Data - Monthly Metrics'!C:C,"Southwest",'Data - Monthly Metrics'!D:D,"Non-Target Members - Lodging (#)"))/(SUMIFS('Data - Monthly Metrics'!E:E,'Data - Monthly Metrics'!A:A,$B$4,'Data - Monthly Metrics'!B:B,"Aug",'Data - Monthly Metrics'!C:C,"Southwest",'Data - Monthly Metrics'!D:D,"Total Target Locations - Lodging (#)")+SUMIFS('Data - Monthly Metrics'!E:E,'Data - Monthly Metrics'!A:A,$B$4,'Data - Monthly Metrics'!B:B,"Aug",'Data - Monthly Metrics'!C:C,"Southwest",'Data - Monthly Metrics'!D:D,"Non-Target Locations - Lodging (#)")))</f>
        <v/>
      </c>
      <c r="P30" s="118">
        <f>IF((SUMIFS('Data - Monthly Metrics'!E:E,'Data - Monthly Metrics'!A:A,$B$4,'Data - Monthly Metrics'!B:B,"Sep",'Data - Monthly Metrics'!C:C,"Southwest",'Data - Monthly Metrics'!D:D,"Total Target Locations - Lodging (#)")+SUMIFS('Data - Monthly Metrics'!E:E,'Data - Monthly Metrics'!A:A,$B$4,'Data - Monthly Metrics'!B:B,"Sep",'Data - Monthly Metrics'!C:C,"Southwest",'Data - Monthly Metrics'!D:D,"Non-Target Locations - Lodging (#)"))=0,"-",(SUMIFS('Data - Monthly Metrics'!E:E,'Data - Monthly Metrics'!A:A,$B$4,'Data - Monthly Metrics'!B:B,"Sep",'Data - Monthly Metrics'!C:C,"Southwest",'Data - Monthly Metrics'!D:D,"Target Members - Lodging (#)")+SUMIFS('Data - Monthly Metrics'!E:E,'Data - Monthly Metrics'!A:A,$B$4,'Data - Monthly Metrics'!B:B,"Sep",'Data - Monthly Metrics'!C:C,"Southwest",'Data - Monthly Metrics'!D:D,"Non-Target Members - Lodging (#)"))/(SUMIFS('Data - Monthly Metrics'!E:E,'Data - Monthly Metrics'!A:A,$B$4,'Data - Monthly Metrics'!B:B,"Sep",'Data - Monthly Metrics'!C:C,"Southwest",'Data - Monthly Metrics'!D:D,"Total Target Locations - Lodging (#)")+SUMIFS('Data - Monthly Metrics'!E:E,'Data - Monthly Metrics'!A:A,$B$4,'Data - Monthly Metrics'!B:B,"Sep",'Data - Monthly Metrics'!C:C,"Southwest",'Data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Metrics'!C:C,"Southwest",'Data - Monthly Metrics'!D:D,"Total Target Locations - Restaurant (#)")+SUMIFS('Data - Monthly Metrics'!E:E,'Data - Monthly Metrics'!A:A,$B$4-1,'Data - Monthly Metrics'!B:B,"Oct",'Data - Monthly Metrics'!C:C,"Southwest",'Data - Monthly Metrics'!D:D,"Total Target Locations - Lodging (#)")+SUMIFS('Data - Monthly Metrics'!E:E,'Data - Monthly Metrics'!A:A,$B$4-1,'Data - Monthly Metrics'!B:B,"Oct",'Data - Monthly Metrics'!C:C,"Southwest",'Data - Monthly Metrics'!D:D,"Non-Target Locations - Restaurant (#)")+SUMIFS('Data - Monthly Metrics'!E:E,'Data - Monthly Metrics'!A:A,$B$4-1,'Data - Monthly Metrics'!B:B,"Oct",'Data - Monthly Metrics'!C:C,"Southwest",'Data - Monthly Metrics'!D:D,"Non-Target Locations - Lodging (#)"))=0,"-",(SUMIFS('Data - Monthly Metrics'!E:E,'Data - Monthly Metrics'!A:A,$B$4-1,'Data - Monthly Metrics'!B:B,"Oct",'Data - Monthly Metrics'!C:C,"Southwest",'Data - Monthly Metrics'!D:D,"Target Members - Restaurant (#)")+SUMIFS('Data - Monthly Metrics'!E:E,'Data - Monthly Metrics'!A:A,$B$4-1,'Data - Monthly Metrics'!B:B,"Oct",'Data - Monthly Metrics'!C:C,"Southwest",'Data - Monthly Metrics'!D:D,"Target Members - Lodging (#)")+SUMIFS('Data - Monthly Metrics'!E:E,'Data - Monthly Metrics'!A:A,$B$4-1,'Data - Monthly Metrics'!B:B,"Oct",'Data - Monthly Metrics'!C:C,"Southwest",'Data - Monthly Metrics'!D:D,"Non-Target Members - Restaurant (#)")+SUMIFS('Data - Monthly Metrics'!E:E,'Data - Monthly Metrics'!A:A,$B$4-1,'Data - Monthly Metrics'!B:B,"Oct",'Data - Monthly Metrics'!C:C,"Southwest",'Data - Monthly Metrics'!D:D,"Non-Target Members - Lodging (#)"))/(SUMIFS('Data - Monthly Metrics'!E:E,'Data - Monthly Metrics'!A:A,$B$4-1,'Data - Monthly Metrics'!B:B,"Oct",'Data - Monthly Metrics'!C:C,"Southwest",'Data - Monthly Metrics'!D:D,"Total Target Locations - Restaurant (#)")+SUMIFS('Data - Monthly Metrics'!E:E,'Data - Monthly Metrics'!A:A,$B$4-1,'Data - Monthly Metrics'!B:B,"Oct",'Data - Monthly Metrics'!C:C,"Southwest",'Data - Monthly Metrics'!D:D,"Total Target Locations - Lodging (#)")+SUMIFS('Data - Monthly Metrics'!E:E,'Data - Monthly Metrics'!A:A,$B$4-1,'Data - Monthly Metrics'!B:B,"Oct",'Data - Monthly Metrics'!C:C,"Southwest",'Data - Monthly Metrics'!D:D,"Non-Target Locations - Restaurant (#)")+SUMIFS('Data - Monthly Metrics'!E:E,'Data - Monthly Metrics'!A:A,$B$4-1,'Data - Monthly Metrics'!B:B,"Oct",'Data - Monthly Metrics'!C:C,"Southwest",'Data - Monthly Metrics'!D:D,"Non-Target Locations - Lodging (#)")))</f>
        <v/>
      </c>
      <c r="C31" s="115">
        <f>IF((SUMIFS('Data - Monthly Metrics'!E:E,'Data - Monthly Metrics'!A:A,$B$4-1,'Data - Monthly Metrics'!B:B,"Nov",'Data - Monthly Metrics'!C:C,"Southwest",'Data - Monthly Metrics'!D:D,"Total Target Locations - Restaurant (#)")+SUMIFS('Data - Monthly Metrics'!E:E,'Data - Monthly Metrics'!A:A,$B$4-1,'Data - Monthly Metrics'!B:B,"Nov",'Data - Monthly Metrics'!C:C,"Southwest",'Data - Monthly Metrics'!D:D,"Total Target Locations - Lodging (#)")+SUMIFS('Data - Monthly Metrics'!E:E,'Data - Monthly Metrics'!A:A,$B$4-1,'Data - Monthly Metrics'!B:B,"Nov",'Data - Monthly Metrics'!C:C,"Southwest",'Data - Monthly Metrics'!D:D,"Non-Target Locations - Restaurant (#)")+SUMIFS('Data - Monthly Metrics'!E:E,'Data - Monthly Metrics'!A:A,$B$4-1,'Data - Monthly Metrics'!B:B,"Nov",'Data - Monthly Metrics'!C:C,"Southwest",'Data - Monthly Metrics'!D:D,"Non-Target Locations - Lodging (#)"))=0,"-",(SUMIFS('Data - Monthly Metrics'!E:E,'Data - Monthly Metrics'!A:A,$B$4-1,'Data - Monthly Metrics'!B:B,"Nov",'Data - Monthly Metrics'!C:C,"Southwest",'Data - Monthly Metrics'!D:D,"Target Members - Restaurant (#)")+SUMIFS('Data - Monthly Metrics'!E:E,'Data - Monthly Metrics'!A:A,$B$4-1,'Data - Monthly Metrics'!B:B,"Nov",'Data - Monthly Metrics'!C:C,"Southwest",'Data - Monthly Metrics'!D:D,"Target Members - Lodging (#)")+SUMIFS('Data - Monthly Metrics'!E:E,'Data - Monthly Metrics'!A:A,$B$4-1,'Data - Monthly Metrics'!B:B,"Nov",'Data - Monthly Metrics'!C:C,"Southwest",'Data - Monthly Metrics'!D:D,"Non-Target Members - Restaurant (#)")+SUMIFS('Data - Monthly Metrics'!E:E,'Data - Monthly Metrics'!A:A,$B$4-1,'Data - Monthly Metrics'!B:B,"Nov",'Data - Monthly Metrics'!C:C,"Southwest",'Data - Monthly Metrics'!D:D,"Non-Target Members - Lodging (#)"))/(SUMIFS('Data - Monthly Metrics'!E:E,'Data - Monthly Metrics'!A:A,$B$4-1,'Data - Monthly Metrics'!B:B,"Nov",'Data - Monthly Metrics'!C:C,"Southwest",'Data - Monthly Metrics'!D:D,"Total Target Locations - Restaurant (#)")+SUMIFS('Data - Monthly Metrics'!E:E,'Data - Monthly Metrics'!A:A,$B$4-1,'Data - Monthly Metrics'!B:B,"Nov",'Data - Monthly Metrics'!C:C,"Southwest",'Data - Monthly Metrics'!D:D,"Total Target Locations - Lodging (#)")+SUMIFS('Data - Monthly Metrics'!E:E,'Data - Monthly Metrics'!A:A,$B$4-1,'Data - Monthly Metrics'!B:B,"Nov",'Data - Monthly Metrics'!C:C,"Southwest",'Data - Monthly Metrics'!D:D,"Non-Target Locations - Restaurant (#)")+SUMIFS('Data - Monthly Metrics'!E:E,'Data - Monthly Metrics'!A:A,$B$4-1,'Data - Monthly Metrics'!B:B,"Nov",'Data - Monthly Metrics'!C:C,"Southwest",'Data - Monthly Metrics'!D:D,"Non-Target Locations - Lodging (#)")))</f>
        <v/>
      </c>
      <c r="D31" s="115">
        <f>IF((SUMIFS('Data - Monthly Metrics'!E:E,'Data - Monthly Metrics'!A:A,$B$4-1,'Data - Monthly Metrics'!B:B,"Dec",'Data - Monthly Metrics'!C:C,"Southwest",'Data - Monthly Metrics'!D:D,"Total Target Locations - Restaurant (#)")+SUMIFS('Data - Monthly Metrics'!E:E,'Data - Monthly Metrics'!A:A,$B$4-1,'Data - Monthly Metrics'!B:B,"Dec",'Data - Monthly Metrics'!C:C,"Southwest",'Data - Monthly Metrics'!D:D,"Total Target Locations - Lodging (#)")+SUMIFS('Data - Monthly Metrics'!E:E,'Data - Monthly Metrics'!A:A,$B$4-1,'Data - Monthly Metrics'!B:B,"Dec",'Data - Monthly Metrics'!C:C,"Southwest",'Data - Monthly Metrics'!D:D,"Non-Target Locations - Restaurant (#)")+SUMIFS('Data - Monthly Metrics'!E:E,'Data - Monthly Metrics'!A:A,$B$4-1,'Data - Monthly Metrics'!B:B,"Dec",'Data - Monthly Metrics'!C:C,"Southwest",'Data - Monthly Metrics'!D:D,"Non-Target Locations - Lodging (#)"))=0,"-",(SUMIFS('Data - Monthly Metrics'!E:E,'Data - Monthly Metrics'!A:A,$B$4-1,'Data - Monthly Metrics'!B:B,"Dec",'Data - Monthly Metrics'!C:C,"Southwest",'Data - Monthly Metrics'!D:D,"Target Members - Restaurant (#)")+SUMIFS('Data - Monthly Metrics'!E:E,'Data - Monthly Metrics'!A:A,$B$4-1,'Data - Monthly Metrics'!B:B,"Dec",'Data - Monthly Metrics'!C:C,"Southwest",'Data - Monthly Metrics'!D:D,"Target Members - Lodging (#)")+SUMIFS('Data - Monthly Metrics'!E:E,'Data - Monthly Metrics'!A:A,$B$4-1,'Data - Monthly Metrics'!B:B,"Dec",'Data - Monthly Metrics'!C:C,"Southwest",'Data - Monthly Metrics'!D:D,"Non-Target Members - Restaurant (#)")+SUMIFS('Data - Monthly Metrics'!E:E,'Data - Monthly Metrics'!A:A,$B$4-1,'Data - Monthly Metrics'!B:B,"Dec",'Data - Monthly Metrics'!C:C,"Southwest",'Data - Monthly Metrics'!D:D,"Non-Target Members - Lodging (#)"))/(SUMIFS('Data - Monthly Metrics'!E:E,'Data - Monthly Metrics'!A:A,$B$4-1,'Data - Monthly Metrics'!B:B,"Dec",'Data - Monthly Metrics'!C:C,"Southwest",'Data - Monthly Metrics'!D:D,"Total Target Locations - Restaurant (#)")+SUMIFS('Data - Monthly Metrics'!E:E,'Data - Monthly Metrics'!A:A,$B$4-1,'Data - Monthly Metrics'!B:B,"Dec",'Data - Monthly Metrics'!C:C,"Southwest",'Data - Monthly Metrics'!D:D,"Total Target Locations - Lodging (#)")+SUMIFS('Data - Monthly Metrics'!E:E,'Data - Monthly Metrics'!A:A,$B$4-1,'Data - Monthly Metrics'!B:B,"Dec",'Data - Monthly Metrics'!C:C,"Southwest",'Data - Monthly Metrics'!D:D,"Non-Target Locations - Restaurant (#)")+SUMIFS('Data - Monthly Metrics'!E:E,'Data - Monthly Metrics'!A:A,$B$4-1,'Data - Monthly Metrics'!B:B,"Dec",'Data - Monthly Metrics'!C:C,"Southwest",'Data - Monthly Metrics'!D:D,"Non-Target Locations - Lodging (#)")))</f>
        <v/>
      </c>
      <c r="E31" s="116">
        <f>IF(ISNUMBER(D31),D31,IF(ISNUMBER(C31),C31,IF(ISNUMBER(B31),B31,"-")))</f>
        <v/>
      </c>
      <c r="F31" s="115">
        <f>IF((SUMIFS('Data - Monthly Metrics'!E:E,'Data - Monthly Metrics'!A:A,$B$4,'Data - Monthly Metrics'!B:B,"Jan",'Data - Monthly Metrics'!C:C,"Southwest",'Data - Monthly Metrics'!D:D,"Total Target Locations - Restaurant (#)")+SUMIFS('Data - Monthly Metrics'!E:E,'Data - Monthly Metrics'!A:A,$B$4,'Data - Monthly Metrics'!B:B,"Jan",'Data - Monthly Metrics'!C:C,"Southwest",'Data - Monthly Metrics'!D:D,"Total Target Locations - Lodging (#)")+SUMIFS('Data - Monthly Metrics'!E:E,'Data - Monthly Metrics'!A:A,$B$4,'Data - Monthly Metrics'!B:B,"Jan",'Data - Monthly Metrics'!C:C,"Southwest",'Data - Monthly Metrics'!D:D,"Non-Target Locations - Restaurant (#)")+SUMIFS('Data - Monthly Metrics'!E:E,'Data - Monthly Metrics'!A:A,$B$4,'Data - Monthly Metrics'!B:B,"Jan",'Data - Monthly Metrics'!C:C,"Southwest",'Data - Monthly Metrics'!D:D,"Non-Target Locations - Lodging (#)"))=0,"-",(SUMIFS('Data - Monthly Metrics'!E:E,'Data - Monthly Metrics'!A:A,$B$4,'Data - Monthly Metrics'!B:B,"Jan",'Data - Monthly Metrics'!C:C,"Southwest",'Data - Monthly Metrics'!D:D,"Target Members - Restaurant (#)")+SUMIFS('Data - Monthly Metrics'!E:E,'Data - Monthly Metrics'!A:A,$B$4,'Data - Monthly Metrics'!B:B,"Jan",'Data - Monthly Metrics'!C:C,"Southwest",'Data - Monthly Metrics'!D:D,"Target Members - Lodging (#)")+SUMIFS('Data - Monthly Metrics'!E:E,'Data - Monthly Metrics'!A:A,$B$4,'Data - Monthly Metrics'!B:B,"Jan",'Data - Monthly Metrics'!C:C,"Southwest",'Data - Monthly Metrics'!D:D,"Non-Target Members - Restaurant (#)")+SUMIFS('Data - Monthly Metrics'!E:E,'Data - Monthly Metrics'!A:A,$B$4,'Data - Monthly Metrics'!B:B,"Jan",'Data - Monthly Metrics'!C:C,"Southwest",'Data - Monthly Metrics'!D:D,"Non-Target Members - Lodging (#)"))/(SUMIFS('Data - Monthly Metrics'!E:E,'Data - Monthly Metrics'!A:A,$B$4,'Data - Monthly Metrics'!B:B,"Jan",'Data - Monthly Metrics'!C:C,"Southwest",'Data - Monthly Metrics'!D:D,"Total Target Locations - Restaurant (#)")+SUMIFS('Data - Monthly Metrics'!E:E,'Data - Monthly Metrics'!A:A,$B$4,'Data - Monthly Metrics'!B:B,"Jan",'Data - Monthly Metrics'!C:C,"Southwest",'Data - Monthly Metrics'!D:D,"Total Target Locations - Lodging (#)")+SUMIFS('Data - Monthly Metrics'!E:E,'Data - Monthly Metrics'!A:A,$B$4,'Data - Monthly Metrics'!B:B,"Jan",'Data - Monthly Metrics'!C:C,"Southwest",'Data - Monthly Metrics'!D:D,"Non-Target Locations - Restaurant (#)")+SUMIFS('Data - Monthly Metrics'!E:E,'Data - Monthly Metrics'!A:A,$B$4,'Data - Monthly Metrics'!B:B,"Jan",'Data - Monthly Metrics'!C:C,"Southwest",'Data - Monthly Metrics'!D:D,"Non-Target Locations - Lodging (#)")))</f>
        <v/>
      </c>
      <c r="G31" s="115">
        <f>IF((SUMIFS('Data - Monthly Metrics'!E:E,'Data - Monthly Metrics'!A:A,$B$4,'Data - Monthly Metrics'!B:B,"Feb",'Data - Monthly Metrics'!C:C,"Southwest",'Data - Monthly Metrics'!D:D,"Total Target Locations - Restaurant (#)")+SUMIFS('Data - Monthly Metrics'!E:E,'Data - Monthly Metrics'!A:A,$B$4,'Data - Monthly Metrics'!B:B,"Feb",'Data - Monthly Metrics'!C:C,"Southwest",'Data - Monthly Metrics'!D:D,"Total Target Locations - Lodging (#)")+SUMIFS('Data - Monthly Metrics'!E:E,'Data - Monthly Metrics'!A:A,$B$4,'Data - Monthly Metrics'!B:B,"Feb",'Data - Monthly Metrics'!C:C,"Southwest",'Data - Monthly Metrics'!D:D,"Non-Target Locations - Restaurant (#)")+SUMIFS('Data - Monthly Metrics'!E:E,'Data - Monthly Metrics'!A:A,$B$4,'Data - Monthly Metrics'!B:B,"Feb",'Data - Monthly Metrics'!C:C,"Southwest",'Data - Monthly Metrics'!D:D,"Non-Target Locations - Lodging (#)"))=0,"-",(SUMIFS('Data - Monthly Metrics'!E:E,'Data - Monthly Metrics'!A:A,$B$4,'Data - Monthly Metrics'!B:B,"Feb",'Data - Monthly Metrics'!C:C,"Southwest",'Data - Monthly Metrics'!D:D,"Target Members - Restaurant (#)")+SUMIFS('Data - Monthly Metrics'!E:E,'Data - Monthly Metrics'!A:A,$B$4,'Data - Monthly Metrics'!B:B,"Feb",'Data - Monthly Metrics'!C:C,"Southwest",'Data - Monthly Metrics'!D:D,"Target Members - Lodging (#)")+SUMIFS('Data - Monthly Metrics'!E:E,'Data - Monthly Metrics'!A:A,$B$4,'Data - Monthly Metrics'!B:B,"Feb",'Data - Monthly Metrics'!C:C,"Southwest",'Data - Monthly Metrics'!D:D,"Non-Target Members - Restaurant (#)")+SUMIFS('Data - Monthly Metrics'!E:E,'Data - Monthly Metrics'!A:A,$B$4,'Data - Monthly Metrics'!B:B,"Feb",'Data - Monthly Metrics'!C:C,"Southwest",'Data - Monthly Metrics'!D:D,"Non-Target Members - Lodging (#)"))/(SUMIFS('Data - Monthly Metrics'!E:E,'Data - Monthly Metrics'!A:A,$B$4,'Data - Monthly Metrics'!B:B,"Feb",'Data - Monthly Metrics'!C:C,"Southwest",'Data - Monthly Metrics'!D:D,"Total Target Locations - Restaurant (#)")+SUMIFS('Data - Monthly Metrics'!E:E,'Data - Monthly Metrics'!A:A,$B$4,'Data - Monthly Metrics'!B:B,"Feb",'Data - Monthly Metrics'!C:C,"Southwest",'Data - Monthly Metrics'!D:D,"Total Target Locations - Lodging (#)")+SUMIFS('Data - Monthly Metrics'!E:E,'Data - Monthly Metrics'!A:A,$B$4,'Data - Monthly Metrics'!B:B,"Feb",'Data - Monthly Metrics'!C:C,"Southwest",'Data - Monthly Metrics'!D:D,"Non-Target Locations - Restaurant (#)")+SUMIFS('Data - Monthly Metrics'!E:E,'Data - Monthly Metrics'!A:A,$B$4,'Data - Monthly Metrics'!B:B,"Feb",'Data - Monthly Metrics'!C:C,"Southwest",'Data - Monthly Metrics'!D:D,"Non-Target Locations - Lodging (#)")))</f>
        <v/>
      </c>
      <c r="H31" s="115">
        <f>IF((SUMIFS('Data - Monthly Metrics'!E:E,'Data - Monthly Metrics'!A:A,$B$4,'Data - Monthly Metrics'!B:B,"Mar",'Data - Monthly Metrics'!C:C,"Southwest",'Data - Monthly Metrics'!D:D,"Total Target Locations - Restaurant (#)")+SUMIFS('Data - Monthly Metrics'!E:E,'Data - Monthly Metrics'!A:A,$B$4,'Data - Monthly Metrics'!B:B,"Mar",'Data - Monthly Metrics'!C:C,"Southwest",'Data - Monthly Metrics'!D:D,"Total Target Locations - Lodging (#)")+SUMIFS('Data - Monthly Metrics'!E:E,'Data - Monthly Metrics'!A:A,$B$4,'Data - Monthly Metrics'!B:B,"Mar",'Data - Monthly Metrics'!C:C,"Southwest",'Data - Monthly Metrics'!D:D,"Non-Target Locations - Restaurant (#)")+SUMIFS('Data - Monthly Metrics'!E:E,'Data - Monthly Metrics'!A:A,$B$4,'Data - Monthly Metrics'!B:B,"Mar",'Data - Monthly Metrics'!C:C,"Southwest",'Data - Monthly Metrics'!D:D,"Non-Target Locations - Lodging (#)"))=0,"-",(SUMIFS('Data - Monthly Metrics'!E:E,'Data - Monthly Metrics'!A:A,$B$4,'Data - Monthly Metrics'!B:B,"Mar",'Data - Monthly Metrics'!C:C,"Southwest",'Data - Monthly Metrics'!D:D,"Target Members - Restaurant (#)")+SUMIFS('Data - Monthly Metrics'!E:E,'Data - Monthly Metrics'!A:A,$B$4,'Data - Monthly Metrics'!B:B,"Mar",'Data - Monthly Metrics'!C:C,"Southwest",'Data - Monthly Metrics'!D:D,"Target Members - Lodging (#)")+SUMIFS('Data - Monthly Metrics'!E:E,'Data - Monthly Metrics'!A:A,$B$4,'Data - Monthly Metrics'!B:B,"Mar",'Data - Monthly Metrics'!C:C,"Southwest",'Data - Monthly Metrics'!D:D,"Non-Target Members - Restaurant (#)")+SUMIFS('Data - Monthly Metrics'!E:E,'Data - Monthly Metrics'!A:A,$B$4,'Data - Monthly Metrics'!B:B,"Mar",'Data - Monthly Metrics'!C:C,"Southwest",'Data - Monthly Metrics'!D:D,"Non-Target Members - Lodging (#)"))/(SUMIFS('Data - Monthly Metrics'!E:E,'Data - Monthly Metrics'!A:A,$B$4,'Data - Monthly Metrics'!B:B,"Mar",'Data - Monthly Metrics'!C:C,"Southwest",'Data - Monthly Metrics'!D:D,"Total Target Locations - Restaurant (#)")+SUMIFS('Data - Monthly Metrics'!E:E,'Data - Monthly Metrics'!A:A,$B$4,'Data - Monthly Metrics'!B:B,"Mar",'Data - Monthly Metrics'!C:C,"Southwest",'Data - Monthly Metrics'!D:D,"Total Target Locations - Lodging (#)")+SUMIFS('Data - Monthly Metrics'!E:E,'Data - Monthly Metrics'!A:A,$B$4,'Data - Monthly Metrics'!B:B,"Mar",'Data - Monthly Metrics'!C:C,"Southwest",'Data - Monthly Metrics'!D:D,"Non-Target Locations - Restaurant (#)")+SUMIFS('Data - Monthly Metrics'!E:E,'Data - Monthly Metrics'!A:A,$B$4,'Data - Monthly Metrics'!B:B,"Mar",'Data - Monthly Metrics'!C:C,"Southwest",'Data - Monthly Metrics'!D:D,"Non-Target Locations - Lodging (#)")))</f>
        <v/>
      </c>
      <c r="I31" s="116">
        <f>IF(ISNUMBER(H31),H31,IF(ISNUMBER(G31),G31,IF(ISNUMBER(F31),F31,"-")))</f>
        <v/>
      </c>
      <c r="J31" s="115">
        <f>IF((SUMIFS('Data - Monthly Metrics'!E:E,'Data - Monthly Metrics'!A:A,$B$4,'Data - Monthly Metrics'!B:B,"Apr",'Data - Monthly Metrics'!C:C,"Southwest",'Data - Monthly Metrics'!D:D,"Total Target Locations - Restaurant (#)")+SUMIFS('Data - Monthly Metrics'!E:E,'Data - Monthly Metrics'!A:A,$B$4,'Data - Monthly Metrics'!B:B,"Apr",'Data - Monthly Metrics'!C:C,"Southwest",'Data - Monthly Metrics'!D:D,"Total Target Locations - Lodging (#)")+SUMIFS('Data - Monthly Metrics'!E:E,'Data - Monthly Metrics'!A:A,$B$4,'Data - Monthly Metrics'!B:B,"Apr",'Data - Monthly Metrics'!C:C,"Southwest",'Data - Monthly Metrics'!D:D,"Non-Target Locations - Restaurant (#)")+SUMIFS('Data - Monthly Metrics'!E:E,'Data - Monthly Metrics'!A:A,$B$4,'Data - Monthly Metrics'!B:B,"Apr",'Data - Monthly Metrics'!C:C,"Southwest",'Data - Monthly Metrics'!D:D,"Non-Target Locations - Lodging (#)"))=0,"-",(SUMIFS('Data - Monthly Metrics'!E:E,'Data - Monthly Metrics'!A:A,$B$4,'Data - Monthly Metrics'!B:B,"Apr",'Data - Monthly Metrics'!C:C,"Southwest",'Data - Monthly Metrics'!D:D,"Target Members - Restaurant (#)")+SUMIFS('Data - Monthly Metrics'!E:E,'Data - Monthly Metrics'!A:A,$B$4,'Data - Monthly Metrics'!B:B,"Apr",'Data - Monthly Metrics'!C:C,"Southwest",'Data - Monthly Metrics'!D:D,"Target Members - Lodging (#)")+SUMIFS('Data - Monthly Metrics'!E:E,'Data - Monthly Metrics'!A:A,$B$4,'Data - Monthly Metrics'!B:B,"Apr",'Data - Monthly Metrics'!C:C,"Southwest",'Data - Monthly Metrics'!D:D,"Non-Target Members - Restaurant (#)")+SUMIFS('Data - Monthly Metrics'!E:E,'Data - Monthly Metrics'!A:A,$B$4,'Data - Monthly Metrics'!B:B,"Apr",'Data - Monthly Metrics'!C:C,"Southwest",'Data - Monthly Metrics'!D:D,"Non-Target Members - Lodging (#)"))/(SUMIFS('Data - Monthly Metrics'!E:E,'Data - Monthly Metrics'!A:A,$B$4,'Data - Monthly Metrics'!B:B,"Apr",'Data - Monthly Metrics'!C:C,"Southwest",'Data - Monthly Metrics'!D:D,"Total Target Locations - Restaurant (#)")+SUMIFS('Data - Monthly Metrics'!E:E,'Data - Monthly Metrics'!A:A,$B$4,'Data - Monthly Metrics'!B:B,"Apr",'Data - Monthly Metrics'!C:C,"Southwest",'Data - Monthly Metrics'!D:D,"Total Target Locations - Lodging (#)")+SUMIFS('Data - Monthly Metrics'!E:E,'Data - Monthly Metrics'!A:A,$B$4,'Data - Monthly Metrics'!B:B,"Apr",'Data - Monthly Metrics'!C:C,"Southwest",'Data - Monthly Metrics'!D:D,"Non-Target Locations - Restaurant (#)")+SUMIFS('Data - Monthly Metrics'!E:E,'Data - Monthly Metrics'!A:A,$B$4,'Data - Monthly Metrics'!B:B,"Apr",'Data - Monthly Metrics'!C:C,"Southwest",'Data - Monthly Metrics'!D:D,"Non-Target Locations - Lodging (#)")))</f>
        <v/>
      </c>
      <c r="K31" s="115">
        <f>IF((SUMIFS('Data - Monthly Metrics'!E:E,'Data - Monthly Metrics'!A:A,$B$4,'Data - Monthly Metrics'!B:B,"May",'Data - Monthly Metrics'!C:C,"Southwest",'Data - Monthly Metrics'!D:D,"Total Target Locations - Restaurant (#)")+SUMIFS('Data - Monthly Metrics'!E:E,'Data - Monthly Metrics'!A:A,$B$4,'Data - Monthly Metrics'!B:B,"May",'Data - Monthly Metrics'!C:C,"Southwest",'Data - Monthly Metrics'!D:D,"Total Target Locations - Lodging (#)")+SUMIFS('Data - Monthly Metrics'!E:E,'Data - Monthly Metrics'!A:A,$B$4,'Data - Monthly Metrics'!B:B,"May",'Data - Monthly Metrics'!C:C,"Southwest",'Data - Monthly Metrics'!D:D,"Non-Target Locations - Restaurant (#)")+SUMIFS('Data - Monthly Metrics'!E:E,'Data - Monthly Metrics'!A:A,$B$4,'Data - Monthly Metrics'!B:B,"May",'Data - Monthly Metrics'!C:C,"Southwest",'Data - Monthly Metrics'!D:D,"Non-Target Locations - Lodging (#)"))=0,"-",(SUMIFS('Data - Monthly Metrics'!E:E,'Data - Monthly Metrics'!A:A,$B$4,'Data - Monthly Metrics'!B:B,"May",'Data - Monthly Metrics'!C:C,"Southwest",'Data - Monthly Metrics'!D:D,"Target Members - Restaurant (#)")+SUMIFS('Data - Monthly Metrics'!E:E,'Data - Monthly Metrics'!A:A,$B$4,'Data - Monthly Metrics'!B:B,"May",'Data - Monthly Metrics'!C:C,"Southwest",'Data - Monthly Metrics'!D:D,"Target Members - Lodging (#)")+SUMIFS('Data - Monthly Metrics'!E:E,'Data - Monthly Metrics'!A:A,$B$4,'Data - Monthly Metrics'!B:B,"May",'Data - Monthly Metrics'!C:C,"Southwest",'Data - Monthly Metrics'!D:D,"Non-Target Members - Restaurant (#)")+SUMIFS('Data - Monthly Metrics'!E:E,'Data - Monthly Metrics'!A:A,$B$4,'Data - Monthly Metrics'!B:B,"May",'Data - Monthly Metrics'!C:C,"Southwest",'Data - Monthly Metrics'!D:D,"Non-Target Members - Lodging (#)"))/(SUMIFS('Data - Monthly Metrics'!E:E,'Data - Monthly Metrics'!A:A,$B$4,'Data - Monthly Metrics'!B:B,"May",'Data - Monthly Metrics'!C:C,"Southwest",'Data - Monthly Metrics'!D:D,"Total Target Locations - Restaurant (#)")+SUMIFS('Data - Monthly Metrics'!E:E,'Data - Monthly Metrics'!A:A,$B$4,'Data - Monthly Metrics'!B:B,"May",'Data - Monthly Metrics'!C:C,"Southwest",'Data - Monthly Metrics'!D:D,"Total Target Locations - Lodging (#)")+SUMIFS('Data - Monthly Metrics'!E:E,'Data - Monthly Metrics'!A:A,$B$4,'Data - Monthly Metrics'!B:B,"May",'Data - Monthly Metrics'!C:C,"Southwest",'Data - Monthly Metrics'!D:D,"Non-Target Locations - Restaurant (#)")+SUMIFS('Data - Monthly Metrics'!E:E,'Data - Monthly Metrics'!A:A,$B$4,'Data - Monthly Metrics'!B:B,"May",'Data - Monthly Metrics'!C:C,"Southwest",'Data - Monthly Metrics'!D:D,"Non-Target Locations - Lodging (#)")))</f>
        <v/>
      </c>
      <c r="L31" s="115">
        <f>IF((SUMIFS('Data - Monthly Metrics'!E:E,'Data - Monthly Metrics'!A:A,$B$4,'Data - Monthly Metrics'!B:B,"Jun",'Data - Monthly Metrics'!C:C,"Southwest",'Data - Monthly Metrics'!D:D,"Total Target Locations - Restaurant (#)")+SUMIFS('Data - Monthly Metrics'!E:E,'Data - Monthly Metrics'!A:A,$B$4,'Data - Monthly Metrics'!B:B,"Jun",'Data - Monthly Metrics'!C:C,"Southwest",'Data - Monthly Metrics'!D:D,"Total Target Locations - Lodging (#)")+SUMIFS('Data - Monthly Metrics'!E:E,'Data - Monthly Metrics'!A:A,$B$4,'Data - Monthly Metrics'!B:B,"Jun",'Data - Monthly Metrics'!C:C,"Southwest",'Data - Monthly Metrics'!D:D,"Non-Target Locations - Restaurant (#)")+SUMIFS('Data - Monthly Metrics'!E:E,'Data - Monthly Metrics'!A:A,$B$4,'Data - Monthly Metrics'!B:B,"Jun",'Data - Monthly Metrics'!C:C,"Southwest",'Data - Monthly Metrics'!D:D,"Non-Target Locations - Lodging (#)"))=0,"-",(SUMIFS('Data - Monthly Metrics'!E:E,'Data - Monthly Metrics'!A:A,$B$4,'Data - Monthly Metrics'!B:B,"Jun",'Data - Monthly Metrics'!C:C,"Southwest",'Data - Monthly Metrics'!D:D,"Target Members - Restaurant (#)")+SUMIFS('Data - Monthly Metrics'!E:E,'Data - Monthly Metrics'!A:A,$B$4,'Data - Monthly Metrics'!B:B,"Jun",'Data - Monthly Metrics'!C:C,"Southwest",'Data - Monthly Metrics'!D:D,"Target Members - Lodging (#)")+SUMIFS('Data - Monthly Metrics'!E:E,'Data - Monthly Metrics'!A:A,$B$4,'Data - Monthly Metrics'!B:B,"Jun",'Data - Monthly Metrics'!C:C,"Southwest",'Data - Monthly Metrics'!D:D,"Non-Target Members - Restaurant (#)")+SUMIFS('Data - Monthly Metrics'!E:E,'Data - Monthly Metrics'!A:A,$B$4,'Data - Monthly Metrics'!B:B,"Jun",'Data - Monthly Metrics'!C:C,"Southwest",'Data - Monthly Metrics'!D:D,"Non-Target Members - Lodging (#)"))/(SUMIFS('Data - Monthly Metrics'!E:E,'Data - Monthly Metrics'!A:A,$B$4,'Data - Monthly Metrics'!B:B,"Jun",'Data - Monthly Metrics'!C:C,"Southwest",'Data - Monthly Metrics'!D:D,"Total Target Locations - Restaurant (#)")+SUMIFS('Data - Monthly Metrics'!E:E,'Data - Monthly Metrics'!A:A,$B$4,'Data - Monthly Metrics'!B:B,"Jun",'Data - Monthly Metrics'!C:C,"Southwest",'Data - Monthly Metrics'!D:D,"Total Target Locations - Lodging (#)")+SUMIFS('Data - Monthly Metrics'!E:E,'Data - Monthly Metrics'!A:A,$B$4,'Data - Monthly Metrics'!B:B,"Jun",'Data - Monthly Metrics'!C:C,"Southwest",'Data - Monthly Metrics'!D:D,"Non-Target Locations - Restaurant (#)")+SUMIFS('Data - Monthly Metrics'!E:E,'Data - Monthly Metrics'!A:A,$B$4,'Data - Monthly Metrics'!B:B,"Jun",'Data - Monthly Metrics'!C:C,"Southwest",'Data - Monthly Metrics'!D:D,"Non-Target Locations - Lodging (#)")))</f>
        <v/>
      </c>
      <c r="M31" s="116">
        <f>IF(ISNUMBER(L31),L31,IF(ISNUMBER(K31),K31,IF(ISNUMBER(J31),J31,"-")))</f>
        <v/>
      </c>
      <c r="N31" s="115">
        <f>IF((SUMIFS('Data - Monthly Metrics'!E:E,'Data - Monthly Metrics'!A:A,$B$4,'Data - Monthly Metrics'!B:B,"Jul",'Data - Monthly Metrics'!C:C,"Southwest",'Data - Monthly Metrics'!D:D,"Total Target Locations - Restaurant (#)")+SUMIFS('Data - Monthly Metrics'!E:E,'Data - Monthly Metrics'!A:A,$B$4,'Data - Monthly Metrics'!B:B,"Jul",'Data - Monthly Metrics'!C:C,"Southwest",'Data - Monthly Metrics'!D:D,"Total Target Locations - Lodging (#)")+SUMIFS('Data - Monthly Metrics'!E:E,'Data - Monthly Metrics'!A:A,$B$4,'Data - Monthly Metrics'!B:B,"Jul",'Data - Monthly Metrics'!C:C,"Southwest",'Data - Monthly Metrics'!D:D,"Non-Target Locations - Restaurant (#)")+SUMIFS('Data - Monthly Metrics'!E:E,'Data - Monthly Metrics'!A:A,$B$4,'Data - Monthly Metrics'!B:B,"Jul",'Data - Monthly Metrics'!C:C,"Southwest",'Data - Monthly Metrics'!D:D,"Non-Target Locations - Lodging (#)"))=0,"-",(SUMIFS('Data - Monthly Metrics'!E:E,'Data - Monthly Metrics'!A:A,$B$4,'Data - Monthly Metrics'!B:B,"Jul",'Data - Monthly Metrics'!C:C,"Southwest",'Data - Monthly Metrics'!D:D,"Target Members - Restaurant (#)")+SUMIFS('Data - Monthly Metrics'!E:E,'Data - Monthly Metrics'!A:A,$B$4,'Data - Monthly Metrics'!B:B,"Jul",'Data - Monthly Metrics'!C:C,"Southwest",'Data - Monthly Metrics'!D:D,"Target Members - Lodging (#)")+SUMIFS('Data - Monthly Metrics'!E:E,'Data - Monthly Metrics'!A:A,$B$4,'Data - Monthly Metrics'!B:B,"Jul",'Data - Monthly Metrics'!C:C,"Southwest",'Data - Monthly Metrics'!D:D,"Non-Target Members - Restaurant (#)")+SUMIFS('Data - Monthly Metrics'!E:E,'Data - Monthly Metrics'!A:A,$B$4,'Data - Monthly Metrics'!B:B,"Jul",'Data - Monthly Metrics'!C:C,"Southwest",'Data - Monthly Metrics'!D:D,"Non-Target Members - Lodging (#)"))/(SUMIFS('Data - Monthly Metrics'!E:E,'Data - Monthly Metrics'!A:A,$B$4,'Data - Monthly Metrics'!B:B,"Jul",'Data - Monthly Metrics'!C:C,"Southwest",'Data - Monthly Metrics'!D:D,"Total Target Locations - Restaurant (#)")+SUMIFS('Data - Monthly Metrics'!E:E,'Data - Monthly Metrics'!A:A,$B$4,'Data - Monthly Metrics'!B:B,"Jul",'Data - Monthly Metrics'!C:C,"Southwest",'Data - Monthly Metrics'!D:D,"Total Target Locations - Lodging (#)")+SUMIFS('Data - Monthly Metrics'!E:E,'Data - Monthly Metrics'!A:A,$B$4,'Data - Monthly Metrics'!B:B,"Jul",'Data - Monthly Metrics'!C:C,"Southwest",'Data - Monthly Metrics'!D:D,"Non-Target Locations - Restaurant (#)")+SUMIFS('Data - Monthly Metrics'!E:E,'Data - Monthly Metrics'!A:A,$B$4,'Data - Monthly Metrics'!B:B,"Jul",'Data - Monthly Metrics'!C:C,"Southwest",'Data - Monthly Metrics'!D:D,"Non-Target Locations - Lodging (#)")))</f>
        <v/>
      </c>
      <c r="O31" s="115">
        <f>IF((SUMIFS('Data - Monthly Metrics'!E:E,'Data - Monthly Metrics'!A:A,$B$4,'Data - Monthly Metrics'!B:B,"Aug",'Data - Monthly Metrics'!C:C,"Southwest",'Data - Monthly Metrics'!D:D,"Total Target Locations - Restaurant (#)")+SUMIFS('Data - Monthly Metrics'!E:E,'Data - Monthly Metrics'!A:A,$B$4,'Data - Monthly Metrics'!B:B,"Aug",'Data - Monthly Metrics'!C:C,"Southwest",'Data - Monthly Metrics'!D:D,"Total Target Locations - Lodging (#)")+SUMIFS('Data - Monthly Metrics'!E:E,'Data - Monthly Metrics'!A:A,$B$4,'Data - Monthly Metrics'!B:B,"Aug",'Data - Monthly Metrics'!C:C,"Southwest",'Data - Monthly Metrics'!D:D,"Non-Target Locations - Restaurant (#)")+SUMIFS('Data - Monthly Metrics'!E:E,'Data - Monthly Metrics'!A:A,$B$4,'Data - Monthly Metrics'!B:B,"Aug",'Data - Monthly Metrics'!C:C,"Southwest",'Data - Monthly Metrics'!D:D,"Non-Target Locations - Lodging (#)"))=0,"-",(SUMIFS('Data - Monthly Metrics'!E:E,'Data - Monthly Metrics'!A:A,$B$4,'Data - Monthly Metrics'!B:B,"Aug",'Data - Monthly Metrics'!C:C,"Southwest",'Data - Monthly Metrics'!D:D,"Target Members - Restaurant (#)")+SUMIFS('Data - Monthly Metrics'!E:E,'Data - Monthly Metrics'!A:A,$B$4,'Data - Monthly Metrics'!B:B,"Aug",'Data - Monthly Metrics'!C:C,"Southwest",'Data - Monthly Metrics'!D:D,"Target Members - Lodging (#)")+SUMIFS('Data - Monthly Metrics'!E:E,'Data - Monthly Metrics'!A:A,$B$4,'Data - Monthly Metrics'!B:B,"Aug",'Data - Monthly Metrics'!C:C,"Southwest",'Data - Monthly Metrics'!D:D,"Non-Target Members - Restaurant (#)")+SUMIFS('Data - Monthly Metrics'!E:E,'Data - Monthly Metrics'!A:A,$B$4,'Data - Monthly Metrics'!B:B,"Aug",'Data - Monthly Metrics'!C:C,"Southwest",'Data - Monthly Metrics'!D:D,"Non-Target Members - Lodging (#)"))/(SUMIFS('Data - Monthly Metrics'!E:E,'Data - Monthly Metrics'!A:A,$B$4,'Data - Monthly Metrics'!B:B,"Aug",'Data - Monthly Metrics'!C:C,"Southwest",'Data - Monthly Metrics'!D:D,"Total Target Locations - Restaurant (#)")+SUMIFS('Data - Monthly Metrics'!E:E,'Data - Monthly Metrics'!A:A,$B$4,'Data - Monthly Metrics'!B:B,"Aug",'Data - Monthly Metrics'!C:C,"Southwest",'Data - Monthly Metrics'!D:D,"Total Target Locations - Lodging (#)")+SUMIFS('Data - Monthly Metrics'!E:E,'Data - Monthly Metrics'!A:A,$B$4,'Data - Monthly Metrics'!B:B,"Aug",'Data - Monthly Metrics'!C:C,"Southwest",'Data - Monthly Metrics'!D:D,"Non-Target Locations - Restaurant (#)")+SUMIFS('Data - Monthly Metrics'!E:E,'Data - Monthly Metrics'!A:A,$B$4,'Data - Monthly Metrics'!B:B,"Aug",'Data - Monthly Metrics'!C:C,"Southwest",'Data - Monthly Metrics'!D:D,"Non-Target Locations - Lodging (#)")))</f>
        <v/>
      </c>
      <c r="P31" s="115">
        <f>IF((SUMIFS('Data - Monthly Metrics'!E:E,'Data - Monthly Metrics'!A:A,$B$4,'Data - Monthly Metrics'!B:B,"Sep",'Data - Monthly Metrics'!C:C,"Southwest",'Data - Monthly Metrics'!D:D,"Total Target Locations - Restaurant (#)")+SUMIFS('Data - Monthly Metrics'!E:E,'Data - Monthly Metrics'!A:A,$B$4,'Data - Monthly Metrics'!B:B,"Sep",'Data - Monthly Metrics'!C:C,"Southwest",'Data - Monthly Metrics'!D:D,"Total Target Locations - Lodging (#)")+SUMIFS('Data - Monthly Metrics'!E:E,'Data - Monthly Metrics'!A:A,$B$4,'Data - Monthly Metrics'!B:B,"Sep",'Data - Monthly Metrics'!C:C,"Southwest",'Data - Monthly Metrics'!D:D,"Non-Target Locations - Restaurant (#)")+SUMIFS('Data - Monthly Metrics'!E:E,'Data - Monthly Metrics'!A:A,$B$4,'Data - Monthly Metrics'!B:B,"Sep",'Data - Monthly Metrics'!C:C,"Southwest",'Data - Monthly Metrics'!D:D,"Non-Target Locations - Lodging (#)"))=0,"-",(SUMIFS('Data - Monthly Metrics'!E:E,'Data - Monthly Metrics'!A:A,$B$4,'Data - Monthly Metrics'!B:B,"Sep",'Data - Monthly Metrics'!C:C,"Southwest",'Data - Monthly Metrics'!D:D,"Target Members - Restaurant (#)")+SUMIFS('Data - Monthly Metrics'!E:E,'Data - Monthly Metrics'!A:A,$B$4,'Data - Monthly Metrics'!B:B,"Sep",'Data - Monthly Metrics'!C:C,"Southwest",'Data - Monthly Metrics'!D:D,"Target Members - Lodging (#)")+SUMIFS('Data - Monthly Metrics'!E:E,'Data - Monthly Metrics'!A:A,$B$4,'Data - Monthly Metrics'!B:B,"Sep",'Data - Monthly Metrics'!C:C,"Southwest",'Data - Monthly Metrics'!D:D,"Non-Target Members - Restaurant (#)")+SUMIFS('Data - Monthly Metrics'!E:E,'Data - Monthly Metrics'!A:A,$B$4,'Data - Monthly Metrics'!B:B,"Sep",'Data - Monthly Metrics'!C:C,"Southwest",'Data - Monthly Metrics'!D:D,"Non-Target Members - Lodging (#)"))/(SUMIFS('Data - Monthly Metrics'!E:E,'Data - Monthly Metrics'!A:A,$B$4,'Data - Monthly Metrics'!B:B,"Sep",'Data - Monthly Metrics'!C:C,"Southwest",'Data - Monthly Metrics'!D:D,"Total Target Locations - Restaurant (#)")+SUMIFS('Data - Monthly Metrics'!E:E,'Data - Monthly Metrics'!A:A,$B$4,'Data - Monthly Metrics'!B:B,"Sep",'Data - Monthly Metrics'!C:C,"Southwest",'Data - Monthly Metrics'!D:D,"Total Target Locations - Lodging (#)")+SUMIFS('Data - Monthly Metrics'!E:E,'Data - Monthly Metrics'!A:A,$B$4,'Data - Monthly Metrics'!B:B,"Sep",'Data - Monthly Metrics'!C:C,"Southwest",'Data - Monthly Metrics'!D:D,"Non-Target Locations - Restaurant (#)")+SUMIFS('Data - Monthly Metrics'!E:E,'Data - Monthly Metrics'!A:A,$B$4,'Data - Monthly Metrics'!B:B,"Sep",'Data - Monthly Metrics'!C:C,"Southwest",'Data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Metrics'!C:C,"Southwest",'Data - Monthly Metrics'!D:D,"Goal - New Sales Revenue ($)")=0,"-",SUMIFS('Data - Monthly Metrics'!E:E,'Data - Monthly Metrics'!A:A,$B$4-1,'Data - Monthly Metrics'!B:B,"Oct",'Data - Monthly Metrics'!C:C,"Southwest",'Data - Monthly Metrics'!D:D,"Goal - New Sales Revenue ($)"))</f>
        <v/>
      </c>
      <c r="C37" s="91">
        <f>IF(COUNTIFS('Data - Monthly Metrics'!A:A,$B$4-1,'Data - Monthly Metrics'!B:B,"Nov",'Data - Monthly Metrics'!C:C,"Southwest",'Data - Monthly Metrics'!D:D,"Goal - New Sales Revenue ($)")=0,"-",SUMIFS('Data - Monthly Metrics'!E:E,'Data - Monthly Metrics'!A:A,$B$4-1,'Data - Monthly Metrics'!B:B,"Nov",'Data - Monthly Metrics'!C:C,"Southwest",'Data - Monthly Metrics'!D:D,"Goal - New Sales Revenue ($)"))</f>
        <v/>
      </c>
      <c r="D37" s="91">
        <f>IF(COUNTIFS('Data - Monthly Metrics'!A:A,$B$4-1,'Data - Monthly Metrics'!B:B,"Dec",'Data - Monthly Metrics'!C:C,"Southwest",'Data - Monthly Metrics'!D:D,"Goal - New Sales Revenue ($)")=0,"-",SUMIFS('Data - Monthly Metrics'!E:E,'Data - Monthly Metrics'!A:A,$B$4-1,'Data - Monthly Metrics'!B:B,"Dec",'Data - Monthly Metrics'!C:C,"Southwest",'Data - Monthly Metrics'!D:D,"Goal - New Sales Revenue ($)"))</f>
        <v/>
      </c>
      <c r="E37" s="101">
        <f>SUM(B37,C37,D37)</f>
        <v/>
      </c>
      <c r="F37" s="91">
        <f>IF(COUNTIFS('Data - Monthly Metrics'!A:A,$B$4,'Data - Monthly Metrics'!B:B,"Jan",'Data - Monthly Metrics'!C:C,"Southwest",'Data - Monthly Metrics'!D:D,"Goal - New Sales Revenue ($)")=0,"-",SUMIFS('Data - Monthly Metrics'!E:E,'Data - Monthly Metrics'!A:A,$B$4,'Data - Monthly Metrics'!B:B,"Jan",'Data - Monthly Metrics'!C:C,"Southwest",'Data - Monthly Metrics'!D:D,"Goal - New Sales Revenue ($)"))</f>
        <v/>
      </c>
      <c r="G37" s="91">
        <f>IF(COUNTIFS('Data - Monthly Metrics'!A:A,$B$4,'Data - Monthly Metrics'!B:B,"Feb",'Data - Monthly Metrics'!C:C,"Southwest",'Data - Monthly Metrics'!D:D,"Goal - New Sales Revenue ($)")=0,"-",SUMIFS('Data - Monthly Metrics'!E:E,'Data - Monthly Metrics'!A:A,$B$4,'Data - Monthly Metrics'!B:B,"Feb",'Data - Monthly Metrics'!C:C,"Southwest",'Data - Monthly Metrics'!D:D,"Goal - New Sales Revenue ($)"))</f>
        <v/>
      </c>
      <c r="H37" s="91">
        <f>IF(COUNTIFS('Data - Monthly Metrics'!A:A,$B$4,'Data - Monthly Metrics'!B:B,"Mar",'Data - Monthly Metrics'!C:C,"Southwest",'Data - Monthly Metrics'!D:D,"Goal - New Sales Revenue ($)")=0,"-",SUMIFS('Data - Monthly Metrics'!E:E,'Data - Monthly Metrics'!A:A,$B$4,'Data - Monthly Metrics'!B:B,"Mar",'Data - Monthly Metrics'!C:C,"Southwest",'Data - Monthly Metrics'!D:D,"Goal - New Sales Revenue ($)"))</f>
        <v/>
      </c>
      <c r="I37" s="101">
        <f>SUM(F37,G37,H37)</f>
        <v/>
      </c>
      <c r="J37" s="91">
        <f>IF(COUNTIFS('Data - Monthly Metrics'!A:A,$B$4,'Data - Monthly Metrics'!B:B,"Apr",'Data - Monthly Metrics'!C:C,"Southwest",'Data - Monthly Metrics'!D:D,"Goal - New Sales Revenue ($)")=0,"-",SUMIFS('Data - Monthly Metrics'!E:E,'Data - Monthly Metrics'!A:A,$B$4,'Data - Monthly Metrics'!B:B,"Apr",'Data - Monthly Metrics'!C:C,"Southwest",'Data - Monthly Metrics'!D:D,"Goal - New Sales Revenue ($)"))</f>
        <v/>
      </c>
      <c r="K37" s="91">
        <f>IF(COUNTIFS('Data - Monthly Metrics'!A:A,$B$4,'Data - Monthly Metrics'!B:B,"May",'Data - Monthly Metrics'!C:C,"Southwest",'Data - Monthly Metrics'!D:D,"Goal - New Sales Revenue ($)")=0,"-",SUMIFS('Data - Monthly Metrics'!E:E,'Data - Monthly Metrics'!A:A,$B$4,'Data - Monthly Metrics'!B:B,"May",'Data - Monthly Metrics'!C:C,"Southwest",'Data - Monthly Metrics'!D:D,"Goal - New Sales Revenue ($)"))</f>
        <v/>
      </c>
      <c r="L37" s="91">
        <f>IF(COUNTIFS('Data - Monthly Metrics'!A:A,$B$4,'Data - Monthly Metrics'!B:B,"Jun",'Data - Monthly Metrics'!C:C,"Southwest",'Data - Monthly Metrics'!D:D,"Goal - New Sales Revenue ($)")=0,"-",SUMIFS('Data - Monthly Metrics'!E:E,'Data - Monthly Metrics'!A:A,$B$4,'Data - Monthly Metrics'!B:B,"Jun",'Data - Monthly Metrics'!C:C,"Southwest",'Data - Monthly Metrics'!D:D,"Goal - New Sales Revenue ($)"))</f>
        <v/>
      </c>
      <c r="M37" s="101">
        <f>SUM(J37,K37,L37)</f>
        <v/>
      </c>
      <c r="N37" s="91">
        <f>IF(COUNTIFS('Data - Monthly Metrics'!A:A,$B$4,'Data - Monthly Metrics'!B:B,"Jul",'Data - Monthly Metrics'!C:C,"Southwest",'Data - Monthly Metrics'!D:D,"Goal - New Sales Revenue ($)")=0,"-",SUMIFS('Data - Monthly Metrics'!E:E,'Data - Monthly Metrics'!A:A,$B$4,'Data - Monthly Metrics'!B:B,"Jul",'Data - Monthly Metrics'!C:C,"Southwest",'Data - Monthly Metrics'!D:D,"Goal - New Sales Revenue ($)"))</f>
        <v/>
      </c>
      <c r="O37" s="91">
        <f>IF(COUNTIFS('Data - Monthly Metrics'!A:A,$B$4,'Data - Monthly Metrics'!B:B,"Aug",'Data - Monthly Metrics'!C:C,"Southwest",'Data - Monthly Metrics'!D:D,"Goal - New Sales Revenue ($)")=0,"-",SUMIFS('Data - Monthly Metrics'!E:E,'Data - Monthly Metrics'!A:A,$B$4,'Data - Monthly Metrics'!B:B,"Aug",'Data - Monthly Metrics'!C:C,"Southwest",'Data - Monthly Metrics'!D:D,"Goal - New Sales Revenue ($)"))</f>
        <v/>
      </c>
      <c r="P37" s="91">
        <f>IF(COUNTIFS('Data - Monthly Metrics'!A:A,$B$4,'Data - Monthly Metrics'!B:B,"Sep",'Data - Monthly Metrics'!C:C,"Southwest",'Data - Monthly Metrics'!D:D,"Goal - New Sales Revenue ($)")=0,"-",SUMIFS('Data - Monthly Metrics'!E:E,'Data - Monthly Metrics'!A:A,$B$4,'Data - Monthly Metrics'!B:B,"Sep",'Data - Monthly Metrics'!C:C,"Southwest",'Data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Metrics'!C:C,"Southwest",'Data - Monthly Metrics'!D:D,"New Sales Revenue - Target ($)")=0,"-",SUMIFS('Data - Monthly Metrics'!E:E,'Data - Monthly Metrics'!A:A,$B$4-1,'Data - Monthly Metrics'!B:B,"Oct",'Data - Monthly Metrics'!C:C,"Southwest",'Data - Monthly Metrics'!D:D,"New Sales Revenue - Target ($)"))</f>
        <v/>
      </c>
      <c r="C38" s="96">
        <f>IF(COUNTIFS('Data - Monthly Metrics'!A:A,$B$4-1,'Data - Monthly Metrics'!B:B,"Nov",'Data - Monthly Metrics'!C:C,"Southwest",'Data - Monthly Metrics'!D:D,"New Sales Revenue - Target ($)")=0,"-",SUMIFS('Data - Monthly Metrics'!E:E,'Data - Monthly Metrics'!A:A,$B$4-1,'Data - Monthly Metrics'!B:B,"Nov",'Data - Monthly Metrics'!C:C,"Southwest",'Data - Monthly Metrics'!D:D,"New Sales Revenue - Target ($)"))</f>
        <v/>
      </c>
      <c r="D38" s="96">
        <f>IF(COUNTIFS('Data - Monthly Metrics'!A:A,$B$4-1,'Data - Monthly Metrics'!B:B,"Dec",'Data - Monthly Metrics'!C:C,"Southwest",'Data - Monthly Metrics'!D:D,"New Sales Revenue - Target ($)")=0,"-",SUMIFS('Data - Monthly Metrics'!E:E,'Data - Monthly Metrics'!A:A,$B$4-1,'Data - Monthly Metrics'!B:B,"Dec",'Data - Monthly Metrics'!C:C,"Southwest",'Data - Monthly Metrics'!D:D,"New Sales Revenue - Target ($)"))</f>
        <v/>
      </c>
      <c r="E38" s="101">
        <f>SUM(B38,C38,D38)</f>
        <v/>
      </c>
      <c r="F38" s="96">
        <f>IF(COUNTIFS('Data - Monthly Metrics'!A:A,$B$4,'Data - Monthly Metrics'!B:B,"Jan",'Data - Monthly Metrics'!C:C,"Southwest",'Data - Monthly Metrics'!D:D,"New Sales Revenue - Target ($)")=0,"-",SUMIFS('Data - Monthly Metrics'!E:E,'Data - Monthly Metrics'!A:A,$B$4,'Data - Monthly Metrics'!B:B,"Jan",'Data - Monthly Metrics'!C:C,"Southwest",'Data - Monthly Metrics'!D:D,"New Sales Revenue - Target ($)"))</f>
        <v/>
      </c>
      <c r="G38" s="96">
        <f>IF(COUNTIFS('Data - Monthly Metrics'!A:A,$B$4,'Data - Monthly Metrics'!B:B,"Feb",'Data - Monthly Metrics'!C:C,"Southwest",'Data - Monthly Metrics'!D:D,"New Sales Revenue - Target ($)")=0,"-",SUMIFS('Data - Monthly Metrics'!E:E,'Data - Monthly Metrics'!A:A,$B$4,'Data - Monthly Metrics'!B:B,"Feb",'Data - Monthly Metrics'!C:C,"Southwest",'Data - Monthly Metrics'!D:D,"New Sales Revenue - Target ($)"))</f>
        <v/>
      </c>
      <c r="H38" s="96">
        <f>IF(COUNTIFS('Data - Monthly Metrics'!A:A,$B$4,'Data - Monthly Metrics'!B:B,"Mar",'Data - Monthly Metrics'!C:C,"Southwest",'Data - Monthly Metrics'!D:D,"New Sales Revenue - Target ($)")=0,"-",SUMIFS('Data - Monthly Metrics'!E:E,'Data - Monthly Metrics'!A:A,$B$4,'Data - Monthly Metrics'!B:B,"Mar",'Data - Monthly Metrics'!C:C,"Southwest",'Data - Monthly Metrics'!D:D,"New Sales Revenue - Target ($)"))</f>
        <v/>
      </c>
      <c r="I38" s="101">
        <f>SUM(F38,G38,H38)</f>
        <v/>
      </c>
      <c r="J38" s="96">
        <f>IF(COUNTIFS('Data - Monthly Metrics'!A:A,$B$4,'Data - Monthly Metrics'!B:B,"Apr",'Data - Monthly Metrics'!C:C,"Southwest",'Data - Monthly Metrics'!D:D,"New Sales Revenue - Target ($)")=0,"-",SUMIFS('Data - Monthly Metrics'!E:E,'Data - Monthly Metrics'!A:A,$B$4,'Data - Monthly Metrics'!B:B,"Apr",'Data - Monthly Metrics'!C:C,"Southwest",'Data - Monthly Metrics'!D:D,"New Sales Revenue - Target ($)"))</f>
        <v/>
      </c>
      <c r="K38" s="96">
        <f>IF(COUNTIFS('Data - Monthly Metrics'!A:A,$B$4,'Data - Monthly Metrics'!B:B,"May",'Data - Monthly Metrics'!C:C,"Southwest",'Data - Monthly Metrics'!D:D,"New Sales Revenue - Target ($)")=0,"-",SUMIFS('Data - Monthly Metrics'!E:E,'Data - Monthly Metrics'!A:A,$B$4,'Data - Monthly Metrics'!B:B,"May",'Data - Monthly Metrics'!C:C,"Southwest",'Data - Monthly Metrics'!D:D,"New Sales Revenue - Target ($)"))</f>
        <v/>
      </c>
      <c r="L38" s="96">
        <f>IF(COUNTIFS('Data - Monthly Metrics'!A:A,$B$4,'Data - Monthly Metrics'!B:B,"Jun",'Data - Monthly Metrics'!C:C,"Southwest",'Data - Monthly Metrics'!D:D,"New Sales Revenue - Target ($)")=0,"-",SUMIFS('Data - Monthly Metrics'!E:E,'Data - Monthly Metrics'!A:A,$B$4,'Data - Monthly Metrics'!B:B,"Jun",'Data - Monthly Metrics'!C:C,"Southwest",'Data - Monthly Metrics'!D:D,"New Sales Revenue - Target ($)"))</f>
        <v/>
      </c>
      <c r="M38" s="101">
        <f>SUM(J38,K38,L38)</f>
        <v/>
      </c>
      <c r="N38" s="96">
        <f>IF(COUNTIFS('Data - Monthly Metrics'!A:A,$B$4,'Data - Monthly Metrics'!B:B,"Jul",'Data - Monthly Metrics'!C:C,"Southwest",'Data - Monthly Metrics'!D:D,"New Sales Revenue - Target ($)")=0,"-",SUMIFS('Data - Monthly Metrics'!E:E,'Data - Monthly Metrics'!A:A,$B$4,'Data - Monthly Metrics'!B:B,"Jul",'Data - Monthly Metrics'!C:C,"Southwest",'Data - Monthly Metrics'!D:D,"New Sales Revenue - Target ($)"))</f>
        <v/>
      </c>
      <c r="O38" s="96">
        <f>IF(COUNTIFS('Data - Monthly Metrics'!A:A,$B$4,'Data - Monthly Metrics'!B:B,"Aug",'Data - Monthly Metrics'!C:C,"Southwest",'Data - Monthly Metrics'!D:D,"New Sales Revenue - Target ($)")=0,"-",SUMIFS('Data - Monthly Metrics'!E:E,'Data - Monthly Metrics'!A:A,$B$4,'Data - Monthly Metrics'!B:B,"Aug",'Data - Monthly Metrics'!C:C,"Southwest",'Data - Monthly Metrics'!D:D,"New Sales Revenue - Target ($)"))</f>
        <v/>
      </c>
      <c r="P38" s="96">
        <f>IF(COUNTIFS('Data - Monthly Metrics'!A:A,$B$4,'Data - Monthly Metrics'!B:B,"Sep",'Data - Monthly Metrics'!C:C,"Southwest",'Data - Monthly Metrics'!D:D,"New Sales Revenue - Target ($)")=0,"-",SUMIFS('Data - Monthly Metrics'!E:E,'Data - Monthly Metrics'!A:A,$B$4,'Data - Monthly Metrics'!B:B,"Sep",'Data - Monthly Metrics'!C:C,"Southwest",'Data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Metrics'!C:C,"Southwest",'Data - Monthly Metrics'!D:D,"Goal - New Members (#)")=0,"-",SUMIFS('Data - Monthly Metrics'!E:E,'Data - Monthly Metrics'!A:A,$B$4-1,'Data - Monthly Metrics'!B:B,"Oct",'Data - Monthly Metrics'!C:C,"Southwest",'Data - Monthly Metrics'!D:D,"Goal - New Members (#)"))</f>
        <v/>
      </c>
      <c r="C41" s="93">
        <f>IF(COUNTIFS('Data - Monthly Metrics'!A:A,$B$4-1,'Data - Monthly Metrics'!B:B,"Nov",'Data - Monthly Metrics'!C:C,"Southwest",'Data - Monthly Metrics'!D:D,"Goal - New Members (#)")=0,"-",SUMIFS('Data - Monthly Metrics'!E:E,'Data - Monthly Metrics'!A:A,$B$4-1,'Data - Monthly Metrics'!B:B,"Nov",'Data - Monthly Metrics'!C:C,"Southwest",'Data - Monthly Metrics'!D:D,"Goal - New Members (#)"))</f>
        <v/>
      </c>
      <c r="D41" s="93">
        <f>IF(COUNTIFS('Data - Monthly Metrics'!A:A,$B$4-1,'Data - Monthly Metrics'!B:B,"Dec",'Data - Monthly Metrics'!C:C,"Southwest",'Data - Monthly Metrics'!D:D,"Goal - New Members (#)")=0,"-",SUMIFS('Data - Monthly Metrics'!E:E,'Data - Monthly Metrics'!A:A,$B$4-1,'Data - Monthly Metrics'!B:B,"Dec",'Data - Monthly Metrics'!C:C,"Southwest",'Data - Monthly Metrics'!D:D,"Goal - New Members (#)"))</f>
        <v/>
      </c>
      <c r="E41" s="103">
        <f>SUM(B41,C41,D41)</f>
        <v/>
      </c>
      <c r="F41" s="93">
        <f>IF(COUNTIFS('Data - Monthly Metrics'!A:A,$B$4,'Data - Monthly Metrics'!B:B,"Jan",'Data - Monthly Metrics'!C:C,"Southwest",'Data - Monthly Metrics'!D:D,"Goal - New Members (#)")=0,"-",SUMIFS('Data - Monthly Metrics'!E:E,'Data - Monthly Metrics'!A:A,$B$4,'Data - Monthly Metrics'!B:B,"Jan",'Data - Monthly Metrics'!C:C,"Southwest",'Data - Monthly Metrics'!D:D,"Goal - New Members (#)"))</f>
        <v/>
      </c>
      <c r="G41" s="93">
        <f>IF(COUNTIFS('Data - Monthly Metrics'!A:A,$B$4,'Data - Monthly Metrics'!B:B,"Feb",'Data - Monthly Metrics'!C:C,"Southwest",'Data - Monthly Metrics'!D:D,"Goal - New Members (#)")=0,"-",SUMIFS('Data - Monthly Metrics'!E:E,'Data - Monthly Metrics'!A:A,$B$4,'Data - Monthly Metrics'!B:B,"Feb",'Data - Monthly Metrics'!C:C,"Southwest",'Data - Monthly Metrics'!D:D,"Goal - New Members (#)"))</f>
        <v/>
      </c>
      <c r="H41" s="93">
        <f>IF(COUNTIFS('Data - Monthly Metrics'!A:A,$B$4,'Data - Monthly Metrics'!B:B,"Mar",'Data - Monthly Metrics'!C:C,"Southwest",'Data - Monthly Metrics'!D:D,"Goal - New Members (#)")=0,"-",SUMIFS('Data - Monthly Metrics'!E:E,'Data - Monthly Metrics'!A:A,$B$4,'Data - Monthly Metrics'!B:B,"Mar",'Data - Monthly Metrics'!C:C,"Southwest",'Data - Monthly Metrics'!D:D,"Goal - New Members (#)"))</f>
        <v/>
      </c>
      <c r="I41" s="103">
        <f>SUM(F41,G41,H41)</f>
        <v/>
      </c>
      <c r="J41" s="93">
        <f>IF(COUNTIFS('Data - Monthly Metrics'!A:A,$B$4,'Data - Monthly Metrics'!B:B,"Apr",'Data - Monthly Metrics'!C:C,"Southwest",'Data - Monthly Metrics'!D:D,"Goal - New Members (#)")=0,"-",SUMIFS('Data - Monthly Metrics'!E:E,'Data - Monthly Metrics'!A:A,$B$4,'Data - Monthly Metrics'!B:B,"Apr",'Data - Monthly Metrics'!C:C,"Southwest",'Data - Monthly Metrics'!D:D,"Goal - New Members (#)"))</f>
        <v/>
      </c>
      <c r="K41" s="93">
        <f>IF(COUNTIFS('Data - Monthly Metrics'!A:A,$B$4,'Data - Monthly Metrics'!B:B,"May",'Data - Monthly Metrics'!C:C,"Southwest",'Data - Monthly Metrics'!D:D,"Goal - New Members (#)")=0,"-",SUMIFS('Data - Monthly Metrics'!E:E,'Data - Monthly Metrics'!A:A,$B$4,'Data - Monthly Metrics'!B:B,"May",'Data - Monthly Metrics'!C:C,"Southwest",'Data - Monthly Metrics'!D:D,"Goal - New Members (#)"))</f>
        <v/>
      </c>
      <c r="L41" s="93">
        <f>IF(COUNTIFS('Data - Monthly Metrics'!A:A,$B$4,'Data - Monthly Metrics'!B:B,"Jun",'Data - Monthly Metrics'!C:C,"Southwest",'Data - Monthly Metrics'!D:D,"Goal - New Members (#)")=0,"-",SUMIFS('Data - Monthly Metrics'!E:E,'Data - Monthly Metrics'!A:A,$B$4,'Data - Monthly Metrics'!B:B,"Jun",'Data - Monthly Metrics'!C:C,"Southwest",'Data - Monthly Metrics'!D:D,"Goal - New Members (#)"))</f>
        <v/>
      </c>
      <c r="M41" s="103">
        <f>SUM(J41,K41,L41)</f>
        <v/>
      </c>
      <c r="N41" s="93">
        <f>IF(COUNTIFS('Data - Monthly Metrics'!A:A,$B$4,'Data - Monthly Metrics'!B:B,"Jul",'Data - Monthly Metrics'!C:C,"Southwest",'Data - Monthly Metrics'!D:D,"Goal - New Members (#)")=0,"-",SUMIFS('Data - Monthly Metrics'!E:E,'Data - Monthly Metrics'!A:A,$B$4,'Data - Monthly Metrics'!B:B,"Jul",'Data - Monthly Metrics'!C:C,"Southwest",'Data - Monthly Metrics'!D:D,"Goal - New Members (#)"))</f>
        <v/>
      </c>
      <c r="O41" s="93">
        <f>IF(COUNTIFS('Data - Monthly Metrics'!A:A,$B$4,'Data - Monthly Metrics'!B:B,"Aug",'Data - Monthly Metrics'!C:C,"Southwest",'Data - Monthly Metrics'!D:D,"Goal - New Members (#)")=0,"-",SUMIFS('Data - Monthly Metrics'!E:E,'Data - Monthly Metrics'!A:A,$B$4,'Data - Monthly Metrics'!B:B,"Aug",'Data - Monthly Metrics'!C:C,"Southwest",'Data - Monthly Metrics'!D:D,"Goal - New Members (#)"))</f>
        <v/>
      </c>
      <c r="P41" s="93">
        <f>IF(COUNTIFS('Data - Monthly Metrics'!A:A,$B$4,'Data - Monthly Metrics'!B:B,"Sep",'Data - Monthly Metrics'!C:C,"Southwest",'Data - Monthly Metrics'!D:D,"Goal - New Members (#)")=0,"-",SUMIFS('Data - Monthly Metrics'!E:E,'Data - Monthly Metrics'!A:A,$B$4,'Data - Monthly Metrics'!B:B,"Sep",'Data - Monthly Metrics'!C:C,"Southwest",'Data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Metrics'!C:C,"Southwest",'Data - Monthly Metrics'!D:D,"New Members - Target (#)")=0,"-",SUMIFS('Data - Monthly Metrics'!E:E,'Data - Monthly Metrics'!A:A,$B$4-1,'Data - Monthly Metrics'!B:B,"Oct",'Data - Monthly Metrics'!C:C,"Southwest",'Data - Monthly Metrics'!D:D,"New Members - Target (#)"))</f>
        <v/>
      </c>
      <c r="C42" s="98">
        <f>IF(COUNTIFS('Data - Monthly Metrics'!A:A,$B$4-1,'Data - Monthly Metrics'!B:B,"Nov",'Data - Monthly Metrics'!C:C,"Southwest",'Data - Monthly Metrics'!D:D,"New Members - Target (#)")=0,"-",SUMIFS('Data - Monthly Metrics'!E:E,'Data - Monthly Metrics'!A:A,$B$4-1,'Data - Monthly Metrics'!B:B,"Nov",'Data - Monthly Metrics'!C:C,"Southwest",'Data - Monthly Metrics'!D:D,"New Members - Target (#)"))</f>
        <v/>
      </c>
      <c r="D42" s="98">
        <f>IF(COUNTIFS('Data - Monthly Metrics'!A:A,$B$4-1,'Data - Monthly Metrics'!B:B,"Dec",'Data - Monthly Metrics'!C:C,"Southwest",'Data - Monthly Metrics'!D:D,"New Members - Target (#)")=0,"-",SUMIFS('Data - Monthly Metrics'!E:E,'Data - Monthly Metrics'!A:A,$B$4-1,'Data - Monthly Metrics'!B:B,"Dec",'Data - Monthly Metrics'!C:C,"Southwest",'Data - Monthly Metrics'!D:D,"New Members - Target (#)"))</f>
        <v/>
      </c>
      <c r="E42" s="103">
        <f>SUM(B42,C42,D42)</f>
        <v/>
      </c>
      <c r="F42" s="98">
        <f>IF(COUNTIFS('Data - Monthly Metrics'!A:A,$B$4,'Data - Monthly Metrics'!B:B,"Jan",'Data - Monthly Metrics'!C:C,"Southwest",'Data - Monthly Metrics'!D:D,"New Members - Target (#)")=0,"-",SUMIFS('Data - Monthly Metrics'!E:E,'Data - Monthly Metrics'!A:A,$B$4,'Data - Monthly Metrics'!B:B,"Jan",'Data - Monthly Metrics'!C:C,"Southwest",'Data - Monthly Metrics'!D:D,"New Members - Target (#)"))</f>
        <v/>
      </c>
      <c r="G42" s="98">
        <f>IF(COUNTIFS('Data - Monthly Metrics'!A:A,$B$4,'Data - Monthly Metrics'!B:B,"Feb",'Data - Monthly Metrics'!C:C,"Southwest",'Data - Monthly Metrics'!D:D,"New Members - Target (#)")=0,"-",SUMIFS('Data - Monthly Metrics'!E:E,'Data - Monthly Metrics'!A:A,$B$4,'Data - Monthly Metrics'!B:B,"Feb",'Data - Monthly Metrics'!C:C,"Southwest",'Data - Monthly Metrics'!D:D,"New Members - Target (#)"))</f>
        <v/>
      </c>
      <c r="H42" s="98">
        <f>IF(COUNTIFS('Data - Monthly Metrics'!A:A,$B$4,'Data - Monthly Metrics'!B:B,"Mar",'Data - Monthly Metrics'!C:C,"Southwest",'Data - Monthly Metrics'!D:D,"New Members - Target (#)")=0,"-",SUMIFS('Data - Monthly Metrics'!E:E,'Data - Monthly Metrics'!A:A,$B$4,'Data - Monthly Metrics'!B:B,"Mar",'Data - Monthly Metrics'!C:C,"Southwest",'Data - Monthly Metrics'!D:D,"New Members - Target (#)"))</f>
        <v/>
      </c>
      <c r="I42" s="103">
        <f>SUM(F42,G42,H42)</f>
        <v/>
      </c>
      <c r="J42" s="98">
        <f>IF(COUNTIFS('Data - Monthly Metrics'!A:A,$B$4,'Data - Monthly Metrics'!B:B,"Apr",'Data - Monthly Metrics'!C:C,"Southwest",'Data - Monthly Metrics'!D:D,"New Members - Target (#)")=0,"-",SUMIFS('Data - Monthly Metrics'!E:E,'Data - Monthly Metrics'!A:A,$B$4,'Data - Monthly Metrics'!B:B,"Apr",'Data - Monthly Metrics'!C:C,"Southwest",'Data - Monthly Metrics'!D:D,"New Members - Target (#)"))</f>
        <v/>
      </c>
      <c r="K42" s="98">
        <f>IF(COUNTIFS('Data - Monthly Metrics'!A:A,$B$4,'Data - Monthly Metrics'!B:B,"May",'Data - Monthly Metrics'!C:C,"Southwest",'Data - Monthly Metrics'!D:D,"New Members - Target (#)")=0,"-",SUMIFS('Data - Monthly Metrics'!E:E,'Data - Monthly Metrics'!A:A,$B$4,'Data - Monthly Metrics'!B:B,"May",'Data - Monthly Metrics'!C:C,"Southwest",'Data - Monthly Metrics'!D:D,"New Members - Target (#)"))</f>
        <v/>
      </c>
      <c r="L42" s="98">
        <f>IF(COUNTIFS('Data - Monthly Metrics'!A:A,$B$4,'Data - Monthly Metrics'!B:B,"Jun",'Data - Monthly Metrics'!C:C,"Southwest",'Data - Monthly Metrics'!D:D,"New Members - Target (#)")=0,"-",SUMIFS('Data - Monthly Metrics'!E:E,'Data - Monthly Metrics'!A:A,$B$4,'Data - Monthly Metrics'!B:B,"Jun",'Data - Monthly Metrics'!C:C,"Southwest",'Data - Monthly Metrics'!D:D,"New Members - Target (#)"))</f>
        <v/>
      </c>
      <c r="M42" s="103">
        <f>SUM(J42,K42,L42)</f>
        <v/>
      </c>
      <c r="N42" s="98">
        <f>IF(COUNTIFS('Data - Monthly Metrics'!A:A,$B$4,'Data - Monthly Metrics'!B:B,"Jul",'Data - Monthly Metrics'!C:C,"Southwest",'Data - Monthly Metrics'!D:D,"New Members - Target (#)")=0,"-",SUMIFS('Data - Monthly Metrics'!E:E,'Data - Monthly Metrics'!A:A,$B$4,'Data - Monthly Metrics'!B:B,"Jul",'Data - Monthly Metrics'!C:C,"Southwest",'Data - Monthly Metrics'!D:D,"New Members - Target (#)"))</f>
        <v/>
      </c>
      <c r="O42" s="98">
        <f>IF(COUNTIFS('Data - Monthly Metrics'!A:A,$B$4,'Data - Monthly Metrics'!B:B,"Aug",'Data - Monthly Metrics'!C:C,"Southwest",'Data - Monthly Metrics'!D:D,"New Members - Target (#)")=0,"-",SUMIFS('Data - Monthly Metrics'!E:E,'Data - Monthly Metrics'!A:A,$B$4,'Data - Monthly Metrics'!B:B,"Aug",'Data - Monthly Metrics'!C:C,"Southwest",'Data - Monthly Metrics'!D:D,"New Members - Target (#)"))</f>
        <v/>
      </c>
      <c r="P42" s="98">
        <f>IF(COUNTIFS('Data - Monthly Metrics'!A:A,$B$4,'Data - Monthly Metrics'!B:B,"Sep",'Data - Monthly Metrics'!C:C,"Southwest",'Data - Monthly Metrics'!D:D,"New Members - Target (#)")=0,"-",SUMIFS('Data - Monthly Metrics'!E:E,'Data - Monthly Metrics'!A:A,$B$4,'Data - Monthly Metrics'!B:B,"Sep",'Data - Monthly Metrics'!C:C,"Southwest",'Data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Metrics'!C:C,"Southwest",'Data - Monthly Metrics'!D:D,"Billables - Hospitality Target (#)")=0,"-",SUMIFS('Data - Monthly Metrics'!E:E,'Data - Monthly Metrics'!A:A,$B$4-1,'Data - Monthly Metrics'!B:B,"Oct",'Data - Monthly Metrics'!C:C,"Southwest",'Data - Monthly Metrics'!D:D,"Billables - Hospitality Target (#)"))</f>
        <v/>
      </c>
      <c r="C46" s="93">
        <f>IF(COUNTIFS('Data - Monthly Metrics'!A:A,$B$4-1,'Data - Monthly Metrics'!B:B,"Nov",'Data - Monthly Metrics'!C:C,"Southwest",'Data - Monthly Metrics'!D:D,"Billables - Hospitality Target (#)")=0,"-",SUMIFS('Data - Monthly Metrics'!E:E,'Data - Monthly Metrics'!A:A,$B$4-1,'Data - Monthly Metrics'!B:B,"Nov",'Data - Monthly Metrics'!C:C,"Southwest",'Data - Monthly Metrics'!D:D,"Billables - Hospitality Target (#)"))</f>
        <v/>
      </c>
      <c r="D46" s="93">
        <f>IF(COUNTIFS('Data - Monthly Metrics'!A:A,$B$4-1,'Data - Monthly Metrics'!B:B,"Dec",'Data - Monthly Metrics'!C:C,"Southwest",'Data - Monthly Metrics'!D:D,"Billables - Hospitality Target (#)")=0,"-",SUMIFS('Data - Monthly Metrics'!E:E,'Data - Monthly Metrics'!A:A,$B$4-1,'Data - Monthly Metrics'!B:B,"Dec",'Data - Monthly Metrics'!C:C,"Southwest",'Data - Monthly Metrics'!D:D,"Billables - Hospitality Target (#)"))</f>
        <v/>
      </c>
      <c r="E46" s="103">
        <f>IF(ISNUMBER(D46),D46,IF(ISNUMBER(C46),C46,IF(ISNUMBER(B46),B46,"-")))</f>
        <v/>
      </c>
      <c r="F46" s="93">
        <f>IF(COUNTIFS('Data - Monthly Metrics'!A:A,$B$4,'Data - Monthly Metrics'!B:B,"Jan",'Data - Monthly Metrics'!C:C,"Southwest",'Data - Monthly Metrics'!D:D,"Billables - Hospitality Target (#)")=0,"-",SUMIFS('Data - Monthly Metrics'!E:E,'Data - Monthly Metrics'!A:A,$B$4,'Data - Monthly Metrics'!B:B,"Jan",'Data - Monthly Metrics'!C:C,"Southwest",'Data - Monthly Metrics'!D:D,"Billables - Hospitality Target (#)"))</f>
        <v/>
      </c>
      <c r="G46" s="93">
        <f>IF(COUNTIFS('Data - Monthly Metrics'!A:A,$B$4,'Data - Monthly Metrics'!B:B,"Feb",'Data - Monthly Metrics'!C:C,"Southwest",'Data - Monthly Metrics'!D:D,"Billables - Hospitality Target (#)")=0,"-",SUMIFS('Data - Monthly Metrics'!E:E,'Data - Monthly Metrics'!A:A,$B$4,'Data - Monthly Metrics'!B:B,"Feb",'Data - Monthly Metrics'!C:C,"Southwest",'Data - Monthly Metrics'!D:D,"Billables - Hospitality Target (#)"))</f>
        <v/>
      </c>
      <c r="H46" s="93">
        <f>IF(COUNTIFS('Data - Monthly Metrics'!A:A,$B$4,'Data - Monthly Metrics'!B:B,"Mar",'Data - Monthly Metrics'!C:C,"Southwest",'Data - Monthly Metrics'!D:D,"Billables - Hospitality Target (#)")=0,"-",SUMIFS('Data - Monthly Metrics'!E:E,'Data - Monthly Metrics'!A:A,$B$4,'Data - Monthly Metrics'!B:B,"Mar",'Data - Monthly Metrics'!C:C,"Southwest",'Data - Monthly Metrics'!D:D,"Billables - Hospitality Target (#)"))</f>
        <v/>
      </c>
      <c r="I46" s="103">
        <f>IF(ISNUMBER(H46),H46,IF(ISNUMBER(G46),G46,IF(ISNUMBER(F46),F46,"-")))</f>
        <v/>
      </c>
      <c r="J46" s="93">
        <f>IF(COUNTIFS('Data - Monthly Metrics'!A:A,$B$4,'Data - Monthly Metrics'!B:B,"Apr",'Data - Monthly Metrics'!C:C,"Southwest",'Data - Monthly Metrics'!D:D,"Billables - Hospitality Target (#)")=0,"-",SUMIFS('Data - Monthly Metrics'!E:E,'Data - Monthly Metrics'!A:A,$B$4,'Data - Monthly Metrics'!B:B,"Apr",'Data - Monthly Metrics'!C:C,"Southwest",'Data - Monthly Metrics'!D:D,"Billables - Hospitality Target (#)"))</f>
        <v/>
      </c>
      <c r="K46" s="93">
        <f>IF(COUNTIFS('Data - Monthly Metrics'!A:A,$B$4,'Data - Monthly Metrics'!B:B,"May",'Data - Monthly Metrics'!C:C,"Southwest",'Data - Monthly Metrics'!D:D,"Billables - Hospitality Target (#)")=0,"-",SUMIFS('Data - Monthly Metrics'!E:E,'Data - Monthly Metrics'!A:A,$B$4,'Data - Monthly Metrics'!B:B,"May",'Data - Monthly Metrics'!C:C,"Southwest",'Data - Monthly Metrics'!D:D,"Billables - Hospitality Target (#)"))</f>
        <v/>
      </c>
      <c r="L46" s="93">
        <f>IF(COUNTIFS('Data - Monthly Metrics'!A:A,$B$4,'Data - Monthly Metrics'!B:B,"Jun",'Data - Monthly Metrics'!C:C,"Southwest",'Data - Monthly Metrics'!D:D,"Billables - Hospitality Target (#)")=0,"-",SUMIFS('Data - Monthly Metrics'!E:E,'Data - Monthly Metrics'!A:A,$B$4,'Data - Monthly Metrics'!B:B,"Jun",'Data - Monthly Metrics'!C:C,"Southwest",'Data - Monthly Metrics'!D:D,"Billables - Hospitality Target (#)"))</f>
        <v/>
      </c>
      <c r="M46" s="103">
        <f>IF(ISNUMBER(L46),L46,IF(ISNUMBER(K46),K46,IF(ISNUMBER(J46),J46,"-")))</f>
        <v/>
      </c>
      <c r="N46" s="93">
        <f>IF(COUNTIFS('Data - Monthly Metrics'!A:A,$B$4,'Data - Monthly Metrics'!B:B,"Jul",'Data - Monthly Metrics'!C:C,"Southwest",'Data - Monthly Metrics'!D:D,"Billables - Hospitality Target (#)")=0,"-",SUMIFS('Data - Monthly Metrics'!E:E,'Data - Monthly Metrics'!A:A,$B$4,'Data - Monthly Metrics'!B:B,"Jul",'Data - Monthly Metrics'!C:C,"Southwest",'Data - Monthly Metrics'!D:D,"Billables - Hospitality Target (#)"))</f>
        <v/>
      </c>
      <c r="O46" s="93">
        <f>IF(COUNTIFS('Data - Monthly Metrics'!A:A,$B$4,'Data - Monthly Metrics'!B:B,"Aug",'Data - Monthly Metrics'!C:C,"Southwest",'Data - Monthly Metrics'!D:D,"Billables - Hospitality Target (#)")=0,"-",SUMIFS('Data - Monthly Metrics'!E:E,'Data - Monthly Metrics'!A:A,$B$4,'Data - Monthly Metrics'!B:B,"Aug",'Data - Monthly Metrics'!C:C,"Southwest",'Data - Monthly Metrics'!D:D,"Billables - Hospitality Target (#)"))</f>
        <v/>
      </c>
      <c r="P46" s="93">
        <f>IF(COUNTIFS('Data - Monthly Metrics'!A:A,$B$4,'Data - Monthly Metrics'!B:B,"Sep",'Data - Monthly Metrics'!C:C,"Southwest",'Data - Monthly Metrics'!D:D,"Billables - Hospitality Target (#)")=0,"-",SUMIFS('Data - Monthly Metrics'!E:E,'Data - Monthly Metrics'!A:A,$B$4,'Data - Monthly Metrics'!B:B,"Sep",'Data - Monthly Metrics'!C:C,"Southwest",'Data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Metrics'!C:C,"Southwest",'Data - Monthly Metrics'!D:D,"Member Locations - Target (#)")=0,"-",SUMIFS('Data - Monthly Metrics'!E:E,'Data - Monthly Metrics'!A:A,$B$4-1,'Data - Monthly Metrics'!B:B,"Oct",'Data - Monthly Metrics'!C:C,"Southwest",'Data - Monthly Metrics'!D:D,"Member Locations - Target (#)"))</f>
        <v/>
      </c>
      <c r="C47" s="93">
        <f>IF(COUNTIFS('Data - Monthly Metrics'!A:A,$B$4-1,'Data - Monthly Metrics'!B:B,"Nov",'Data - Monthly Metrics'!C:C,"Southwest",'Data - Monthly Metrics'!D:D,"Member Locations - Target (#)")=0,"-",SUMIFS('Data - Monthly Metrics'!E:E,'Data - Monthly Metrics'!A:A,$B$4-1,'Data - Monthly Metrics'!B:B,"Nov",'Data - Monthly Metrics'!C:C,"Southwest",'Data - Monthly Metrics'!D:D,"Member Locations - Target (#)"))</f>
        <v/>
      </c>
      <c r="D47" s="93">
        <f>IF(COUNTIFS('Data - Monthly Metrics'!A:A,$B$4-1,'Data - Monthly Metrics'!B:B,"Dec",'Data - Monthly Metrics'!C:C,"Southwest",'Data - Monthly Metrics'!D:D,"Member Locations - Target (#)")=0,"-",SUMIFS('Data - Monthly Metrics'!E:E,'Data - Monthly Metrics'!A:A,$B$4-1,'Data - Monthly Metrics'!B:B,"Dec",'Data - Monthly Metrics'!C:C,"Southwest",'Data - Monthly Metrics'!D:D,"Member Locations - Target (#)"))</f>
        <v/>
      </c>
      <c r="E47" s="103">
        <f>IF(ISNUMBER(D47),D47,IF(ISNUMBER(C47),C47,IF(ISNUMBER(B47),B47,"-")))</f>
        <v/>
      </c>
      <c r="F47" s="93">
        <f>IF(COUNTIFS('Data - Monthly Metrics'!A:A,$B$4,'Data - Monthly Metrics'!B:B,"Jan",'Data - Monthly Metrics'!C:C,"Southwest",'Data - Monthly Metrics'!D:D,"Member Locations - Target (#)")=0,"-",SUMIFS('Data - Monthly Metrics'!E:E,'Data - Monthly Metrics'!A:A,$B$4,'Data - Monthly Metrics'!B:B,"Jan",'Data - Monthly Metrics'!C:C,"Southwest",'Data - Monthly Metrics'!D:D,"Member Locations - Target (#)"))</f>
        <v/>
      </c>
      <c r="G47" s="93">
        <f>IF(COUNTIFS('Data - Monthly Metrics'!A:A,$B$4,'Data - Monthly Metrics'!B:B,"Feb",'Data - Monthly Metrics'!C:C,"Southwest",'Data - Monthly Metrics'!D:D,"Member Locations - Target (#)")=0,"-",SUMIFS('Data - Monthly Metrics'!E:E,'Data - Monthly Metrics'!A:A,$B$4,'Data - Monthly Metrics'!B:B,"Feb",'Data - Monthly Metrics'!C:C,"Southwest",'Data - Monthly Metrics'!D:D,"Member Locations - Target (#)"))</f>
        <v/>
      </c>
      <c r="H47" s="93">
        <f>IF(COUNTIFS('Data - Monthly Metrics'!A:A,$B$4,'Data - Monthly Metrics'!B:B,"Mar",'Data - Monthly Metrics'!C:C,"Southwest",'Data - Monthly Metrics'!D:D,"Member Locations - Target (#)")=0,"-",SUMIFS('Data - Monthly Metrics'!E:E,'Data - Monthly Metrics'!A:A,$B$4,'Data - Monthly Metrics'!B:B,"Mar",'Data - Monthly Metrics'!C:C,"Southwest",'Data - Monthly Metrics'!D:D,"Member Locations - Target (#)"))</f>
        <v/>
      </c>
      <c r="I47" s="103">
        <f>IF(ISNUMBER(H47),H47,IF(ISNUMBER(G47),G47,IF(ISNUMBER(F47),F47,"-")))</f>
        <v/>
      </c>
      <c r="J47" s="93">
        <f>IF(COUNTIFS('Data - Monthly Metrics'!A:A,$B$4,'Data - Monthly Metrics'!B:B,"Apr",'Data - Monthly Metrics'!C:C,"Southwest",'Data - Monthly Metrics'!D:D,"Member Locations - Target (#)")=0,"-",SUMIFS('Data - Monthly Metrics'!E:E,'Data - Monthly Metrics'!A:A,$B$4,'Data - Monthly Metrics'!B:B,"Apr",'Data - Monthly Metrics'!C:C,"Southwest",'Data - Monthly Metrics'!D:D,"Member Locations - Target (#)"))</f>
        <v/>
      </c>
      <c r="K47" s="93">
        <f>IF(COUNTIFS('Data - Monthly Metrics'!A:A,$B$4,'Data - Monthly Metrics'!B:B,"May",'Data - Monthly Metrics'!C:C,"Southwest",'Data - Monthly Metrics'!D:D,"Member Locations - Target (#)")=0,"-",SUMIFS('Data - Monthly Metrics'!E:E,'Data - Monthly Metrics'!A:A,$B$4,'Data - Monthly Metrics'!B:B,"May",'Data - Monthly Metrics'!C:C,"Southwest",'Data - Monthly Metrics'!D:D,"Member Locations - Target (#)"))</f>
        <v/>
      </c>
      <c r="L47" s="93">
        <f>IF(COUNTIFS('Data - Monthly Metrics'!A:A,$B$4,'Data - Monthly Metrics'!B:B,"Jun",'Data - Monthly Metrics'!C:C,"Southwest",'Data - Monthly Metrics'!D:D,"Member Locations - Target (#)")=0,"-",SUMIFS('Data - Monthly Metrics'!E:E,'Data - Monthly Metrics'!A:A,$B$4,'Data - Monthly Metrics'!B:B,"Jun",'Data - Monthly Metrics'!C:C,"Southwest",'Data - Monthly Metrics'!D:D,"Member Locations - Target (#)"))</f>
        <v/>
      </c>
      <c r="M47" s="103">
        <f>IF(ISNUMBER(L47),L47,IF(ISNUMBER(K47),K47,IF(ISNUMBER(J47),J47,"-")))</f>
        <v/>
      </c>
      <c r="N47" s="93">
        <f>IF(COUNTIFS('Data - Monthly Metrics'!A:A,$B$4,'Data - Monthly Metrics'!B:B,"Jul",'Data - Monthly Metrics'!C:C,"Southwest",'Data - Monthly Metrics'!D:D,"Member Locations - Target (#)")=0,"-",SUMIFS('Data - Monthly Metrics'!E:E,'Data - Monthly Metrics'!A:A,$B$4,'Data - Monthly Metrics'!B:B,"Jul",'Data - Monthly Metrics'!C:C,"Southwest",'Data - Monthly Metrics'!D:D,"Member Locations - Target (#)"))</f>
        <v/>
      </c>
      <c r="O47" s="93">
        <f>IF(COUNTIFS('Data - Monthly Metrics'!A:A,$B$4,'Data - Monthly Metrics'!B:B,"Aug",'Data - Monthly Metrics'!C:C,"Southwest",'Data - Monthly Metrics'!D:D,"Member Locations - Target (#)")=0,"-",SUMIFS('Data - Monthly Metrics'!E:E,'Data - Monthly Metrics'!A:A,$B$4,'Data - Monthly Metrics'!B:B,"Aug",'Data - Monthly Metrics'!C:C,"Southwest",'Data - Monthly Metrics'!D:D,"Member Locations - Target (#)"))</f>
        <v/>
      </c>
      <c r="P47" s="93">
        <f>IF(COUNTIFS('Data - Monthly Metrics'!A:A,$B$4,'Data - Monthly Metrics'!B:B,"Sep",'Data - Monthly Metrics'!C:C,"Southwest",'Data - Monthly Metrics'!D:D,"Member Locations - Target (#)")=0,"-",SUMIFS('Data - Monthly Metrics'!E:E,'Data - Monthly Metrics'!A:A,$B$4,'Data - Monthly Metrics'!B:B,"Sep",'Data - Monthly Metrics'!C:C,"Southwest",'Data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Metrics'!C:C,"Southwest",'Data - Monthly Metrics'!D:D,"Members Up for Renewal - Target (#)")=0,"-",SUMIFS('Data - Monthly Metrics'!E:E,'Data - Monthly Metrics'!A:A,$B$4-1,'Data - Monthly Metrics'!B:B,"Oct",'Data - Monthly Metrics'!C:C,"Southwest",'Data - Monthly Metrics'!D:D,"Members Up for Renewal - Target (#)"))</f>
        <v/>
      </c>
      <c r="C51" s="93">
        <f>IF(COUNTIFS('Data - Monthly Metrics'!A:A,$B$4-1,'Data - Monthly Metrics'!B:B,"Nov",'Data - Monthly Metrics'!C:C,"Southwest",'Data - Monthly Metrics'!D:D,"Members Up for Renewal - Target (#)")=0,"-",SUMIFS('Data - Monthly Metrics'!E:E,'Data - Monthly Metrics'!A:A,$B$4-1,'Data - Monthly Metrics'!B:B,"Nov",'Data - Monthly Metrics'!C:C,"Southwest",'Data - Monthly Metrics'!D:D,"Members Up for Renewal - Target (#)"))</f>
        <v/>
      </c>
      <c r="D51" s="93">
        <f>IF(COUNTIFS('Data - Monthly Metrics'!A:A,$B$4-1,'Data - Monthly Metrics'!B:B,"Dec",'Data - Monthly Metrics'!C:C,"Southwest",'Data - Monthly Metrics'!D:D,"Members Up for Renewal - Target (#)")=0,"-",SUMIFS('Data - Monthly Metrics'!E:E,'Data - Monthly Metrics'!A:A,$B$4-1,'Data - Monthly Metrics'!B:B,"Dec",'Data - Monthly Metrics'!C:C,"Southwest",'Data - Monthly Metrics'!D:D,"Members Up for Renewal - Target (#)"))</f>
        <v/>
      </c>
      <c r="E51" s="103">
        <f>SUM(B51,C51,D51)</f>
        <v/>
      </c>
      <c r="F51" s="93">
        <f>IF(COUNTIFS('Data - Monthly Metrics'!A:A,$B$4,'Data - Monthly Metrics'!B:B,"Jan",'Data - Monthly Metrics'!C:C,"Southwest",'Data - Monthly Metrics'!D:D,"Members Up for Renewal - Target (#)")=0,"-",SUMIFS('Data - Monthly Metrics'!E:E,'Data - Monthly Metrics'!A:A,$B$4,'Data - Monthly Metrics'!B:B,"Jan",'Data - Monthly Metrics'!C:C,"Southwest",'Data - Monthly Metrics'!D:D,"Members Up for Renewal - Target (#)"))</f>
        <v/>
      </c>
      <c r="G51" s="93">
        <f>IF(COUNTIFS('Data - Monthly Metrics'!A:A,$B$4,'Data - Monthly Metrics'!B:B,"Feb",'Data - Monthly Metrics'!C:C,"Southwest",'Data - Monthly Metrics'!D:D,"Members Up for Renewal - Target (#)")=0,"-",SUMIFS('Data - Monthly Metrics'!E:E,'Data - Monthly Metrics'!A:A,$B$4,'Data - Monthly Metrics'!B:B,"Feb",'Data - Monthly Metrics'!C:C,"Southwest",'Data - Monthly Metrics'!D:D,"Members Up for Renewal - Target (#)"))</f>
        <v/>
      </c>
      <c r="H51" s="93">
        <f>IF(COUNTIFS('Data - Monthly Metrics'!A:A,$B$4,'Data - Monthly Metrics'!B:B,"Mar",'Data - Monthly Metrics'!C:C,"Southwest",'Data - Monthly Metrics'!D:D,"Members Up for Renewal - Target (#)")=0,"-",SUMIFS('Data - Monthly Metrics'!E:E,'Data - Monthly Metrics'!A:A,$B$4,'Data - Monthly Metrics'!B:B,"Mar",'Data - Monthly Metrics'!C:C,"Southwest",'Data - Monthly Metrics'!D:D,"Members Up for Renewal - Target (#)"))</f>
        <v/>
      </c>
      <c r="I51" s="103">
        <f>SUM(F51,G51,H51)</f>
        <v/>
      </c>
      <c r="J51" s="93">
        <f>IF(COUNTIFS('Data - Monthly Metrics'!A:A,$B$4,'Data - Monthly Metrics'!B:B,"Apr",'Data - Monthly Metrics'!C:C,"Southwest",'Data - Monthly Metrics'!D:D,"Members Up for Renewal - Target (#)")=0,"-",SUMIFS('Data - Monthly Metrics'!E:E,'Data - Monthly Metrics'!A:A,$B$4,'Data - Monthly Metrics'!B:B,"Apr",'Data - Monthly Metrics'!C:C,"Southwest",'Data - Monthly Metrics'!D:D,"Members Up for Renewal - Target (#)"))</f>
        <v/>
      </c>
      <c r="K51" s="93">
        <f>IF(COUNTIFS('Data - Monthly Metrics'!A:A,$B$4,'Data - Monthly Metrics'!B:B,"May",'Data - Monthly Metrics'!C:C,"Southwest",'Data - Monthly Metrics'!D:D,"Members Up for Renewal - Target (#)")=0,"-",SUMIFS('Data - Monthly Metrics'!E:E,'Data - Monthly Metrics'!A:A,$B$4,'Data - Monthly Metrics'!B:B,"May",'Data - Monthly Metrics'!C:C,"Southwest",'Data - Monthly Metrics'!D:D,"Members Up for Renewal - Target (#)"))</f>
        <v/>
      </c>
      <c r="L51" s="93">
        <f>IF(COUNTIFS('Data - Monthly Metrics'!A:A,$B$4,'Data - Monthly Metrics'!B:B,"Jun",'Data - Monthly Metrics'!C:C,"Southwest",'Data - Monthly Metrics'!D:D,"Members Up for Renewal - Target (#)")=0,"-",SUMIFS('Data - Monthly Metrics'!E:E,'Data - Monthly Metrics'!A:A,$B$4,'Data - Monthly Metrics'!B:B,"Jun",'Data - Monthly Metrics'!C:C,"Southwest",'Data - Monthly Metrics'!D:D,"Members Up for Renewal - Target (#)"))</f>
        <v/>
      </c>
      <c r="M51" s="103">
        <f>SUM(J51,K51,L51)</f>
        <v/>
      </c>
      <c r="N51" s="93">
        <f>IF(COUNTIFS('Data - Monthly Metrics'!A:A,$B$4,'Data - Monthly Metrics'!B:B,"Jul",'Data - Monthly Metrics'!C:C,"Southwest",'Data - Monthly Metrics'!D:D,"Members Up for Renewal - Target (#)")=0,"-",SUMIFS('Data - Monthly Metrics'!E:E,'Data - Monthly Metrics'!A:A,$B$4,'Data - Monthly Metrics'!B:B,"Jul",'Data - Monthly Metrics'!C:C,"Southwest",'Data - Monthly Metrics'!D:D,"Members Up for Renewal - Target (#)"))</f>
        <v/>
      </c>
      <c r="O51" s="93">
        <f>IF(COUNTIFS('Data - Monthly Metrics'!A:A,$B$4,'Data - Monthly Metrics'!B:B,"Aug",'Data - Monthly Metrics'!C:C,"Southwest",'Data - Monthly Metrics'!D:D,"Members Up for Renewal - Target (#)")=0,"-",SUMIFS('Data - Monthly Metrics'!E:E,'Data - Monthly Metrics'!A:A,$B$4,'Data - Monthly Metrics'!B:B,"Aug",'Data - Monthly Metrics'!C:C,"Southwest",'Data - Monthly Metrics'!D:D,"Members Up for Renewal - Target (#)"))</f>
        <v/>
      </c>
      <c r="P51" s="93">
        <f>IF(COUNTIFS('Data - Monthly Metrics'!A:A,$B$4,'Data - Monthly Metrics'!B:B,"Sep",'Data - Monthly Metrics'!C:C,"Southwest",'Data - Monthly Metrics'!D:D,"Members Up for Renewal - Target (#)")=0,"-",SUMIFS('Data - Monthly Metrics'!E:E,'Data - Monthly Metrics'!A:A,$B$4,'Data - Monthly Metrics'!B:B,"Sep",'Data - Monthly Metrics'!C:C,"Southwest",'Data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Metrics'!C:C,"Southwest",'Data - Monthly Metrics'!D:D,"Members Retained - Target (#)")=0,"-",SUMIFS('Data - Monthly Metrics'!E:E,'Data - Monthly Metrics'!A:A,$B$4-1,'Data - Monthly Metrics'!B:B,"Oct",'Data - Monthly Metrics'!C:C,"Southwest",'Data - Monthly Metrics'!D:D,"Members Retained - Target (#)"))</f>
        <v/>
      </c>
      <c r="C52" s="98">
        <f>IF(COUNTIFS('Data - Monthly Metrics'!A:A,$B$4-1,'Data - Monthly Metrics'!B:B,"Nov",'Data - Monthly Metrics'!C:C,"Southwest",'Data - Monthly Metrics'!D:D,"Members Retained - Target (#)")=0,"-",SUMIFS('Data - Monthly Metrics'!E:E,'Data - Monthly Metrics'!A:A,$B$4-1,'Data - Monthly Metrics'!B:B,"Nov",'Data - Monthly Metrics'!C:C,"Southwest",'Data - Monthly Metrics'!D:D,"Members Retained - Target (#)"))</f>
        <v/>
      </c>
      <c r="D52" s="98">
        <f>IF(COUNTIFS('Data - Monthly Metrics'!A:A,$B$4-1,'Data - Monthly Metrics'!B:B,"Dec",'Data - Monthly Metrics'!C:C,"Southwest",'Data - Monthly Metrics'!D:D,"Members Retained - Target (#)")=0,"-",SUMIFS('Data - Monthly Metrics'!E:E,'Data - Monthly Metrics'!A:A,$B$4-1,'Data - Monthly Metrics'!B:B,"Dec",'Data - Monthly Metrics'!C:C,"Southwest",'Data - Monthly Metrics'!D:D,"Members Retained - Target (#)"))</f>
        <v/>
      </c>
      <c r="E52" s="103">
        <f>SUM(B52,C52,D52)</f>
        <v/>
      </c>
      <c r="F52" s="98">
        <f>IF(COUNTIFS('Data - Monthly Metrics'!A:A,$B$4,'Data - Monthly Metrics'!B:B,"Jan",'Data - Monthly Metrics'!C:C,"Southwest",'Data - Monthly Metrics'!D:D,"Members Retained - Target (#)")=0,"-",SUMIFS('Data - Monthly Metrics'!E:E,'Data - Monthly Metrics'!A:A,$B$4,'Data - Monthly Metrics'!B:B,"Jan",'Data - Monthly Metrics'!C:C,"Southwest",'Data - Monthly Metrics'!D:D,"Members Retained - Target (#)"))</f>
        <v/>
      </c>
      <c r="G52" s="98">
        <f>IF(COUNTIFS('Data - Monthly Metrics'!A:A,$B$4,'Data - Monthly Metrics'!B:B,"Feb",'Data - Monthly Metrics'!C:C,"Southwest",'Data - Monthly Metrics'!D:D,"Members Retained - Target (#)")=0,"-",SUMIFS('Data - Monthly Metrics'!E:E,'Data - Monthly Metrics'!A:A,$B$4,'Data - Monthly Metrics'!B:B,"Feb",'Data - Monthly Metrics'!C:C,"Southwest",'Data - Monthly Metrics'!D:D,"Members Retained - Target (#)"))</f>
        <v/>
      </c>
      <c r="H52" s="98">
        <f>IF(COUNTIFS('Data - Monthly Metrics'!A:A,$B$4,'Data - Monthly Metrics'!B:B,"Mar",'Data - Monthly Metrics'!C:C,"Southwest",'Data - Monthly Metrics'!D:D,"Members Retained - Target (#)")=0,"-",SUMIFS('Data - Monthly Metrics'!E:E,'Data - Monthly Metrics'!A:A,$B$4,'Data - Monthly Metrics'!B:B,"Mar",'Data - Monthly Metrics'!C:C,"Southwest",'Data - Monthly Metrics'!D:D,"Members Retained - Target (#)"))</f>
        <v/>
      </c>
      <c r="I52" s="103">
        <f>SUM(F52,G52,H52)</f>
        <v/>
      </c>
      <c r="J52" s="98">
        <f>IF(COUNTIFS('Data - Monthly Metrics'!A:A,$B$4,'Data - Monthly Metrics'!B:B,"Apr",'Data - Monthly Metrics'!C:C,"Southwest",'Data - Monthly Metrics'!D:D,"Members Retained - Target (#)")=0,"-",SUMIFS('Data - Monthly Metrics'!E:E,'Data - Monthly Metrics'!A:A,$B$4,'Data - Monthly Metrics'!B:B,"Apr",'Data - Monthly Metrics'!C:C,"Southwest",'Data - Monthly Metrics'!D:D,"Members Retained - Target (#)"))</f>
        <v/>
      </c>
      <c r="K52" s="98">
        <f>IF(COUNTIFS('Data - Monthly Metrics'!A:A,$B$4,'Data - Monthly Metrics'!B:B,"May",'Data - Monthly Metrics'!C:C,"Southwest",'Data - Monthly Metrics'!D:D,"Members Retained - Target (#)")=0,"-",SUMIFS('Data - Monthly Metrics'!E:E,'Data - Monthly Metrics'!A:A,$B$4,'Data - Monthly Metrics'!B:B,"May",'Data - Monthly Metrics'!C:C,"Southwest",'Data - Monthly Metrics'!D:D,"Members Retained - Target (#)"))</f>
        <v/>
      </c>
      <c r="L52" s="98">
        <f>IF(COUNTIFS('Data - Monthly Metrics'!A:A,$B$4,'Data - Monthly Metrics'!B:B,"Jun",'Data - Monthly Metrics'!C:C,"Southwest",'Data - Monthly Metrics'!D:D,"Members Retained - Target (#)")=0,"-",SUMIFS('Data - Monthly Metrics'!E:E,'Data - Monthly Metrics'!A:A,$B$4,'Data - Monthly Metrics'!B:B,"Jun",'Data - Monthly Metrics'!C:C,"Southwest",'Data - Monthly Metrics'!D:D,"Members Retained - Target (#)"))</f>
        <v/>
      </c>
      <c r="M52" s="103">
        <f>SUM(J52,K52,L52)</f>
        <v/>
      </c>
      <c r="N52" s="98">
        <f>IF(COUNTIFS('Data - Monthly Metrics'!A:A,$B$4,'Data - Monthly Metrics'!B:B,"Jul",'Data - Monthly Metrics'!C:C,"Southwest",'Data - Monthly Metrics'!D:D,"Members Retained - Target (#)")=0,"-",SUMIFS('Data - Monthly Metrics'!E:E,'Data - Monthly Metrics'!A:A,$B$4,'Data - Monthly Metrics'!B:B,"Jul",'Data - Monthly Metrics'!C:C,"Southwest",'Data - Monthly Metrics'!D:D,"Members Retained - Target (#)"))</f>
        <v/>
      </c>
      <c r="O52" s="98">
        <f>IF(COUNTIFS('Data - Monthly Metrics'!A:A,$B$4,'Data - Monthly Metrics'!B:B,"Aug",'Data - Monthly Metrics'!C:C,"Southwest",'Data - Monthly Metrics'!D:D,"Members Retained - Target (#)")=0,"-",SUMIFS('Data - Monthly Metrics'!E:E,'Data - Monthly Metrics'!A:A,$B$4,'Data - Monthly Metrics'!B:B,"Aug",'Data - Monthly Metrics'!C:C,"Southwest",'Data - Monthly Metrics'!D:D,"Members Retained - Target (#)"))</f>
        <v/>
      </c>
      <c r="P52" s="98">
        <f>IF(COUNTIFS('Data - Monthly Metrics'!A:A,$B$4,'Data - Monthly Metrics'!B:B,"Sep",'Data - Monthly Metrics'!C:C,"Southwest",'Data - Monthly Metrics'!D:D,"Members Retained - Target (#)")=0,"-",SUMIFS('Data - Monthly Metrics'!E:E,'Data - Monthly Metrics'!A:A,$B$4,'Data - Monthly Metrics'!B:B,"Sep",'Data - Monthly Metrics'!C:C,"Southwest",'Data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Metrics'!$C:$C,"Southwest",'Data - Monthly Metrics'!$D:$D,"Goal - Retention %")=0),"—",IF(B53&gt;=SUMIFS('Data - Monthly Metrics'!$E:$E,'Data - Monthly Metrics'!$A:$A,$B$4-1,'Data - Monthly Metrics'!$B:$B,B$8,'Data - Monthly Metrics'!$C:$C,"Southwest",'Data - Monthly Metrics'!$D:$D,"Goal - Retention %"),"On Track",IF(B53&gt;=SUMIFS('Data - Monthly Metrics'!$E:$E,'Data - Monthly Metrics'!$A:$A,$B$4-1,'Data - Monthly Metrics'!$B:$B,B$8,'Data - Monthly Metrics'!$C:$C,"Southwest",'Data - Monthly Metrics'!$D:$D,"Goal - Retention %")-0.05,"Watch","At Risk")))</f>
        <v/>
      </c>
      <c r="C54" s="120">
        <f>IF(OR(NOT(ISNUMBER(C53)),C53=0,COUNTIFS('Data - Monthly Metrics'!$A:$A,$B$4-1,'Data - Monthly Metrics'!$B:$B,C$8,'Data - Monthly Metrics'!$C:$C,"Southwest",'Data - Monthly Metrics'!$D:$D,"Goal - Retention %")=0),"—",IF(C53&gt;=SUMIFS('Data - Monthly Metrics'!$E:$E,'Data - Monthly Metrics'!$A:$A,$B$4-1,'Data - Monthly Metrics'!$B:$B,C$8,'Data - Monthly Metrics'!$C:$C,"Southwest",'Data - Monthly Metrics'!$D:$D,"Goal - Retention %"),"On Track",IF(C53&gt;=SUMIFS('Data - Monthly Metrics'!$E:$E,'Data - Monthly Metrics'!$A:$A,$B$4-1,'Data - Monthly Metrics'!$B:$B,C$8,'Data - Monthly Metrics'!$C:$C,"Southwest",'Data - Monthly Metrics'!$D:$D,"Goal - Retention %")-0.05,"Watch","At Risk")))</f>
        <v/>
      </c>
      <c r="D54" s="120">
        <f>IF(OR(NOT(ISNUMBER(D53)),D53=0,COUNTIFS('Data - Monthly Metrics'!$A:$A,$B$4-1,'Data - Monthly Metrics'!$B:$B,D$8,'Data - Monthly Metrics'!$C:$C,"Southwest",'Data - Monthly Metrics'!$D:$D,"Goal - Retention %")=0),"—",IF(D53&gt;=SUMIFS('Data - Monthly Metrics'!$E:$E,'Data - Monthly Metrics'!$A:$A,$B$4-1,'Data - Monthly Metrics'!$B:$B,D$8,'Data - Monthly Metrics'!$C:$C,"Southwest",'Data - Monthly Metrics'!$D:$D,"Goal - Retention %"),"On Track",IF(D53&gt;=SUMIFS('Data - Monthly Metrics'!$E:$E,'Data - Monthly Metrics'!$A:$A,$B$4-1,'Data - Monthly Metrics'!$B:$B,D$8,'Data - Monthly Metrics'!$C:$C,"Southwest",'Data - Monthly Metrics'!$D:$D,"Goal - Retention %")-0.05,"Watch","At Risk")))</f>
        <v/>
      </c>
      <c r="E54" s="121">
        <f>"—"</f>
        <v/>
      </c>
      <c r="F54" s="120">
        <f>IF(OR(NOT(ISNUMBER(F53)),F53=0,COUNTIFS('Data - Monthly Metrics'!$A:$A,$B$4,'Data - Monthly Metrics'!$B:$B,F$8,'Data - Monthly Metrics'!$C:$C,"Southwest",'Data - Monthly Metrics'!$D:$D,"Goal - Retention %")=0),"—",IF(F53&gt;=SUMIFS('Data - Monthly Metrics'!$E:$E,'Data - Monthly Metrics'!$A:$A,$B$4,'Data - Monthly Metrics'!$B:$B,F$8,'Data - Monthly Metrics'!$C:$C,"Southwest",'Data - Monthly Metrics'!$D:$D,"Goal - Retention %"),"On Track",IF(F53&gt;=SUMIFS('Data - Monthly Metrics'!$E:$E,'Data - Monthly Metrics'!$A:$A,$B$4,'Data - Monthly Metrics'!$B:$B,F$8,'Data - Monthly Metrics'!$C:$C,"Southwest",'Data - Monthly Metrics'!$D:$D,"Goal - Retention %")-0.05,"Watch","At Risk")))</f>
        <v/>
      </c>
      <c r="G54" s="120">
        <f>IF(OR(NOT(ISNUMBER(G53)),G53=0,COUNTIFS('Data - Monthly Metrics'!$A:$A,$B$4,'Data - Monthly Metrics'!$B:$B,G$8,'Data - Monthly Metrics'!$C:$C,"Southwest",'Data - Monthly Metrics'!$D:$D,"Goal - Retention %")=0),"—",IF(G53&gt;=SUMIFS('Data - Monthly Metrics'!$E:$E,'Data - Monthly Metrics'!$A:$A,$B$4,'Data - Monthly Metrics'!$B:$B,G$8,'Data - Monthly Metrics'!$C:$C,"Southwest",'Data - Monthly Metrics'!$D:$D,"Goal - Retention %"),"On Track",IF(G53&gt;=SUMIFS('Data - Monthly Metrics'!$E:$E,'Data - Monthly Metrics'!$A:$A,$B$4,'Data - Monthly Metrics'!$B:$B,G$8,'Data - Monthly Metrics'!$C:$C,"Southwest",'Data - Monthly Metrics'!$D:$D,"Goal - Retention %")-0.05,"Watch","At Risk")))</f>
        <v/>
      </c>
      <c r="H54" s="120">
        <f>IF(OR(NOT(ISNUMBER(H53)),H53=0,COUNTIFS('Data - Monthly Metrics'!$A:$A,$B$4,'Data - Monthly Metrics'!$B:$B,H$8,'Data - Monthly Metrics'!$C:$C,"Southwest",'Data - Monthly Metrics'!$D:$D,"Goal - Retention %")=0),"—",IF(H53&gt;=SUMIFS('Data - Monthly Metrics'!$E:$E,'Data - Monthly Metrics'!$A:$A,$B$4,'Data - Monthly Metrics'!$B:$B,H$8,'Data - Monthly Metrics'!$C:$C,"Southwest",'Data - Monthly Metrics'!$D:$D,"Goal - Retention %"),"On Track",IF(H53&gt;=SUMIFS('Data - Monthly Metrics'!$E:$E,'Data - Monthly Metrics'!$A:$A,$B$4,'Data - Monthly Metrics'!$B:$B,H$8,'Data - Monthly Metrics'!$C:$C,"Southwest",'Data - Monthly Metrics'!$D:$D,"Goal - Retention %")-0.05,"Watch","At Risk")))</f>
        <v/>
      </c>
      <c r="I54" s="121">
        <f>"—"</f>
        <v/>
      </c>
      <c r="J54" s="120">
        <f>IF(OR(NOT(ISNUMBER(J53)),J53=0,COUNTIFS('Data - Monthly Metrics'!$A:$A,$B$4,'Data - Monthly Metrics'!$B:$B,J$8,'Data - Monthly Metrics'!$C:$C,"Southwest",'Data - Monthly Metrics'!$D:$D,"Goal - Retention %")=0),"—",IF(J53&gt;=SUMIFS('Data - Monthly Metrics'!$E:$E,'Data - Monthly Metrics'!$A:$A,$B$4,'Data - Monthly Metrics'!$B:$B,J$8,'Data - Monthly Metrics'!$C:$C,"Southwest",'Data - Monthly Metrics'!$D:$D,"Goal - Retention %"),"On Track",IF(J53&gt;=SUMIFS('Data - Monthly Metrics'!$E:$E,'Data - Monthly Metrics'!$A:$A,$B$4,'Data - Monthly Metrics'!$B:$B,J$8,'Data - Monthly Metrics'!$C:$C,"Southwest",'Data - Monthly Metrics'!$D:$D,"Goal - Retention %")-0.05,"Watch","At Risk")))</f>
        <v/>
      </c>
      <c r="K54" s="120">
        <f>IF(OR(NOT(ISNUMBER(K53)),K53=0,COUNTIFS('Data - Monthly Metrics'!$A:$A,$B$4,'Data - Monthly Metrics'!$B:$B,K$8,'Data - Monthly Metrics'!$C:$C,"Southwest",'Data - Monthly Metrics'!$D:$D,"Goal - Retention %")=0),"—",IF(K53&gt;=SUMIFS('Data - Monthly Metrics'!$E:$E,'Data - Monthly Metrics'!$A:$A,$B$4,'Data - Monthly Metrics'!$B:$B,K$8,'Data - Monthly Metrics'!$C:$C,"Southwest",'Data - Monthly Metrics'!$D:$D,"Goal - Retention %"),"On Track",IF(K53&gt;=SUMIFS('Data - Monthly Metrics'!$E:$E,'Data - Monthly Metrics'!$A:$A,$B$4,'Data - Monthly Metrics'!$B:$B,K$8,'Data - Monthly Metrics'!$C:$C,"Southwest",'Data - Monthly Metrics'!$D:$D,"Goal - Retention %")-0.05,"Watch","At Risk")))</f>
        <v/>
      </c>
      <c r="L54" s="120">
        <f>IF(OR(NOT(ISNUMBER(L53)),L53=0,COUNTIFS('Data - Monthly Metrics'!$A:$A,$B$4,'Data - Monthly Metrics'!$B:$B,L$8,'Data - Monthly Metrics'!$C:$C,"Southwest",'Data - Monthly Metrics'!$D:$D,"Goal - Retention %")=0),"—",IF(L53&gt;=SUMIFS('Data - Monthly Metrics'!$E:$E,'Data - Monthly Metrics'!$A:$A,$B$4,'Data - Monthly Metrics'!$B:$B,L$8,'Data - Monthly Metrics'!$C:$C,"Southwest",'Data - Monthly Metrics'!$D:$D,"Goal - Retention %"),"On Track",IF(L53&gt;=SUMIFS('Data - Monthly Metrics'!$E:$E,'Data - Monthly Metrics'!$A:$A,$B$4,'Data - Monthly Metrics'!$B:$B,L$8,'Data - Monthly Metrics'!$C:$C,"Southwest",'Data - Monthly Metrics'!$D:$D,"Goal - Retention %")-0.05,"Watch","At Risk")))</f>
        <v/>
      </c>
      <c r="M54" s="121">
        <f>"—"</f>
        <v/>
      </c>
      <c r="N54" s="120">
        <f>IF(OR(NOT(ISNUMBER(N53)),N53=0,COUNTIFS('Data - Monthly Metrics'!$A:$A,$B$4,'Data - Monthly Metrics'!$B:$B,N$8,'Data - Monthly Metrics'!$C:$C,"Southwest",'Data - Monthly Metrics'!$D:$D,"Goal - Retention %")=0),"—",IF(N53&gt;=SUMIFS('Data - Monthly Metrics'!$E:$E,'Data - Monthly Metrics'!$A:$A,$B$4,'Data - Monthly Metrics'!$B:$B,N$8,'Data - Monthly Metrics'!$C:$C,"Southwest",'Data - Monthly Metrics'!$D:$D,"Goal - Retention %"),"On Track",IF(N53&gt;=SUMIFS('Data - Monthly Metrics'!$E:$E,'Data - Monthly Metrics'!$A:$A,$B$4,'Data - Monthly Metrics'!$B:$B,N$8,'Data - Monthly Metrics'!$C:$C,"Southwest",'Data - Monthly Metrics'!$D:$D,"Goal - Retention %")-0.05,"Watch","At Risk")))</f>
        <v/>
      </c>
      <c r="O54" s="120">
        <f>IF(OR(NOT(ISNUMBER(O53)),O53=0,COUNTIFS('Data - Monthly Metrics'!$A:$A,$B$4,'Data - Monthly Metrics'!$B:$B,O$8,'Data - Monthly Metrics'!$C:$C,"Southwest",'Data - Monthly Metrics'!$D:$D,"Goal - Retention %")=0),"—",IF(O53&gt;=SUMIFS('Data - Monthly Metrics'!$E:$E,'Data - Monthly Metrics'!$A:$A,$B$4,'Data - Monthly Metrics'!$B:$B,O$8,'Data - Monthly Metrics'!$C:$C,"Southwest",'Data - Monthly Metrics'!$D:$D,"Goal - Retention %"),"On Track",IF(O53&gt;=SUMIFS('Data - Monthly Metrics'!$E:$E,'Data - Monthly Metrics'!$A:$A,$B$4,'Data - Monthly Metrics'!$B:$B,O$8,'Data - Monthly Metrics'!$C:$C,"Southwest",'Data - Monthly Metrics'!$D:$D,"Goal - Retention %")-0.05,"Watch","At Risk")))</f>
        <v/>
      </c>
      <c r="P54" s="120">
        <f>IF(OR(NOT(ISNUMBER(P53)),P53=0,COUNTIFS('Data - Monthly Metrics'!$A:$A,$B$4,'Data - Monthly Metrics'!$B:$B,P$8,'Data - Monthly Metrics'!$C:$C,"Southwest",'Data - Monthly Metrics'!$D:$D,"Goal - Retention %")=0),"—",IF(P53&gt;=SUMIFS('Data - Monthly Metrics'!$E:$E,'Data - Monthly Metrics'!$A:$A,$B$4,'Data - Monthly Metrics'!$B:$B,P$8,'Data - Monthly Metrics'!$C:$C,"Southwest",'Data - Monthly Metrics'!$D:$D,"Goal - Retention %"),"On Track",IF(P53&gt;=SUMIFS('Data - Monthly Metrics'!$E:$E,'Data - Monthly Metrics'!$A:$A,$B$4,'Data - Monthly Metrics'!$B:$B,P$8,'Data - Monthly Metrics'!$C:$C,"Southwest",'Data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Metrics'!C:C,"Southwest",'Data - Monthly Metrics'!D:D,"Revenue Up for Renewal - Target ($)")=0,"-",SUMIFS('Data - Monthly Metrics'!E:E,'Data - Monthly Metrics'!A:A,$B$4-1,'Data - Monthly Metrics'!B:B,"Oct",'Data - Monthly Metrics'!C:C,"Southwest",'Data - Monthly Metrics'!D:D,"Revenue Up for Renewal - Target ($)"))</f>
        <v/>
      </c>
      <c r="C55" s="91">
        <f>IF(COUNTIFS('Data - Monthly Metrics'!A:A,$B$4-1,'Data - Monthly Metrics'!B:B,"Nov",'Data - Monthly Metrics'!C:C,"Southwest",'Data - Monthly Metrics'!D:D,"Revenue Up for Renewal - Target ($)")=0,"-",SUMIFS('Data - Monthly Metrics'!E:E,'Data - Monthly Metrics'!A:A,$B$4-1,'Data - Monthly Metrics'!B:B,"Nov",'Data - Monthly Metrics'!C:C,"Southwest",'Data - Monthly Metrics'!D:D,"Revenue Up for Renewal - Target ($)"))</f>
        <v/>
      </c>
      <c r="D55" s="91">
        <f>IF(COUNTIFS('Data - Monthly Metrics'!A:A,$B$4-1,'Data - Monthly Metrics'!B:B,"Dec",'Data - Monthly Metrics'!C:C,"Southwest",'Data - Monthly Metrics'!D:D,"Revenue Up for Renewal - Target ($)")=0,"-",SUMIFS('Data - Monthly Metrics'!E:E,'Data - Monthly Metrics'!A:A,$B$4-1,'Data - Monthly Metrics'!B:B,"Dec",'Data - Monthly Metrics'!C:C,"Southwest",'Data - Monthly Metrics'!D:D,"Revenue Up for Renewal - Target ($)"))</f>
        <v/>
      </c>
      <c r="E55" s="101">
        <f>SUM(B55,C55,D55)</f>
        <v/>
      </c>
      <c r="F55" s="91">
        <f>IF(COUNTIFS('Data - Monthly Metrics'!A:A,$B$4,'Data - Monthly Metrics'!B:B,"Jan",'Data - Monthly Metrics'!C:C,"Southwest",'Data - Monthly Metrics'!D:D,"Revenue Up for Renewal - Target ($)")=0,"-",SUMIFS('Data - Monthly Metrics'!E:E,'Data - Monthly Metrics'!A:A,$B$4,'Data - Monthly Metrics'!B:B,"Jan",'Data - Monthly Metrics'!C:C,"Southwest",'Data - Monthly Metrics'!D:D,"Revenue Up for Renewal - Target ($)"))</f>
        <v/>
      </c>
      <c r="G55" s="91">
        <f>IF(COUNTIFS('Data - Monthly Metrics'!A:A,$B$4,'Data - Monthly Metrics'!B:B,"Feb",'Data - Monthly Metrics'!C:C,"Southwest",'Data - Monthly Metrics'!D:D,"Revenue Up for Renewal - Target ($)")=0,"-",SUMIFS('Data - Monthly Metrics'!E:E,'Data - Monthly Metrics'!A:A,$B$4,'Data - Monthly Metrics'!B:B,"Feb",'Data - Monthly Metrics'!C:C,"Southwest",'Data - Monthly Metrics'!D:D,"Revenue Up for Renewal - Target ($)"))</f>
        <v/>
      </c>
      <c r="H55" s="91">
        <f>IF(COUNTIFS('Data - Monthly Metrics'!A:A,$B$4,'Data - Monthly Metrics'!B:B,"Mar",'Data - Monthly Metrics'!C:C,"Southwest",'Data - Monthly Metrics'!D:D,"Revenue Up for Renewal - Target ($)")=0,"-",SUMIFS('Data - Monthly Metrics'!E:E,'Data - Monthly Metrics'!A:A,$B$4,'Data - Monthly Metrics'!B:B,"Mar",'Data - Monthly Metrics'!C:C,"Southwest",'Data - Monthly Metrics'!D:D,"Revenue Up for Renewal - Target ($)"))</f>
        <v/>
      </c>
      <c r="I55" s="101">
        <f>SUM(F55,G55,H55)</f>
        <v/>
      </c>
      <c r="J55" s="91">
        <f>IF(COUNTIFS('Data - Monthly Metrics'!A:A,$B$4,'Data - Monthly Metrics'!B:B,"Apr",'Data - Monthly Metrics'!C:C,"Southwest",'Data - Monthly Metrics'!D:D,"Revenue Up for Renewal - Target ($)")=0,"-",SUMIFS('Data - Monthly Metrics'!E:E,'Data - Monthly Metrics'!A:A,$B$4,'Data - Monthly Metrics'!B:B,"Apr",'Data - Monthly Metrics'!C:C,"Southwest",'Data - Monthly Metrics'!D:D,"Revenue Up for Renewal - Target ($)"))</f>
        <v/>
      </c>
      <c r="K55" s="91">
        <f>IF(COUNTIFS('Data - Monthly Metrics'!A:A,$B$4,'Data - Monthly Metrics'!B:B,"May",'Data - Monthly Metrics'!C:C,"Southwest",'Data - Monthly Metrics'!D:D,"Revenue Up for Renewal - Target ($)")=0,"-",SUMIFS('Data - Monthly Metrics'!E:E,'Data - Monthly Metrics'!A:A,$B$4,'Data - Monthly Metrics'!B:B,"May",'Data - Monthly Metrics'!C:C,"Southwest",'Data - Monthly Metrics'!D:D,"Revenue Up for Renewal - Target ($)"))</f>
        <v/>
      </c>
      <c r="L55" s="91">
        <f>IF(COUNTIFS('Data - Monthly Metrics'!A:A,$B$4,'Data - Monthly Metrics'!B:B,"Jun",'Data - Monthly Metrics'!C:C,"Southwest",'Data - Monthly Metrics'!D:D,"Revenue Up for Renewal - Target ($)")=0,"-",SUMIFS('Data - Monthly Metrics'!E:E,'Data - Monthly Metrics'!A:A,$B$4,'Data - Monthly Metrics'!B:B,"Jun",'Data - Monthly Metrics'!C:C,"Southwest",'Data - Monthly Metrics'!D:D,"Revenue Up for Renewal - Target ($)"))</f>
        <v/>
      </c>
      <c r="M55" s="101">
        <f>SUM(J55,K55,L55)</f>
        <v/>
      </c>
      <c r="N55" s="91">
        <f>IF(COUNTIFS('Data - Monthly Metrics'!A:A,$B$4,'Data - Monthly Metrics'!B:B,"Jul",'Data - Monthly Metrics'!C:C,"Southwest",'Data - Monthly Metrics'!D:D,"Revenue Up for Renewal - Target ($)")=0,"-",SUMIFS('Data - Monthly Metrics'!E:E,'Data - Monthly Metrics'!A:A,$B$4,'Data - Monthly Metrics'!B:B,"Jul",'Data - Monthly Metrics'!C:C,"Southwest",'Data - Monthly Metrics'!D:D,"Revenue Up for Renewal - Target ($)"))</f>
        <v/>
      </c>
      <c r="O55" s="91">
        <f>IF(COUNTIFS('Data - Monthly Metrics'!A:A,$B$4,'Data - Monthly Metrics'!B:B,"Aug",'Data - Monthly Metrics'!C:C,"Southwest",'Data - Monthly Metrics'!D:D,"Revenue Up for Renewal - Target ($)")=0,"-",SUMIFS('Data - Monthly Metrics'!E:E,'Data - Monthly Metrics'!A:A,$B$4,'Data - Monthly Metrics'!B:B,"Aug",'Data - Monthly Metrics'!C:C,"Southwest",'Data - Monthly Metrics'!D:D,"Revenue Up for Renewal - Target ($)"))</f>
        <v/>
      </c>
      <c r="P55" s="91">
        <f>IF(COUNTIFS('Data - Monthly Metrics'!A:A,$B$4,'Data - Monthly Metrics'!B:B,"Sep",'Data - Monthly Metrics'!C:C,"Southwest",'Data - Monthly Metrics'!D:D,"Revenue Up for Renewal - Target ($)")=0,"-",SUMIFS('Data - Monthly Metrics'!E:E,'Data - Monthly Metrics'!A:A,$B$4,'Data - Monthly Metrics'!B:B,"Sep",'Data - Monthly Metrics'!C:C,"Southwest",'Data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Metrics'!C:C,"Southwest",'Data - Monthly Metrics'!D:D,"Revenue Retained - Target ($)")=0,"-",SUMIFS('Data - Monthly Metrics'!E:E,'Data - Monthly Metrics'!A:A,$B$4-1,'Data - Monthly Metrics'!B:B,"Oct",'Data - Monthly Metrics'!C:C,"Southwest",'Data - Monthly Metrics'!D:D,"Revenue Retained - Target ($)"))</f>
        <v/>
      </c>
      <c r="C56" s="96">
        <f>IF(COUNTIFS('Data - Monthly Metrics'!A:A,$B$4-1,'Data - Monthly Metrics'!B:B,"Nov",'Data - Monthly Metrics'!C:C,"Southwest",'Data - Monthly Metrics'!D:D,"Revenue Retained - Target ($)")=0,"-",SUMIFS('Data - Monthly Metrics'!E:E,'Data - Monthly Metrics'!A:A,$B$4-1,'Data - Monthly Metrics'!B:B,"Nov",'Data - Monthly Metrics'!C:C,"Southwest",'Data - Monthly Metrics'!D:D,"Revenue Retained - Target ($)"))</f>
        <v/>
      </c>
      <c r="D56" s="96">
        <f>IF(COUNTIFS('Data - Monthly Metrics'!A:A,$B$4-1,'Data - Monthly Metrics'!B:B,"Dec",'Data - Monthly Metrics'!C:C,"Southwest",'Data - Monthly Metrics'!D:D,"Revenue Retained - Target ($)")=0,"-",SUMIFS('Data - Monthly Metrics'!E:E,'Data - Monthly Metrics'!A:A,$B$4-1,'Data - Monthly Metrics'!B:B,"Dec",'Data - Monthly Metrics'!C:C,"Southwest",'Data - Monthly Metrics'!D:D,"Revenue Retained - Target ($)"))</f>
        <v/>
      </c>
      <c r="E56" s="101">
        <f>SUM(B56,C56,D56)</f>
        <v/>
      </c>
      <c r="F56" s="96">
        <f>IF(COUNTIFS('Data - Monthly Metrics'!A:A,$B$4,'Data - Monthly Metrics'!B:B,"Jan",'Data - Monthly Metrics'!C:C,"Southwest",'Data - Monthly Metrics'!D:D,"Revenue Retained - Target ($)")=0,"-",SUMIFS('Data - Monthly Metrics'!E:E,'Data - Monthly Metrics'!A:A,$B$4,'Data - Monthly Metrics'!B:B,"Jan",'Data - Monthly Metrics'!C:C,"Southwest",'Data - Monthly Metrics'!D:D,"Revenue Retained - Target ($)"))</f>
        <v/>
      </c>
      <c r="G56" s="96">
        <f>IF(COUNTIFS('Data - Monthly Metrics'!A:A,$B$4,'Data - Monthly Metrics'!B:B,"Feb",'Data - Monthly Metrics'!C:C,"Southwest",'Data - Monthly Metrics'!D:D,"Revenue Retained - Target ($)")=0,"-",SUMIFS('Data - Monthly Metrics'!E:E,'Data - Monthly Metrics'!A:A,$B$4,'Data - Monthly Metrics'!B:B,"Feb",'Data - Monthly Metrics'!C:C,"Southwest",'Data - Monthly Metrics'!D:D,"Revenue Retained - Target ($)"))</f>
        <v/>
      </c>
      <c r="H56" s="96">
        <f>IF(COUNTIFS('Data - Monthly Metrics'!A:A,$B$4,'Data - Monthly Metrics'!B:B,"Mar",'Data - Monthly Metrics'!C:C,"Southwest",'Data - Monthly Metrics'!D:D,"Revenue Retained - Target ($)")=0,"-",SUMIFS('Data - Monthly Metrics'!E:E,'Data - Monthly Metrics'!A:A,$B$4,'Data - Monthly Metrics'!B:B,"Mar",'Data - Monthly Metrics'!C:C,"Southwest",'Data - Monthly Metrics'!D:D,"Revenue Retained - Target ($)"))</f>
        <v/>
      </c>
      <c r="I56" s="101">
        <f>SUM(F56,G56,H56)</f>
        <v/>
      </c>
      <c r="J56" s="96">
        <f>IF(COUNTIFS('Data - Monthly Metrics'!A:A,$B$4,'Data - Monthly Metrics'!B:B,"Apr",'Data - Monthly Metrics'!C:C,"Southwest",'Data - Monthly Metrics'!D:D,"Revenue Retained - Target ($)")=0,"-",SUMIFS('Data - Monthly Metrics'!E:E,'Data - Monthly Metrics'!A:A,$B$4,'Data - Monthly Metrics'!B:B,"Apr",'Data - Monthly Metrics'!C:C,"Southwest",'Data - Monthly Metrics'!D:D,"Revenue Retained - Target ($)"))</f>
        <v/>
      </c>
      <c r="K56" s="96">
        <f>IF(COUNTIFS('Data - Monthly Metrics'!A:A,$B$4,'Data - Monthly Metrics'!B:B,"May",'Data - Monthly Metrics'!C:C,"Southwest",'Data - Monthly Metrics'!D:D,"Revenue Retained - Target ($)")=0,"-",SUMIFS('Data - Monthly Metrics'!E:E,'Data - Monthly Metrics'!A:A,$B$4,'Data - Monthly Metrics'!B:B,"May",'Data - Monthly Metrics'!C:C,"Southwest",'Data - Monthly Metrics'!D:D,"Revenue Retained - Target ($)"))</f>
        <v/>
      </c>
      <c r="L56" s="96">
        <f>IF(COUNTIFS('Data - Monthly Metrics'!A:A,$B$4,'Data - Monthly Metrics'!B:B,"Jun",'Data - Monthly Metrics'!C:C,"Southwest",'Data - Monthly Metrics'!D:D,"Revenue Retained - Target ($)")=0,"-",SUMIFS('Data - Monthly Metrics'!E:E,'Data - Monthly Metrics'!A:A,$B$4,'Data - Monthly Metrics'!B:B,"Jun",'Data - Monthly Metrics'!C:C,"Southwest",'Data - Monthly Metrics'!D:D,"Revenue Retained - Target ($)"))</f>
        <v/>
      </c>
      <c r="M56" s="101">
        <f>SUM(J56,K56,L56)</f>
        <v/>
      </c>
      <c r="N56" s="96">
        <f>IF(COUNTIFS('Data - Monthly Metrics'!A:A,$B$4,'Data - Monthly Metrics'!B:B,"Jul",'Data - Monthly Metrics'!C:C,"Southwest",'Data - Monthly Metrics'!D:D,"Revenue Retained - Target ($)")=0,"-",SUMIFS('Data - Monthly Metrics'!E:E,'Data - Monthly Metrics'!A:A,$B$4,'Data - Monthly Metrics'!B:B,"Jul",'Data - Monthly Metrics'!C:C,"Southwest",'Data - Monthly Metrics'!D:D,"Revenue Retained - Target ($)"))</f>
        <v/>
      </c>
      <c r="O56" s="96">
        <f>IF(COUNTIFS('Data - Monthly Metrics'!A:A,$B$4,'Data - Monthly Metrics'!B:B,"Aug",'Data - Monthly Metrics'!C:C,"Southwest",'Data - Monthly Metrics'!D:D,"Revenue Retained - Target ($)")=0,"-",SUMIFS('Data - Monthly Metrics'!E:E,'Data - Monthly Metrics'!A:A,$B$4,'Data - Monthly Metrics'!B:B,"Aug",'Data - Monthly Metrics'!C:C,"Southwest",'Data - Monthly Metrics'!D:D,"Revenue Retained - Target ($)"))</f>
        <v/>
      </c>
      <c r="P56" s="96">
        <f>IF(COUNTIFS('Data - Monthly Metrics'!A:A,$B$4,'Data - Monthly Metrics'!B:B,"Sep",'Data - Monthly Metrics'!C:C,"Southwest",'Data - Monthly Metrics'!D:D,"Revenue Retained - Target ($)")=0,"-",SUMIFS('Data - Monthly Metrics'!E:E,'Data - Monthly Metrics'!A:A,$B$4,'Data - Monthly Metrics'!B:B,"Sep",'Data - Monthly Metrics'!C:C,"Southwest",'Data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Metrics'!C:C,"Southwest",'Data - Monthly Metrics'!D:D,"Retention - Comped Target (#)")=0,"-",SUMIFS('Data - Monthly Metrics'!E:E,'Data - Monthly Metrics'!A:A,$B$4-1,'Data - Monthly Metrics'!B:B,"Oct",'Data - Monthly Metrics'!C:C,"Southwest",'Data - Monthly Metrics'!D:D,"Retention - Comped Target (#)"))</f>
        <v/>
      </c>
      <c r="C57" s="98">
        <f>IF(COUNTIFS('Data - Monthly Metrics'!A:A,$B$4-1,'Data - Monthly Metrics'!B:B,"Nov",'Data - Monthly Metrics'!C:C,"Southwest",'Data - Monthly Metrics'!D:D,"Retention - Comped Target (#)")=0,"-",SUMIFS('Data - Monthly Metrics'!E:E,'Data - Monthly Metrics'!A:A,$B$4-1,'Data - Monthly Metrics'!B:B,"Nov",'Data - Monthly Metrics'!C:C,"Southwest",'Data - Monthly Metrics'!D:D,"Retention - Comped Target (#)"))</f>
        <v/>
      </c>
      <c r="D57" s="98">
        <f>IF(COUNTIFS('Data - Monthly Metrics'!A:A,$B$4-1,'Data - Monthly Metrics'!B:B,"Dec",'Data - Monthly Metrics'!C:C,"Southwest",'Data - Monthly Metrics'!D:D,"Retention - Comped Target (#)")=0,"-",SUMIFS('Data - Monthly Metrics'!E:E,'Data - Monthly Metrics'!A:A,$B$4-1,'Data - Monthly Metrics'!B:B,"Dec",'Data - Monthly Metrics'!C:C,"Southwest",'Data - Monthly Metrics'!D:D,"Retention - Comped Target (#)"))</f>
        <v/>
      </c>
      <c r="E57" s="103">
        <f>SUM(B57,C57,D57)</f>
        <v/>
      </c>
      <c r="F57" s="98">
        <f>IF(COUNTIFS('Data - Monthly Metrics'!A:A,$B$4,'Data - Monthly Metrics'!B:B,"Jan",'Data - Monthly Metrics'!C:C,"Southwest",'Data - Monthly Metrics'!D:D,"Retention - Comped Target (#)")=0,"-",SUMIFS('Data - Monthly Metrics'!E:E,'Data - Monthly Metrics'!A:A,$B$4,'Data - Monthly Metrics'!B:B,"Jan",'Data - Monthly Metrics'!C:C,"Southwest",'Data - Monthly Metrics'!D:D,"Retention - Comped Target (#)"))</f>
        <v/>
      </c>
      <c r="G57" s="98">
        <f>IF(COUNTIFS('Data - Monthly Metrics'!A:A,$B$4,'Data - Monthly Metrics'!B:B,"Feb",'Data - Monthly Metrics'!C:C,"Southwest",'Data - Monthly Metrics'!D:D,"Retention - Comped Target (#)")=0,"-",SUMIFS('Data - Monthly Metrics'!E:E,'Data - Monthly Metrics'!A:A,$B$4,'Data - Monthly Metrics'!B:B,"Feb",'Data - Monthly Metrics'!C:C,"Southwest",'Data - Monthly Metrics'!D:D,"Retention - Comped Target (#)"))</f>
        <v/>
      </c>
      <c r="H57" s="98">
        <f>IF(COUNTIFS('Data - Monthly Metrics'!A:A,$B$4,'Data - Monthly Metrics'!B:B,"Mar",'Data - Monthly Metrics'!C:C,"Southwest",'Data - Monthly Metrics'!D:D,"Retention - Comped Target (#)")=0,"-",SUMIFS('Data - Monthly Metrics'!E:E,'Data - Monthly Metrics'!A:A,$B$4,'Data - Monthly Metrics'!B:B,"Mar",'Data - Monthly Metrics'!C:C,"Southwest",'Data - Monthly Metrics'!D:D,"Retention - Comped Target (#)"))</f>
        <v/>
      </c>
      <c r="I57" s="103">
        <f>SUM(F57,G57,H57)</f>
        <v/>
      </c>
      <c r="J57" s="98">
        <f>IF(COUNTIFS('Data - Monthly Metrics'!A:A,$B$4,'Data - Monthly Metrics'!B:B,"Apr",'Data - Monthly Metrics'!C:C,"Southwest",'Data - Monthly Metrics'!D:D,"Retention - Comped Target (#)")=0,"-",SUMIFS('Data - Monthly Metrics'!E:E,'Data - Monthly Metrics'!A:A,$B$4,'Data - Monthly Metrics'!B:B,"Apr",'Data - Monthly Metrics'!C:C,"Southwest",'Data - Monthly Metrics'!D:D,"Retention - Comped Target (#)"))</f>
        <v/>
      </c>
      <c r="K57" s="98">
        <f>IF(COUNTIFS('Data - Monthly Metrics'!A:A,$B$4,'Data - Monthly Metrics'!B:B,"May",'Data - Monthly Metrics'!C:C,"Southwest",'Data - Monthly Metrics'!D:D,"Retention - Comped Target (#)")=0,"-",SUMIFS('Data - Monthly Metrics'!E:E,'Data - Monthly Metrics'!A:A,$B$4,'Data - Monthly Metrics'!B:B,"May",'Data - Monthly Metrics'!C:C,"Southwest",'Data - Monthly Metrics'!D:D,"Retention - Comped Target (#)"))</f>
        <v/>
      </c>
      <c r="L57" s="98">
        <f>IF(COUNTIFS('Data - Monthly Metrics'!A:A,$B$4,'Data - Monthly Metrics'!B:B,"Jun",'Data - Monthly Metrics'!C:C,"Southwest",'Data - Monthly Metrics'!D:D,"Retention - Comped Target (#)")=0,"-",SUMIFS('Data - Monthly Metrics'!E:E,'Data - Monthly Metrics'!A:A,$B$4,'Data - Monthly Metrics'!B:B,"Jun",'Data - Monthly Metrics'!C:C,"Southwest",'Data - Monthly Metrics'!D:D,"Retention - Comped Target (#)"))</f>
        <v/>
      </c>
      <c r="M57" s="103">
        <f>SUM(J57,K57,L57)</f>
        <v/>
      </c>
      <c r="N57" s="98">
        <f>IF(COUNTIFS('Data - Monthly Metrics'!A:A,$B$4,'Data - Monthly Metrics'!B:B,"Jul",'Data - Monthly Metrics'!C:C,"Southwest",'Data - Monthly Metrics'!D:D,"Retention - Comped Target (#)")=0,"-",SUMIFS('Data - Monthly Metrics'!E:E,'Data - Monthly Metrics'!A:A,$B$4,'Data - Monthly Metrics'!B:B,"Jul",'Data - Monthly Metrics'!C:C,"Southwest",'Data - Monthly Metrics'!D:D,"Retention - Comped Target (#)"))</f>
        <v/>
      </c>
      <c r="O57" s="98">
        <f>IF(COUNTIFS('Data - Monthly Metrics'!A:A,$B$4,'Data - Monthly Metrics'!B:B,"Aug",'Data - Monthly Metrics'!C:C,"Southwest",'Data - Monthly Metrics'!D:D,"Retention - Comped Target (#)")=0,"-",SUMIFS('Data - Monthly Metrics'!E:E,'Data - Monthly Metrics'!A:A,$B$4,'Data - Monthly Metrics'!B:B,"Aug",'Data - Monthly Metrics'!C:C,"Southwest",'Data - Monthly Metrics'!D:D,"Retention - Comped Target (#)"))</f>
        <v/>
      </c>
      <c r="P57" s="98">
        <f>IF(COUNTIFS('Data - Monthly Metrics'!A:A,$B$4,'Data - Monthly Metrics'!B:B,"Sep",'Data - Monthly Metrics'!C:C,"Southwest",'Data - Monthly Metrics'!D:D,"Retention - Comped Target (#)")=0,"-",SUMIFS('Data - Monthly Metrics'!E:E,'Data - Monthly Metrics'!A:A,$B$4,'Data - Monthly Metrics'!B:B,"Sep",'Data - Monthly Metrics'!C:C,"Southwest",'Data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Metrics'!C:C,"Southwest",'Data - Monthly Metrics'!D:D,"Retention - Comped Target ($)")=0,"-",SUMIFS('Data - Monthly Metrics'!E:E,'Data - Monthly Metrics'!A:A,$B$4-1,'Data - Monthly Metrics'!B:B,"Oct",'Data - Monthly Metrics'!C:C,"Southwest",'Data - Monthly Metrics'!D:D,"Retention - Comped Target ($)"))</f>
        <v/>
      </c>
      <c r="C58" s="96">
        <f>IF(COUNTIFS('Data - Monthly Metrics'!A:A,$B$4-1,'Data - Monthly Metrics'!B:B,"Nov",'Data - Monthly Metrics'!C:C,"Southwest",'Data - Monthly Metrics'!D:D,"Retention - Comped Target ($)")=0,"-",SUMIFS('Data - Monthly Metrics'!E:E,'Data - Monthly Metrics'!A:A,$B$4-1,'Data - Monthly Metrics'!B:B,"Nov",'Data - Monthly Metrics'!C:C,"Southwest",'Data - Monthly Metrics'!D:D,"Retention - Comped Target ($)"))</f>
        <v/>
      </c>
      <c r="D58" s="96">
        <f>IF(COUNTIFS('Data - Monthly Metrics'!A:A,$B$4-1,'Data - Monthly Metrics'!B:B,"Dec",'Data - Monthly Metrics'!C:C,"Southwest",'Data - Monthly Metrics'!D:D,"Retention - Comped Target ($)")=0,"-",SUMIFS('Data - Monthly Metrics'!E:E,'Data - Monthly Metrics'!A:A,$B$4-1,'Data - Monthly Metrics'!B:B,"Dec",'Data - Monthly Metrics'!C:C,"Southwest",'Data - Monthly Metrics'!D:D,"Retention - Comped Target ($)"))</f>
        <v/>
      </c>
      <c r="E58" s="101">
        <f>SUM(B58,C58,D58)</f>
        <v/>
      </c>
      <c r="F58" s="96">
        <f>IF(COUNTIFS('Data - Monthly Metrics'!A:A,$B$4,'Data - Monthly Metrics'!B:B,"Jan",'Data - Monthly Metrics'!C:C,"Southwest",'Data - Monthly Metrics'!D:D,"Retention - Comped Target ($)")=0,"-",SUMIFS('Data - Monthly Metrics'!E:E,'Data - Monthly Metrics'!A:A,$B$4,'Data - Monthly Metrics'!B:B,"Jan",'Data - Monthly Metrics'!C:C,"Southwest",'Data - Monthly Metrics'!D:D,"Retention - Comped Target ($)"))</f>
        <v/>
      </c>
      <c r="G58" s="96">
        <f>IF(COUNTIFS('Data - Monthly Metrics'!A:A,$B$4,'Data - Monthly Metrics'!B:B,"Feb",'Data - Monthly Metrics'!C:C,"Southwest",'Data - Monthly Metrics'!D:D,"Retention - Comped Target ($)")=0,"-",SUMIFS('Data - Monthly Metrics'!E:E,'Data - Monthly Metrics'!A:A,$B$4,'Data - Monthly Metrics'!B:B,"Feb",'Data - Monthly Metrics'!C:C,"Southwest",'Data - Monthly Metrics'!D:D,"Retention - Comped Target ($)"))</f>
        <v/>
      </c>
      <c r="H58" s="96">
        <f>IF(COUNTIFS('Data - Monthly Metrics'!A:A,$B$4,'Data - Monthly Metrics'!B:B,"Mar",'Data - Monthly Metrics'!C:C,"Southwest",'Data - Monthly Metrics'!D:D,"Retention - Comped Target ($)")=0,"-",SUMIFS('Data - Monthly Metrics'!E:E,'Data - Monthly Metrics'!A:A,$B$4,'Data - Monthly Metrics'!B:B,"Mar",'Data - Monthly Metrics'!C:C,"Southwest",'Data - Monthly Metrics'!D:D,"Retention - Comped Target ($)"))</f>
        <v/>
      </c>
      <c r="I58" s="101">
        <f>SUM(F58,G58,H58)</f>
        <v/>
      </c>
      <c r="J58" s="96">
        <f>IF(COUNTIFS('Data - Monthly Metrics'!A:A,$B$4,'Data - Monthly Metrics'!B:B,"Apr",'Data - Monthly Metrics'!C:C,"Southwest",'Data - Monthly Metrics'!D:D,"Retention - Comped Target ($)")=0,"-",SUMIFS('Data - Monthly Metrics'!E:E,'Data - Monthly Metrics'!A:A,$B$4,'Data - Monthly Metrics'!B:B,"Apr",'Data - Monthly Metrics'!C:C,"Southwest",'Data - Monthly Metrics'!D:D,"Retention - Comped Target ($)"))</f>
        <v/>
      </c>
      <c r="K58" s="96">
        <f>IF(COUNTIFS('Data - Monthly Metrics'!A:A,$B$4,'Data - Monthly Metrics'!B:B,"May",'Data - Monthly Metrics'!C:C,"Southwest",'Data - Monthly Metrics'!D:D,"Retention - Comped Target ($)")=0,"-",SUMIFS('Data - Monthly Metrics'!E:E,'Data - Monthly Metrics'!A:A,$B$4,'Data - Monthly Metrics'!B:B,"May",'Data - Monthly Metrics'!C:C,"Southwest",'Data - Monthly Metrics'!D:D,"Retention - Comped Target ($)"))</f>
        <v/>
      </c>
      <c r="L58" s="96">
        <f>IF(COUNTIFS('Data - Monthly Metrics'!A:A,$B$4,'Data - Monthly Metrics'!B:B,"Jun",'Data - Monthly Metrics'!C:C,"Southwest",'Data - Monthly Metrics'!D:D,"Retention - Comped Target ($)")=0,"-",SUMIFS('Data - Monthly Metrics'!E:E,'Data - Monthly Metrics'!A:A,$B$4,'Data - Monthly Metrics'!B:B,"Jun",'Data - Monthly Metrics'!C:C,"Southwest",'Data - Monthly Metrics'!D:D,"Retention - Comped Target ($)"))</f>
        <v/>
      </c>
      <c r="M58" s="101">
        <f>SUM(J58,K58,L58)</f>
        <v/>
      </c>
      <c r="N58" s="96">
        <f>IF(COUNTIFS('Data - Monthly Metrics'!A:A,$B$4,'Data - Monthly Metrics'!B:B,"Jul",'Data - Monthly Metrics'!C:C,"Southwest",'Data - Monthly Metrics'!D:D,"Retention - Comped Target ($)")=0,"-",SUMIFS('Data - Monthly Metrics'!E:E,'Data - Monthly Metrics'!A:A,$B$4,'Data - Monthly Metrics'!B:B,"Jul",'Data - Monthly Metrics'!C:C,"Southwest",'Data - Monthly Metrics'!D:D,"Retention - Comped Target ($)"))</f>
        <v/>
      </c>
      <c r="O58" s="96">
        <f>IF(COUNTIFS('Data - Monthly Metrics'!A:A,$B$4,'Data - Monthly Metrics'!B:B,"Aug",'Data - Monthly Metrics'!C:C,"Southwest",'Data - Monthly Metrics'!D:D,"Retention - Comped Target ($)")=0,"-",SUMIFS('Data - Monthly Metrics'!E:E,'Data - Monthly Metrics'!A:A,$B$4,'Data - Monthly Metrics'!B:B,"Aug",'Data - Monthly Metrics'!C:C,"Southwest",'Data - Monthly Metrics'!D:D,"Retention - Comped Target ($)"))</f>
        <v/>
      </c>
      <c r="P58" s="96">
        <f>IF(COUNTIFS('Data - Monthly Metrics'!A:A,$B$4,'Data - Monthly Metrics'!B:B,"Sep",'Data - Monthly Metrics'!C:C,"Southwest",'Data - Monthly Metrics'!D:D,"Retention - Comped Target ($)")=0,"-",SUMIFS('Data - Monthly Metrics'!E:E,'Data - Monthly Metrics'!A:A,$B$4,'Data - Monthly Metrics'!B:B,"Sep",'Data - Monthly Metrics'!C:C,"Southwest",'Data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Metrics'!C:C,"Southwest",'Data - Monthly Metrics'!D:D,"Drops - Target (#)")=0,"-",SUMIFS('Data - Monthly Metrics'!E:E,'Data - Monthly Metrics'!A:A,$B$4-1,'Data - Monthly Metrics'!B:B,"Oct",'Data - Monthly Metrics'!C:C,"Southwest",'Data - Monthly Metrics'!D:D,"Drops - Target (#)"))</f>
        <v/>
      </c>
      <c r="C63" s="93">
        <f>IF(COUNTIFS('Data - Monthly Metrics'!A:A,$B$4-1,'Data - Monthly Metrics'!B:B,"Nov",'Data - Monthly Metrics'!C:C,"Southwest",'Data - Monthly Metrics'!D:D,"Drops - Target (#)")=0,"-",SUMIFS('Data - Monthly Metrics'!E:E,'Data - Monthly Metrics'!A:A,$B$4-1,'Data - Monthly Metrics'!B:B,"Nov",'Data - Monthly Metrics'!C:C,"Southwest",'Data - Monthly Metrics'!D:D,"Drops - Target (#)"))</f>
        <v/>
      </c>
      <c r="D63" s="93">
        <f>IF(COUNTIFS('Data - Monthly Metrics'!A:A,$B$4-1,'Data - Monthly Metrics'!B:B,"Dec",'Data - Monthly Metrics'!C:C,"Southwest",'Data - Monthly Metrics'!D:D,"Drops - Target (#)")=0,"-",SUMIFS('Data - Monthly Metrics'!E:E,'Data - Monthly Metrics'!A:A,$B$4-1,'Data - Monthly Metrics'!B:B,"Dec",'Data - Monthly Metrics'!C:C,"Southwest",'Data - Monthly Metrics'!D:D,"Drops - Target (#)"))</f>
        <v/>
      </c>
      <c r="E63" s="103">
        <f>SUM(B63,C63,D63)</f>
        <v/>
      </c>
      <c r="F63" s="93">
        <f>IF(COUNTIFS('Data - Monthly Metrics'!A:A,$B$4,'Data - Monthly Metrics'!B:B,"Jan",'Data - Monthly Metrics'!C:C,"Southwest",'Data - Monthly Metrics'!D:D,"Drops - Target (#)")=0,"-",SUMIFS('Data - Monthly Metrics'!E:E,'Data - Monthly Metrics'!A:A,$B$4,'Data - Monthly Metrics'!B:B,"Jan",'Data - Monthly Metrics'!C:C,"Southwest",'Data - Monthly Metrics'!D:D,"Drops - Target (#)"))</f>
        <v/>
      </c>
      <c r="G63" s="93">
        <f>IF(COUNTIFS('Data - Monthly Metrics'!A:A,$B$4,'Data - Monthly Metrics'!B:B,"Feb",'Data - Monthly Metrics'!C:C,"Southwest",'Data - Monthly Metrics'!D:D,"Drops - Target (#)")=0,"-",SUMIFS('Data - Monthly Metrics'!E:E,'Data - Monthly Metrics'!A:A,$B$4,'Data - Monthly Metrics'!B:B,"Feb",'Data - Monthly Metrics'!C:C,"Southwest",'Data - Monthly Metrics'!D:D,"Drops - Target (#)"))</f>
        <v/>
      </c>
      <c r="H63" s="93">
        <f>IF(COUNTIFS('Data - Monthly Metrics'!A:A,$B$4,'Data - Monthly Metrics'!B:B,"Mar",'Data - Monthly Metrics'!C:C,"Southwest",'Data - Monthly Metrics'!D:D,"Drops - Target (#)")=0,"-",SUMIFS('Data - Monthly Metrics'!E:E,'Data - Monthly Metrics'!A:A,$B$4,'Data - Monthly Metrics'!B:B,"Mar",'Data - Monthly Metrics'!C:C,"Southwest",'Data - Monthly Metrics'!D:D,"Drops - Target (#)"))</f>
        <v/>
      </c>
      <c r="I63" s="103">
        <f>SUM(F63,G63,H63)</f>
        <v/>
      </c>
      <c r="J63" s="93">
        <f>IF(COUNTIFS('Data - Monthly Metrics'!A:A,$B$4,'Data - Monthly Metrics'!B:B,"Apr",'Data - Monthly Metrics'!C:C,"Southwest",'Data - Monthly Metrics'!D:D,"Drops - Target (#)")=0,"-",SUMIFS('Data - Monthly Metrics'!E:E,'Data - Monthly Metrics'!A:A,$B$4,'Data - Monthly Metrics'!B:B,"Apr",'Data - Monthly Metrics'!C:C,"Southwest",'Data - Monthly Metrics'!D:D,"Drops - Target (#)"))</f>
        <v/>
      </c>
      <c r="K63" s="93">
        <f>IF(COUNTIFS('Data - Monthly Metrics'!A:A,$B$4,'Data - Monthly Metrics'!B:B,"May",'Data - Monthly Metrics'!C:C,"Southwest",'Data - Monthly Metrics'!D:D,"Drops - Target (#)")=0,"-",SUMIFS('Data - Monthly Metrics'!E:E,'Data - Monthly Metrics'!A:A,$B$4,'Data - Monthly Metrics'!B:B,"May",'Data - Monthly Metrics'!C:C,"Southwest",'Data - Monthly Metrics'!D:D,"Drops - Target (#)"))</f>
        <v/>
      </c>
      <c r="L63" s="93">
        <f>IF(COUNTIFS('Data - Monthly Metrics'!A:A,$B$4,'Data - Monthly Metrics'!B:B,"Jun",'Data - Monthly Metrics'!C:C,"Southwest",'Data - Monthly Metrics'!D:D,"Drops - Target (#)")=0,"-",SUMIFS('Data - Monthly Metrics'!E:E,'Data - Monthly Metrics'!A:A,$B$4,'Data - Monthly Metrics'!B:B,"Jun",'Data - Monthly Metrics'!C:C,"Southwest",'Data - Monthly Metrics'!D:D,"Drops - Target (#)"))</f>
        <v/>
      </c>
      <c r="M63" s="103">
        <f>SUM(J63,K63,L63)</f>
        <v/>
      </c>
      <c r="N63" s="93">
        <f>IF(COUNTIFS('Data - Monthly Metrics'!A:A,$B$4,'Data - Monthly Metrics'!B:B,"Jul",'Data - Monthly Metrics'!C:C,"Southwest",'Data - Monthly Metrics'!D:D,"Drops - Target (#)")=0,"-",SUMIFS('Data - Monthly Metrics'!E:E,'Data - Monthly Metrics'!A:A,$B$4,'Data - Monthly Metrics'!B:B,"Jul",'Data - Monthly Metrics'!C:C,"Southwest",'Data - Monthly Metrics'!D:D,"Drops - Target (#)"))</f>
        <v/>
      </c>
      <c r="O63" s="93">
        <f>IF(COUNTIFS('Data - Monthly Metrics'!A:A,$B$4,'Data - Monthly Metrics'!B:B,"Aug",'Data - Monthly Metrics'!C:C,"Southwest",'Data - Monthly Metrics'!D:D,"Drops - Target (#)")=0,"-",SUMIFS('Data - Monthly Metrics'!E:E,'Data - Monthly Metrics'!A:A,$B$4,'Data - Monthly Metrics'!B:B,"Aug",'Data - Monthly Metrics'!C:C,"Southwest",'Data - Monthly Metrics'!D:D,"Drops - Target (#)"))</f>
        <v/>
      </c>
      <c r="P63" s="93">
        <f>IF(COUNTIFS('Data - Monthly Metrics'!A:A,$B$4,'Data - Monthly Metrics'!B:B,"Sep",'Data - Monthly Metrics'!C:C,"Southwest",'Data - Monthly Metrics'!D:D,"Drops - Target (#)")=0,"-",SUMIFS('Data - Monthly Metrics'!E:E,'Data - Monthly Metrics'!A:A,$B$4,'Data - Monthly Metrics'!B:B,"Sep",'Data - Monthly Metrics'!C:C,"Southwest",'Data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Metrics'!C:C,"Southwest",'Data - Monthly Metrics'!D:D,"Dropped Revenue - Target ($)")=0,"-",SUMIFS('Data - Monthly Metrics'!E:E,'Data - Monthly Metrics'!A:A,$B$4-1,'Data - Monthly Metrics'!B:B,"Oct",'Data - Monthly Metrics'!C:C,"Southwest",'Data - Monthly Metrics'!D:D,"Dropped Revenue - Target ($)"))</f>
        <v/>
      </c>
      <c r="C64" s="96">
        <f>IF(COUNTIFS('Data - Monthly Metrics'!A:A,$B$4-1,'Data - Monthly Metrics'!B:B,"Nov",'Data - Monthly Metrics'!C:C,"Southwest",'Data - Monthly Metrics'!D:D,"Dropped Revenue - Target ($)")=0,"-",SUMIFS('Data - Monthly Metrics'!E:E,'Data - Monthly Metrics'!A:A,$B$4-1,'Data - Monthly Metrics'!B:B,"Nov",'Data - Monthly Metrics'!C:C,"Southwest",'Data - Monthly Metrics'!D:D,"Dropped Revenue - Target ($)"))</f>
        <v/>
      </c>
      <c r="D64" s="96">
        <f>IF(COUNTIFS('Data - Monthly Metrics'!A:A,$B$4-1,'Data - Monthly Metrics'!B:B,"Dec",'Data - Monthly Metrics'!C:C,"Southwest",'Data - Monthly Metrics'!D:D,"Dropped Revenue - Target ($)")=0,"-",SUMIFS('Data - Monthly Metrics'!E:E,'Data - Monthly Metrics'!A:A,$B$4-1,'Data - Monthly Metrics'!B:B,"Dec",'Data - Monthly Metrics'!C:C,"Southwest",'Data - Monthly Metrics'!D:D,"Dropped Revenue - Target ($)"))</f>
        <v/>
      </c>
      <c r="E64" s="101">
        <f>SUM(B64,C64,D64)</f>
        <v/>
      </c>
      <c r="F64" s="96">
        <f>IF(COUNTIFS('Data - Monthly Metrics'!A:A,$B$4,'Data - Monthly Metrics'!B:B,"Jan",'Data - Monthly Metrics'!C:C,"Southwest",'Data - Monthly Metrics'!D:D,"Dropped Revenue - Target ($)")=0,"-",SUMIFS('Data - Monthly Metrics'!E:E,'Data - Monthly Metrics'!A:A,$B$4,'Data - Monthly Metrics'!B:B,"Jan",'Data - Monthly Metrics'!C:C,"Southwest",'Data - Monthly Metrics'!D:D,"Dropped Revenue - Target ($)"))</f>
        <v/>
      </c>
      <c r="G64" s="96">
        <f>IF(COUNTIFS('Data - Monthly Metrics'!A:A,$B$4,'Data - Monthly Metrics'!B:B,"Feb",'Data - Monthly Metrics'!C:C,"Southwest",'Data - Monthly Metrics'!D:D,"Dropped Revenue - Target ($)")=0,"-",SUMIFS('Data - Monthly Metrics'!E:E,'Data - Monthly Metrics'!A:A,$B$4,'Data - Monthly Metrics'!B:B,"Feb",'Data - Monthly Metrics'!C:C,"Southwest",'Data - Monthly Metrics'!D:D,"Dropped Revenue - Target ($)"))</f>
        <v/>
      </c>
      <c r="H64" s="96">
        <f>IF(COUNTIFS('Data - Monthly Metrics'!A:A,$B$4,'Data - Monthly Metrics'!B:B,"Mar",'Data - Monthly Metrics'!C:C,"Southwest",'Data - Monthly Metrics'!D:D,"Dropped Revenue - Target ($)")=0,"-",SUMIFS('Data - Monthly Metrics'!E:E,'Data - Monthly Metrics'!A:A,$B$4,'Data - Monthly Metrics'!B:B,"Mar",'Data - Monthly Metrics'!C:C,"Southwest",'Data - Monthly Metrics'!D:D,"Dropped Revenue - Target ($)"))</f>
        <v/>
      </c>
      <c r="I64" s="101">
        <f>SUM(F64,G64,H64)</f>
        <v/>
      </c>
      <c r="J64" s="96">
        <f>IF(COUNTIFS('Data - Monthly Metrics'!A:A,$B$4,'Data - Monthly Metrics'!B:B,"Apr",'Data - Monthly Metrics'!C:C,"Southwest",'Data - Monthly Metrics'!D:D,"Dropped Revenue - Target ($)")=0,"-",SUMIFS('Data - Monthly Metrics'!E:E,'Data - Monthly Metrics'!A:A,$B$4,'Data - Monthly Metrics'!B:B,"Apr",'Data - Monthly Metrics'!C:C,"Southwest",'Data - Monthly Metrics'!D:D,"Dropped Revenue - Target ($)"))</f>
        <v/>
      </c>
      <c r="K64" s="96">
        <f>IF(COUNTIFS('Data - Monthly Metrics'!A:A,$B$4,'Data - Monthly Metrics'!B:B,"May",'Data - Monthly Metrics'!C:C,"Southwest",'Data - Monthly Metrics'!D:D,"Dropped Revenue - Target ($)")=0,"-",SUMIFS('Data - Monthly Metrics'!E:E,'Data - Monthly Metrics'!A:A,$B$4,'Data - Monthly Metrics'!B:B,"May",'Data - Monthly Metrics'!C:C,"Southwest",'Data - Monthly Metrics'!D:D,"Dropped Revenue - Target ($)"))</f>
        <v/>
      </c>
      <c r="L64" s="96">
        <f>IF(COUNTIFS('Data - Monthly Metrics'!A:A,$B$4,'Data - Monthly Metrics'!B:B,"Jun",'Data - Monthly Metrics'!C:C,"Southwest",'Data - Monthly Metrics'!D:D,"Dropped Revenue - Target ($)")=0,"-",SUMIFS('Data - Monthly Metrics'!E:E,'Data - Monthly Metrics'!A:A,$B$4,'Data - Monthly Metrics'!B:B,"Jun",'Data - Monthly Metrics'!C:C,"Southwest",'Data - Monthly Metrics'!D:D,"Dropped Revenue - Target ($)"))</f>
        <v/>
      </c>
      <c r="M64" s="101">
        <f>SUM(J64,K64,L64)</f>
        <v/>
      </c>
      <c r="N64" s="96">
        <f>IF(COUNTIFS('Data - Monthly Metrics'!A:A,$B$4,'Data - Monthly Metrics'!B:B,"Jul",'Data - Monthly Metrics'!C:C,"Southwest",'Data - Monthly Metrics'!D:D,"Dropped Revenue - Target ($)")=0,"-",SUMIFS('Data - Monthly Metrics'!E:E,'Data - Monthly Metrics'!A:A,$B$4,'Data - Monthly Metrics'!B:B,"Jul",'Data - Monthly Metrics'!C:C,"Southwest",'Data - Monthly Metrics'!D:D,"Dropped Revenue - Target ($)"))</f>
        <v/>
      </c>
      <c r="O64" s="96">
        <f>IF(COUNTIFS('Data - Monthly Metrics'!A:A,$B$4,'Data - Monthly Metrics'!B:B,"Aug",'Data - Monthly Metrics'!C:C,"Southwest",'Data - Monthly Metrics'!D:D,"Dropped Revenue - Target ($)")=0,"-",SUMIFS('Data - Monthly Metrics'!E:E,'Data - Monthly Metrics'!A:A,$B$4,'Data - Monthly Metrics'!B:B,"Aug",'Data - Monthly Metrics'!C:C,"Southwest",'Data - Monthly Metrics'!D:D,"Dropped Revenue - Target ($)"))</f>
        <v/>
      </c>
      <c r="P64" s="96">
        <f>IF(COUNTIFS('Data - Monthly Metrics'!A:A,$B$4,'Data - Monthly Metrics'!B:B,"Sep",'Data - Monthly Metrics'!C:C,"Southwest",'Data - Monthly Metrics'!D:D,"Dropped Revenue - Target ($)")=0,"-",SUMIFS('Data - Monthly Metrics'!E:E,'Data - Monthly Metrics'!A:A,$B$4,'Data - Monthly Metrics'!B:B,"Sep",'Data - Monthly Metrics'!C:C,"Southwest",'Data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Metrics'!C:C,"Southwest",'Data - Monthly Metrics'!D:D,"Penetration - Restaurant %")=0,"-",SUMIFS('Data - Monthly Metrics'!E:E,'Data - Monthly Metrics'!A:A,$B$4-1,'Data - Monthly Metrics'!B:B,"Oct",'Data - Monthly Metrics'!C:C,"Southwest",'Data - Monthly Metrics'!D:D,"Penetration - Restaurant %"))</f>
        <v/>
      </c>
      <c r="C68" s="92">
        <f>IF(COUNTIFS('Data - Monthly Metrics'!A:A,$B$4-1,'Data - Monthly Metrics'!B:B,"Nov",'Data - Monthly Metrics'!C:C,"Southwest",'Data - Monthly Metrics'!D:D,"Penetration - Restaurant %")=0,"-",SUMIFS('Data - Monthly Metrics'!E:E,'Data - Monthly Metrics'!A:A,$B$4-1,'Data - Monthly Metrics'!B:B,"Nov",'Data - Monthly Metrics'!C:C,"Southwest",'Data - Monthly Metrics'!D:D,"Penetration - Restaurant %"))</f>
        <v/>
      </c>
      <c r="D68" s="92">
        <f>IF(COUNTIFS('Data - Monthly Metrics'!A:A,$B$4-1,'Data - Monthly Metrics'!B:B,"Dec",'Data - Monthly Metrics'!C:C,"Southwest",'Data - Monthly Metrics'!D:D,"Penetration - Restaurant %")=0,"-",SUMIFS('Data - Monthly Metrics'!E:E,'Data - Monthly Metrics'!A:A,$B$4-1,'Data - Monthly Metrics'!B:B,"Dec",'Data - Monthly Metrics'!C:C,"Southwest",'Data - Monthly Metrics'!D:D,"Penetration - Restaurant %"))</f>
        <v/>
      </c>
      <c r="E68" s="102">
        <f>IF(ISNUMBER(D68),D68,IF(ISNUMBER(C68),C68,IF(ISNUMBER(B68),B68,"-")))</f>
        <v/>
      </c>
      <c r="F68" s="92">
        <f>IF(COUNTIFS('Data - Monthly Metrics'!A:A,$B$4,'Data - Monthly Metrics'!B:B,"Jan",'Data - Monthly Metrics'!C:C,"Southwest",'Data - Monthly Metrics'!D:D,"Penetration - Restaurant %")=0,"-",SUMIFS('Data - Monthly Metrics'!E:E,'Data - Monthly Metrics'!A:A,$B$4,'Data - Monthly Metrics'!B:B,"Jan",'Data - Monthly Metrics'!C:C,"Southwest",'Data - Monthly Metrics'!D:D,"Penetration - Restaurant %"))</f>
        <v/>
      </c>
      <c r="G68" s="92">
        <f>IF(COUNTIFS('Data - Monthly Metrics'!A:A,$B$4,'Data - Monthly Metrics'!B:B,"Feb",'Data - Monthly Metrics'!C:C,"Southwest",'Data - Monthly Metrics'!D:D,"Penetration - Restaurant %")=0,"-",SUMIFS('Data - Monthly Metrics'!E:E,'Data - Monthly Metrics'!A:A,$B$4,'Data - Monthly Metrics'!B:B,"Feb",'Data - Monthly Metrics'!C:C,"Southwest",'Data - Monthly Metrics'!D:D,"Penetration - Restaurant %"))</f>
        <v/>
      </c>
      <c r="H68" s="92">
        <f>IF(COUNTIFS('Data - Monthly Metrics'!A:A,$B$4,'Data - Monthly Metrics'!B:B,"Mar",'Data - Monthly Metrics'!C:C,"Southwest",'Data - Monthly Metrics'!D:D,"Penetration - Restaurant %")=0,"-",SUMIFS('Data - Monthly Metrics'!E:E,'Data - Monthly Metrics'!A:A,$B$4,'Data - Monthly Metrics'!B:B,"Mar",'Data - Monthly Metrics'!C:C,"Southwest",'Data - Monthly Metrics'!D:D,"Penetration - Restaurant %"))</f>
        <v/>
      </c>
      <c r="I68" s="102">
        <f>IF(ISNUMBER(H68),H68,IF(ISNUMBER(G68),G68,IF(ISNUMBER(F68),F68,"-")))</f>
        <v/>
      </c>
      <c r="J68" s="92">
        <f>IF(COUNTIFS('Data - Monthly Metrics'!A:A,$B$4,'Data - Monthly Metrics'!B:B,"Apr",'Data - Monthly Metrics'!C:C,"Southwest",'Data - Monthly Metrics'!D:D,"Penetration - Restaurant %")=0,"-",SUMIFS('Data - Monthly Metrics'!E:E,'Data - Monthly Metrics'!A:A,$B$4,'Data - Monthly Metrics'!B:B,"Apr",'Data - Monthly Metrics'!C:C,"Southwest",'Data - Monthly Metrics'!D:D,"Penetration - Restaurant %"))</f>
        <v/>
      </c>
      <c r="K68" s="92">
        <f>IF(COUNTIFS('Data - Monthly Metrics'!A:A,$B$4,'Data - Monthly Metrics'!B:B,"May",'Data - Monthly Metrics'!C:C,"Southwest",'Data - Monthly Metrics'!D:D,"Penetration - Restaurant %")=0,"-",SUMIFS('Data - Monthly Metrics'!E:E,'Data - Monthly Metrics'!A:A,$B$4,'Data - Monthly Metrics'!B:B,"May",'Data - Monthly Metrics'!C:C,"Southwest",'Data - Monthly Metrics'!D:D,"Penetration - Restaurant %"))</f>
        <v/>
      </c>
      <c r="L68" s="92">
        <f>IF(COUNTIFS('Data - Monthly Metrics'!A:A,$B$4,'Data - Monthly Metrics'!B:B,"Jun",'Data - Monthly Metrics'!C:C,"Southwest",'Data - Monthly Metrics'!D:D,"Penetration - Restaurant %")=0,"-",SUMIFS('Data - Monthly Metrics'!E:E,'Data - Monthly Metrics'!A:A,$B$4,'Data - Monthly Metrics'!B:B,"Jun",'Data - Monthly Metrics'!C:C,"Southwest",'Data - Monthly Metrics'!D:D,"Penetration - Restaurant %"))</f>
        <v/>
      </c>
      <c r="M68" s="102">
        <f>IF(ISNUMBER(L68),L68,IF(ISNUMBER(K68),K68,IF(ISNUMBER(J68),J68,"-")))</f>
        <v/>
      </c>
      <c r="N68" s="92">
        <f>IF(COUNTIFS('Data - Monthly Metrics'!A:A,$B$4,'Data - Monthly Metrics'!B:B,"Jul",'Data - Monthly Metrics'!C:C,"Southwest",'Data - Monthly Metrics'!D:D,"Penetration - Restaurant %")=0,"-",SUMIFS('Data - Monthly Metrics'!E:E,'Data - Monthly Metrics'!A:A,$B$4,'Data - Monthly Metrics'!B:B,"Jul",'Data - Monthly Metrics'!C:C,"Southwest",'Data - Monthly Metrics'!D:D,"Penetration - Restaurant %"))</f>
        <v/>
      </c>
      <c r="O68" s="92">
        <f>IF(COUNTIFS('Data - Monthly Metrics'!A:A,$B$4,'Data - Monthly Metrics'!B:B,"Aug",'Data - Monthly Metrics'!C:C,"Southwest",'Data - Monthly Metrics'!D:D,"Penetration - Restaurant %")=0,"-",SUMIFS('Data - Monthly Metrics'!E:E,'Data - Monthly Metrics'!A:A,$B$4,'Data - Monthly Metrics'!B:B,"Aug",'Data - Monthly Metrics'!C:C,"Southwest",'Data - Monthly Metrics'!D:D,"Penetration - Restaurant %"))</f>
        <v/>
      </c>
      <c r="P68" s="92">
        <f>IF(COUNTIFS('Data - Monthly Metrics'!A:A,$B$4,'Data - Monthly Metrics'!B:B,"Sep",'Data - Monthly Metrics'!C:C,"Southwest",'Data - Monthly Metrics'!D:D,"Penetration - Restaurant %")=0,"-",SUMIFS('Data - Monthly Metrics'!E:E,'Data - Monthly Metrics'!A:A,$B$4,'Data - Monthly Metrics'!B:B,"Sep",'Data - Monthly Metrics'!C:C,"Southwest",'Data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Metrics'!C:C,"Southwest",'Data - Monthly Metrics'!D:D,"Penetration - Lodging %")=0,"-",SUMIFS('Data - Monthly Metrics'!E:E,'Data - Monthly Metrics'!A:A,$B$4-1,'Data - Monthly Metrics'!B:B,"Oct",'Data - Monthly Metrics'!C:C,"Southwest",'Data - Monthly Metrics'!D:D,"Penetration - Lodging %"))</f>
        <v/>
      </c>
      <c r="C69" s="97">
        <f>IF(COUNTIFS('Data - Monthly Metrics'!A:A,$B$4-1,'Data - Monthly Metrics'!B:B,"Nov",'Data - Monthly Metrics'!C:C,"Southwest",'Data - Monthly Metrics'!D:D,"Penetration - Lodging %")=0,"-",SUMIFS('Data - Monthly Metrics'!E:E,'Data - Monthly Metrics'!A:A,$B$4-1,'Data - Monthly Metrics'!B:B,"Nov",'Data - Monthly Metrics'!C:C,"Southwest",'Data - Monthly Metrics'!D:D,"Penetration - Lodging %"))</f>
        <v/>
      </c>
      <c r="D69" s="97">
        <f>IF(COUNTIFS('Data - Monthly Metrics'!A:A,$B$4-1,'Data - Monthly Metrics'!B:B,"Dec",'Data - Monthly Metrics'!C:C,"Southwest",'Data - Monthly Metrics'!D:D,"Penetration - Lodging %")=0,"-",SUMIFS('Data - Monthly Metrics'!E:E,'Data - Monthly Metrics'!A:A,$B$4-1,'Data - Monthly Metrics'!B:B,"Dec",'Data - Monthly Metrics'!C:C,"Southwest",'Data - Monthly Metrics'!D:D,"Penetration - Lodging %"))</f>
        <v/>
      </c>
      <c r="E69" s="102">
        <f>IF(ISNUMBER(D69),D69,IF(ISNUMBER(C69),C69,IF(ISNUMBER(B69),B69,"-")))</f>
        <v/>
      </c>
      <c r="F69" s="97">
        <f>IF(COUNTIFS('Data - Monthly Metrics'!A:A,$B$4,'Data - Monthly Metrics'!B:B,"Jan",'Data - Monthly Metrics'!C:C,"Southwest",'Data - Monthly Metrics'!D:D,"Penetration - Lodging %")=0,"-",SUMIFS('Data - Monthly Metrics'!E:E,'Data - Monthly Metrics'!A:A,$B$4,'Data - Monthly Metrics'!B:B,"Jan",'Data - Monthly Metrics'!C:C,"Southwest",'Data - Monthly Metrics'!D:D,"Penetration - Lodging %"))</f>
        <v/>
      </c>
      <c r="G69" s="97">
        <f>IF(COUNTIFS('Data - Monthly Metrics'!A:A,$B$4,'Data - Monthly Metrics'!B:B,"Feb",'Data - Monthly Metrics'!C:C,"Southwest",'Data - Monthly Metrics'!D:D,"Penetration - Lodging %")=0,"-",SUMIFS('Data - Monthly Metrics'!E:E,'Data - Monthly Metrics'!A:A,$B$4,'Data - Monthly Metrics'!B:B,"Feb",'Data - Monthly Metrics'!C:C,"Southwest",'Data - Monthly Metrics'!D:D,"Penetration - Lodging %"))</f>
        <v/>
      </c>
      <c r="H69" s="97">
        <f>IF(COUNTIFS('Data - Monthly Metrics'!A:A,$B$4,'Data - Monthly Metrics'!B:B,"Mar",'Data - Monthly Metrics'!C:C,"Southwest",'Data - Monthly Metrics'!D:D,"Penetration - Lodging %")=0,"-",SUMIFS('Data - Monthly Metrics'!E:E,'Data - Monthly Metrics'!A:A,$B$4,'Data - Monthly Metrics'!B:B,"Mar",'Data - Monthly Metrics'!C:C,"Southwest",'Data - Monthly Metrics'!D:D,"Penetration - Lodging %"))</f>
        <v/>
      </c>
      <c r="I69" s="102">
        <f>IF(ISNUMBER(H69),H69,IF(ISNUMBER(G69),G69,IF(ISNUMBER(F69),F69,"-")))</f>
        <v/>
      </c>
      <c r="J69" s="97">
        <f>IF(COUNTIFS('Data - Monthly Metrics'!A:A,$B$4,'Data - Monthly Metrics'!B:B,"Apr",'Data - Monthly Metrics'!C:C,"Southwest",'Data - Monthly Metrics'!D:D,"Penetration - Lodging %")=0,"-",SUMIFS('Data - Monthly Metrics'!E:E,'Data - Monthly Metrics'!A:A,$B$4,'Data - Monthly Metrics'!B:B,"Apr",'Data - Monthly Metrics'!C:C,"Southwest",'Data - Monthly Metrics'!D:D,"Penetration - Lodging %"))</f>
        <v/>
      </c>
      <c r="K69" s="97">
        <f>IF(COUNTIFS('Data - Monthly Metrics'!A:A,$B$4,'Data - Monthly Metrics'!B:B,"May",'Data - Monthly Metrics'!C:C,"Southwest",'Data - Monthly Metrics'!D:D,"Penetration - Lodging %")=0,"-",SUMIFS('Data - Monthly Metrics'!E:E,'Data - Monthly Metrics'!A:A,$B$4,'Data - Monthly Metrics'!B:B,"May",'Data - Monthly Metrics'!C:C,"Southwest",'Data - Monthly Metrics'!D:D,"Penetration - Lodging %"))</f>
        <v/>
      </c>
      <c r="L69" s="97">
        <f>IF(COUNTIFS('Data - Monthly Metrics'!A:A,$B$4,'Data - Monthly Metrics'!B:B,"Jun",'Data - Monthly Metrics'!C:C,"Southwest",'Data - Monthly Metrics'!D:D,"Penetration - Lodging %")=0,"-",SUMIFS('Data - Monthly Metrics'!E:E,'Data - Monthly Metrics'!A:A,$B$4,'Data - Monthly Metrics'!B:B,"Jun",'Data - Monthly Metrics'!C:C,"Southwest",'Data - Monthly Metrics'!D:D,"Penetration - Lodging %"))</f>
        <v/>
      </c>
      <c r="M69" s="102">
        <f>IF(ISNUMBER(L69),L69,IF(ISNUMBER(K69),K69,IF(ISNUMBER(J69),J69,"-")))</f>
        <v/>
      </c>
      <c r="N69" s="97">
        <f>IF(COUNTIFS('Data - Monthly Metrics'!A:A,$B$4,'Data - Monthly Metrics'!B:B,"Jul",'Data - Monthly Metrics'!C:C,"Southwest",'Data - Monthly Metrics'!D:D,"Penetration - Lodging %")=0,"-",SUMIFS('Data - Monthly Metrics'!E:E,'Data - Monthly Metrics'!A:A,$B$4,'Data - Monthly Metrics'!B:B,"Jul",'Data - Monthly Metrics'!C:C,"Southwest",'Data - Monthly Metrics'!D:D,"Penetration - Lodging %"))</f>
        <v/>
      </c>
      <c r="O69" s="97">
        <f>IF(COUNTIFS('Data - Monthly Metrics'!A:A,$B$4,'Data - Monthly Metrics'!B:B,"Aug",'Data - Monthly Metrics'!C:C,"Southwest",'Data - Monthly Metrics'!D:D,"Penetration - Lodging %")=0,"-",SUMIFS('Data - Monthly Metrics'!E:E,'Data - Monthly Metrics'!A:A,$B$4,'Data - Monthly Metrics'!B:B,"Aug",'Data - Monthly Metrics'!C:C,"Southwest",'Data - Monthly Metrics'!D:D,"Penetration - Lodging %"))</f>
        <v/>
      </c>
      <c r="P69" s="97">
        <f>IF(COUNTIFS('Data - Monthly Metrics'!A:A,$B$4,'Data - Monthly Metrics'!B:B,"Sep",'Data - Monthly Metrics'!C:C,"Southwest",'Data - Monthly Metrics'!D:D,"Penetration - Lodging %")=0,"-",SUMIFS('Data - Monthly Metrics'!E:E,'Data - Monthly Metrics'!A:A,$B$4,'Data - Monthly Metrics'!B:B,"Sep",'Data - Monthly Metrics'!C:C,"Southwest",'Data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Metrics'!C:C,"Southwest",'Data - Monthly Metrics'!D:D,"Penetration - Combined %")=0,"-",SUMIFS('Data - Monthly Metrics'!E:E,'Data - Monthly Metrics'!A:A,$B$4-1,'Data - Monthly Metrics'!B:B,"Oct",'Data - Monthly Metrics'!C:C,"Southwest",'Data - Monthly Metrics'!D:D,"Penetration - Combined %"))</f>
        <v/>
      </c>
      <c r="C70" s="92">
        <f>IF(COUNTIFS('Data - Monthly Metrics'!A:A,$B$4-1,'Data - Monthly Metrics'!B:B,"Nov",'Data - Monthly Metrics'!C:C,"Southwest",'Data - Monthly Metrics'!D:D,"Penetration - Combined %")=0,"-",SUMIFS('Data - Monthly Metrics'!E:E,'Data - Monthly Metrics'!A:A,$B$4-1,'Data - Monthly Metrics'!B:B,"Nov",'Data - Monthly Metrics'!C:C,"Southwest",'Data - Monthly Metrics'!D:D,"Penetration - Combined %"))</f>
        <v/>
      </c>
      <c r="D70" s="92">
        <f>IF(COUNTIFS('Data - Monthly Metrics'!A:A,$B$4-1,'Data - Monthly Metrics'!B:B,"Dec",'Data - Monthly Metrics'!C:C,"Southwest",'Data - Monthly Metrics'!D:D,"Penetration - Combined %")=0,"-",SUMIFS('Data - Monthly Metrics'!E:E,'Data - Monthly Metrics'!A:A,$B$4-1,'Data - Monthly Metrics'!B:B,"Dec",'Data - Monthly Metrics'!C:C,"Southwest",'Data - Monthly Metrics'!D:D,"Penetration - Combined %"))</f>
        <v/>
      </c>
      <c r="E70" s="102">
        <f>IF(ISNUMBER(D70),D70,IF(ISNUMBER(C70),C70,IF(ISNUMBER(B70),B70,"-")))</f>
        <v/>
      </c>
      <c r="F70" s="92">
        <f>IF(COUNTIFS('Data - Monthly Metrics'!A:A,$B$4,'Data - Monthly Metrics'!B:B,"Jan",'Data - Monthly Metrics'!C:C,"Southwest",'Data - Monthly Metrics'!D:D,"Penetration - Combined %")=0,"-",SUMIFS('Data - Monthly Metrics'!E:E,'Data - Monthly Metrics'!A:A,$B$4,'Data - Monthly Metrics'!B:B,"Jan",'Data - Monthly Metrics'!C:C,"Southwest",'Data - Monthly Metrics'!D:D,"Penetration - Combined %"))</f>
        <v/>
      </c>
      <c r="G70" s="92">
        <f>IF(COUNTIFS('Data - Monthly Metrics'!A:A,$B$4,'Data - Monthly Metrics'!B:B,"Feb",'Data - Monthly Metrics'!C:C,"Southwest",'Data - Monthly Metrics'!D:D,"Penetration - Combined %")=0,"-",SUMIFS('Data - Monthly Metrics'!E:E,'Data - Monthly Metrics'!A:A,$B$4,'Data - Monthly Metrics'!B:B,"Feb",'Data - Monthly Metrics'!C:C,"Southwest",'Data - Monthly Metrics'!D:D,"Penetration - Combined %"))</f>
        <v/>
      </c>
      <c r="H70" s="92">
        <f>IF(COUNTIFS('Data - Monthly Metrics'!A:A,$B$4,'Data - Monthly Metrics'!B:B,"Mar",'Data - Monthly Metrics'!C:C,"Southwest",'Data - Monthly Metrics'!D:D,"Penetration - Combined %")=0,"-",SUMIFS('Data - Monthly Metrics'!E:E,'Data - Monthly Metrics'!A:A,$B$4,'Data - Monthly Metrics'!B:B,"Mar",'Data - Monthly Metrics'!C:C,"Southwest",'Data - Monthly Metrics'!D:D,"Penetration - Combined %"))</f>
        <v/>
      </c>
      <c r="I70" s="102">
        <f>IF(ISNUMBER(H70),H70,IF(ISNUMBER(G70),G70,IF(ISNUMBER(F70),F70,"-")))</f>
        <v/>
      </c>
      <c r="J70" s="92">
        <f>IF(COUNTIFS('Data - Monthly Metrics'!A:A,$B$4,'Data - Monthly Metrics'!B:B,"Apr",'Data - Monthly Metrics'!C:C,"Southwest",'Data - Monthly Metrics'!D:D,"Penetration - Combined %")=0,"-",SUMIFS('Data - Monthly Metrics'!E:E,'Data - Monthly Metrics'!A:A,$B$4,'Data - Monthly Metrics'!B:B,"Apr",'Data - Monthly Metrics'!C:C,"Southwest",'Data - Monthly Metrics'!D:D,"Penetration - Combined %"))</f>
        <v/>
      </c>
      <c r="K70" s="92">
        <f>IF(COUNTIFS('Data - Monthly Metrics'!A:A,$B$4,'Data - Monthly Metrics'!B:B,"May",'Data - Monthly Metrics'!C:C,"Southwest",'Data - Monthly Metrics'!D:D,"Penetration - Combined %")=0,"-",SUMIFS('Data - Monthly Metrics'!E:E,'Data - Monthly Metrics'!A:A,$B$4,'Data - Monthly Metrics'!B:B,"May",'Data - Monthly Metrics'!C:C,"Southwest",'Data - Monthly Metrics'!D:D,"Penetration - Combined %"))</f>
        <v/>
      </c>
      <c r="L70" s="92">
        <f>IF(COUNTIFS('Data - Monthly Metrics'!A:A,$B$4,'Data - Monthly Metrics'!B:B,"Jun",'Data - Monthly Metrics'!C:C,"Southwest",'Data - Monthly Metrics'!D:D,"Penetration - Combined %")=0,"-",SUMIFS('Data - Monthly Metrics'!E:E,'Data - Monthly Metrics'!A:A,$B$4,'Data - Monthly Metrics'!B:B,"Jun",'Data - Monthly Metrics'!C:C,"Southwest",'Data - Monthly Metrics'!D:D,"Penetration - Combined %"))</f>
        <v/>
      </c>
      <c r="M70" s="102">
        <f>IF(ISNUMBER(L70),L70,IF(ISNUMBER(K70),K70,IF(ISNUMBER(J70),J70,"-")))</f>
        <v/>
      </c>
      <c r="N70" s="92">
        <f>IF(COUNTIFS('Data - Monthly Metrics'!A:A,$B$4,'Data - Monthly Metrics'!B:B,"Jul",'Data - Monthly Metrics'!C:C,"Southwest",'Data - Monthly Metrics'!D:D,"Penetration - Combined %")=0,"-",SUMIFS('Data - Monthly Metrics'!E:E,'Data - Monthly Metrics'!A:A,$B$4,'Data - Monthly Metrics'!B:B,"Jul",'Data - Monthly Metrics'!C:C,"Southwest",'Data - Monthly Metrics'!D:D,"Penetration - Combined %"))</f>
        <v/>
      </c>
      <c r="O70" s="92">
        <f>IF(COUNTIFS('Data - Monthly Metrics'!A:A,$B$4,'Data - Monthly Metrics'!B:B,"Aug",'Data - Monthly Metrics'!C:C,"Southwest",'Data - Monthly Metrics'!D:D,"Penetration - Combined %")=0,"-",SUMIFS('Data - Monthly Metrics'!E:E,'Data - Monthly Metrics'!A:A,$B$4,'Data - Monthly Metrics'!B:B,"Aug",'Data - Monthly Metrics'!C:C,"Southwest",'Data - Monthly Metrics'!D:D,"Penetration - Combined %"))</f>
        <v/>
      </c>
      <c r="P70" s="92">
        <f>IF(COUNTIFS('Data - Monthly Metrics'!A:A,$B$4,'Data - Monthly Metrics'!B:B,"Sep",'Data - Monthly Metrics'!C:C,"Southwest",'Data - Monthly Metrics'!D:D,"Penetration - Combined %")=0,"-",SUMIFS('Data - Monthly Metrics'!E:E,'Data - Monthly Metrics'!A:A,$B$4,'Data - Monthly Metrics'!B:B,"Sep",'Data - Monthly Metrics'!C:C,"Southwest",'Data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Metrics'!$C:$C,"Southwest",'Data - Monthly Metrics'!$D:$D,"Goal - Penetration %")=0),"—",IF(B70&gt;=SUMIFS('Data - Monthly Metrics'!$E:$E,'Data - Monthly Metrics'!$A:$A,$B$4-1,'Data - Monthly Metrics'!$B:$B,B$8,'Data - Monthly Metrics'!$C:$C,"Southwest",'Data - Monthly Metrics'!$D:$D,"Goal - Penetration %"),"On Track",IF(B70&gt;=SUMIFS('Data - Monthly Metrics'!$E:$E,'Data - Monthly Metrics'!$A:$A,$B$4-1,'Data - Monthly Metrics'!$B:$B,B$8,'Data - Monthly Metrics'!$C:$C,"Southwest",'Data - Monthly Metrics'!$D:$D,"Goal - Penetration %")-0.05,"Watch","At Risk")))</f>
        <v/>
      </c>
      <c r="C71" s="120">
        <f>IF(OR(NOT(ISNUMBER(C70)),C70=0,COUNTIFS('Data - Monthly Metrics'!$A:$A,$B$4-1,'Data - Monthly Metrics'!$B:$B,C$8,'Data - Monthly Metrics'!$C:$C,"Southwest",'Data - Monthly Metrics'!$D:$D,"Goal - Penetration %")=0),"—",IF(C70&gt;=SUMIFS('Data - Monthly Metrics'!$E:$E,'Data - Monthly Metrics'!$A:$A,$B$4-1,'Data - Monthly Metrics'!$B:$B,C$8,'Data - Monthly Metrics'!$C:$C,"Southwest",'Data - Monthly Metrics'!$D:$D,"Goal - Penetration %"),"On Track",IF(C70&gt;=SUMIFS('Data - Monthly Metrics'!$E:$E,'Data - Monthly Metrics'!$A:$A,$B$4-1,'Data - Monthly Metrics'!$B:$B,C$8,'Data - Monthly Metrics'!$C:$C,"Southwest",'Data - Monthly Metrics'!$D:$D,"Goal - Penetration %")-0.05,"Watch","At Risk")))</f>
        <v/>
      </c>
      <c r="D71" s="120">
        <f>IF(OR(NOT(ISNUMBER(D70)),D70=0,COUNTIFS('Data - Monthly Metrics'!$A:$A,$B$4-1,'Data - Monthly Metrics'!$B:$B,D$8,'Data - Monthly Metrics'!$C:$C,"Southwest",'Data - Monthly Metrics'!$D:$D,"Goal - Penetration %")=0),"—",IF(D70&gt;=SUMIFS('Data - Monthly Metrics'!$E:$E,'Data - Monthly Metrics'!$A:$A,$B$4-1,'Data - Monthly Metrics'!$B:$B,D$8,'Data - Monthly Metrics'!$C:$C,"Southwest",'Data - Monthly Metrics'!$D:$D,"Goal - Penetration %"),"On Track",IF(D70&gt;=SUMIFS('Data - Monthly Metrics'!$E:$E,'Data - Monthly Metrics'!$A:$A,$B$4-1,'Data - Monthly Metrics'!$B:$B,D$8,'Data - Monthly Metrics'!$C:$C,"Southwest",'Data - Monthly Metrics'!$D:$D,"Goal - Penetration %")-0.05,"Watch","At Risk")))</f>
        <v/>
      </c>
      <c r="E71" s="121">
        <f>"—"</f>
        <v/>
      </c>
      <c r="F71" s="120">
        <f>IF(OR(NOT(ISNUMBER(F70)),F70=0,COUNTIFS('Data - Monthly Metrics'!$A:$A,$B$4,'Data - Monthly Metrics'!$B:$B,F$8,'Data - Monthly Metrics'!$C:$C,"Southwest",'Data - Monthly Metrics'!$D:$D,"Goal - Penetration %")=0),"—",IF(F70&gt;=SUMIFS('Data - Monthly Metrics'!$E:$E,'Data - Monthly Metrics'!$A:$A,$B$4,'Data - Monthly Metrics'!$B:$B,F$8,'Data - Monthly Metrics'!$C:$C,"Southwest",'Data - Monthly Metrics'!$D:$D,"Goal - Penetration %"),"On Track",IF(F70&gt;=SUMIFS('Data - Monthly Metrics'!$E:$E,'Data - Monthly Metrics'!$A:$A,$B$4,'Data - Monthly Metrics'!$B:$B,F$8,'Data - Monthly Metrics'!$C:$C,"Southwest",'Data - Monthly Metrics'!$D:$D,"Goal - Penetration %")-0.05,"Watch","At Risk")))</f>
        <v/>
      </c>
      <c r="G71" s="120">
        <f>IF(OR(NOT(ISNUMBER(G70)),G70=0,COUNTIFS('Data - Monthly Metrics'!$A:$A,$B$4,'Data - Monthly Metrics'!$B:$B,G$8,'Data - Monthly Metrics'!$C:$C,"Southwest",'Data - Monthly Metrics'!$D:$D,"Goal - Penetration %")=0),"—",IF(G70&gt;=SUMIFS('Data - Monthly Metrics'!$E:$E,'Data - Monthly Metrics'!$A:$A,$B$4,'Data - Monthly Metrics'!$B:$B,G$8,'Data - Monthly Metrics'!$C:$C,"Southwest",'Data - Monthly Metrics'!$D:$D,"Goal - Penetration %"),"On Track",IF(G70&gt;=SUMIFS('Data - Monthly Metrics'!$E:$E,'Data - Monthly Metrics'!$A:$A,$B$4,'Data - Monthly Metrics'!$B:$B,G$8,'Data - Monthly Metrics'!$C:$C,"Southwest",'Data - Monthly Metrics'!$D:$D,"Goal - Penetration %")-0.05,"Watch","At Risk")))</f>
        <v/>
      </c>
      <c r="H71" s="120">
        <f>IF(OR(NOT(ISNUMBER(H70)),H70=0,COUNTIFS('Data - Monthly Metrics'!$A:$A,$B$4,'Data - Monthly Metrics'!$B:$B,H$8,'Data - Monthly Metrics'!$C:$C,"Southwest",'Data - Monthly Metrics'!$D:$D,"Goal - Penetration %")=0),"—",IF(H70&gt;=SUMIFS('Data - Monthly Metrics'!$E:$E,'Data - Monthly Metrics'!$A:$A,$B$4,'Data - Monthly Metrics'!$B:$B,H$8,'Data - Monthly Metrics'!$C:$C,"Southwest",'Data - Monthly Metrics'!$D:$D,"Goal - Penetration %"),"On Track",IF(H70&gt;=SUMIFS('Data - Monthly Metrics'!$E:$E,'Data - Monthly Metrics'!$A:$A,$B$4,'Data - Monthly Metrics'!$B:$B,H$8,'Data - Monthly Metrics'!$C:$C,"Southwest",'Data - Monthly Metrics'!$D:$D,"Goal - Penetration %")-0.05,"Watch","At Risk")))</f>
        <v/>
      </c>
      <c r="I71" s="121">
        <f>"—"</f>
        <v/>
      </c>
      <c r="J71" s="120">
        <f>IF(OR(NOT(ISNUMBER(J70)),J70=0,COUNTIFS('Data - Monthly Metrics'!$A:$A,$B$4,'Data - Monthly Metrics'!$B:$B,J$8,'Data - Monthly Metrics'!$C:$C,"Southwest",'Data - Monthly Metrics'!$D:$D,"Goal - Penetration %")=0),"—",IF(J70&gt;=SUMIFS('Data - Monthly Metrics'!$E:$E,'Data - Monthly Metrics'!$A:$A,$B$4,'Data - Monthly Metrics'!$B:$B,J$8,'Data - Monthly Metrics'!$C:$C,"Southwest",'Data - Monthly Metrics'!$D:$D,"Goal - Penetration %"),"On Track",IF(J70&gt;=SUMIFS('Data - Monthly Metrics'!$E:$E,'Data - Monthly Metrics'!$A:$A,$B$4,'Data - Monthly Metrics'!$B:$B,J$8,'Data - Monthly Metrics'!$C:$C,"Southwest",'Data - Monthly Metrics'!$D:$D,"Goal - Penetration %")-0.05,"Watch","At Risk")))</f>
        <v/>
      </c>
      <c r="K71" s="120">
        <f>IF(OR(NOT(ISNUMBER(K70)),K70=0,COUNTIFS('Data - Monthly Metrics'!$A:$A,$B$4,'Data - Monthly Metrics'!$B:$B,K$8,'Data - Monthly Metrics'!$C:$C,"Southwest",'Data - Monthly Metrics'!$D:$D,"Goal - Penetration %")=0),"—",IF(K70&gt;=SUMIFS('Data - Monthly Metrics'!$E:$E,'Data - Monthly Metrics'!$A:$A,$B$4,'Data - Monthly Metrics'!$B:$B,K$8,'Data - Monthly Metrics'!$C:$C,"Southwest",'Data - Monthly Metrics'!$D:$D,"Goal - Penetration %"),"On Track",IF(K70&gt;=SUMIFS('Data - Monthly Metrics'!$E:$E,'Data - Monthly Metrics'!$A:$A,$B$4,'Data - Monthly Metrics'!$B:$B,K$8,'Data - Monthly Metrics'!$C:$C,"Southwest",'Data - Monthly Metrics'!$D:$D,"Goal - Penetration %")-0.05,"Watch","At Risk")))</f>
        <v/>
      </c>
      <c r="L71" s="120">
        <f>IF(OR(NOT(ISNUMBER(L70)),L70=0,COUNTIFS('Data - Monthly Metrics'!$A:$A,$B$4,'Data - Monthly Metrics'!$B:$B,L$8,'Data - Monthly Metrics'!$C:$C,"Southwest",'Data - Monthly Metrics'!$D:$D,"Goal - Penetration %")=0),"—",IF(L70&gt;=SUMIFS('Data - Monthly Metrics'!$E:$E,'Data - Monthly Metrics'!$A:$A,$B$4,'Data - Monthly Metrics'!$B:$B,L$8,'Data - Monthly Metrics'!$C:$C,"Southwest",'Data - Monthly Metrics'!$D:$D,"Goal - Penetration %"),"On Track",IF(L70&gt;=SUMIFS('Data - Monthly Metrics'!$E:$E,'Data - Monthly Metrics'!$A:$A,$B$4,'Data - Monthly Metrics'!$B:$B,L$8,'Data - Monthly Metrics'!$C:$C,"Southwest",'Data - Monthly Metrics'!$D:$D,"Goal - Penetration %")-0.05,"Watch","At Risk")))</f>
        <v/>
      </c>
      <c r="M71" s="121">
        <f>"—"</f>
        <v/>
      </c>
      <c r="N71" s="120">
        <f>IF(OR(NOT(ISNUMBER(N70)),N70=0,COUNTIFS('Data - Monthly Metrics'!$A:$A,$B$4,'Data - Monthly Metrics'!$B:$B,N$8,'Data - Monthly Metrics'!$C:$C,"Southwest",'Data - Monthly Metrics'!$D:$D,"Goal - Penetration %")=0),"—",IF(N70&gt;=SUMIFS('Data - Monthly Metrics'!$E:$E,'Data - Monthly Metrics'!$A:$A,$B$4,'Data - Monthly Metrics'!$B:$B,N$8,'Data - Monthly Metrics'!$C:$C,"Southwest",'Data - Monthly Metrics'!$D:$D,"Goal - Penetration %"),"On Track",IF(N70&gt;=SUMIFS('Data - Monthly Metrics'!$E:$E,'Data - Monthly Metrics'!$A:$A,$B$4,'Data - Monthly Metrics'!$B:$B,N$8,'Data - Monthly Metrics'!$C:$C,"Southwest",'Data - Monthly Metrics'!$D:$D,"Goal - Penetration %")-0.05,"Watch","At Risk")))</f>
        <v/>
      </c>
      <c r="O71" s="120">
        <f>IF(OR(NOT(ISNUMBER(O70)),O70=0,COUNTIFS('Data - Monthly Metrics'!$A:$A,$B$4,'Data - Monthly Metrics'!$B:$B,O$8,'Data - Monthly Metrics'!$C:$C,"Southwest",'Data - Monthly Metrics'!$D:$D,"Goal - Penetration %")=0),"—",IF(O70&gt;=SUMIFS('Data - Monthly Metrics'!$E:$E,'Data - Monthly Metrics'!$A:$A,$B$4,'Data - Monthly Metrics'!$B:$B,O$8,'Data - Monthly Metrics'!$C:$C,"Southwest",'Data - Monthly Metrics'!$D:$D,"Goal - Penetration %"),"On Track",IF(O70&gt;=SUMIFS('Data - Monthly Metrics'!$E:$E,'Data - Monthly Metrics'!$A:$A,$B$4,'Data - Monthly Metrics'!$B:$B,O$8,'Data - Monthly Metrics'!$C:$C,"Southwest",'Data - Monthly Metrics'!$D:$D,"Goal - Penetration %")-0.05,"Watch","At Risk")))</f>
        <v/>
      </c>
      <c r="P71" s="120">
        <f>IF(OR(NOT(ISNUMBER(P70)),P70=0,COUNTIFS('Data - Monthly Metrics'!$A:$A,$B$4,'Data - Monthly Metrics'!$B:$B,P$8,'Data - Monthly Metrics'!$C:$C,"Southwest",'Data - Monthly Metrics'!$D:$D,"Goal - Penetration %")=0),"—",IF(P70&gt;=SUMIFS('Data - Monthly Metrics'!$E:$E,'Data - Monthly Metrics'!$A:$A,$B$4,'Data - Monthly Metrics'!$B:$B,P$8,'Data - Monthly Metrics'!$C:$C,"Southwest",'Data - Monthly Metrics'!$D:$D,"Goal - Penetration %"),"On Track",IF(P70&gt;=SUMIFS('Data - Monthly Metrics'!$E:$E,'Data - Monthly Metrics'!$A:$A,$B$4,'Data - Monthly Metrics'!$B:$B,P$8,'Data - Monthly Metrics'!$C:$C,"Southwest",'Data - Monthly Metrics'!$D:$D,"Goal - Penetration %")-0.05,"Watch","At Risk")))</f>
        <v/>
      </c>
      <c r="Q71" s="121">
        <f>"—"</f>
        <v/>
      </c>
      <c r="R71" s="121">
        <f>"—"</f>
        <v/>
      </c>
    </row>
    <row r="72" ht="14.25" customHeight="1" s="82">
      <c r="A72" s="151" t="inlineStr">
        <is>
          <t>Goal</t>
        </is>
      </c>
      <c r="B72" s="152">
        <f>IF(COUNTIFS('Data - Monthly Metrics'!$A:$A,$B$4-1,'Data - Monthly Metrics'!$B:$B,B$8,'Data - Monthly Metrics'!$C:$C,"Southwest",'Data - Monthly Metrics'!$D:$D,"Goal - Penetration %")=0,"-",SUMIFS('Data - Monthly Metrics'!$E:$E,'Data - Monthly Metrics'!$A:$A,$B$4-1,'Data - Monthly Metrics'!$B:$B,B$8,'Data - Monthly Metrics'!$C:$C,"Southwest",'Data - Monthly Metrics'!$D:$D,"Goal - Penetration %"))</f>
        <v/>
      </c>
      <c r="C72" s="152">
        <f>IF(COUNTIFS('Data - Monthly Metrics'!$A:$A,$B$4-1,'Data - Monthly Metrics'!$B:$B,C$8,'Data - Monthly Metrics'!$C:$C,"Southwest",'Data - Monthly Metrics'!$D:$D,"Goal - Penetration %")=0,"-",SUMIFS('Data - Monthly Metrics'!$E:$E,'Data - Monthly Metrics'!$A:$A,$B$4-1,'Data - Monthly Metrics'!$B:$B,C$8,'Data - Monthly Metrics'!$C:$C,"Southwest",'Data - Monthly Metrics'!$D:$D,"Goal - Penetration %"))</f>
        <v/>
      </c>
      <c r="D72" s="152">
        <f>IF(COUNTIFS('Data - Monthly Metrics'!$A:$A,$B$4-1,'Data - Monthly Metrics'!$B:$B,D$8,'Data - Monthly Metrics'!$C:$C,"Southwest",'Data - Monthly Metrics'!$D:$D,"Goal - Penetration %")=0,"-",SUMIFS('Data - Monthly Metrics'!$E:$E,'Data - Monthly Metrics'!$A:$A,$B$4-1,'Data - Monthly Metrics'!$B:$B,D$8,'Data - Monthly Metrics'!$C:$C,"Southwest",'Data - Monthly Metrics'!$D:$D,"Goal - Penetration %"))</f>
        <v/>
      </c>
      <c r="E72" s="153" t="n"/>
      <c r="F72" s="152">
        <f>IF(COUNTIFS('Data - Monthly Metrics'!$A:$A,$B$4,'Data - Monthly Metrics'!$B:$B,F$8,'Data - Monthly Metrics'!$C:$C,"Southwest",'Data - Monthly Metrics'!$D:$D,"Goal - Penetration %")=0,"-",SUMIFS('Data - Monthly Metrics'!$E:$E,'Data - Monthly Metrics'!$A:$A,$B$4,'Data - Monthly Metrics'!$B:$B,F$8,'Data - Monthly Metrics'!$C:$C,"Southwest",'Data - Monthly Metrics'!$D:$D,"Goal - Penetration %"))</f>
        <v/>
      </c>
      <c r="G72" s="152">
        <f>IF(COUNTIFS('Data - Monthly Metrics'!$A:$A,$B$4,'Data - Monthly Metrics'!$B:$B,G$8,'Data - Monthly Metrics'!$C:$C,"Southwest",'Data - Monthly Metrics'!$D:$D,"Goal - Penetration %")=0,"-",SUMIFS('Data - Monthly Metrics'!$E:$E,'Data - Monthly Metrics'!$A:$A,$B$4,'Data - Monthly Metrics'!$B:$B,G$8,'Data - Monthly Metrics'!$C:$C,"Southwest",'Data - Monthly Metrics'!$D:$D,"Goal - Penetration %"))</f>
        <v/>
      </c>
      <c r="H72" s="152">
        <f>IF(COUNTIFS('Data - Monthly Metrics'!$A:$A,$B$4,'Data - Monthly Metrics'!$B:$B,H$8,'Data - Monthly Metrics'!$C:$C,"Southwest",'Data - Monthly Metrics'!$D:$D,"Goal - Penetration %")=0,"-",SUMIFS('Data - Monthly Metrics'!$E:$E,'Data - Monthly Metrics'!$A:$A,$B$4,'Data - Monthly Metrics'!$B:$B,H$8,'Data - Monthly Metrics'!$C:$C,"Southwest",'Data - Monthly Metrics'!$D:$D,"Goal - Penetration %"))</f>
        <v/>
      </c>
      <c r="I72" s="153" t="n"/>
      <c r="J72" s="152">
        <f>IF(COUNTIFS('Data - Monthly Metrics'!$A:$A,$B$4,'Data - Monthly Metrics'!$B:$B,J$8,'Data - Monthly Metrics'!$C:$C,"Southwest",'Data - Monthly Metrics'!$D:$D,"Goal - Penetration %")=0,"-",SUMIFS('Data - Monthly Metrics'!$E:$E,'Data - Monthly Metrics'!$A:$A,$B$4,'Data - Monthly Metrics'!$B:$B,J$8,'Data - Monthly Metrics'!$C:$C,"Southwest",'Data - Monthly Metrics'!$D:$D,"Goal - Penetration %"))</f>
        <v/>
      </c>
      <c r="K72" s="152">
        <f>IF(COUNTIFS('Data - Monthly Metrics'!$A:$A,$B$4,'Data - Monthly Metrics'!$B:$B,K$8,'Data - Monthly Metrics'!$C:$C,"Southwest",'Data - Monthly Metrics'!$D:$D,"Goal - Penetration %")=0,"-",SUMIFS('Data - Monthly Metrics'!$E:$E,'Data - Monthly Metrics'!$A:$A,$B$4,'Data - Monthly Metrics'!$B:$B,K$8,'Data - Monthly Metrics'!$C:$C,"Southwest",'Data - Monthly Metrics'!$D:$D,"Goal - Penetration %"))</f>
        <v/>
      </c>
      <c r="L72" s="152">
        <f>IF(COUNTIFS('Data - Monthly Metrics'!$A:$A,$B$4,'Data - Monthly Metrics'!$B:$B,L$8,'Data - Monthly Metrics'!$C:$C,"Southwest",'Data - Monthly Metrics'!$D:$D,"Goal - Penetration %")=0,"-",SUMIFS('Data - Monthly Metrics'!$E:$E,'Data - Monthly Metrics'!$A:$A,$B$4,'Data - Monthly Metrics'!$B:$B,L$8,'Data - Monthly Metrics'!$C:$C,"Southwest",'Data - Monthly Metrics'!$D:$D,"Goal - Penetration %"))</f>
        <v/>
      </c>
      <c r="M72" s="153" t="n"/>
      <c r="N72" s="152">
        <f>IF(COUNTIFS('Data - Monthly Metrics'!$A:$A,$B$4,'Data - Monthly Metrics'!$B:$B,N$8,'Data - Monthly Metrics'!$C:$C,"Southwest",'Data - Monthly Metrics'!$D:$D,"Goal - Penetration %")=0,"-",SUMIFS('Data - Monthly Metrics'!$E:$E,'Data - Monthly Metrics'!$A:$A,$B$4,'Data - Monthly Metrics'!$B:$B,N$8,'Data - Monthly Metrics'!$C:$C,"Southwest",'Data - Monthly Metrics'!$D:$D,"Goal - Penetration %"))</f>
        <v/>
      </c>
      <c r="O72" s="152">
        <f>IF(COUNTIFS('Data - Monthly Metrics'!$A:$A,$B$4,'Data - Monthly Metrics'!$B:$B,O$8,'Data - Monthly Metrics'!$C:$C,"Southwest",'Data - Monthly Metrics'!$D:$D,"Goal - Penetration %")=0,"-",SUMIFS('Data - Monthly Metrics'!$E:$E,'Data - Monthly Metrics'!$A:$A,$B$4,'Data - Monthly Metrics'!$B:$B,O$8,'Data - Monthly Metrics'!$C:$C,"Southwest",'Data - Monthly Metrics'!$D:$D,"Goal - Penetration %"))</f>
        <v/>
      </c>
      <c r="P72" s="152">
        <f>IF(COUNTIFS('Data - Monthly Metrics'!$A:$A,$B$4,'Data - Monthly Metrics'!$B:$B,P$8,'Data - Monthly Metrics'!$C:$C,"Southwest",'Data - Monthly Metrics'!$D:$D,"Goal - Penetration %")=0,"-",SUMIFS('Data - Monthly Metrics'!$E:$E,'Data - Monthly Metrics'!$A:$A,$B$4,'Data - Monthly Metrics'!$B:$B,P$8,'Data - Monthly Metrics'!$C:$C,"Southwest",'Data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Metrics'!C:C,"Southwest",'Data - Monthly Metrics'!D:D,"New Sales Revenue - Non-Target ($)")=0,"-",SUMIFS('Data - Monthly Metrics'!E:E,'Data - Monthly Metrics'!A:A,$B$4-1,'Data - Monthly Metrics'!B:B,"Oct",'Data - Monthly Metrics'!C:C,"Southwest",'Data - Monthly Metrics'!D:D,"New Sales Revenue - Non-Target ($)"))</f>
        <v/>
      </c>
      <c r="C79" s="91">
        <f>IF(COUNTIFS('Data - Monthly Metrics'!A:A,$B$4-1,'Data - Monthly Metrics'!B:B,"Nov",'Data - Monthly Metrics'!C:C,"Southwest",'Data - Monthly Metrics'!D:D,"New Sales Revenue - Non-Target ($)")=0,"-",SUMIFS('Data - Monthly Metrics'!E:E,'Data - Monthly Metrics'!A:A,$B$4-1,'Data - Monthly Metrics'!B:B,"Nov",'Data - Monthly Metrics'!C:C,"Southwest",'Data - Monthly Metrics'!D:D,"New Sales Revenue - Non-Target ($)"))</f>
        <v/>
      </c>
      <c r="D79" s="91">
        <f>IF(COUNTIFS('Data - Monthly Metrics'!A:A,$B$4-1,'Data - Monthly Metrics'!B:B,"Dec",'Data - Monthly Metrics'!C:C,"Southwest",'Data - Monthly Metrics'!D:D,"New Sales Revenue - Non-Target ($)")=0,"-",SUMIFS('Data - Monthly Metrics'!E:E,'Data - Monthly Metrics'!A:A,$B$4-1,'Data - Monthly Metrics'!B:B,"Dec",'Data - Monthly Metrics'!C:C,"Southwest",'Data - Monthly Metrics'!D:D,"New Sales Revenue - Non-Target ($)"))</f>
        <v/>
      </c>
      <c r="E79" s="101">
        <f>SUM(B79,C79,D79)</f>
        <v/>
      </c>
      <c r="F79" s="91">
        <f>IF(COUNTIFS('Data - Monthly Metrics'!A:A,$B$4,'Data - Monthly Metrics'!B:B,"Jan",'Data - Monthly Metrics'!C:C,"Southwest",'Data - Monthly Metrics'!D:D,"New Sales Revenue - Non-Target ($)")=0,"-",SUMIFS('Data - Monthly Metrics'!E:E,'Data - Monthly Metrics'!A:A,$B$4,'Data - Monthly Metrics'!B:B,"Jan",'Data - Monthly Metrics'!C:C,"Southwest",'Data - Monthly Metrics'!D:D,"New Sales Revenue - Non-Target ($)"))</f>
        <v/>
      </c>
      <c r="G79" s="91">
        <f>IF(COUNTIFS('Data - Monthly Metrics'!A:A,$B$4,'Data - Monthly Metrics'!B:B,"Feb",'Data - Monthly Metrics'!C:C,"Southwest",'Data - Monthly Metrics'!D:D,"New Sales Revenue - Non-Target ($)")=0,"-",SUMIFS('Data - Monthly Metrics'!E:E,'Data - Monthly Metrics'!A:A,$B$4,'Data - Monthly Metrics'!B:B,"Feb",'Data - Monthly Metrics'!C:C,"Southwest",'Data - Monthly Metrics'!D:D,"New Sales Revenue - Non-Target ($)"))</f>
        <v/>
      </c>
      <c r="H79" s="91">
        <f>IF(COUNTIFS('Data - Monthly Metrics'!A:A,$B$4,'Data - Monthly Metrics'!B:B,"Mar",'Data - Monthly Metrics'!C:C,"Southwest",'Data - Monthly Metrics'!D:D,"New Sales Revenue - Non-Target ($)")=0,"-",SUMIFS('Data - Monthly Metrics'!E:E,'Data - Monthly Metrics'!A:A,$B$4,'Data - Monthly Metrics'!B:B,"Mar",'Data - Monthly Metrics'!C:C,"Southwest",'Data - Monthly Metrics'!D:D,"New Sales Revenue - Non-Target ($)"))</f>
        <v/>
      </c>
      <c r="I79" s="101">
        <f>SUM(F79,G79,H79)</f>
        <v/>
      </c>
      <c r="J79" s="91">
        <f>IF(COUNTIFS('Data - Monthly Metrics'!A:A,$B$4,'Data - Monthly Metrics'!B:B,"Apr",'Data - Monthly Metrics'!C:C,"Southwest",'Data - Monthly Metrics'!D:D,"New Sales Revenue - Non-Target ($)")=0,"-",SUMIFS('Data - Monthly Metrics'!E:E,'Data - Monthly Metrics'!A:A,$B$4,'Data - Monthly Metrics'!B:B,"Apr",'Data - Monthly Metrics'!C:C,"Southwest",'Data - Monthly Metrics'!D:D,"New Sales Revenue - Non-Target ($)"))</f>
        <v/>
      </c>
      <c r="K79" s="91">
        <f>IF(COUNTIFS('Data - Monthly Metrics'!A:A,$B$4,'Data - Monthly Metrics'!B:B,"May",'Data - Monthly Metrics'!C:C,"Southwest",'Data - Monthly Metrics'!D:D,"New Sales Revenue - Non-Target ($)")=0,"-",SUMIFS('Data - Monthly Metrics'!E:E,'Data - Monthly Metrics'!A:A,$B$4,'Data - Monthly Metrics'!B:B,"May",'Data - Monthly Metrics'!C:C,"Southwest",'Data - Monthly Metrics'!D:D,"New Sales Revenue - Non-Target ($)"))</f>
        <v/>
      </c>
      <c r="L79" s="91">
        <f>IF(COUNTIFS('Data - Monthly Metrics'!A:A,$B$4,'Data - Monthly Metrics'!B:B,"Jun",'Data - Monthly Metrics'!C:C,"Southwest",'Data - Monthly Metrics'!D:D,"New Sales Revenue - Non-Target ($)")=0,"-",SUMIFS('Data - Monthly Metrics'!E:E,'Data - Monthly Metrics'!A:A,$B$4,'Data - Monthly Metrics'!B:B,"Jun",'Data - Monthly Metrics'!C:C,"Southwest",'Data - Monthly Metrics'!D:D,"New Sales Revenue - Non-Target ($)"))</f>
        <v/>
      </c>
      <c r="M79" s="101">
        <f>SUM(J79,K79,L79)</f>
        <v/>
      </c>
      <c r="N79" s="91">
        <f>IF(COUNTIFS('Data - Monthly Metrics'!A:A,$B$4,'Data - Monthly Metrics'!B:B,"Jul",'Data - Monthly Metrics'!C:C,"Southwest",'Data - Monthly Metrics'!D:D,"New Sales Revenue - Non-Target ($)")=0,"-",SUMIFS('Data - Monthly Metrics'!E:E,'Data - Monthly Metrics'!A:A,$B$4,'Data - Monthly Metrics'!B:B,"Jul",'Data - Monthly Metrics'!C:C,"Southwest",'Data - Monthly Metrics'!D:D,"New Sales Revenue - Non-Target ($)"))</f>
        <v/>
      </c>
      <c r="O79" s="91">
        <f>IF(COUNTIFS('Data - Monthly Metrics'!A:A,$B$4,'Data - Monthly Metrics'!B:B,"Aug",'Data - Monthly Metrics'!C:C,"Southwest",'Data - Monthly Metrics'!D:D,"New Sales Revenue - Non-Target ($)")=0,"-",SUMIFS('Data - Monthly Metrics'!E:E,'Data - Monthly Metrics'!A:A,$B$4,'Data - Monthly Metrics'!B:B,"Aug",'Data - Monthly Metrics'!C:C,"Southwest",'Data - Monthly Metrics'!D:D,"New Sales Revenue - Non-Target ($)"))</f>
        <v/>
      </c>
      <c r="P79" s="91">
        <f>IF(COUNTIFS('Data - Monthly Metrics'!A:A,$B$4,'Data - Monthly Metrics'!B:B,"Sep",'Data - Monthly Metrics'!C:C,"Southwest",'Data - Monthly Metrics'!D:D,"New Sales Revenue - Non-Target ($)")=0,"-",SUMIFS('Data - Monthly Metrics'!E:E,'Data - Monthly Metrics'!A:A,$B$4,'Data - Monthly Metrics'!B:B,"Sep",'Data - Monthly Metrics'!C:C,"Southwest",'Data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Metrics'!C:C,"Southwest",'Data - Monthly Metrics'!D:D,"New Members - Non-Target (#)")=0,"-",SUMIFS('Data - Monthly Metrics'!E:E,'Data - Monthly Metrics'!A:A,$B$4-1,'Data - Monthly Metrics'!B:B,"Oct",'Data - Monthly Metrics'!C:C,"Southwest",'Data - Monthly Metrics'!D:D,"New Members - Non-Target (#)"))</f>
        <v/>
      </c>
      <c r="C80" s="98">
        <f>IF(COUNTIFS('Data - Monthly Metrics'!A:A,$B$4-1,'Data - Monthly Metrics'!B:B,"Nov",'Data - Monthly Metrics'!C:C,"Southwest",'Data - Monthly Metrics'!D:D,"New Members - Non-Target (#)")=0,"-",SUMIFS('Data - Monthly Metrics'!E:E,'Data - Monthly Metrics'!A:A,$B$4-1,'Data - Monthly Metrics'!B:B,"Nov",'Data - Monthly Metrics'!C:C,"Southwest",'Data - Monthly Metrics'!D:D,"New Members - Non-Target (#)"))</f>
        <v/>
      </c>
      <c r="D80" s="98">
        <f>IF(COUNTIFS('Data - Monthly Metrics'!A:A,$B$4-1,'Data - Monthly Metrics'!B:B,"Dec",'Data - Monthly Metrics'!C:C,"Southwest",'Data - Monthly Metrics'!D:D,"New Members - Non-Target (#)")=0,"-",SUMIFS('Data - Monthly Metrics'!E:E,'Data - Monthly Metrics'!A:A,$B$4-1,'Data - Monthly Metrics'!B:B,"Dec",'Data - Monthly Metrics'!C:C,"Southwest",'Data - Monthly Metrics'!D:D,"New Members - Non-Target (#)"))</f>
        <v/>
      </c>
      <c r="E80" s="103">
        <f>SUM(B80,C80,D80)</f>
        <v/>
      </c>
      <c r="F80" s="98">
        <f>IF(COUNTIFS('Data - Monthly Metrics'!A:A,$B$4,'Data - Monthly Metrics'!B:B,"Jan",'Data - Monthly Metrics'!C:C,"Southwest",'Data - Monthly Metrics'!D:D,"New Members - Non-Target (#)")=0,"-",SUMIFS('Data - Monthly Metrics'!E:E,'Data - Monthly Metrics'!A:A,$B$4,'Data - Monthly Metrics'!B:B,"Jan",'Data - Monthly Metrics'!C:C,"Southwest",'Data - Monthly Metrics'!D:D,"New Members - Non-Target (#)"))</f>
        <v/>
      </c>
      <c r="G80" s="98">
        <f>IF(COUNTIFS('Data - Monthly Metrics'!A:A,$B$4,'Data - Monthly Metrics'!B:B,"Feb",'Data - Monthly Metrics'!C:C,"Southwest",'Data - Monthly Metrics'!D:D,"New Members - Non-Target (#)")=0,"-",SUMIFS('Data - Monthly Metrics'!E:E,'Data - Monthly Metrics'!A:A,$B$4,'Data - Monthly Metrics'!B:B,"Feb",'Data - Monthly Metrics'!C:C,"Southwest",'Data - Monthly Metrics'!D:D,"New Members - Non-Target (#)"))</f>
        <v/>
      </c>
      <c r="H80" s="98">
        <f>IF(COUNTIFS('Data - Monthly Metrics'!A:A,$B$4,'Data - Monthly Metrics'!B:B,"Mar",'Data - Monthly Metrics'!C:C,"Southwest",'Data - Monthly Metrics'!D:D,"New Members - Non-Target (#)")=0,"-",SUMIFS('Data - Monthly Metrics'!E:E,'Data - Monthly Metrics'!A:A,$B$4,'Data - Monthly Metrics'!B:B,"Mar",'Data - Monthly Metrics'!C:C,"Southwest",'Data - Monthly Metrics'!D:D,"New Members - Non-Target (#)"))</f>
        <v/>
      </c>
      <c r="I80" s="103">
        <f>SUM(F80,G80,H80)</f>
        <v/>
      </c>
      <c r="J80" s="98">
        <f>IF(COUNTIFS('Data - Monthly Metrics'!A:A,$B$4,'Data - Monthly Metrics'!B:B,"Apr",'Data - Monthly Metrics'!C:C,"Southwest",'Data - Monthly Metrics'!D:D,"New Members - Non-Target (#)")=0,"-",SUMIFS('Data - Monthly Metrics'!E:E,'Data - Monthly Metrics'!A:A,$B$4,'Data - Monthly Metrics'!B:B,"Apr",'Data - Monthly Metrics'!C:C,"Southwest",'Data - Monthly Metrics'!D:D,"New Members - Non-Target (#)"))</f>
        <v/>
      </c>
      <c r="K80" s="98">
        <f>IF(COUNTIFS('Data - Monthly Metrics'!A:A,$B$4,'Data - Monthly Metrics'!B:B,"May",'Data - Monthly Metrics'!C:C,"Southwest",'Data - Monthly Metrics'!D:D,"New Members - Non-Target (#)")=0,"-",SUMIFS('Data - Monthly Metrics'!E:E,'Data - Monthly Metrics'!A:A,$B$4,'Data - Monthly Metrics'!B:B,"May",'Data - Monthly Metrics'!C:C,"Southwest",'Data - Monthly Metrics'!D:D,"New Members - Non-Target (#)"))</f>
        <v/>
      </c>
      <c r="L80" s="98">
        <f>IF(COUNTIFS('Data - Monthly Metrics'!A:A,$B$4,'Data - Monthly Metrics'!B:B,"Jun",'Data - Monthly Metrics'!C:C,"Southwest",'Data - Monthly Metrics'!D:D,"New Members - Non-Target (#)")=0,"-",SUMIFS('Data - Monthly Metrics'!E:E,'Data - Monthly Metrics'!A:A,$B$4,'Data - Monthly Metrics'!B:B,"Jun",'Data - Monthly Metrics'!C:C,"Southwest",'Data - Monthly Metrics'!D:D,"New Members - Non-Target (#)"))</f>
        <v/>
      </c>
      <c r="M80" s="103">
        <f>SUM(J80,K80,L80)</f>
        <v/>
      </c>
      <c r="N80" s="98">
        <f>IF(COUNTIFS('Data - Monthly Metrics'!A:A,$B$4,'Data - Monthly Metrics'!B:B,"Jul",'Data - Monthly Metrics'!C:C,"Southwest",'Data - Monthly Metrics'!D:D,"New Members - Non-Target (#)")=0,"-",SUMIFS('Data - Monthly Metrics'!E:E,'Data - Monthly Metrics'!A:A,$B$4,'Data - Monthly Metrics'!B:B,"Jul",'Data - Monthly Metrics'!C:C,"Southwest",'Data - Monthly Metrics'!D:D,"New Members - Non-Target (#)"))</f>
        <v/>
      </c>
      <c r="O80" s="98">
        <f>IF(COUNTIFS('Data - Monthly Metrics'!A:A,$B$4,'Data - Monthly Metrics'!B:B,"Aug",'Data - Monthly Metrics'!C:C,"Southwest",'Data - Monthly Metrics'!D:D,"New Members - Non-Target (#)")=0,"-",SUMIFS('Data - Monthly Metrics'!E:E,'Data - Monthly Metrics'!A:A,$B$4,'Data - Monthly Metrics'!B:B,"Aug",'Data - Monthly Metrics'!C:C,"Southwest",'Data - Monthly Metrics'!D:D,"New Members - Non-Target (#)"))</f>
        <v/>
      </c>
      <c r="P80" s="98">
        <f>IF(COUNTIFS('Data - Monthly Metrics'!A:A,$B$4,'Data - Monthly Metrics'!B:B,"Sep",'Data - Monthly Metrics'!C:C,"Southwest",'Data - Monthly Metrics'!D:D,"New Members - Non-Target (#)")=0,"-",SUMIFS('Data - Monthly Metrics'!E:E,'Data - Monthly Metrics'!A:A,$B$4,'Data - Monthly Metrics'!B:B,"Sep",'Data - Monthly Metrics'!C:C,"Southwest",'Data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Metrics'!C:C,"Southwest",'Data - Monthly Metrics'!D:D,"Billables - Hospitality Non-Target (#)")=0,"-",SUMIFS('Data - Monthly Metrics'!E:E,'Data - Monthly Metrics'!A:A,$B$4-1,'Data - Monthly Metrics'!B:B,"Oct",'Data - Monthly Metrics'!C:C,"Southwest",'Data - Monthly Metrics'!D:D,"Billables - Hospitality Non-Target (#)"))</f>
        <v/>
      </c>
      <c r="C84" s="93">
        <f>IF(COUNTIFS('Data - Monthly Metrics'!A:A,$B$4-1,'Data - Monthly Metrics'!B:B,"Nov",'Data - Monthly Metrics'!C:C,"Southwest",'Data - Monthly Metrics'!D:D,"Billables - Hospitality Non-Target (#)")=0,"-",SUMIFS('Data - Monthly Metrics'!E:E,'Data - Monthly Metrics'!A:A,$B$4-1,'Data - Monthly Metrics'!B:B,"Nov",'Data - Monthly Metrics'!C:C,"Southwest",'Data - Monthly Metrics'!D:D,"Billables - Hospitality Non-Target (#)"))</f>
        <v/>
      </c>
      <c r="D84" s="93">
        <f>IF(COUNTIFS('Data - Monthly Metrics'!A:A,$B$4-1,'Data - Monthly Metrics'!B:B,"Dec",'Data - Monthly Metrics'!C:C,"Southwest",'Data - Monthly Metrics'!D:D,"Billables - Hospitality Non-Target (#)")=0,"-",SUMIFS('Data - Monthly Metrics'!E:E,'Data - Monthly Metrics'!A:A,$B$4-1,'Data - Monthly Metrics'!B:B,"Dec",'Data - Monthly Metrics'!C:C,"Southwest",'Data - Monthly Metrics'!D:D,"Billables - Hospitality Non-Target (#)"))</f>
        <v/>
      </c>
      <c r="E84" s="103">
        <f>IF(ISNUMBER(D84),D84,IF(ISNUMBER(C84),C84,IF(ISNUMBER(B84),B84,"-")))</f>
        <v/>
      </c>
      <c r="F84" s="93">
        <f>IF(COUNTIFS('Data - Monthly Metrics'!A:A,$B$4,'Data - Monthly Metrics'!B:B,"Jan",'Data - Monthly Metrics'!C:C,"Southwest",'Data - Monthly Metrics'!D:D,"Billables - Hospitality Non-Target (#)")=0,"-",SUMIFS('Data - Monthly Metrics'!E:E,'Data - Monthly Metrics'!A:A,$B$4,'Data - Monthly Metrics'!B:B,"Jan",'Data - Monthly Metrics'!C:C,"Southwest",'Data - Monthly Metrics'!D:D,"Billables - Hospitality Non-Target (#)"))</f>
        <v/>
      </c>
      <c r="G84" s="93">
        <f>IF(COUNTIFS('Data - Monthly Metrics'!A:A,$B$4,'Data - Monthly Metrics'!B:B,"Feb",'Data - Monthly Metrics'!C:C,"Southwest",'Data - Monthly Metrics'!D:D,"Billables - Hospitality Non-Target (#)")=0,"-",SUMIFS('Data - Monthly Metrics'!E:E,'Data - Monthly Metrics'!A:A,$B$4,'Data - Monthly Metrics'!B:B,"Feb",'Data - Monthly Metrics'!C:C,"Southwest",'Data - Monthly Metrics'!D:D,"Billables - Hospitality Non-Target (#)"))</f>
        <v/>
      </c>
      <c r="H84" s="93">
        <f>IF(COUNTIFS('Data - Monthly Metrics'!A:A,$B$4,'Data - Monthly Metrics'!B:B,"Mar",'Data - Monthly Metrics'!C:C,"Southwest",'Data - Monthly Metrics'!D:D,"Billables - Hospitality Non-Target (#)")=0,"-",SUMIFS('Data - Monthly Metrics'!E:E,'Data - Monthly Metrics'!A:A,$B$4,'Data - Monthly Metrics'!B:B,"Mar",'Data - Monthly Metrics'!C:C,"Southwest",'Data - Monthly Metrics'!D:D,"Billables - Hospitality Non-Target (#)"))</f>
        <v/>
      </c>
      <c r="I84" s="103">
        <f>IF(ISNUMBER(H84),H84,IF(ISNUMBER(G84),G84,IF(ISNUMBER(F84),F84,"-")))</f>
        <v/>
      </c>
      <c r="J84" s="93">
        <f>IF(COUNTIFS('Data - Monthly Metrics'!A:A,$B$4,'Data - Monthly Metrics'!B:B,"Apr",'Data - Monthly Metrics'!C:C,"Southwest",'Data - Monthly Metrics'!D:D,"Billables - Hospitality Non-Target (#)")=0,"-",SUMIFS('Data - Monthly Metrics'!E:E,'Data - Monthly Metrics'!A:A,$B$4,'Data - Monthly Metrics'!B:B,"Apr",'Data - Monthly Metrics'!C:C,"Southwest",'Data - Monthly Metrics'!D:D,"Billables - Hospitality Non-Target (#)"))</f>
        <v/>
      </c>
      <c r="K84" s="93">
        <f>IF(COUNTIFS('Data - Monthly Metrics'!A:A,$B$4,'Data - Monthly Metrics'!B:B,"May",'Data - Monthly Metrics'!C:C,"Southwest",'Data - Monthly Metrics'!D:D,"Billables - Hospitality Non-Target (#)")=0,"-",SUMIFS('Data - Monthly Metrics'!E:E,'Data - Monthly Metrics'!A:A,$B$4,'Data - Monthly Metrics'!B:B,"May",'Data - Monthly Metrics'!C:C,"Southwest",'Data - Monthly Metrics'!D:D,"Billables - Hospitality Non-Target (#)"))</f>
        <v/>
      </c>
      <c r="L84" s="93">
        <f>IF(COUNTIFS('Data - Monthly Metrics'!A:A,$B$4,'Data - Monthly Metrics'!B:B,"Jun",'Data - Monthly Metrics'!C:C,"Southwest",'Data - Monthly Metrics'!D:D,"Billables - Hospitality Non-Target (#)")=0,"-",SUMIFS('Data - Monthly Metrics'!E:E,'Data - Monthly Metrics'!A:A,$B$4,'Data - Monthly Metrics'!B:B,"Jun",'Data - Monthly Metrics'!C:C,"Southwest",'Data - Monthly Metrics'!D:D,"Billables - Hospitality Non-Target (#)"))</f>
        <v/>
      </c>
      <c r="M84" s="103">
        <f>IF(ISNUMBER(L84),L84,IF(ISNUMBER(K84),K84,IF(ISNUMBER(J84),J84,"-")))</f>
        <v/>
      </c>
      <c r="N84" s="93">
        <f>IF(COUNTIFS('Data - Monthly Metrics'!A:A,$B$4,'Data - Monthly Metrics'!B:B,"Jul",'Data - Monthly Metrics'!C:C,"Southwest",'Data - Monthly Metrics'!D:D,"Billables - Hospitality Non-Target (#)")=0,"-",SUMIFS('Data - Monthly Metrics'!E:E,'Data - Monthly Metrics'!A:A,$B$4,'Data - Monthly Metrics'!B:B,"Jul",'Data - Monthly Metrics'!C:C,"Southwest",'Data - Monthly Metrics'!D:D,"Billables - Hospitality Non-Target (#)"))</f>
        <v/>
      </c>
      <c r="O84" s="93">
        <f>IF(COUNTIFS('Data - Monthly Metrics'!A:A,$B$4,'Data - Monthly Metrics'!B:B,"Aug",'Data - Monthly Metrics'!C:C,"Southwest",'Data - Monthly Metrics'!D:D,"Billables - Hospitality Non-Target (#)")=0,"-",SUMIFS('Data - Monthly Metrics'!E:E,'Data - Monthly Metrics'!A:A,$B$4,'Data - Monthly Metrics'!B:B,"Aug",'Data - Monthly Metrics'!C:C,"Southwest",'Data - Monthly Metrics'!D:D,"Billables - Hospitality Non-Target (#)"))</f>
        <v/>
      </c>
      <c r="P84" s="93">
        <f>IF(COUNTIFS('Data - Monthly Metrics'!A:A,$B$4,'Data - Monthly Metrics'!B:B,"Sep",'Data - Monthly Metrics'!C:C,"Southwest",'Data - Monthly Metrics'!D:D,"Billables - Hospitality Non-Target (#)")=0,"-",SUMIFS('Data - Monthly Metrics'!E:E,'Data - Monthly Metrics'!A:A,$B$4,'Data - Monthly Metrics'!B:B,"Sep",'Data - Monthly Metrics'!C:C,"Southwest",'Data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Metrics'!C:C,"Southwest",'Data - Monthly Metrics'!D:D,"Member Locations - Non-Target (#)")=0,"-",SUMIFS('Data - Monthly Metrics'!E:E,'Data - Monthly Metrics'!A:A,$B$4-1,'Data - Monthly Metrics'!B:B,"Oct",'Data - Monthly Metrics'!C:C,"Southwest",'Data - Monthly Metrics'!D:D,"Member Locations - Non-Target (#)"))</f>
        <v/>
      </c>
      <c r="C85" s="93">
        <f>IF(COUNTIFS('Data - Monthly Metrics'!A:A,$B$4-1,'Data - Monthly Metrics'!B:B,"Nov",'Data - Monthly Metrics'!C:C,"Southwest",'Data - Monthly Metrics'!D:D,"Member Locations - Non-Target (#)")=0,"-",SUMIFS('Data - Monthly Metrics'!E:E,'Data - Monthly Metrics'!A:A,$B$4-1,'Data - Monthly Metrics'!B:B,"Nov",'Data - Monthly Metrics'!C:C,"Southwest",'Data - Monthly Metrics'!D:D,"Member Locations - Non-Target (#)"))</f>
        <v/>
      </c>
      <c r="D85" s="93">
        <f>IF(COUNTIFS('Data - Monthly Metrics'!A:A,$B$4-1,'Data - Monthly Metrics'!B:B,"Dec",'Data - Monthly Metrics'!C:C,"Southwest",'Data - Monthly Metrics'!D:D,"Member Locations - Non-Target (#)")=0,"-",SUMIFS('Data - Monthly Metrics'!E:E,'Data - Monthly Metrics'!A:A,$B$4-1,'Data - Monthly Metrics'!B:B,"Dec",'Data - Monthly Metrics'!C:C,"Southwest",'Data - Monthly Metrics'!D:D,"Member Locations - Non-Target (#)"))</f>
        <v/>
      </c>
      <c r="E85" s="103">
        <f>IF(ISNUMBER(D85),D85,IF(ISNUMBER(C85),C85,IF(ISNUMBER(B85),B85,"-")))</f>
        <v/>
      </c>
      <c r="F85" s="93">
        <f>IF(COUNTIFS('Data - Monthly Metrics'!A:A,$B$4,'Data - Monthly Metrics'!B:B,"Jan",'Data - Monthly Metrics'!C:C,"Southwest",'Data - Monthly Metrics'!D:D,"Member Locations - Non-Target (#)")=0,"-",SUMIFS('Data - Monthly Metrics'!E:E,'Data - Monthly Metrics'!A:A,$B$4,'Data - Monthly Metrics'!B:B,"Jan",'Data - Monthly Metrics'!C:C,"Southwest",'Data - Monthly Metrics'!D:D,"Member Locations - Non-Target (#)"))</f>
        <v/>
      </c>
      <c r="G85" s="93">
        <f>IF(COUNTIFS('Data - Monthly Metrics'!A:A,$B$4,'Data - Monthly Metrics'!B:B,"Feb",'Data - Monthly Metrics'!C:C,"Southwest",'Data - Monthly Metrics'!D:D,"Member Locations - Non-Target (#)")=0,"-",SUMIFS('Data - Monthly Metrics'!E:E,'Data - Monthly Metrics'!A:A,$B$4,'Data - Monthly Metrics'!B:B,"Feb",'Data - Monthly Metrics'!C:C,"Southwest",'Data - Monthly Metrics'!D:D,"Member Locations - Non-Target (#)"))</f>
        <v/>
      </c>
      <c r="H85" s="93">
        <f>IF(COUNTIFS('Data - Monthly Metrics'!A:A,$B$4,'Data - Monthly Metrics'!B:B,"Mar",'Data - Monthly Metrics'!C:C,"Southwest",'Data - Monthly Metrics'!D:D,"Member Locations - Non-Target (#)")=0,"-",SUMIFS('Data - Monthly Metrics'!E:E,'Data - Monthly Metrics'!A:A,$B$4,'Data - Monthly Metrics'!B:B,"Mar",'Data - Monthly Metrics'!C:C,"Southwest",'Data - Monthly Metrics'!D:D,"Member Locations - Non-Target (#)"))</f>
        <v/>
      </c>
      <c r="I85" s="103">
        <f>IF(ISNUMBER(H85),H85,IF(ISNUMBER(G85),G85,IF(ISNUMBER(F85),F85,"-")))</f>
        <v/>
      </c>
      <c r="J85" s="93">
        <f>IF(COUNTIFS('Data - Monthly Metrics'!A:A,$B$4,'Data - Monthly Metrics'!B:B,"Apr",'Data - Monthly Metrics'!C:C,"Southwest",'Data - Monthly Metrics'!D:D,"Member Locations - Non-Target (#)")=0,"-",SUMIFS('Data - Monthly Metrics'!E:E,'Data - Monthly Metrics'!A:A,$B$4,'Data - Monthly Metrics'!B:B,"Apr",'Data - Monthly Metrics'!C:C,"Southwest",'Data - Monthly Metrics'!D:D,"Member Locations - Non-Target (#)"))</f>
        <v/>
      </c>
      <c r="K85" s="93">
        <f>IF(COUNTIFS('Data - Monthly Metrics'!A:A,$B$4,'Data - Monthly Metrics'!B:B,"May",'Data - Monthly Metrics'!C:C,"Southwest",'Data - Monthly Metrics'!D:D,"Member Locations - Non-Target (#)")=0,"-",SUMIFS('Data - Monthly Metrics'!E:E,'Data - Monthly Metrics'!A:A,$B$4,'Data - Monthly Metrics'!B:B,"May",'Data - Monthly Metrics'!C:C,"Southwest",'Data - Monthly Metrics'!D:D,"Member Locations - Non-Target (#)"))</f>
        <v/>
      </c>
      <c r="L85" s="93">
        <f>IF(COUNTIFS('Data - Monthly Metrics'!A:A,$B$4,'Data - Monthly Metrics'!B:B,"Jun",'Data - Monthly Metrics'!C:C,"Southwest",'Data - Monthly Metrics'!D:D,"Member Locations - Non-Target (#)")=0,"-",SUMIFS('Data - Monthly Metrics'!E:E,'Data - Monthly Metrics'!A:A,$B$4,'Data - Monthly Metrics'!B:B,"Jun",'Data - Monthly Metrics'!C:C,"Southwest",'Data - Monthly Metrics'!D:D,"Member Locations - Non-Target (#)"))</f>
        <v/>
      </c>
      <c r="M85" s="103">
        <f>IF(ISNUMBER(L85),L85,IF(ISNUMBER(K85),K85,IF(ISNUMBER(J85),J85,"-")))</f>
        <v/>
      </c>
      <c r="N85" s="93">
        <f>IF(COUNTIFS('Data - Monthly Metrics'!A:A,$B$4,'Data - Monthly Metrics'!B:B,"Jul",'Data - Monthly Metrics'!C:C,"Southwest",'Data - Monthly Metrics'!D:D,"Member Locations - Non-Target (#)")=0,"-",SUMIFS('Data - Monthly Metrics'!E:E,'Data - Monthly Metrics'!A:A,$B$4,'Data - Monthly Metrics'!B:B,"Jul",'Data - Monthly Metrics'!C:C,"Southwest",'Data - Monthly Metrics'!D:D,"Member Locations - Non-Target (#)"))</f>
        <v/>
      </c>
      <c r="O85" s="93">
        <f>IF(COUNTIFS('Data - Monthly Metrics'!A:A,$B$4,'Data - Monthly Metrics'!B:B,"Aug",'Data - Monthly Metrics'!C:C,"Southwest",'Data - Monthly Metrics'!D:D,"Member Locations - Non-Target (#)")=0,"-",SUMIFS('Data - Monthly Metrics'!E:E,'Data - Monthly Metrics'!A:A,$B$4,'Data - Monthly Metrics'!B:B,"Aug",'Data - Monthly Metrics'!C:C,"Southwest",'Data - Monthly Metrics'!D:D,"Member Locations - Non-Target (#)"))</f>
        <v/>
      </c>
      <c r="P85" s="93">
        <f>IF(COUNTIFS('Data - Monthly Metrics'!A:A,$B$4,'Data - Monthly Metrics'!B:B,"Sep",'Data - Monthly Metrics'!C:C,"Southwest",'Data - Monthly Metrics'!D:D,"Member Locations - Non-Target (#)")=0,"-",SUMIFS('Data - Monthly Metrics'!E:E,'Data - Monthly Metrics'!A:A,$B$4,'Data - Monthly Metrics'!B:B,"Sep",'Data - Monthly Metrics'!C:C,"Southwest",'Data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Metrics'!C:C,"Southwest",'Data - Monthly Metrics'!D:D,"Billables - Allied (#)")=0,"-",SUMIFS('Data - Monthly Metrics'!E:E,'Data - Monthly Metrics'!A:A,$B$4-1,'Data - Monthly Metrics'!B:B,"Oct",'Data - Monthly Metrics'!C:C,"Southwest",'Data - Monthly Metrics'!D:D,"Billables - Allied (#)"))</f>
        <v/>
      </c>
      <c r="C86" s="98">
        <f>IF(COUNTIFS('Data - Monthly Metrics'!A:A,$B$4-1,'Data - Monthly Metrics'!B:B,"Nov",'Data - Monthly Metrics'!C:C,"Southwest",'Data - Monthly Metrics'!D:D,"Billables - Allied (#)")=0,"-",SUMIFS('Data - Monthly Metrics'!E:E,'Data - Monthly Metrics'!A:A,$B$4-1,'Data - Monthly Metrics'!B:B,"Nov",'Data - Monthly Metrics'!C:C,"Southwest",'Data - Monthly Metrics'!D:D,"Billables - Allied (#)"))</f>
        <v/>
      </c>
      <c r="D86" s="98">
        <f>IF(COUNTIFS('Data - Monthly Metrics'!A:A,$B$4-1,'Data - Monthly Metrics'!B:B,"Dec",'Data - Monthly Metrics'!C:C,"Southwest",'Data - Monthly Metrics'!D:D,"Billables - Allied (#)")=0,"-",SUMIFS('Data - Monthly Metrics'!E:E,'Data - Monthly Metrics'!A:A,$B$4-1,'Data - Monthly Metrics'!B:B,"Dec",'Data - Monthly Metrics'!C:C,"Southwest",'Data - Monthly Metrics'!D:D,"Billables - Allied (#)"))</f>
        <v/>
      </c>
      <c r="E86" s="103">
        <f>IF(ISNUMBER(D86),D86,IF(ISNUMBER(C86),C86,IF(ISNUMBER(B86),B86,"-")))</f>
        <v/>
      </c>
      <c r="F86" s="98">
        <f>IF(COUNTIFS('Data - Monthly Metrics'!A:A,$B$4,'Data - Monthly Metrics'!B:B,"Jan",'Data - Monthly Metrics'!C:C,"Southwest",'Data - Monthly Metrics'!D:D,"Billables - Allied (#)")=0,"-",SUMIFS('Data - Monthly Metrics'!E:E,'Data - Monthly Metrics'!A:A,$B$4,'Data - Monthly Metrics'!B:B,"Jan",'Data - Monthly Metrics'!C:C,"Southwest",'Data - Monthly Metrics'!D:D,"Billables - Allied (#)"))</f>
        <v/>
      </c>
      <c r="G86" s="98">
        <f>IF(COUNTIFS('Data - Monthly Metrics'!A:A,$B$4,'Data - Monthly Metrics'!B:B,"Feb",'Data - Monthly Metrics'!C:C,"Southwest",'Data - Monthly Metrics'!D:D,"Billables - Allied (#)")=0,"-",SUMIFS('Data - Monthly Metrics'!E:E,'Data - Monthly Metrics'!A:A,$B$4,'Data - Monthly Metrics'!B:B,"Feb",'Data - Monthly Metrics'!C:C,"Southwest",'Data - Monthly Metrics'!D:D,"Billables - Allied (#)"))</f>
        <v/>
      </c>
      <c r="H86" s="98">
        <f>IF(COUNTIFS('Data - Monthly Metrics'!A:A,$B$4,'Data - Monthly Metrics'!B:B,"Mar",'Data - Monthly Metrics'!C:C,"Southwest",'Data - Monthly Metrics'!D:D,"Billables - Allied (#)")=0,"-",SUMIFS('Data - Monthly Metrics'!E:E,'Data - Monthly Metrics'!A:A,$B$4,'Data - Monthly Metrics'!B:B,"Mar",'Data - Monthly Metrics'!C:C,"Southwest",'Data - Monthly Metrics'!D:D,"Billables - Allied (#)"))</f>
        <v/>
      </c>
      <c r="I86" s="103">
        <f>IF(ISNUMBER(H86),H86,IF(ISNUMBER(G86),G86,IF(ISNUMBER(F86),F86,"-")))</f>
        <v/>
      </c>
      <c r="J86" s="98">
        <f>IF(COUNTIFS('Data - Monthly Metrics'!A:A,$B$4,'Data - Monthly Metrics'!B:B,"Apr",'Data - Monthly Metrics'!C:C,"Southwest",'Data - Monthly Metrics'!D:D,"Billables - Allied (#)")=0,"-",SUMIFS('Data - Monthly Metrics'!E:E,'Data - Monthly Metrics'!A:A,$B$4,'Data - Monthly Metrics'!B:B,"Apr",'Data - Monthly Metrics'!C:C,"Southwest",'Data - Monthly Metrics'!D:D,"Billables - Allied (#)"))</f>
        <v/>
      </c>
      <c r="K86" s="98">
        <f>IF(COUNTIFS('Data - Monthly Metrics'!A:A,$B$4,'Data - Monthly Metrics'!B:B,"May",'Data - Monthly Metrics'!C:C,"Southwest",'Data - Monthly Metrics'!D:D,"Billables - Allied (#)")=0,"-",SUMIFS('Data - Monthly Metrics'!E:E,'Data - Monthly Metrics'!A:A,$B$4,'Data - Monthly Metrics'!B:B,"May",'Data - Monthly Metrics'!C:C,"Southwest",'Data - Monthly Metrics'!D:D,"Billables - Allied (#)"))</f>
        <v/>
      </c>
      <c r="L86" s="98">
        <f>IF(COUNTIFS('Data - Monthly Metrics'!A:A,$B$4,'Data - Monthly Metrics'!B:B,"Jun",'Data - Monthly Metrics'!C:C,"Southwest",'Data - Monthly Metrics'!D:D,"Billables - Allied (#)")=0,"-",SUMIFS('Data - Monthly Metrics'!E:E,'Data - Monthly Metrics'!A:A,$B$4,'Data - Monthly Metrics'!B:B,"Jun",'Data - Monthly Metrics'!C:C,"Southwest",'Data - Monthly Metrics'!D:D,"Billables - Allied (#)"))</f>
        <v/>
      </c>
      <c r="M86" s="103">
        <f>IF(ISNUMBER(L86),L86,IF(ISNUMBER(K86),K86,IF(ISNUMBER(J86),J86,"-")))</f>
        <v/>
      </c>
      <c r="N86" s="98">
        <f>IF(COUNTIFS('Data - Monthly Metrics'!A:A,$B$4,'Data - Monthly Metrics'!B:B,"Jul",'Data - Monthly Metrics'!C:C,"Southwest",'Data - Monthly Metrics'!D:D,"Billables - Allied (#)")=0,"-",SUMIFS('Data - Monthly Metrics'!E:E,'Data - Monthly Metrics'!A:A,$B$4,'Data - Monthly Metrics'!B:B,"Jul",'Data - Monthly Metrics'!C:C,"Southwest",'Data - Monthly Metrics'!D:D,"Billables - Allied (#)"))</f>
        <v/>
      </c>
      <c r="O86" s="98">
        <f>IF(COUNTIFS('Data - Monthly Metrics'!A:A,$B$4,'Data - Monthly Metrics'!B:B,"Aug",'Data - Monthly Metrics'!C:C,"Southwest",'Data - Monthly Metrics'!D:D,"Billables - Allied (#)")=0,"-",SUMIFS('Data - Monthly Metrics'!E:E,'Data - Monthly Metrics'!A:A,$B$4,'Data - Monthly Metrics'!B:B,"Aug",'Data - Monthly Metrics'!C:C,"Southwest",'Data - Monthly Metrics'!D:D,"Billables - Allied (#)"))</f>
        <v/>
      </c>
      <c r="P86" s="98">
        <f>IF(COUNTIFS('Data - Monthly Metrics'!A:A,$B$4,'Data - Monthly Metrics'!B:B,"Sep",'Data - Monthly Metrics'!C:C,"Southwest",'Data - Monthly Metrics'!D:D,"Billables - Allied (#)")=0,"-",SUMIFS('Data - Monthly Metrics'!E:E,'Data - Monthly Metrics'!A:A,$B$4,'Data - Monthly Metrics'!B:B,"Sep",'Data - Monthly Metrics'!C:C,"Southwest",'Data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Metrics'!C:C,"Southwest",'Data - Monthly Metrics'!D:D,"Members Up for Renewal - Non-Target (#)")=0,"-",SUMIFS('Data - Monthly Metrics'!E:E,'Data - Monthly Metrics'!A:A,$B$4-1,'Data - Monthly Metrics'!B:B,"Oct",'Data - Monthly Metrics'!C:C,"Southwest",'Data - Monthly Metrics'!D:D,"Members Up for Renewal - Non-Target (#)"))</f>
        <v/>
      </c>
      <c r="C91" s="93">
        <f>IF(COUNTIFS('Data - Monthly Metrics'!A:A,$B$4-1,'Data - Monthly Metrics'!B:B,"Nov",'Data - Monthly Metrics'!C:C,"Southwest",'Data - Monthly Metrics'!D:D,"Members Up for Renewal - Non-Target (#)")=0,"-",SUMIFS('Data - Monthly Metrics'!E:E,'Data - Monthly Metrics'!A:A,$B$4-1,'Data - Monthly Metrics'!B:B,"Nov",'Data - Monthly Metrics'!C:C,"Southwest",'Data - Monthly Metrics'!D:D,"Members Up for Renewal - Non-Target (#)"))</f>
        <v/>
      </c>
      <c r="D91" s="93">
        <f>IF(COUNTIFS('Data - Monthly Metrics'!A:A,$B$4-1,'Data - Monthly Metrics'!B:B,"Dec",'Data - Monthly Metrics'!C:C,"Southwest",'Data - Monthly Metrics'!D:D,"Members Up for Renewal - Non-Target (#)")=0,"-",SUMIFS('Data - Monthly Metrics'!E:E,'Data - Monthly Metrics'!A:A,$B$4-1,'Data - Monthly Metrics'!B:B,"Dec",'Data - Monthly Metrics'!C:C,"Southwest",'Data - Monthly Metrics'!D:D,"Members Up for Renewal - Non-Target (#)"))</f>
        <v/>
      </c>
      <c r="E91" s="103">
        <f>SUM(B91,C91,D91)</f>
        <v/>
      </c>
      <c r="F91" s="93">
        <f>IF(COUNTIFS('Data - Monthly Metrics'!A:A,$B$4,'Data - Monthly Metrics'!B:B,"Jan",'Data - Monthly Metrics'!C:C,"Southwest",'Data - Monthly Metrics'!D:D,"Members Up for Renewal - Non-Target (#)")=0,"-",SUMIFS('Data - Monthly Metrics'!E:E,'Data - Monthly Metrics'!A:A,$B$4,'Data - Monthly Metrics'!B:B,"Jan",'Data - Monthly Metrics'!C:C,"Southwest",'Data - Monthly Metrics'!D:D,"Members Up for Renewal - Non-Target (#)"))</f>
        <v/>
      </c>
      <c r="G91" s="93">
        <f>IF(COUNTIFS('Data - Monthly Metrics'!A:A,$B$4,'Data - Monthly Metrics'!B:B,"Feb",'Data - Monthly Metrics'!C:C,"Southwest",'Data - Monthly Metrics'!D:D,"Members Up for Renewal - Non-Target (#)")=0,"-",SUMIFS('Data - Monthly Metrics'!E:E,'Data - Monthly Metrics'!A:A,$B$4,'Data - Monthly Metrics'!B:B,"Feb",'Data - Monthly Metrics'!C:C,"Southwest",'Data - Monthly Metrics'!D:D,"Members Up for Renewal - Non-Target (#)"))</f>
        <v/>
      </c>
      <c r="H91" s="93">
        <f>IF(COUNTIFS('Data - Monthly Metrics'!A:A,$B$4,'Data - Monthly Metrics'!B:B,"Mar",'Data - Monthly Metrics'!C:C,"Southwest",'Data - Monthly Metrics'!D:D,"Members Up for Renewal - Non-Target (#)")=0,"-",SUMIFS('Data - Monthly Metrics'!E:E,'Data - Monthly Metrics'!A:A,$B$4,'Data - Monthly Metrics'!B:B,"Mar",'Data - Monthly Metrics'!C:C,"Southwest",'Data - Monthly Metrics'!D:D,"Members Up for Renewal - Non-Target (#)"))</f>
        <v/>
      </c>
      <c r="I91" s="103">
        <f>SUM(F91,G91,H91)</f>
        <v/>
      </c>
      <c r="J91" s="93">
        <f>IF(COUNTIFS('Data - Monthly Metrics'!A:A,$B$4,'Data - Monthly Metrics'!B:B,"Apr",'Data - Monthly Metrics'!C:C,"Southwest",'Data - Monthly Metrics'!D:D,"Members Up for Renewal - Non-Target (#)")=0,"-",SUMIFS('Data - Monthly Metrics'!E:E,'Data - Monthly Metrics'!A:A,$B$4,'Data - Monthly Metrics'!B:B,"Apr",'Data - Monthly Metrics'!C:C,"Southwest",'Data - Monthly Metrics'!D:D,"Members Up for Renewal - Non-Target (#)"))</f>
        <v/>
      </c>
      <c r="K91" s="93">
        <f>IF(COUNTIFS('Data - Monthly Metrics'!A:A,$B$4,'Data - Monthly Metrics'!B:B,"May",'Data - Monthly Metrics'!C:C,"Southwest",'Data - Monthly Metrics'!D:D,"Members Up for Renewal - Non-Target (#)")=0,"-",SUMIFS('Data - Monthly Metrics'!E:E,'Data - Monthly Metrics'!A:A,$B$4,'Data - Monthly Metrics'!B:B,"May",'Data - Monthly Metrics'!C:C,"Southwest",'Data - Monthly Metrics'!D:D,"Members Up for Renewal - Non-Target (#)"))</f>
        <v/>
      </c>
      <c r="L91" s="93">
        <f>IF(COUNTIFS('Data - Monthly Metrics'!A:A,$B$4,'Data - Monthly Metrics'!B:B,"Jun",'Data - Monthly Metrics'!C:C,"Southwest",'Data - Monthly Metrics'!D:D,"Members Up for Renewal - Non-Target (#)")=0,"-",SUMIFS('Data - Monthly Metrics'!E:E,'Data - Monthly Metrics'!A:A,$B$4,'Data - Monthly Metrics'!B:B,"Jun",'Data - Monthly Metrics'!C:C,"Southwest",'Data - Monthly Metrics'!D:D,"Members Up for Renewal - Non-Target (#)"))</f>
        <v/>
      </c>
      <c r="M91" s="103">
        <f>SUM(J91,K91,L91)</f>
        <v/>
      </c>
      <c r="N91" s="93">
        <f>IF(COUNTIFS('Data - Monthly Metrics'!A:A,$B$4,'Data - Monthly Metrics'!B:B,"Jul",'Data - Monthly Metrics'!C:C,"Southwest",'Data - Monthly Metrics'!D:D,"Members Up for Renewal - Non-Target (#)")=0,"-",SUMIFS('Data - Monthly Metrics'!E:E,'Data - Monthly Metrics'!A:A,$B$4,'Data - Monthly Metrics'!B:B,"Jul",'Data - Monthly Metrics'!C:C,"Southwest",'Data - Monthly Metrics'!D:D,"Members Up for Renewal - Non-Target (#)"))</f>
        <v/>
      </c>
      <c r="O91" s="93">
        <f>IF(COUNTIFS('Data - Monthly Metrics'!A:A,$B$4,'Data - Monthly Metrics'!B:B,"Aug",'Data - Monthly Metrics'!C:C,"Southwest",'Data - Monthly Metrics'!D:D,"Members Up for Renewal - Non-Target (#)")=0,"-",SUMIFS('Data - Monthly Metrics'!E:E,'Data - Monthly Metrics'!A:A,$B$4,'Data - Monthly Metrics'!B:B,"Aug",'Data - Monthly Metrics'!C:C,"Southwest",'Data - Monthly Metrics'!D:D,"Members Up for Renewal - Non-Target (#)"))</f>
        <v/>
      </c>
      <c r="P91" s="93">
        <f>IF(COUNTIFS('Data - Monthly Metrics'!A:A,$B$4,'Data - Monthly Metrics'!B:B,"Sep",'Data - Monthly Metrics'!C:C,"Southwest",'Data - Monthly Metrics'!D:D,"Members Up for Renewal - Non-Target (#)")=0,"-",SUMIFS('Data - Monthly Metrics'!E:E,'Data - Monthly Metrics'!A:A,$B$4,'Data - Monthly Metrics'!B:B,"Sep",'Data - Monthly Metrics'!C:C,"Southwest",'Data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Metrics'!C:C,"Southwest",'Data - Monthly Metrics'!D:D,"Members Retained - Non-Target (#)")=0,"-",SUMIFS('Data - Monthly Metrics'!E:E,'Data - Monthly Metrics'!A:A,$B$4-1,'Data - Monthly Metrics'!B:B,"Oct",'Data - Monthly Metrics'!C:C,"Southwest",'Data - Monthly Metrics'!D:D,"Members Retained - Non-Target (#)"))</f>
        <v/>
      </c>
      <c r="C92" s="98">
        <f>IF(COUNTIFS('Data - Monthly Metrics'!A:A,$B$4-1,'Data - Monthly Metrics'!B:B,"Nov",'Data - Monthly Metrics'!C:C,"Southwest",'Data - Monthly Metrics'!D:D,"Members Retained - Non-Target (#)")=0,"-",SUMIFS('Data - Monthly Metrics'!E:E,'Data - Monthly Metrics'!A:A,$B$4-1,'Data - Monthly Metrics'!B:B,"Nov",'Data - Monthly Metrics'!C:C,"Southwest",'Data - Monthly Metrics'!D:D,"Members Retained - Non-Target (#)"))</f>
        <v/>
      </c>
      <c r="D92" s="98">
        <f>IF(COUNTIFS('Data - Monthly Metrics'!A:A,$B$4-1,'Data - Monthly Metrics'!B:B,"Dec",'Data - Monthly Metrics'!C:C,"Southwest",'Data - Monthly Metrics'!D:D,"Members Retained - Non-Target (#)")=0,"-",SUMIFS('Data - Monthly Metrics'!E:E,'Data - Monthly Metrics'!A:A,$B$4-1,'Data - Monthly Metrics'!B:B,"Dec",'Data - Monthly Metrics'!C:C,"Southwest",'Data - Monthly Metrics'!D:D,"Members Retained - Non-Target (#)"))</f>
        <v/>
      </c>
      <c r="E92" s="103">
        <f>SUM(B92,C92,D92)</f>
        <v/>
      </c>
      <c r="F92" s="98">
        <f>IF(COUNTIFS('Data - Monthly Metrics'!A:A,$B$4,'Data - Monthly Metrics'!B:B,"Jan",'Data - Monthly Metrics'!C:C,"Southwest",'Data - Monthly Metrics'!D:D,"Members Retained - Non-Target (#)")=0,"-",SUMIFS('Data - Monthly Metrics'!E:E,'Data - Monthly Metrics'!A:A,$B$4,'Data - Monthly Metrics'!B:B,"Jan",'Data - Monthly Metrics'!C:C,"Southwest",'Data - Monthly Metrics'!D:D,"Members Retained - Non-Target (#)"))</f>
        <v/>
      </c>
      <c r="G92" s="98">
        <f>IF(COUNTIFS('Data - Monthly Metrics'!A:A,$B$4,'Data - Monthly Metrics'!B:B,"Feb",'Data - Monthly Metrics'!C:C,"Southwest",'Data - Monthly Metrics'!D:D,"Members Retained - Non-Target (#)")=0,"-",SUMIFS('Data - Monthly Metrics'!E:E,'Data - Monthly Metrics'!A:A,$B$4,'Data - Monthly Metrics'!B:B,"Feb",'Data - Monthly Metrics'!C:C,"Southwest",'Data - Monthly Metrics'!D:D,"Members Retained - Non-Target (#)"))</f>
        <v/>
      </c>
      <c r="H92" s="98">
        <f>IF(COUNTIFS('Data - Monthly Metrics'!A:A,$B$4,'Data - Monthly Metrics'!B:B,"Mar",'Data - Monthly Metrics'!C:C,"Southwest",'Data - Monthly Metrics'!D:D,"Members Retained - Non-Target (#)")=0,"-",SUMIFS('Data - Monthly Metrics'!E:E,'Data - Monthly Metrics'!A:A,$B$4,'Data - Monthly Metrics'!B:B,"Mar",'Data - Monthly Metrics'!C:C,"Southwest",'Data - Monthly Metrics'!D:D,"Members Retained - Non-Target (#)"))</f>
        <v/>
      </c>
      <c r="I92" s="103">
        <f>SUM(F92,G92,H92)</f>
        <v/>
      </c>
      <c r="J92" s="98">
        <f>IF(COUNTIFS('Data - Monthly Metrics'!A:A,$B$4,'Data - Monthly Metrics'!B:B,"Apr",'Data - Monthly Metrics'!C:C,"Southwest",'Data - Monthly Metrics'!D:D,"Members Retained - Non-Target (#)")=0,"-",SUMIFS('Data - Monthly Metrics'!E:E,'Data - Monthly Metrics'!A:A,$B$4,'Data - Monthly Metrics'!B:B,"Apr",'Data - Monthly Metrics'!C:C,"Southwest",'Data - Monthly Metrics'!D:D,"Members Retained - Non-Target (#)"))</f>
        <v/>
      </c>
      <c r="K92" s="98">
        <f>IF(COUNTIFS('Data - Monthly Metrics'!A:A,$B$4,'Data - Monthly Metrics'!B:B,"May",'Data - Monthly Metrics'!C:C,"Southwest",'Data - Monthly Metrics'!D:D,"Members Retained - Non-Target (#)")=0,"-",SUMIFS('Data - Monthly Metrics'!E:E,'Data - Monthly Metrics'!A:A,$B$4,'Data - Monthly Metrics'!B:B,"May",'Data - Monthly Metrics'!C:C,"Southwest",'Data - Monthly Metrics'!D:D,"Members Retained - Non-Target (#)"))</f>
        <v/>
      </c>
      <c r="L92" s="98">
        <f>IF(COUNTIFS('Data - Monthly Metrics'!A:A,$B$4,'Data - Monthly Metrics'!B:B,"Jun",'Data - Monthly Metrics'!C:C,"Southwest",'Data - Monthly Metrics'!D:D,"Members Retained - Non-Target (#)")=0,"-",SUMIFS('Data - Monthly Metrics'!E:E,'Data - Monthly Metrics'!A:A,$B$4,'Data - Monthly Metrics'!B:B,"Jun",'Data - Monthly Metrics'!C:C,"Southwest",'Data - Monthly Metrics'!D:D,"Members Retained - Non-Target (#)"))</f>
        <v/>
      </c>
      <c r="M92" s="103">
        <f>SUM(J92,K92,L92)</f>
        <v/>
      </c>
      <c r="N92" s="98">
        <f>IF(COUNTIFS('Data - Monthly Metrics'!A:A,$B$4,'Data - Monthly Metrics'!B:B,"Jul",'Data - Monthly Metrics'!C:C,"Southwest",'Data - Monthly Metrics'!D:D,"Members Retained - Non-Target (#)")=0,"-",SUMIFS('Data - Monthly Metrics'!E:E,'Data - Monthly Metrics'!A:A,$B$4,'Data - Monthly Metrics'!B:B,"Jul",'Data - Monthly Metrics'!C:C,"Southwest",'Data - Monthly Metrics'!D:D,"Members Retained - Non-Target (#)"))</f>
        <v/>
      </c>
      <c r="O92" s="98">
        <f>IF(COUNTIFS('Data - Monthly Metrics'!A:A,$B$4,'Data - Monthly Metrics'!B:B,"Aug",'Data - Monthly Metrics'!C:C,"Southwest",'Data - Monthly Metrics'!D:D,"Members Retained - Non-Target (#)")=0,"-",SUMIFS('Data - Monthly Metrics'!E:E,'Data - Monthly Metrics'!A:A,$B$4,'Data - Monthly Metrics'!B:B,"Aug",'Data - Monthly Metrics'!C:C,"Southwest",'Data - Monthly Metrics'!D:D,"Members Retained - Non-Target (#)"))</f>
        <v/>
      </c>
      <c r="P92" s="98">
        <f>IF(COUNTIFS('Data - Monthly Metrics'!A:A,$B$4,'Data - Monthly Metrics'!B:B,"Sep",'Data - Monthly Metrics'!C:C,"Southwest",'Data - Monthly Metrics'!D:D,"Members Retained - Non-Target (#)")=0,"-",SUMIFS('Data - Monthly Metrics'!E:E,'Data - Monthly Metrics'!A:A,$B$4,'Data - Monthly Metrics'!B:B,"Sep",'Data - Monthly Metrics'!C:C,"Southwest",'Data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Metrics'!$C:$C,"Southwest",'Data - Monthly Metrics'!$D:$D,"Goal - Retention %")=0),"—",IF(B93&gt;=SUMIFS('Data - Monthly Metrics'!$E:$E,'Data - Monthly Metrics'!$A:$A,$B$4-1,'Data - Monthly Metrics'!$B:$B,B$8,'Data - Monthly Metrics'!$C:$C,"Southwest",'Data - Monthly Metrics'!$D:$D,"Goal - Retention %"),"On Track",IF(B93&gt;=SUMIFS('Data - Monthly Metrics'!$E:$E,'Data - Monthly Metrics'!$A:$A,$B$4-1,'Data - Monthly Metrics'!$B:$B,B$8,'Data - Monthly Metrics'!$C:$C,"Southwest",'Data - Monthly Metrics'!$D:$D,"Goal - Retention %")-0.05,"Watch","At Risk")))</f>
        <v/>
      </c>
      <c r="C94" s="120">
        <f>IF(OR(NOT(ISNUMBER(C93)),C93=0,COUNTIFS('Data - Monthly Metrics'!$A:$A,$B$4-1,'Data - Monthly Metrics'!$B:$B,C$8,'Data - Monthly Metrics'!$C:$C,"Southwest",'Data - Monthly Metrics'!$D:$D,"Goal - Retention %")=0),"—",IF(C93&gt;=SUMIFS('Data - Monthly Metrics'!$E:$E,'Data - Monthly Metrics'!$A:$A,$B$4-1,'Data - Monthly Metrics'!$B:$B,C$8,'Data - Monthly Metrics'!$C:$C,"Southwest",'Data - Monthly Metrics'!$D:$D,"Goal - Retention %"),"On Track",IF(C93&gt;=SUMIFS('Data - Monthly Metrics'!$E:$E,'Data - Monthly Metrics'!$A:$A,$B$4-1,'Data - Monthly Metrics'!$B:$B,C$8,'Data - Monthly Metrics'!$C:$C,"Southwest",'Data - Monthly Metrics'!$D:$D,"Goal - Retention %")-0.05,"Watch","At Risk")))</f>
        <v/>
      </c>
      <c r="D94" s="120">
        <f>IF(OR(NOT(ISNUMBER(D93)),D93=0,COUNTIFS('Data - Monthly Metrics'!$A:$A,$B$4-1,'Data - Monthly Metrics'!$B:$B,D$8,'Data - Monthly Metrics'!$C:$C,"Southwest",'Data - Monthly Metrics'!$D:$D,"Goal - Retention %")=0),"—",IF(D93&gt;=SUMIFS('Data - Monthly Metrics'!$E:$E,'Data - Monthly Metrics'!$A:$A,$B$4-1,'Data - Monthly Metrics'!$B:$B,D$8,'Data - Monthly Metrics'!$C:$C,"Southwest",'Data - Monthly Metrics'!$D:$D,"Goal - Retention %"),"On Track",IF(D93&gt;=SUMIFS('Data - Monthly Metrics'!$E:$E,'Data - Monthly Metrics'!$A:$A,$B$4-1,'Data - Monthly Metrics'!$B:$B,D$8,'Data - Monthly Metrics'!$C:$C,"Southwest",'Data - Monthly Metrics'!$D:$D,"Goal - Retention %")-0.05,"Watch","At Risk")))</f>
        <v/>
      </c>
      <c r="E94" s="121">
        <f>"—"</f>
        <v/>
      </c>
      <c r="F94" s="120">
        <f>IF(OR(NOT(ISNUMBER(F93)),F93=0,COUNTIFS('Data - Monthly Metrics'!$A:$A,$B$4,'Data - Monthly Metrics'!$B:$B,F$8,'Data - Monthly Metrics'!$C:$C,"Southwest",'Data - Monthly Metrics'!$D:$D,"Goal - Retention %")=0),"—",IF(F93&gt;=SUMIFS('Data - Monthly Metrics'!$E:$E,'Data - Monthly Metrics'!$A:$A,$B$4,'Data - Monthly Metrics'!$B:$B,F$8,'Data - Monthly Metrics'!$C:$C,"Southwest",'Data - Monthly Metrics'!$D:$D,"Goal - Retention %"),"On Track",IF(F93&gt;=SUMIFS('Data - Monthly Metrics'!$E:$E,'Data - Monthly Metrics'!$A:$A,$B$4,'Data - Monthly Metrics'!$B:$B,F$8,'Data - Monthly Metrics'!$C:$C,"Southwest",'Data - Monthly Metrics'!$D:$D,"Goal - Retention %")-0.05,"Watch","At Risk")))</f>
        <v/>
      </c>
      <c r="G94" s="120">
        <f>IF(OR(NOT(ISNUMBER(G93)),G93=0,COUNTIFS('Data - Monthly Metrics'!$A:$A,$B$4,'Data - Monthly Metrics'!$B:$B,G$8,'Data - Monthly Metrics'!$C:$C,"Southwest",'Data - Monthly Metrics'!$D:$D,"Goal - Retention %")=0),"—",IF(G93&gt;=SUMIFS('Data - Monthly Metrics'!$E:$E,'Data - Monthly Metrics'!$A:$A,$B$4,'Data - Monthly Metrics'!$B:$B,G$8,'Data - Monthly Metrics'!$C:$C,"Southwest",'Data - Monthly Metrics'!$D:$D,"Goal - Retention %"),"On Track",IF(G93&gt;=SUMIFS('Data - Monthly Metrics'!$E:$E,'Data - Monthly Metrics'!$A:$A,$B$4,'Data - Monthly Metrics'!$B:$B,G$8,'Data - Monthly Metrics'!$C:$C,"Southwest",'Data - Monthly Metrics'!$D:$D,"Goal - Retention %")-0.05,"Watch","At Risk")))</f>
        <v/>
      </c>
      <c r="H94" s="120">
        <f>IF(OR(NOT(ISNUMBER(H93)),H93=0,COUNTIFS('Data - Monthly Metrics'!$A:$A,$B$4,'Data - Monthly Metrics'!$B:$B,H$8,'Data - Monthly Metrics'!$C:$C,"Southwest",'Data - Monthly Metrics'!$D:$D,"Goal - Retention %")=0),"—",IF(H93&gt;=SUMIFS('Data - Monthly Metrics'!$E:$E,'Data - Monthly Metrics'!$A:$A,$B$4,'Data - Monthly Metrics'!$B:$B,H$8,'Data - Monthly Metrics'!$C:$C,"Southwest",'Data - Monthly Metrics'!$D:$D,"Goal - Retention %"),"On Track",IF(H93&gt;=SUMIFS('Data - Monthly Metrics'!$E:$E,'Data - Monthly Metrics'!$A:$A,$B$4,'Data - Monthly Metrics'!$B:$B,H$8,'Data - Monthly Metrics'!$C:$C,"Southwest",'Data - Monthly Metrics'!$D:$D,"Goal - Retention %")-0.05,"Watch","At Risk")))</f>
        <v/>
      </c>
      <c r="I94" s="121">
        <f>"—"</f>
        <v/>
      </c>
      <c r="J94" s="120">
        <f>IF(OR(NOT(ISNUMBER(J93)),J93=0,COUNTIFS('Data - Monthly Metrics'!$A:$A,$B$4,'Data - Monthly Metrics'!$B:$B,J$8,'Data - Monthly Metrics'!$C:$C,"Southwest",'Data - Monthly Metrics'!$D:$D,"Goal - Retention %")=0),"—",IF(J93&gt;=SUMIFS('Data - Monthly Metrics'!$E:$E,'Data - Monthly Metrics'!$A:$A,$B$4,'Data - Monthly Metrics'!$B:$B,J$8,'Data - Monthly Metrics'!$C:$C,"Southwest",'Data - Monthly Metrics'!$D:$D,"Goal - Retention %"),"On Track",IF(J93&gt;=SUMIFS('Data - Monthly Metrics'!$E:$E,'Data - Monthly Metrics'!$A:$A,$B$4,'Data - Monthly Metrics'!$B:$B,J$8,'Data - Monthly Metrics'!$C:$C,"Southwest",'Data - Monthly Metrics'!$D:$D,"Goal - Retention %")-0.05,"Watch","At Risk")))</f>
        <v/>
      </c>
      <c r="K94" s="120">
        <f>IF(OR(NOT(ISNUMBER(K93)),K93=0,COUNTIFS('Data - Monthly Metrics'!$A:$A,$B$4,'Data - Monthly Metrics'!$B:$B,K$8,'Data - Monthly Metrics'!$C:$C,"Southwest",'Data - Monthly Metrics'!$D:$D,"Goal - Retention %")=0),"—",IF(K93&gt;=SUMIFS('Data - Monthly Metrics'!$E:$E,'Data - Monthly Metrics'!$A:$A,$B$4,'Data - Monthly Metrics'!$B:$B,K$8,'Data - Monthly Metrics'!$C:$C,"Southwest",'Data - Monthly Metrics'!$D:$D,"Goal - Retention %"),"On Track",IF(K93&gt;=SUMIFS('Data - Monthly Metrics'!$E:$E,'Data - Monthly Metrics'!$A:$A,$B$4,'Data - Monthly Metrics'!$B:$B,K$8,'Data - Monthly Metrics'!$C:$C,"Southwest",'Data - Monthly Metrics'!$D:$D,"Goal - Retention %")-0.05,"Watch","At Risk")))</f>
        <v/>
      </c>
      <c r="L94" s="120">
        <f>IF(OR(NOT(ISNUMBER(L93)),L93=0,COUNTIFS('Data - Monthly Metrics'!$A:$A,$B$4,'Data - Monthly Metrics'!$B:$B,L$8,'Data - Monthly Metrics'!$C:$C,"Southwest",'Data - Monthly Metrics'!$D:$D,"Goal - Retention %")=0),"—",IF(L93&gt;=SUMIFS('Data - Monthly Metrics'!$E:$E,'Data - Monthly Metrics'!$A:$A,$B$4,'Data - Monthly Metrics'!$B:$B,L$8,'Data - Monthly Metrics'!$C:$C,"Southwest",'Data - Monthly Metrics'!$D:$D,"Goal - Retention %"),"On Track",IF(L93&gt;=SUMIFS('Data - Monthly Metrics'!$E:$E,'Data - Monthly Metrics'!$A:$A,$B$4,'Data - Monthly Metrics'!$B:$B,L$8,'Data - Monthly Metrics'!$C:$C,"Southwest",'Data - Monthly Metrics'!$D:$D,"Goal - Retention %")-0.05,"Watch","At Risk")))</f>
        <v/>
      </c>
      <c r="M94" s="121">
        <f>"—"</f>
        <v/>
      </c>
      <c r="N94" s="120">
        <f>IF(OR(NOT(ISNUMBER(N93)),N93=0,COUNTIFS('Data - Monthly Metrics'!$A:$A,$B$4,'Data - Monthly Metrics'!$B:$B,N$8,'Data - Monthly Metrics'!$C:$C,"Southwest",'Data - Monthly Metrics'!$D:$D,"Goal - Retention %")=0),"—",IF(N93&gt;=SUMIFS('Data - Monthly Metrics'!$E:$E,'Data - Monthly Metrics'!$A:$A,$B$4,'Data - Monthly Metrics'!$B:$B,N$8,'Data - Monthly Metrics'!$C:$C,"Southwest",'Data - Monthly Metrics'!$D:$D,"Goal - Retention %"),"On Track",IF(N93&gt;=SUMIFS('Data - Monthly Metrics'!$E:$E,'Data - Monthly Metrics'!$A:$A,$B$4,'Data - Monthly Metrics'!$B:$B,N$8,'Data - Monthly Metrics'!$C:$C,"Southwest",'Data - Monthly Metrics'!$D:$D,"Goal - Retention %")-0.05,"Watch","At Risk")))</f>
        <v/>
      </c>
      <c r="O94" s="120">
        <f>IF(OR(NOT(ISNUMBER(O93)),O93=0,COUNTIFS('Data - Monthly Metrics'!$A:$A,$B$4,'Data - Monthly Metrics'!$B:$B,O$8,'Data - Monthly Metrics'!$C:$C,"Southwest",'Data - Monthly Metrics'!$D:$D,"Goal - Retention %")=0),"—",IF(O93&gt;=SUMIFS('Data - Monthly Metrics'!$E:$E,'Data - Monthly Metrics'!$A:$A,$B$4,'Data - Monthly Metrics'!$B:$B,O$8,'Data - Monthly Metrics'!$C:$C,"Southwest",'Data - Monthly Metrics'!$D:$D,"Goal - Retention %"),"On Track",IF(O93&gt;=SUMIFS('Data - Monthly Metrics'!$E:$E,'Data - Monthly Metrics'!$A:$A,$B$4,'Data - Monthly Metrics'!$B:$B,O$8,'Data - Monthly Metrics'!$C:$C,"Southwest",'Data - Monthly Metrics'!$D:$D,"Goal - Retention %")-0.05,"Watch","At Risk")))</f>
        <v/>
      </c>
      <c r="P94" s="120">
        <f>IF(OR(NOT(ISNUMBER(P93)),P93=0,COUNTIFS('Data - Monthly Metrics'!$A:$A,$B$4,'Data - Monthly Metrics'!$B:$B,P$8,'Data - Monthly Metrics'!$C:$C,"Southwest",'Data - Monthly Metrics'!$D:$D,"Goal - Retention %")=0),"—",IF(P93&gt;=SUMIFS('Data - Monthly Metrics'!$E:$E,'Data - Monthly Metrics'!$A:$A,$B$4,'Data - Monthly Metrics'!$B:$B,P$8,'Data - Monthly Metrics'!$C:$C,"Southwest",'Data - Monthly Metrics'!$D:$D,"Goal - Retention %"),"On Track",IF(P93&gt;=SUMIFS('Data - Monthly Metrics'!$E:$E,'Data - Monthly Metrics'!$A:$A,$B$4,'Data - Monthly Metrics'!$B:$B,P$8,'Data - Monthly Metrics'!$C:$C,"Southwest",'Data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Metrics'!C:C,"Southwest",'Data - Monthly Metrics'!D:D,"Retention - Comped Non-Target (#)")=0,"-",SUMIFS('Data - Monthly Metrics'!E:E,'Data - Monthly Metrics'!A:A,$B$4-1,'Data - Monthly Metrics'!B:B,"Oct",'Data - Monthly Metrics'!C:C,"Southwest",'Data - Monthly Metrics'!D:D,"Retention - Comped Non-Target (#)"))</f>
        <v/>
      </c>
      <c r="C95" s="98">
        <f>IF(COUNTIFS('Data - Monthly Metrics'!A:A,$B$4-1,'Data - Monthly Metrics'!B:B,"Nov",'Data - Monthly Metrics'!C:C,"Southwest",'Data - Monthly Metrics'!D:D,"Retention - Comped Non-Target (#)")=0,"-",SUMIFS('Data - Monthly Metrics'!E:E,'Data - Monthly Metrics'!A:A,$B$4-1,'Data - Monthly Metrics'!B:B,"Nov",'Data - Monthly Metrics'!C:C,"Southwest",'Data - Monthly Metrics'!D:D,"Retention - Comped Non-Target (#)"))</f>
        <v/>
      </c>
      <c r="D95" s="98">
        <f>IF(COUNTIFS('Data - Monthly Metrics'!A:A,$B$4-1,'Data - Monthly Metrics'!B:B,"Dec",'Data - Monthly Metrics'!C:C,"Southwest",'Data - Monthly Metrics'!D:D,"Retention - Comped Non-Target (#)")=0,"-",SUMIFS('Data - Monthly Metrics'!E:E,'Data - Monthly Metrics'!A:A,$B$4-1,'Data - Monthly Metrics'!B:B,"Dec",'Data - Monthly Metrics'!C:C,"Southwest",'Data - Monthly Metrics'!D:D,"Retention - Comped Non-Target (#)"))</f>
        <v/>
      </c>
      <c r="E95" s="103">
        <f>SUM(B95,C95,D95)</f>
        <v/>
      </c>
      <c r="F95" s="98">
        <f>IF(COUNTIFS('Data - Monthly Metrics'!A:A,$B$4,'Data - Monthly Metrics'!B:B,"Jan",'Data - Monthly Metrics'!C:C,"Southwest",'Data - Monthly Metrics'!D:D,"Retention - Comped Non-Target (#)")=0,"-",SUMIFS('Data - Monthly Metrics'!E:E,'Data - Monthly Metrics'!A:A,$B$4,'Data - Monthly Metrics'!B:B,"Jan",'Data - Monthly Metrics'!C:C,"Southwest",'Data - Monthly Metrics'!D:D,"Retention - Comped Non-Target (#)"))</f>
        <v/>
      </c>
      <c r="G95" s="98">
        <f>IF(COUNTIFS('Data - Monthly Metrics'!A:A,$B$4,'Data - Monthly Metrics'!B:B,"Feb",'Data - Monthly Metrics'!C:C,"Southwest",'Data - Monthly Metrics'!D:D,"Retention - Comped Non-Target (#)")=0,"-",SUMIFS('Data - Monthly Metrics'!E:E,'Data - Monthly Metrics'!A:A,$B$4,'Data - Monthly Metrics'!B:B,"Feb",'Data - Monthly Metrics'!C:C,"Southwest",'Data - Monthly Metrics'!D:D,"Retention - Comped Non-Target (#)"))</f>
        <v/>
      </c>
      <c r="H95" s="98">
        <f>IF(COUNTIFS('Data - Monthly Metrics'!A:A,$B$4,'Data - Monthly Metrics'!B:B,"Mar",'Data - Monthly Metrics'!C:C,"Southwest",'Data - Monthly Metrics'!D:D,"Retention - Comped Non-Target (#)")=0,"-",SUMIFS('Data - Monthly Metrics'!E:E,'Data - Monthly Metrics'!A:A,$B$4,'Data - Monthly Metrics'!B:B,"Mar",'Data - Monthly Metrics'!C:C,"Southwest",'Data - Monthly Metrics'!D:D,"Retention - Comped Non-Target (#)"))</f>
        <v/>
      </c>
      <c r="I95" s="103">
        <f>SUM(F95,G95,H95)</f>
        <v/>
      </c>
      <c r="J95" s="98">
        <f>IF(COUNTIFS('Data - Monthly Metrics'!A:A,$B$4,'Data - Monthly Metrics'!B:B,"Apr",'Data - Monthly Metrics'!C:C,"Southwest",'Data - Monthly Metrics'!D:D,"Retention - Comped Non-Target (#)")=0,"-",SUMIFS('Data - Monthly Metrics'!E:E,'Data - Monthly Metrics'!A:A,$B$4,'Data - Monthly Metrics'!B:B,"Apr",'Data - Monthly Metrics'!C:C,"Southwest",'Data - Monthly Metrics'!D:D,"Retention - Comped Non-Target (#)"))</f>
        <v/>
      </c>
      <c r="K95" s="98">
        <f>IF(COUNTIFS('Data - Monthly Metrics'!A:A,$B$4,'Data - Monthly Metrics'!B:B,"May",'Data - Monthly Metrics'!C:C,"Southwest",'Data - Monthly Metrics'!D:D,"Retention - Comped Non-Target (#)")=0,"-",SUMIFS('Data - Monthly Metrics'!E:E,'Data - Monthly Metrics'!A:A,$B$4,'Data - Monthly Metrics'!B:B,"May",'Data - Monthly Metrics'!C:C,"Southwest",'Data - Monthly Metrics'!D:D,"Retention - Comped Non-Target (#)"))</f>
        <v/>
      </c>
      <c r="L95" s="98">
        <f>IF(COUNTIFS('Data - Monthly Metrics'!A:A,$B$4,'Data - Monthly Metrics'!B:B,"Jun",'Data - Monthly Metrics'!C:C,"Southwest",'Data - Monthly Metrics'!D:D,"Retention - Comped Non-Target (#)")=0,"-",SUMIFS('Data - Monthly Metrics'!E:E,'Data - Monthly Metrics'!A:A,$B$4,'Data - Monthly Metrics'!B:B,"Jun",'Data - Monthly Metrics'!C:C,"Southwest",'Data - Monthly Metrics'!D:D,"Retention - Comped Non-Target (#)"))</f>
        <v/>
      </c>
      <c r="M95" s="103">
        <f>SUM(J95,K95,L95)</f>
        <v/>
      </c>
      <c r="N95" s="98">
        <f>IF(COUNTIFS('Data - Monthly Metrics'!A:A,$B$4,'Data - Monthly Metrics'!B:B,"Jul",'Data - Monthly Metrics'!C:C,"Southwest",'Data - Monthly Metrics'!D:D,"Retention - Comped Non-Target (#)")=0,"-",SUMIFS('Data - Monthly Metrics'!E:E,'Data - Monthly Metrics'!A:A,$B$4,'Data - Monthly Metrics'!B:B,"Jul",'Data - Monthly Metrics'!C:C,"Southwest",'Data - Monthly Metrics'!D:D,"Retention - Comped Non-Target (#)"))</f>
        <v/>
      </c>
      <c r="O95" s="98">
        <f>IF(COUNTIFS('Data - Monthly Metrics'!A:A,$B$4,'Data - Monthly Metrics'!B:B,"Aug",'Data - Monthly Metrics'!C:C,"Southwest",'Data - Monthly Metrics'!D:D,"Retention - Comped Non-Target (#)")=0,"-",SUMIFS('Data - Monthly Metrics'!E:E,'Data - Monthly Metrics'!A:A,$B$4,'Data - Monthly Metrics'!B:B,"Aug",'Data - Monthly Metrics'!C:C,"Southwest",'Data - Monthly Metrics'!D:D,"Retention - Comped Non-Target (#)"))</f>
        <v/>
      </c>
      <c r="P95" s="98">
        <f>IF(COUNTIFS('Data - Monthly Metrics'!A:A,$B$4,'Data - Monthly Metrics'!B:B,"Sep",'Data - Monthly Metrics'!C:C,"Southwest",'Data - Monthly Metrics'!D:D,"Retention - Comped Non-Target (#)")=0,"-",SUMIFS('Data - Monthly Metrics'!E:E,'Data - Monthly Metrics'!A:A,$B$4,'Data - Monthly Metrics'!B:B,"Sep",'Data - Monthly Metrics'!C:C,"Southwest",'Data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Metrics'!C:C,"Southwest",'Data - Monthly Metrics'!D:D,"Retention - Comped Non-Target ($)")=0,"-",SUMIFS('Data - Monthly Metrics'!E:E,'Data - Monthly Metrics'!A:A,$B$4-1,'Data - Monthly Metrics'!B:B,"Oct",'Data - Monthly Metrics'!C:C,"Southwest",'Data - Monthly Metrics'!D:D,"Retention - Comped Non-Target ($)"))</f>
        <v/>
      </c>
      <c r="C96" s="96">
        <f>IF(COUNTIFS('Data - Monthly Metrics'!A:A,$B$4-1,'Data - Monthly Metrics'!B:B,"Nov",'Data - Monthly Metrics'!C:C,"Southwest",'Data - Monthly Metrics'!D:D,"Retention - Comped Non-Target ($)")=0,"-",SUMIFS('Data - Monthly Metrics'!E:E,'Data - Monthly Metrics'!A:A,$B$4-1,'Data - Monthly Metrics'!B:B,"Nov",'Data - Monthly Metrics'!C:C,"Southwest",'Data - Monthly Metrics'!D:D,"Retention - Comped Non-Target ($)"))</f>
        <v/>
      </c>
      <c r="D96" s="96">
        <f>IF(COUNTIFS('Data - Monthly Metrics'!A:A,$B$4-1,'Data - Monthly Metrics'!B:B,"Dec",'Data - Monthly Metrics'!C:C,"Southwest",'Data - Monthly Metrics'!D:D,"Retention - Comped Non-Target ($)")=0,"-",SUMIFS('Data - Monthly Metrics'!E:E,'Data - Monthly Metrics'!A:A,$B$4-1,'Data - Monthly Metrics'!B:B,"Dec",'Data - Monthly Metrics'!C:C,"Southwest",'Data - Monthly Metrics'!D:D,"Retention - Comped Non-Target ($)"))</f>
        <v/>
      </c>
      <c r="E96" s="101">
        <f>SUM(B96,C96,D96)</f>
        <v/>
      </c>
      <c r="F96" s="96">
        <f>IF(COUNTIFS('Data - Monthly Metrics'!A:A,$B$4,'Data - Monthly Metrics'!B:B,"Jan",'Data - Monthly Metrics'!C:C,"Southwest",'Data - Monthly Metrics'!D:D,"Retention - Comped Non-Target ($)")=0,"-",SUMIFS('Data - Monthly Metrics'!E:E,'Data - Monthly Metrics'!A:A,$B$4,'Data - Monthly Metrics'!B:B,"Jan",'Data - Monthly Metrics'!C:C,"Southwest",'Data - Monthly Metrics'!D:D,"Retention - Comped Non-Target ($)"))</f>
        <v/>
      </c>
      <c r="G96" s="96">
        <f>IF(COUNTIFS('Data - Monthly Metrics'!A:A,$B$4,'Data - Monthly Metrics'!B:B,"Feb",'Data - Monthly Metrics'!C:C,"Southwest",'Data - Monthly Metrics'!D:D,"Retention - Comped Non-Target ($)")=0,"-",SUMIFS('Data - Monthly Metrics'!E:E,'Data - Monthly Metrics'!A:A,$B$4,'Data - Monthly Metrics'!B:B,"Feb",'Data - Monthly Metrics'!C:C,"Southwest",'Data - Monthly Metrics'!D:D,"Retention - Comped Non-Target ($)"))</f>
        <v/>
      </c>
      <c r="H96" s="96">
        <f>IF(COUNTIFS('Data - Monthly Metrics'!A:A,$B$4,'Data - Monthly Metrics'!B:B,"Mar",'Data - Monthly Metrics'!C:C,"Southwest",'Data - Monthly Metrics'!D:D,"Retention - Comped Non-Target ($)")=0,"-",SUMIFS('Data - Monthly Metrics'!E:E,'Data - Monthly Metrics'!A:A,$B$4,'Data - Monthly Metrics'!B:B,"Mar",'Data - Monthly Metrics'!C:C,"Southwest",'Data - Monthly Metrics'!D:D,"Retention - Comped Non-Target ($)"))</f>
        <v/>
      </c>
      <c r="I96" s="101">
        <f>SUM(F96,G96,H96)</f>
        <v/>
      </c>
      <c r="J96" s="96">
        <f>IF(COUNTIFS('Data - Monthly Metrics'!A:A,$B$4,'Data - Monthly Metrics'!B:B,"Apr",'Data - Monthly Metrics'!C:C,"Southwest",'Data - Monthly Metrics'!D:D,"Retention - Comped Non-Target ($)")=0,"-",SUMIFS('Data - Monthly Metrics'!E:E,'Data - Monthly Metrics'!A:A,$B$4,'Data - Monthly Metrics'!B:B,"Apr",'Data - Monthly Metrics'!C:C,"Southwest",'Data - Monthly Metrics'!D:D,"Retention - Comped Non-Target ($)"))</f>
        <v/>
      </c>
      <c r="K96" s="96">
        <f>IF(COUNTIFS('Data - Monthly Metrics'!A:A,$B$4,'Data - Monthly Metrics'!B:B,"May",'Data - Monthly Metrics'!C:C,"Southwest",'Data - Monthly Metrics'!D:D,"Retention - Comped Non-Target ($)")=0,"-",SUMIFS('Data - Monthly Metrics'!E:E,'Data - Monthly Metrics'!A:A,$B$4,'Data - Monthly Metrics'!B:B,"May",'Data - Monthly Metrics'!C:C,"Southwest",'Data - Monthly Metrics'!D:D,"Retention - Comped Non-Target ($)"))</f>
        <v/>
      </c>
      <c r="L96" s="96">
        <f>IF(COUNTIFS('Data - Monthly Metrics'!A:A,$B$4,'Data - Monthly Metrics'!B:B,"Jun",'Data - Monthly Metrics'!C:C,"Southwest",'Data - Monthly Metrics'!D:D,"Retention - Comped Non-Target ($)")=0,"-",SUMIFS('Data - Monthly Metrics'!E:E,'Data - Monthly Metrics'!A:A,$B$4,'Data - Monthly Metrics'!B:B,"Jun",'Data - Monthly Metrics'!C:C,"Southwest",'Data - Monthly Metrics'!D:D,"Retention - Comped Non-Target ($)"))</f>
        <v/>
      </c>
      <c r="M96" s="101">
        <f>SUM(J96,K96,L96)</f>
        <v/>
      </c>
      <c r="N96" s="96">
        <f>IF(COUNTIFS('Data - Monthly Metrics'!A:A,$B$4,'Data - Monthly Metrics'!B:B,"Jul",'Data - Monthly Metrics'!C:C,"Southwest",'Data - Monthly Metrics'!D:D,"Retention - Comped Non-Target ($)")=0,"-",SUMIFS('Data - Monthly Metrics'!E:E,'Data - Monthly Metrics'!A:A,$B$4,'Data - Monthly Metrics'!B:B,"Jul",'Data - Monthly Metrics'!C:C,"Southwest",'Data - Monthly Metrics'!D:D,"Retention - Comped Non-Target ($)"))</f>
        <v/>
      </c>
      <c r="O96" s="96">
        <f>IF(COUNTIFS('Data - Monthly Metrics'!A:A,$B$4,'Data - Monthly Metrics'!B:B,"Aug",'Data - Monthly Metrics'!C:C,"Southwest",'Data - Monthly Metrics'!D:D,"Retention - Comped Non-Target ($)")=0,"-",SUMIFS('Data - Monthly Metrics'!E:E,'Data - Monthly Metrics'!A:A,$B$4,'Data - Monthly Metrics'!B:B,"Aug",'Data - Monthly Metrics'!C:C,"Southwest",'Data - Monthly Metrics'!D:D,"Retention - Comped Non-Target ($)"))</f>
        <v/>
      </c>
      <c r="P96" s="96">
        <f>IF(COUNTIFS('Data - Monthly Metrics'!A:A,$B$4,'Data - Monthly Metrics'!B:B,"Sep",'Data - Monthly Metrics'!C:C,"Southwest",'Data - Monthly Metrics'!D:D,"Retention - Comped Non-Target ($)")=0,"-",SUMIFS('Data - Monthly Metrics'!E:E,'Data - Monthly Metrics'!A:A,$B$4,'Data - Monthly Metrics'!B:B,"Sep",'Data - Monthly Metrics'!C:C,"Southwest",'Data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Metrics'!C:C,"Southwest",'Data - Monthly Metrics'!D:D,"Drops - Non-Target (#)")=0,"-",SUMIFS('Data - Monthly Metrics'!E:E,'Data - Monthly Metrics'!A:A,$B$4-1,'Data - Monthly Metrics'!B:B,"Oct",'Data - Monthly Metrics'!C:C,"Southwest",'Data - Monthly Metrics'!D:D,"Drops - Non-Target (#)"))</f>
        <v/>
      </c>
      <c r="C100" s="93">
        <f>IF(COUNTIFS('Data - Monthly Metrics'!A:A,$B$4-1,'Data - Monthly Metrics'!B:B,"Nov",'Data - Monthly Metrics'!C:C,"Southwest",'Data - Monthly Metrics'!D:D,"Drops - Non-Target (#)")=0,"-",SUMIFS('Data - Monthly Metrics'!E:E,'Data - Monthly Metrics'!A:A,$B$4-1,'Data - Monthly Metrics'!B:B,"Nov",'Data - Monthly Metrics'!C:C,"Southwest",'Data - Monthly Metrics'!D:D,"Drops - Non-Target (#)"))</f>
        <v/>
      </c>
      <c r="D100" s="93">
        <f>IF(COUNTIFS('Data - Monthly Metrics'!A:A,$B$4-1,'Data - Monthly Metrics'!B:B,"Dec",'Data - Monthly Metrics'!C:C,"Southwest",'Data - Monthly Metrics'!D:D,"Drops - Non-Target (#)")=0,"-",SUMIFS('Data - Monthly Metrics'!E:E,'Data - Monthly Metrics'!A:A,$B$4-1,'Data - Monthly Metrics'!B:B,"Dec",'Data - Monthly Metrics'!C:C,"Southwest",'Data - Monthly Metrics'!D:D,"Drops - Non-Target (#)"))</f>
        <v/>
      </c>
      <c r="E100" s="103">
        <f>SUM(B100,C100,D100)</f>
        <v/>
      </c>
      <c r="F100" s="93">
        <f>IF(COUNTIFS('Data - Monthly Metrics'!A:A,$B$4,'Data - Monthly Metrics'!B:B,"Jan",'Data - Monthly Metrics'!C:C,"Southwest",'Data - Monthly Metrics'!D:D,"Drops - Non-Target (#)")=0,"-",SUMIFS('Data - Monthly Metrics'!E:E,'Data - Monthly Metrics'!A:A,$B$4,'Data - Monthly Metrics'!B:B,"Jan",'Data - Monthly Metrics'!C:C,"Southwest",'Data - Monthly Metrics'!D:D,"Drops - Non-Target (#)"))</f>
        <v/>
      </c>
      <c r="G100" s="93">
        <f>IF(COUNTIFS('Data - Monthly Metrics'!A:A,$B$4,'Data - Monthly Metrics'!B:B,"Feb",'Data - Monthly Metrics'!C:C,"Southwest",'Data - Monthly Metrics'!D:D,"Drops - Non-Target (#)")=0,"-",SUMIFS('Data - Monthly Metrics'!E:E,'Data - Monthly Metrics'!A:A,$B$4,'Data - Monthly Metrics'!B:B,"Feb",'Data - Monthly Metrics'!C:C,"Southwest",'Data - Monthly Metrics'!D:D,"Drops - Non-Target (#)"))</f>
        <v/>
      </c>
      <c r="H100" s="93">
        <f>IF(COUNTIFS('Data - Monthly Metrics'!A:A,$B$4,'Data - Monthly Metrics'!B:B,"Mar",'Data - Monthly Metrics'!C:C,"Southwest",'Data - Monthly Metrics'!D:D,"Drops - Non-Target (#)")=0,"-",SUMIFS('Data - Monthly Metrics'!E:E,'Data - Monthly Metrics'!A:A,$B$4,'Data - Monthly Metrics'!B:B,"Mar",'Data - Monthly Metrics'!C:C,"Southwest",'Data - Monthly Metrics'!D:D,"Drops - Non-Target (#)"))</f>
        <v/>
      </c>
      <c r="I100" s="103">
        <f>SUM(F100,G100,H100)</f>
        <v/>
      </c>
      <c r="J100" s="93">
        <f>IF(COUNTIFS('Data - Monthly Metrics'!A:A,$B$4,'Data - Monthly Metrics'!B:B,"Apr",'Data - Monthly Metrics'!C:C,"Southwest",'Data - Monthly Metrics'!D:D,"Drops - Non-Target (#)")=0,"-",SUMIFS('Data - Monthly Metrics'!E:E,'Data - Monthly Metrics'!A:A,$B$4,'Data - Monthly Metrics'!B:B,"Apr",'Data - Monthly Metrics'!C:C,"Southwest",'Data - Monthly Metrics'!D:D,"Drops - Non-Target (#)"))</f>
        <v/>
      </c>
      <c r="K100" s="93">
        <f>IF(COUNTIFS('Data - Monthly Metrics'!A:A,$B$4,'Data - Monthly Metrics'!B:B,"May",'Data - Monthly Metrics'!C:C,"Southwest",'Data - Monthly Metrics'!D:D,"Drops - Non-Target (#)")=0,"-",SUMIFS('Data - Monthly Metrics'!E:E,'Data - Monthly Metrics'!A:A,$B$4,'Data - Monthly Metrics'!B:B,"May",'Data - Monthly Metrics'!C:C,"Southwest",'Data - Monthly Metrics'!D:D,"Drops - Non-Target (#)"))</f>
        <v/>
      </c>
      <c r="L100" s="93">
        <f>IF(COUNTIFS('Data - Monthly Metrics'!A:A,$B$4,'Data - Monthly Metrics'!B:B,"Jun",'Data - Monthly Metrics'!C:C,"Southwest",'Data - Monthly Metrics'!D:D,"Drops - Non-Target (#)")=0,"-",SUMIFS('Data - Monthly Metrics'!E:E,'Data - Monthly Metrics'!A:A,$B$4,'Data - Monthly Metrics'!B:B,"Jun",'Data - Monthly Metrics'!C:C,"Southwest",'Data - Monthly Metrics'!D:D,"Drops - Non-Target (#)"))</f>
        <v/>
      </c>
      <c r="M100" s="103">
        <f>SUM(J100,K100,L100)</f>
        <v/>
      </c>
      <c r="N100" s="93">
        <f>IF(COUNTIFS('Data - Monthly Metrics'!A:A,$B$4,'Data - Monthly Metrics'!B:B,"Jul",'Data - Monthly Metrics'!C:C,"Southwest",'Data - Monthly Metrics'!D:D,"Drops - Non-Target (#)")=0,"-",SUMIFS('Data - Monthly Metrics'!E:E,'Data - Monthly Metrics'!A:A,$B$4,'Data - Monthly Metrics'!B:B,"Jul",'Data - Monthly Metrics'!C:C,"Southwest",'Data - Monthly Metrics'!D:D,"Drops - Non-Target (#)"))</f>
        <v/>
      </c>
      <c r="O100" s="93">
        <f>IF(COUNTIFS('Data - Monthly Metrics'!A:A,$B$4,'Data - Monthly Metrics'!B:B,"Aug",'Data - Monthly Metrics'!C:C,"Southwest",'Data - Monthly Metrics'!D:D,"Drops - Non-Target (#)")=0,"-",SUMIFS('Data - Monthly Metrics'!E:E,'Data - Monthly Metrics'!A:A,$B$4,'Data - Monthly Metrics'!B:B,"Aug",'Data - Monthly Metrics'!C:C,"Southwest",'Data - Monthly Metrics'!D:D,"Drops - Non-Target (#)"))</f>
        <v/>
      </c>
      <c r="P100" s="93">
        <f>IF(COUNTIFS('Data - Monthly Metrics'!A:A,$B$4,'Data - Monthly Metrics'!B:B,"Sep",'Data - Monthly Metrics'!C:C,"Southwest",'Data - Monthly Metrics'!D:D,"Drops - Non-Target (#)")=0,"-",SUMIFS('Data - Monthly Metrics'!E:E,'Data - Monthly Metrics'!A:A,$B$4,'Data - Monthly Metrics'!B:B,"Sep",'Data - Monthly Metrics'!C:C,"Southwest",'Data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Metrics'!C:C,"Southwest",'Data - Monthly Metrics'!D:D,"Dropped Revenue - Non-Target ($)")=0,"-",SUMIFS('Data - Monthly Metrics'!E:E,'Data - Monthly Metrics'!A:A,$B$4-1,'Data - Monthly Metrics'!B:B,"Oct",'Data - Monthly Metrics'!C:C,"Southwest",'Data - Monthly Metrics'!D:D,"Dropped Revenue - Non-Target ($)"))</f>
        <v/>
      </c>
      <c r="C101" s="96">
        <f>IF(COUNTIFS('Data - Monthly Metrics'!A:A,$B$4-1,'Data - Monthly Metrics'!B:B,"Nov",'Data - Monthly Metrics'!C:C,"Southwest",'Data - Monthly Metrics'!D:D,"Dropped Revenue - Non-Target ($)")=0,"-",SUMIFS('Data - Monthly Metrics'!E:E,'Data - Monthly Metrics'!A:A,$B$4-1,'Data - Monthly Metrics'!B:B,"Nov",'Data - Monthly Metrics'!C:C,"Southwest",'Data - Monthly Metrics'!D:D,"Dropped Revenue - Non-Target ($)"))</f>
        <v/>
      </c>
      <c r="D101" s="96">
        <f>IF(COUNTIFS('Data - Monthly Metrics'!A:A,$B$4-1,'Data - Monthly Metrics'!B:B,"Dec",'Data - Monthly Metrics'!C:C,"Southwest",'Data - Monthly Metrics'!D:D,"Dropped Revenue - Non-Target ($)")=0,"-",SUMIFS('Data - Monthly Metrics'!E:E,'Data - Monthly Metrics'!A:A,$B$4-1,'Data - Monthly Metrics'!B:B,"Dec",'Data - Monthly Metrics'!C:C,"Southwest",'Data - Monthly Metrics'!D:D,"Dropped Revenue - Non-Target ($)"))</f>
        <v/>
      </c>
      <c r="E101" s="101">
        <f>SUM(B101,C101,D101)</f>
        <v/>
      </c>
      <c r="F101" s="96">
        <f>IF(COUNTIFS('Data - Monthly Metrics'!A:A,$B$4,'Data - Monthly Metrics'!B:B,"Jan",'Data - Monthly Metrics'!C:C,"Southwest",'Data - Monthly Metrics'!D:D,"Dropped Revenue - Non-Target ($)")=0,"-",SUMIFS('Data - Monthly Metrics'!E:E,'Data - Monthly Metrics'!A:A,$B$4,'Data - Monthly Metrics'!B:B,"Jan",'Data - Monthly Metrics'!C:C,"Southwest",'Data - Monthly Metrics'!D:D,"Dropped Revenue - Non-Target ($)"))</f>
        <v/>
      </c>
      <c r="G101" s="96">
        <f>IF(COUNTIFS('Data - Monthly Metrics'!A:A,$B$4,'Data - Monthly Metrics'!B:B,"Feb",'Data - Monthly Metrics'!C:C,"Southwest",'Data - Monthly Metrics'!D:D,"Dropped Revenue - Non-Target ($)")=0,"-",SUMIFS('Data - Monthly Metrics'!E:E,'Data - Monthly Metrics'!A:A,$B$4,'Data - Monthly Metrics'!B:B,"Feb",'Data - Monthly Metrics'!C:C,"Southwest",'Data - Monthly Metrics'!D:D,"Dropped Revenue - Non-Target ($)"))</f>
        <v/>
      </c>
      <c r="H101" s="96">
        <f>IF(COUNTIFS('Data - Monthly Metrics'!A:A,$B$4,'Data - Monthly Metrics'!B:B,"Mar",'Data - Monthly Metrics'!C:C,"Southwest",'Data - Monthly Metrics'!D:D,"Dropped Revenue - Non-Target ($)")=0,"-",SUMIFS('Data - Monthly Metrics'!E:E,'Data - Monthly Metrics'!A:A,$B$4,'Data - Monthly Metrics'!B:B,"Mar",'Data - Monthly Metrics'!C:C,"Southwest",'Data - Monthly Metrics'!D:D,"Dropped Revenue - Non-Target ($)"))</f>
        <v/>
      </c>
      <c r="I101" s="101">
        <f>SUM(F101,G101,H101)</f>
        <v/>
      </c>
      <c r="J101" s="96">
        <f>IF(COUNTIFS('Data - Monthly Metrics'!A:A,$B$4,'Data - Monthly Metrics'!B:B,"Apr",'Data - Monthly Metrics'!C:C,"Southwest",'Data - Monthly Metrics'!D:D,"Dropped Revenue - Non-Target ($)")=0,"-",SUMIFS('Data - Monthly Metrics'!E:E,'Data - Monthly Metrics'!A:A,$B$4,'Data - Monthly Metrics'!B:B,"Apr",'Data - Monthly Metrics'!C:C,"Southwest",'Data - Monthly Metrics'!D:D,"Dropped Revenue - Non-Target ($)"))</f>
        <v/>
      </c>
      <c r="K101" s="96">
        <f>IF(COUNTIFS('Data - Monthly Metrics'!A:A,$B$4,'Data - Monthly Metrics'!B:B,"May",'Data - Monthly Metrics'!C:C,"Southwest",'Data - Monthly Metrics'!D:D,"Dropped Revenue - Non-Target ($)")=0,"-",SUMIFS('Data - Monthly Metrics'!E:E,'Data - Monthly Metrics'!A:A,$B$4,'Data - Monthly Metrics'!B:B,"May",'Data - Monthly Metrics'!C:C,"Southwest",'Data - Monthly Metrics'!D:D,"Dropped Revenue - Non-Target ($)"))</f>
        <v/>
      </c>
      <c r="L101" s="96">
        <f>IF(COUNTIFS('Data - Monthly Metrics'!A:A,$B$4,'Data - Monthly Metrics'!B:B,"Jun",'Data - Monthly Metrics'!C:C,"Southwest",'Data - Monthly Metrics'!D:D,"Dropped Revenue - Non-Target ($)")=0,"-",SUMIFS('Data - Monthly Metrics'!E:E,'Data - Monthly Metrics'!A:A,$B$4,'Data - Monthly Metrics'!B:B,"Jun",'Data - Monthly Metrics'!C:C,"Southwest",'Data - Monthly Metrics'!D:D,"Dropped Revenue - Non-Target ($)"))</f>
        <v/>
      </c>
      <c r="M101" s="101">
        <f>SUM(J101,K101,L101)</f>
        <v/>
      </c>
      <c r="N101" s="96">
        <f>IF(COUNTIFS('Data - Monthly Metrics'!A:A,$B$4,'Data - Monthly Metrics'!B:B,"Jul",'Data - Monthly Metrics'!C:C,"Southwest",'Data - Monthly Metrics'!D:D,"Dropped Revenue - Non-Target ($)")=0,"-",SUMIFS('Data - Monthly Metrics'!E:E,'Data - Monthly Metrics'!A:A,$B$4,'Data - Monthly Metrics'!B:B,"Jul",'Data - Monthly Metrics'!C:C,"Southwest",'Data - Monthly Metrics'!D:D,"Dropped Revenue - Non-Target ($)"))</f>
        <v/>
      </c>
      <c r="O101" s="96">
        <f>IF(COUNTIFS('Data - Monthly Metrics'!A:A,$B$4,'Data - Monthly Metrics'!B:B,"Aug",'Data - Monthly Metrics'!C:C,"Southwest",'Data - Monthly Metrics'!D:D,"Dropped Revenue - Non-Target ($)")=0,"-",SUMIFS('Data - Monthly Metrics'!E:E,'Data - Monthly Metrics'!A:A,$B$4,'Data - Monthly Metrics'!B:B,"Aug",'Data - Monthly Metrics'!C:C,"Southwest",'Data - Monthly Metrics'!D:D,"Dropped Revenue - Non-Target ($)"))</f>
        <v/>
      </c>
      <c r="P101" s="96">
        <f>IF(COUNTIFS('Data - Monthly Metrics'!A:A,$B$4,'Data - Monthly Metrics'!B:B,"Sep",'Data - Monthly Metrics'!C:C,"Southwest",'Data - Monthly Metrics'!D:D,"Dropped Revenue - Non-Target ($)")=0,"-",SUMIFS('Data - Monthly Metrics'!E:E,'Data - Monthly Metrics'!A:A,$B$4,'Data - Monthly Metrics'!B:B,"Sep",'Data - Monthly Metrics'!C:C,"Southwest",'Data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Metrics'!C:C,"Southwest",'Data - Monthly Metrics'!D:D,"Penetration - Restaurant Non-Target %")=0,"-",SUMIFS('Data - Monthly Metrics'!E:E,'Data - Monthly Metrics'!A:A,$B$4-1,'Data - Monthly Metrics'!B:B,"Oct",'Data - Monthly Metrics'!C:C,"Southwest",'Data - Monthly Metrics'!D:D,"Penetration - Restaurant Non-Target %"))</f>
        <v/>
      </c>
      <c r="C105" s="115">
        <f>IF(COUNTIFS('Data - Monthly Metrics'!A:A,$B$4-1,'Data - Monthly Metrics'!B:B,"Nov",'Data - Monthly Metrics'!C:C,"Southwest",'Data - Monthly Metrics'!D:D,"Penetration - Restaurant Non-Target %")=0,"-",SUMIFS('Data - Monthly Metrics'!E:E,'Data - Monthly Metrics'!A:A,$B$4-1,'Data - Monthly Metrics'!B:B,"Nov",'Data - Monthly Metrics'!C:C,"Southwest",'Data - Monthly Metrics'!D:D,"Penetration - Restaurant Non-Target %"))</f>
        <v/>
      </c>
      <c r="D105" s="115">
        <f>IF(COUNTIFS('Data - Monthly Metrics'!A:A,$B$4-1,'Data - Monthly Metrics'!B:B,"Dec",'Data - Monthly Metrics'!C:C,"Southwest",'Data - Monthly Metrics'!D:D,"Penetration - Restaurant Non-Target %")=0,"-",SUMIFS('Data - Monthly Metrics'!E:E,'Data - Monthly Metrics'!A:A,$B$4-1,'Data - Monthly Metrics'!B:B,"Dec",'Data - Monthly Metrics'!C:C,"Southwest",'Data - Monthly Metrics'!D:D,"Penetration - Restaurant Non-Target %"))</f>
        <v/>
      </c>
      <c r="E105" s="116">
        <f>IF(ISNUMBER(D105),D105,IF(ISNUMBER(C105),C105,IF(ISNUMBER(B105),B105,"-")))</f>
        <v/>
      </c>
      <c r="F105" s="115">
        <f>IF(COUNTIFS('Data - Monthly Metrics'!A:A,$B$4,'Data - Monthly Metrics'!B:B,"Jan",'Data - Monthly Metrics'!C:C,"Southwest",'Data - Monthly Metrics'!D:D,"Penetration - Restaurant Non-Target %")=0,"-",SUMIFS('Data - Monthly Metrics'!E:E,'Data - Monthly Metrics'!A:A,$B$4,'Data - Monthly Metrics'!B:B,"Jan",'Data - Monthly Metrics'!C:C,"Southwest",'Data - Monthly Metrics'!D:D,"Penetration - Restaurant Non-Target %"))</f>
        <v/>
      </c>
      <c r="G105" s="115">
        <f>IF(COUNTIFS('Data - Monthly Metrics'!A:A,$B$4,'Data - Monthly Metrics'!B:B,"Feb",'Data - Monthly Metrics'!C:C,"Southwest",'Data - Monthly Metrics'!D:D,"Penetration - Restaurant Non-Target %")=0,"-",SUMIFS('Data - Monthly Metrics'!E:E,'Data - Monthly Metrics'!A:A,$B$4,'Data - Monthly Metrics'!B:B,"Feb",'Data - Monthly Metrics'!C:C,"Southwest",'Data - Monthly Metrics'!D:D,"Penetration - Restaurant Non-Target %"))</f>
        <v/>
      </c>
      <c r="H105" s="115">
        <f>IF(COUNTIFS('Data - Monthly Metrics'!A:A,$B$4,'Data - Monthly Metrics'!B:B,"Mar",'Data - Monthly Metrics'!C:C,"Southwest",'Data - Monthly Metrics'!D:D,"Penetration - Restaurant Non-Target %")=0,"-",SUMIFS('Data - Monthly Metrics'!E:E,'Data - Monthly Metrics'!A:A,$B$4,'Data - Monthly Metrics'!B:B,"Mar",'Data - Monthly Metrics'!C:C,"Southwest",'Data - Monthly Metrics'!D:D,"Penetration - Restaurant Non-Target %"))</f>
        <v/>
      </c>
      <c r="I105" s="116">
        <f>IF(ISNUMBER(H105),H105,IF(ISNUMBER(G105),G105,IF(ISNUMBER(F105),F105,"-")))</f>
        <v/>
      </c>
      <c r="J105" s="115">
        <f>IF(COUNTIFS('Data - Monthly Metrics'!A:A,$B$4,'Data - Monthly Metrics'!B:B,"Apr",'Data - Monthly Metrics'!C:C,"Southwest",'Data - Monthly Metrics'!D:D,"Penetration - Restaurant Non-Target %")=0,"-",SUMIFS('Data - Monthly Metrics'!E:E,'Data - Monthly Metrics'!A:A,$B$4,'Data - Monthly Metrics'!B:B,"Apr",'Data - Monthly Metrics'!C:C,"Southwest",'Data - Monthly Metrics'!D:D,"Penetration - Restaurant Non-Target %"))</f>
        <v/>
      </c>
      <c r="K105" s="115">
        <f>IF(COUNTIFS('Data - Monthly Metrics'!A:A,$B$4,'Data - Monthly Metrics'!B:B,"May",'Data - Monthly Metrics'!C:C,"Southwest",'Data - Monthly Metrics'!D:D,"Penetration - Restaurant Non-Target %")=0,"-",SUMIFS('Data - Monthly Metrics'!E:E,'Data - Monthly Metrics'!A:A,$B$4,'Data - Monthly Metrics'!B:B,"May",'Data - Monthly Metrics'!C:C,"Southwest",'Data - Monthly Metrics'!D:D,"Penetration - Restaurant Non-Target %"))</f>
        <v/>
      </c>
      <c r="L105" s="115">
        <f>IF(COUNTIFS('Data - Monthly Metrics'!A:A,$B$4,'Data - Monthly Metrics'!B:B,"Jun",'Data - Monthly Metrics'!C:C,"Southwest",'Data - Monthly Metrics'!D:D,"Penetration - Restaurant Non-Target %")=0,"-",SUMIFS('Data - Monthly Metrics'!E:E,'Data - Monthly Metrics'!A:A,$B$4,'Data - Monthly Metrics'!B:B,"Jun",'Data - Monthly Metrics'!C:C,"Southwest",'Data - Monthly Metrics'!D:D,"Penetration - Restaurant Non-Target %"))</f>
        <v/>
      </c>
      <c r="M105" s="116">
        <f>IF(ISNUMBER(L105),L105,IF(ISNUMBER(K105),K105,IF(ISNUMBER(J105),J105,"-")))</f>
        <v/>
      </c>
      <c r="N105" s="115">
        <f>IF(COUNTIFS('Data - Monthly Metrics'!A:A,$B$4,'Data - Monthly Metrics'!B:B,"Jul",'Data - Monthly Metrics'!C:C,"Southwest",'Data - Monthly Metrics'!D:D,"Penetration - Restaurant Non-Target %")=0,"-",SUMIFS('Data - Monthly Metrics'!E:E,'Data - Monthly Metrics'!A:A,$B$4,'Data - Monthly Metrics'!B:B,"Jul",'Data - Monthly Metrics'!C:C,"Southwest",'Data - Monthly Metrics'!D:D,"Penetration - Restaurant Non-Target %"))</f>
        <v/>
      </c>
      <c r="O105" s="115">
        <f>IF(COUNTIFS('Data - Monthly Metrics'!A:A,$B$4,'Data - Monthly Metrics'!B:B,"Aug",'Data - Monthly Metrics'!C:C,"Southwest",'Data - Monthly Metrics'!D:D,"Penetration - Restaurant Non-Target %")=0,"-",SUMIFS('Data - Monthly Metrics'!E:E,'Data - Monthly Metrics'!A:A,$B$4,'Data - Monthly Metrics'!B:B,"Aug",'Data - Monthly Metrics'!C:C,"Southwest",'Data - Monthly Metrics'!D:D,"Penetration - Restaurant Non-Target %"))</f>
        <v/>
      </c>
      <c r="P105" s="115">
        <f>IF(COUNTIFS('Data - Monthly Metrics'!A:A,$B$4,'Data - Monthly Metrics'!B:B,"Sep",'Data - Monthly Metrics'!C:C,"Southwest",'Data - Monthly Metrics'!D:D,"Penetration - Restaurant Non-Target %")=0,"-",SUMIFS('Data - Monthly Metrics'!E:E,'Data - Monthly Metrics'!A:A,$B$4,'Data - Monthly Metrics'!B:B,"Sep",'Data - Monthly Metrics'!C:C,"Southwest",'Data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Metrics'!C:C,"Southwest",'Data - Monthly Metrics'!D:D,"Penetration - Lodging Non-Target %")=0,"-",SUMIFS('Data - Monthly Metrics'!E:E,'Data - Monthly Metrics'!A:A,$B$4-1,'Data - Monthly Metrics'!B:B,"Oct",'Data - Monthly Metrics'!C:C,"Southwest",'Data - Monthly Metrics'!D:D,"Penetration - Lodging Non-Target %"))</f>
        <v/>
      </c>
      <c r="C106" s="118">
        <f>IF(COUNTIFS('Data - Monthly Metrics'!A:A,$B$4-1,'Data - Monthly Metrics'!B:B,"Nov",'Data - Monthly Metrics'!C:C,"Southwest",'Data - Monthly Metrics'!D:D,"Penetration - Lodging Non-Target %")=0,"-",SUMIFS('Data - Monthly Metrics'!E:E,'Data - Monthly Metrics'!A:A,$B$4-1,'Data - Monthly Metrics'!B:B,"Nov",'Data - Monthly Metrics'!C:C,"Southwest",'Data - Monthly Metrics'!D:D,"Penetration - Lodging Non-Target %"))</f>
        <v/>
      </c>
      <c r="D106" s="118">
        <f>IF(COUNTIFS('Data - Monthly Metrics'!A:A,$B$4-1,'Data - Monthly Metrics'!B:B,"Dec",'Data - Monthly Metrics'!C:C,"Southwest",'Data - Monthly Metrics'!D:D,"Penetration - Lodging Non-Target %")=0,"-",SUMIFS('Data - Monthly Metrics'!E:E,'Data - Monthly Metrics'!A:A,$B$4-1,'Data - Monthly Metrics'!B:B,"Dec",'Data - Monthly Metrics'!C:C,"Southwest",'Data - Monthly Metrics'!D:D,"Penetration - Lodging Non-Target %"))</f>
        <v/>
      </c>
      <c r="E106" s="116">
        <f>IF(ISNUMBER(D106),D106,IF(ISNUMBER(C106),C106,IF(ISNUMBER(B106),B106,"-")))</f>
        <v/>
      </c>
      <c r="F106" s="118">
        <f>IF(COUNTIFS('Data - Monthly Metrics'!A:A,$B$4,'Data - Monthly Metrics'!B:B,"Jan",'Data - Monthly Metrics'!C:C,"Southwest",'Data - Monthly Metrics'!D:D,"Penetration - Lodging Non-Target %")=0,"-",SUMIFS('Data - Monthly Metrics'!E:E,'Data - Monthly Metrics'!A:A,$B$4,'Data - Monthly Metrics'!B:B,"Jan",'Data - Monthly Metrics'!C:C,"Southwest",'Data - Monthly Metrics'!D:D,"Penetration - Lodging Non-Target %"))</f>
        <v/>
      </c>
      <c r="G106" s="118">
        <f>IF(COUNTIFS('Data - Monthly Metrics'!A:A,$B$4,'Data - Monthly Metrics'!B:B,"Feb",'Data - Monthly Metrics'!C:C,"Southwest",'Data - Monthly Metrics'!D:D,"Penetration - Lodging Non-Target %")=0,"-",SUMIFS('Data - Monthly Metrics'!E:E,'Data - Monthly Metrics'!A:A,$B$4,'Data - Monthly Metrics'!B:B,"Feb",'Data - Monthly Metrics'!C:C,"Southwest",'Data - Monthly Metrics'!D:D,"Penetration - Lodging Non-Target %"))</f>
        <v/>
      </c>
      <c r="H106" s="118">
        <f>IF(COUNTIFS('Data - Monthly Metrics'!A:A,$B$4,'Data - Monthly Metrics'!B:B,"Mar",'Data - Monthly Metrics'!C:C,"Southwest",'Data - Monthly Metrics'!D:D,"Penetration - Lodging Non-Target %")=0,"-",SUMIFS('Data - Monthly Metrics'!E:E,'Data - Monthly Metrics'!A:A,$B$4,'Data - Monthly Metrics'!B:B,"Mar",'Data - Monthly Metrics'!C:C,"Southwest",'Data - Monthly Metrics'!D:D,"Penetration - Lodging Non-Target %"))</f>
        <v/>
      </c>
      <c r="I106" s="116">
        <f>IF(ISNUMBER(H106),H106,IF(ISNUMBER(G106),G106,IF(ISNUMBER(F106),F106,"-")))</f>
        <v/>
      </c>
      <c r="J106" s="118">
        <f>IF(COUNTIFS('Data - Monthly Metrics'!A:A,$B$4,'Data - Monthly Metrics'!B:B,"Apr",'Data - Monthly Metrics'!C:C,"Southwest",'Data - Monthly Metrics'!D:D,"Penetration - Lodging Non-Target %")=0,"-",SUMIFS('Data - Monthly Metrics'!E:E,'Data - Monthly Metrics'!A:A,$B$4,'Data - Monthly Metrics'!B:B,"Apr",'Data - Monthly Metrics'!C:C,"Southwest",'Data - Monthly Metrics'!D:D,"Penetration - Lodging Non-Target %"))</f>
        <v/>
      </c>
      <c r="K106" s="118">
        <f>IF(COUNTIFS('Data - Monthly Metrics'!A:A,$B$4,'Data - Monthly Metrics'!B:B,"May",'Data - Monthly Metrics'!C:C,"Southwest",'Data - Monthly Metrics'!D:D,"Penetration - Lodging Non-Target %")=0,"-",SUMIFS('Data - Monthly Metrics'!E:E,'Data - Monthly Metrics'!A:A,$B$4,'Data - Monthly Metrics'!B:B,"May",'Data - Monthly Metrics'!C:C,"Southwest",'Data - Monthly Metrics'!D:D,"Penetration - Lodging Non-Target %"))</f>
        <v/>
      </c>
      <c r="L106" s="118">
        <f>IF(COUNTIFS('Data - Monthly Metrics'!A:A,$B$4,'Data - Monthly Metrics'!B:B,"Jun",'Data - Monthly Metrics'!C:C,"Southwest",'Data - Monthly Metrics'!D:D,"Penetration - Lodging Non-Target %")=0,"-",SUMIFS('Data - Monthly Metrics'!E:E,'Data - Monthly Metrics'!A:A,$B$4,'Data - Monthly Metrics'!B:B,"Jun",'Data - Monthly Metrics'!C:C,"Southwest",'Data - Monthly Metrics'!D:D,"Penetration - Lodging Non-Target %"))</f>
        <v/>
      </c>
      <c r="M106" s="116">
        <f>IF(ISNUMBER(L106),L106,IF(ISNUMBER(K106),K106,IF(ISNUMBER(J106),J106,"-")))</f>
        <v/>
      </c>
      <c r="N106" s="118">
        <f>IF(COUNTIFS('Data - Monthly Metrics'!A:A,$B$4,'Data - Monthly Metrics'!B:B,"Jul",'Data - Monthly Metrics'!C:C,"Southwest",'Data - Monthly Metrics'!D:D,"Penetration - Lodging Non-Target %")=0,"-",SUMIFS('Data - Monthly Metrics'!E:E,'Data - Monthly Metrics'!A:A,$B$4,'Data - Monthly Metrics'!B:B,"Jul",'Data - Monthly Metrics'!C:C,"Southwest",'Data - Monthly Metrics'!D:D,"Penetration - Lodging Non-Target %"))</f>
        <v/>
      </c>
      <c r="O106" s="118">
        <f>IF(COUNTIFS('Data - Monthly Metrics'!A:A,$B$4,'Data - Monthly Metrics'!B:B,"Aug",'Data - Monthly Metrics'!C:C,"Southwest",'Data - Monthly Metrics'!D:D,"Penetration - Lodging Non-Target %")=0,"-",SUMIFS('Data - Monthly Metrics'!E:E,'Data - Monthly Metrics'!A:A,$B$4,'Data - Monthly Metrics'!B:B,"Aug",'Data - Monthly Metrics'!C:C,"Southwest",'Data - Monthly Metrics'!D:D,"Penetration - Lodging Non-Target %"))</f>
        <v/>
      </c>
      <c r="P106" s="118">
        <f>IF(COUNTIFS('Data - Monthly Metrics'!A:A,$B$4,'Data - Monthly Metrics'!B:B,"Sep",'Data - Monthly Metrics'!C:C,"Southwest",'Data - Monthly Metrics'!D:D,"Penetration - Lodging Non-Target %")=0,"-",SUMIFS('Data - Monthly Metrics'!E:E,'Data - Monthly Metrics'!A:A,$B$4,'Data - Monthly Metrics'!B:B,"Sep",'Data - Monthly Metrics'!C:C,"Southwest",'Data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Metrics'!C:C,"Southwest",'Data - Monthly Metrics'!D:D,"Penetration - Combined Non-Target %")=0,"-",SUMIFS('Data - Monthly Metrics'!E:E,'Data - Monthly Metrics'!A:A,$B$4-1,'Data - Monthly Metrics'!B:B,"Oct",'Data - Monthly Metrics'!C:C,"Southwest",'Data - Monthly Metrics'!D:D,"Penetration - Combined Non-Target %"))</f>
        <v/>
      </c>
      <c r="C107" s="115">
        <f>IF(COUNTIFS('Data - Monthly Metrics'!A:A,$B$4-1,'Data - Monthly Metrics'!B:B,"Nov",'Data - Monthly Metrics'!C:C,"Southwest",'Data - Monthly Metrics'!D:D,"Penetration - Combined Non-Target %")=0,"-",SUMIFS('Data - Monthly Metrics'!E:E,'Data - Monthly Metrics'!A:A,$B$4-1,'Data - Monthly Metrics'!B:B,"Nov",'Data - Monthly Metrics'!C:C,"Southwest",'Data - Monthly Metrics'!D:D,"Penetration - Combined Non-Target %"))</f>
        <v/>
      </c>
      <c r="D107" s="115">
        <f>IF(COUNTIFS('Data - Monthly Metrics'!A:A,$B$4-1,'Data - Monthly Metrics'!B:B,"Dec",'Data - Monthly Metrics'!C:C,"Southwest",'Data - Monthly Metrics'!D:D,"Penetration - Combined Non-Target %")=0,"-",SUMIFS('Data - Monthly Metrics'!E:E,'Data - Monthly Metrics'!A:A,$B$4-1,'Data - Monthly Metrics'!B:B,"Dec",'Data - Monthly Metrics'!C:C,"Southwest",'Data - Monthly Metrics'!D:D,"Penetration - Combined Non-Target %"))</f>
        <v/>
      </c>
      <c r="E107" s="116">
        <f>IF(ISNUMBER(D107),D107,IF(ISNUMBER(C107),C107,IF(ISNUMBER(B107),B107,"-")))</f>
        <v/>
      </c>
      <c r="F107" s="115">
        <f>IF(COUNTIFS('Data - Monthly Metrics'!A:A,$B$4,'Data - Monthly Metrics'!B:B,"Jan",'Data - Monthly Metrics'!C:C,"Southwest",'Data - Monthly Metrics'!D:D,"Penetration - Combined Non-Target %")=0,"-",SUMIFS('Data - Monthly Metrics'!E:E,'Data - Monthly Metrics'!A:A,$B$4,'Data - Monthly Metrics'!B:B,"Jan",'Data - Monthly Metrics'!C:C,"Southwest",'Data - Monthly Metrics'!D:D,"Penetration - Combined Non-Target %"))</f>
        <v/>
      </c>
      <c r="G107" s="115">
        <f>IF(COUNTIFS('Data - Monthly Metrics'!A:A,$B$4,'Data - Monthly Metrics'!B:B,"Feb",'Data - Monthly Metrics'!C:C,"Southwest",'Data - Monthly Metrics'!D:D,"Penetration - Combined Non-Target %")=0,"-",SUMIFS('Data - Monthly Metrics'!E:E,'Data - Monthly Metrics'!A:A,$B$4,'Data - Monthly Metrics'!B:B,"Feb",'Data - Monthly Metrics'!C:C,"Southwest",'Data - Monthly Metrics'!D:D,"Penetration - Combined Non-Target %"))</f>
        <v/>
      </c>
      <c r="H107" s="115">
        <f>IF(COUNTIFS('Data - Monthly Metrics'!A:A,$B$4,'Data - Monthly Metrics'!B:B,"Mar",'Data - Monthly Metrics'!C:C,"Southwest",'Data - Monthly Metrics'!D:D,"Penetration - Combined Non-Target %")=0,"-",SUMIFS('Data - Monthly Metrics'!E:E,'Data - Monthly Metrics'!A:A,$B$4,'Data - Monthly Metrics'!B:B,"Mar",'Data - Monthly Metrics'!C:C,"Southwest",'Data - Monthly Metrics'!D:D,"Penetration - Combined Non-Target %"))</f>
        <v/>
      </c>
      <c r="I107" s="116">
        <f>IF(ISNUMBER(H107),H107,IF(ISNUMBER(G107),G107,IF(ISNUMBER(F107),F107,"-")))</f>
        <v/>
      </c>
      <c r="J107" s="115">
        <f>IF(COUNTIFS('Data - Monthly Metrics'!A:A,$B$4,'Data - Monthly Metrics'!B:B,"Apr",'Data - Monthly Metrics'!C:C,"Southwest",'Data - Monthly Metrics'!D:D,"Penetration - Combined Non-Target %")=0,"-",SUMIFS('Data - Monthly Metrics'!E:E,'Data - Monthly Metrics'!A:A,$B$4,'Data - Monthly Metrics'!B:B,"Apr",'Data - Monthly Metrics'!C:C,"Southwest",'Data - Monthly Metrics'!D:D,"Penetration - Combined Non-Target %"))</f>
        <v/>
      </c>
      <c r="K107" s="115">
        <f>IF(COUNTIFS('Data - Monthly Metrics'!A:A,$B$4,'Data - Monthly Metrics'!B:B,"May",'Data - Monthly Metrics'!C:C,"Southwest",'Data - Monthly Metrics'!D:D,"Penetration - Combined Non-Target %")=0,"-",SUMIFS('Data - Monthly Metrics'!E:E,'Data - Monthly Metrics'!A:A,$B$4,'Data - Monthly Metrics'!B:B,"May",'Data - Monthly Metrics'!C:C,"Southwest",'Data - Monthly Metrics'!D:D,"Penetration - Combined Non-Target %"))</f>
        <v/>
      </c>
      <c r="L107" s="115">
        <f>IF(COUNTIFS('Data - Monthly Metrics'!A:A,$B$4,'Data - Monthly Metrics'!B:B,"Jun",'Data - Monthly Metrics'!C:C,"Southwest",'Data - Monthly Metrics'!D:D,"Penetration - Combined Non-Target %")=0,"-",SUMIFS('Data - Monthly Metrics'!E:E,'Data - Monthly Metrics'!A:A,$B$4,'Data - Monthly Metrics'!B:B,"Jun",'Data - Monthly Metrics'!C:C,"Southwest",'Data - Monthly Metrics'!D:D,"Penetration - Combined Non-Target %"))</f>
        <v/>
      </c>
      <c r="M107" s="116">
        <f>IF(ISNUMBER(L107),L107,IF(ISNUMBER(K107),K107,IF(ISNUMBER(J107),J107,"-")))</f>
        <v/>
      </c>
      <c r="N107" s="115">
        <f>IF(COUNTIFS('Data - Monthly Metrics'!A:A,$B$4,'Data - Monthly Metrics'!B:B,"Jul",'Data - Monthly Metrics'!C:C,"Southwest",'Data - Monthly Metrics'!D:D,"Penetration - Combined Non-Target %")=0,"-",SUMIFS('Data - Monthly Metrics'!E:E,'Data - Monthly Metrics'!A:A,$B$4,'Data - Monthly Metrics'!B:B,"Jul",'Data - Monthly Metrics'!C:C,"Southwest",'Data - Monthly Metrics'!D:D,"Penetration - Combined Non-Target %"))</f>
        <v/>
      </c>
      <c r="O107" s="115">
        <f>IF(COUNTIFS('Data - Monthly Metrics'!A:A,$B$4,'Data - Monthly Metrics'!B:B,"Aug",'Data - Monthly Metrics'!C:C,"Southwest",'Data - Monthly Metrics'!D:D,"Penetration - Combined Non-Target %")=0,"-",SUMIFS('Data - Monthly Metrics'!E:E,'Data - Monthly Metrics'!A:A,$B$4,'Data - Monthly Metrics'!B:B,"Aug",'Data - Monthly Metrics'!C:C,"Southwest",'Data - Monthly Metrics'!D:D,"Penetration - Combined Non-Target %"))</f>
        <v/>
      </c>
      <c r="P107" s="115">
        <f>IF(COUNTIFS('Data - Monthly Metrics'!A:A,$B$4,'Data - Monthly Metrics'!B:B,"Sep",'Data - Monthly Metrics'!C:C,"Southwest",'Data - Monthly Metrics'!D:D,"Penetration - Combined Non-Target %")=0,"-",SUMIFS('Data - Monthly Metrics'!E:E,'Data - Monthly Metrics'!A:A,$B$4,'Data - Monthly Metrics'!B:B,"Sep",'Data - Monthly Metrics'!C:C,"Southwest",'Data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Metrics'!$C:$C,"Southwest",'Data - Monthly Metrics'!$D:$D,"Goal - Retention %")&gt;0,B53&gt;=SUMIFS('Data - Monthly Metrics'!$E:$E,'Data - Monthly Metrics'!$A:$A,$B$4-1,'Data - Monthly Metrics'!$B:$B,B$8,'Data - Monthly Metrics'!$C:$C,"Southwest",'Data - Monthly Metrics'!$D:$D,"Goal - Retention %"))</formula>
    </cfRule>
    <cfRule type="expression" rank="0" priority="11" equalAverage="0" aboveAverage="0" dxfId="2" stopIfTrue="1" text="" percent="0" bottom="0">
      <formula>AND(ISNUMBER(B53),COUNTIFS('Data - Monthly Metrics'!$A:$A,$B$4-1,'Data - Monthly Metrics'!$B:$B,B$8,'Data - Monthly Metrics'!$C:$C,"Southwest",'Data - Monthly Metrics'!$D:$D,"Goal - Retention %")&gt;0,B53&gt;=SUMIFS('Data - Monthly Metrics'!$E:$E,'Data - Monthly Metrics'!$A:$A,$B$4-1,'Data - Monthly Metrics'!$B:$B,B$8,'Data - Monthly Metrics'!$C:$C,"Southwest",'Data - Monthly Metrics'!$D:$D,"Goal - Retention %")-0.05)</formula>
    </cfRule>
    <cfRule type="expression" rank="0" priority="12" equalAverage="0" aboveAverage="0" dxfId="1" stopIfTrue="1" text="" percent="0" bottom="0">
      <formula>AND(ISNUMBER(B53),COUNTIFS('Data - Monthly Metrics'!$A:$A,$B$4-1,'Data - Monthly Metrics'!$B:$B,B$8,'Data - Monthly Metrics'!$C:$C,"Southwest",'Data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Metrics'!$C:$C,"Southwest",'Data - Monthly Metrics'!$D:$D,"Goal - Retention %")&gt;0,C53&gt;=SUMIFS('Data - Monthly Metrics'!$E:$E,'Data - Monthly Metrics'!$A:$A,$B$4-1,'Data - Monthly Metrics'!$B:$B,C$8,'Data - Monthly Metrics'!$C:$C,"Southwest",'Data - Monthly Metrics'!$D:$D,"Goal - Retention %"))</formula>
    </cfRule>
    <cfRule type="expression" rank="0" priority="14" equalAverage="0" aboveAverage="0" dxfId="2" stopIfTrue="1" text="" percent="0" bottom="0">
      <formula>AND(ISNUMBER(C53),COUNTIFS('Data - Monthly Metrics'!$A:$A,$B$4-1,'Data - Monthly Metrics'!$B:$B,C$8,'Data - Monthly Metrics'!$C:$C,"Southwest",'Data - Monthly Metrics'!$D:$D,"Goal - Retention %")&gt;0,C53&gt;=SUMIFS('Data - Monthly Metrics'!$E:$E,'Data - Monthly Metrics'!$A:$A,$B$4-1,'Data - Monthly Metrics'!$B:$B,C$8,'Data - Monthly Metrics'!$C:$C,"Southwest",'Data - Monthly Metrics'!$D:$D,"Goal - Retention %")-0.05)</formula>
    </cfRule>
    <cfRule type="expression" rank="0" priority="15" equalAverage="0" aboveAverage="0" dxfId="1" stopIfTrue="1" text="" percent="0" bottom="0">
      <formula>AND(ISNUMBER(C53),COUNTIFS('Data - Monthly Metrics'!$A:$A,$B$4-1,'Data - Monthly Metrics'!$B:$B,C$8,'Data - Monthly Metrics'!$C:$C,"Southwest",'Data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Metrics'!$C:$C,"Southwest",'Data - Monthly Metrics'!$D:$D,"Goal - Retention %")&gt;0,D53&gt;=SUMIFS('Data - Monthly Metrics'!$E:$E,'Data - Monthly Metrics'!$A:$A,$B$4-1,'Data - Monthly Metrics'!$B:$B,D$8,'Data - Monthly Metrics'!$C:$C,"Southwest",'Data - Monthly Metrics'!$D:$D,"Goal - Retention %"))</formula>
    </cfRule>
    <cfRule type="expression" rank="0" priority="17" equalAverage="0" aboveAverage="0" dxfId="2" stopIfTrue="1" text="" percent="0" bottom="0">
      <formula>AND(ISNUMBER(D53),COUNTIFS('Data - Monthly Metrics'!$A:$A,$B$4-1,'Data - Monthly Metrics'!$B:$B,D$8,'Data - Monthly Metrics'!$C:$C,"Southwest",'Data - Monthly Metrics'!$D:$D,"Goal - Retention %")&gt;0,D53&gt;=SUMIFS('Data - Monthly Metrics'!$E:$E,'Data - Monthly Metrics'!$A:$A,$B$4-1,'Data - Monthly Metrics'!$B:$B,D$8,'Data - Monthly Metrics'!$C:$C,"Southwest",'Data - Monthly Metrics'!$D:$D,"Goal - Retention %")-0.05)</formula>
    </cfRule>
    <cfRule type="expression" rank="0" priority="18" equalAverage="0" aboveAverage="0" dxfId="1" stopIfTrue="1" text="" percent="0" bottom="0">
      <formula>AND(ISNUMBER(D53),COUNTIFS('Data - Monthly Metrics'!$A:$A,$B$4-1,'Data - Monthly Metrics'!$B:$B,D$8,'Data - Monthly Metrics'!$C:$C,"Southwest",'Data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Metrics'!$C:$C,"Southwest",'Data - Monthly Metrics'!$D:$D,"Goal - Retention %")&gt;0,F53&gt;=SUMIFS('Data - Monthly Metrics'!$E:$E,'Data - Monthly Metrics'!$A:$A,$B$4,'Data - Monthly Metrics'!$B:$B,F$8,'Data - Monthly Metrics'!$C:$C,"Southwest",'Data - Monthly Metrics'!$D:$D,"Goal - Retention %"))</formula>
    </cfRule>
    <cfRule type="expression" rank="0" priority="20" equalAverage="0" aboveAverage="0" dxfId="2" stopIfTrue="1" text="" percent="0" bottom="0">
      <formula>AND(ISNUMBER(F53),COUNTIFS('Data - Monthly Metrics'!$A:$A,$B$4,'Data - Monthly Metrics'!$B:$B,F$8,'Data - Monthly Metrics'!$C:$C,"Southwest",'Data - Monthly Metrics'!$D:$D,"Goal - Retention %")&gt;0,F53&gt;=SUMIFS('Data - Monthly Metrics'!$E:$E,'Data - Monthly Metrics'!$A:$A,$B$4,'Data - Monthly Metrics'!$B:$B,F$8,'Data - Monthly Metrics'!$C:$C,"Southwest",'Data - Monthly Metrics'!$D:$D,"Goal - Retention %")-0.05)</formula>
    </cfRule>
    <cfRule type="expression" rank="0" priority="21" equalAverage="0" aboveAverage="0" dxfId="1" stopIfTrue="1" text="" percent="0" bottom="0">
      <formula>AND(ISNUMBER(F53),COUNTIFS('Data - Monthly Metrics'!$A:$A,$B$4,'Data - Monthly Metrics'!$B:$B,F$8,'Data - Monthly Metrics'!$C:$C,"Southwest",'Data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Metrics'!$C:$C,"Southwest",'Data - Monthly Metrics'!$D:$D,"Goal - Retention %")&gt;0,G53&gt;=SUMIFS('Data - Monthly Metrics'!$E:$E,'Data - Monthly Metrics'!$A:$A,$B$4,'Data - Monthly Metrics'!$B:$B,G$8,'Data - Monthly Metrics'!$C:$C,"Southwest",'Data - Monthly Metrics'!$D:$D,"Goal - Retention %"))</formula>
    </cfRule>
    <cfRule type="expression" rank="0" priority="23" equalAverage="0" aboveAverage="0" dxfId="2" stopIfTrue="1" text="" percent="0" bottom="0">
      <formula>AND(ISNUMBER(G53),COUNTIFS('Data - Monthly Metrics'!$A:$A,$B$4,'Data - Monthly Metrics'!$B:$B,G$8,'Data - Monthly Metrics'!$C:$C,"Southwest",'Data - Monthly Metrics'!$D:$D,"Goal - Retention %")&gt;0,G53&gt;=SUMIFS('Data - Monthly Metrics'!$E:$E,'Data - Monthly Metrics'!$A:$A,$B$4,'Data - Monthly Metrics'!$B:$B,G$8,'Data - Monthly Metrics'!$C:$C,"Southwest",'Data - Monthly Metrics'!$D:$D,"Goal - Retention %")-0.05)</formula>
    </cfRule>
    <cfRule type="expression" rank="0" priority="24" equalAverage="0" aboveAverage="0" dxfId="1" stopIfTrue="1" text="" percent="0" bottom="0">
      <formula>AND(ISNUMBER(G53),COUNTIFS('Data - Monthly Metrics'!$A:$A,$B$4,'Data - Monthly Metrics'!$B:$B,G$8,'Data - Monthly Metrics'!$C:$C,"Southwest",'Data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Metrics'!$C:$C,"Southwest",'Data - Monthly Metrics'!$D:$D,"Goal - Retention %")&gt;0,H53&gt;=SUMIFS('Data - Monthly Metrics'!$E:$E,'Data - Monthly Metrics'!$A:$A,$B$4,'Data - Monthly Metrics'!$B:$B,H$8,'Data - Monthly Metrics'!$C:$C,"Southwest",'Data - Monthly Metrics'!$D:$D,"Goal - Retention %"))</formula>
    </cfRule>
    <cfRule type="expression" rank="0" priority="26" equalAverage="0" aboveAverage="0" dxfId="2" stopIfTrue="1" text="" percent="0" bottom="0">
      <formula>AND(ISNUMBER(H53),COUNTIFS('Data - Monthly Metrics'!$A:$A,$B$4,'Data - Monthly Metrics'!$B:$B,H$8,'Data - Monthly Metrics'!$C:$C,"Southwest",'Data - Monthly Metrics'!$D:$D,"Goal - Retention %")&gt;0,H53&gt;=SUMIFS('Data - Monthly Metrics'!$E:$E,'Data - Monthly Metrics'!$A:$A,$B$4,'Data - Monthly Metrics'!$B:$B,H$8,'Data - Monthly Metrics'!$C:$C,"Southwest",'Data - Monthly Metrics'!$D:$D,"Goal - Retention %")-0.05)</formula>
    </cfRule>
    <cfRule type="expression" rank="0" priority="27" equalAverage="0" aboveAverage="0" dxfId="1" stopIfTrue="1" text="" percent="0" bottom="0">
      <formula>AND(ISNUMBER(H53),COUNTIFS('Data - Monthly Metrics'!$A:$A,$B$4,'Data - Monthly Metrics'!$B:$B,H$8,'Data - Monthly Metrics'!$C:$C,"Southwest",'Data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Metrics'!$C:$C,"Southwest",'Data - Monthly Metrics'!$D:$D,"Goal - Retention %")&gt;0,J53&gt;=SUMIFS('Data - Monthly Metrics'!$E:$E,'Data - Monthly Metrics'!$A:$A,$B$4,'Data - Monthly Metrics'!$B:$B,J$8,'Data - Monthly Metrics'!$C:$C,"Southwest",'Data - Monthly Metrics'!$D:$D,"Goal - Retention %"))</formula>
    </cfRule>
    <cfRule type="expression" rank="0" priority="29" equalAverage="0" aboveAverage="0" dxfId="2" stopIfTrue="1" text="" percent="0" bottom="0">
      <formula>AND(ISNUMBER(J53),COUNTIFS('Data - Monthly Metrics'!$A:$A,$B$4,'Data - Monthly Metrics'!$B:$B,J$8,'Data - Monthly Metrics'!$C:$C,"Southwest",'Data - Monthly Metrics'!$D:$D,"Goal - Retention %")&gt;0,J53&gt;=SUMIFS('Data - Monthly Metrics'!$E:$E,'Data - Monthly Metrics'!$A:$A,$B$4,'Data - Monthly Metrics'!$B:$B,J$8,'Data - Monthly Metrics'!$C:$C,"Southwest",'Data - Monthly Metrics'!$D:$D,"Goal - Retention %")-0.05)</formula>
    </cfRule>
    <cfRule type="expression" rank="0" priority="30" equalAverage="0" aboveAverage="0" dxfId="1" stopIfTrue="1" text="" percent="0" bottom="0">
      <formula>AND(ISNUMBER(J53),COUNTIFS('Data - Monthly Metrics'!$A:$A,$B$4,'Data - Monthly Metrics'!$B:$B,J$8,'Data - Monthly Metrics'!$C:$C,"Southwest",'Data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Metrics'!$C:$C,"Southwest",'Data - Monthly Metrics'!$D:$D,"Goal - Retention %")&gt;0,K53&gt;=SUMIFS('Data - Monthly Metrics'!$E:$E,'Data - Monthly Metrics'!$A:$A,$B$4,'Data - Monthly Metrics'!$B:$B,K$8,'Data - Monthly Metrics'!$C:$C,"Southwest",'Data - Monthly Metrics'!$D:$D,"Goal - Retention %"))</formula>
    </cfRule>
    <cfRule type="expression" rank="0" priority="32" equalAverage="0" aboveAverage="0" dxfId="2" stopIfTrue="1" text="" percent="0" bottom="0">
      <formula>AND(ISNUMBER(K53),COUNTIFS('Data - Monthly Metrics'!$A:$A,$B$4,'Data - Monthly Metrics'!$B:$B,K$8,'Data - Monthly Metrics'!$C:$C,"Southwest",'Data - Monthly Metrics'!$D:$D,"Goal - Retention %")&gt;0,K53&gt;=SUMIFS('Data - Monthly Metrics'!$E:$E,'Data - Monthly Metrics'!$A:$A,$B$4,'Data - Monthly Metrics'!$B:$B,K$8,'Data - Monthly Metrics'!$C:$C,"Southwest",'Data - Monthly Metrics'!$D:$D,"Goal - Retention %")-0.05)</formula>
    </cfRule>
    <cfRule type="expression" rank="0" priority="33" equalAverage="0" aboveAverage="0" dxfId="1" stopIfTrue="1" text="" percent="0" bottom="0">
      <formula>AND(ISNUMBER(K53),COUNTIFS('Data - Monthly Metrics'!$A:$A,$B$4,'Data - Monthly Metrics'!$B:$B,K$8,'Data - Monthly Metrics'!$C:$C,"Southwest",'Data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Metrics'!$C:$C,"Southwest",'Data - Monthly Metrics'!$D:$D,"Goal - Retention %")&gt;0,L53&gt;=SUMIFS('Data - Monthly Metrics'!$E:$E,'Data - Monthly Metrics'!$A:$A,$B$4,'Data - Monthly Metrics'!$B:$B,L$8,'Data - Monthly Metrics'!$C:$C,"Southwest",'Data - Monthly Metrics'!$D:$D,"Goal - Retention %"))</formula>
    </cfRule>
    <cfRule type="expression" rank="0" priority="35" equalAverage="0" aboveAverage="0" dxfId="2" stopIfTrue="1" text="" percent="0" bottom="0">
      <formula>AND(ISNUMBER(L53),COUNTIFS('Data - Monthly Metrics'!$A:$A,$B$4,'Data - Monthly Metrics'!$B:$B,L$8,'Data - Monthly Metrics'!$C:$C,"Southwest",'Data - Monthly Metrics'!$D:$D,"Goal - Retention %")&gt;0,L53&gt;=SUMIFS('Data - Monthly Metrics'!$E:$E,'Data - Monthly Metrics'!$A:$A,$B$4,'Data - Monthly Metrics'!$B:$B,L$8,'Data - Monthly Metrics'!$C:$C,"Southwest",'Data - Monthly Metrics'!$D:$D,"Goal - Retention %")-0.05)</formula>
    </cfRule>
    <cfRule type="expression" rank="0" priority="36" equalAverage="0" aboveAverage="0" dxfId="1" stopIfTrue="1" text="" percent="0" bottom="0">
      <formula>AND(ISNUMBER(L53),COUNTIFS('Data - Monthly Metrics'!$A:$A,$B$4,'Data - Monthly Metrics'!$B:$B,L$8,'Data - Monthly Metrics'!$C:$C,"Southwest",'Data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Metrics'!$C:$C,"Southwest",'Data - Monthly Metrics'!$D:$D,"Goal - Retention %")&gt;0,N53&gt;=SUMIFS('Data - Monthly Metrics'!$E:$E,'Data - Monthly Metrics'!$A:$A,$B$4,'Data - Monthly Metrics'!$B:$B,N$8,'Data - Monthly Metrics'!$C:$C,"Southwest",'Data - Monthly Metrics'!$D:$D,"Goal - Retention %"))</formula>
    </cfRule>
    <cfRule type="expression" rank="0" priority="38" equalAverage="0" aboveAverage="0" dxfId="2" stopIfTrue="1" text="" percent="0" bottom="0">
      <formula>AND(ISNUMBER(N53),COUNTIFS('Data - Monthly Metrics'!$A:$A,$B$4,'Data - Monthly Metrics'!$B:$B,N$8,'Data - Monthly Metrics'!$C:$C,"Southwest",'Data - Monthly Metrics'!$D:$D,"Goal - Retention %")&gt;0,N53&gt;=SUMIFS('Data - Monthly Metrics'!$E:$E,'Data - Monthly Metrics'!$A:$A,$B$4,'Data - Monthly Metrics'!$B:$B,N$8,'Data - Monthly Metrics'!$C:$C,"Southwest",'Data - Monthly Metrics'!$D:$D,"Goal - Retention %")-0.05)</formula>
    </cfRule>
    <cfRule type="expression" rank="0" priority="39" equalAverage="0" aboveAverage="0" dxfId="1" stopIfTrue="1" text="" percent="0" bottom="0">
      <formula>AND(ISNUMBER(N53),COUNTIFS('Data - Monthly Metrics'!$A:$A,$B$4,'Data - Monthly Metrics'!$B:$B,N$8,'Data - Monthly Metrics'!$C:$C,"Southwest",'Data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Metrics'!$C:$C,"Southwest",'Data - Monthly Metrics'!$D:$D,"Goal - Retention %")&gt;0,O53&gt;=SUMIFS('Data - Monthly Metrics'!$E:$E,'Data - Monthly Metrics'!$A:$A,$B$4,'Data - Monthly Metrics'!$B:$B,O$8,'Data - Monthly Metrics'!$C:$C,"Southwest",'Data - Monthly Metrics'!$D:$D,"Goal - Retention %"))</formula>
    </cfRule>
    <cfRule type="expression" rank="0" priority="41" equalAverage="0" aboveAverage="0" dxfId="2" stopIfTrue="1" text="" percent="0" bottom="0">
      <formula>AND(ISNUMBER(O53),COUNTIFS('Data - Monthly Metrics'!$A:$A,$B$4,'Data - Monthly Metrics'!$B:$B,O$8,'Data - Monthly Metrics'!$C:$C,"Southwest",'Data - Monthly Metrics'!$D:$D,"Goal - Retention %")&gt;0,O53&gt;=SUMIFS('Data - Monthly Metrics'!$E:$E,'Data - Monthly Metrics'!$A:$A,$B$4,'Data - Monthly Metrics'!$B:$B,O$8,'Data - Monthly Metrics'!$C:$C,"Southwest",'Data - Monthly Metrics'!$D:$D,"Goal - Retention %")-0.05)</formula>
    </cfRule>
    <cfRule type="expression" rank="0" priority="42" equalAverage="0" aboveAverage="0" dxfId="1" stopIfTrue="1" text="" percent="0" bottom="0">
      <formula>AND(ISNUMBER(O53),COUNTIFS('Data - Monthly Metrics'!$A:$A,$B$4,'Data - Monthly Metrics'!$B:$B,O$8,'Data - Monthly Metrics'!$C:$C,"Southwest",'Data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Metrics'!$C:$C,"Southwest",'Data - Monthly Metrics'!$D:$D,"Goal - Retention %")&gt;0,P53&gt;=SUMIFS('Data - Monthly Metrics'!$E:$E,'Data - Monthly Metrics'!$A:$A,$B$4,'Data - Monthly Metrics'!$B:$B,P$8,'Data - Monthly Metrics'!$C:$C,"Southwest",'Data - Monthly Metrics'!$D:$D,"Goal - Retention %"))</formula>
    </cfRule>
    <cfRule type="expression" rank="0" priority="44" equalAverage="0" aboveAverage="0" dxfId="2" stopIfTrue="1" text="" percent="0" bottom="0">
      <formula>AND(ISNUMBER(P53),COUNTIFS('Data - Monthly Metrics'!$A:$A,$B$4,'Data - Monthly Metrics'!$B:$B,P$8,'Data - Monthly Metrics'!$C:$C,"Southwest",'Data - Monthly Metrics'!$D:$D,"Goal - Retention %")&gt;0,P53&gt;=SUMIFS('Data - Monthly Metrics'!$E:$E,'Data - Monthly Metrics'!$A:$A,$B$4,'Data - Monthly Metrics'!$B:$B,P$8,'Data - Monthly Metrics'!$C:$C,"Southwest",'Data - Monthly Metrics'!$D:$D,"Goal - Retention %")-0.05)</formula>
    </cfRule>
    <cfRule type="expression" rank="0" priority="45" equalAverage="0" aboveAverage="0" dxfId="1" stopIfTrue="1" text="" percent="0" bottom="0">
      <formula>AND(ISNUMBER(P53),COUNTIFS('Data - Monthly Metrics'!$A:$A,$B$4,'Data - Monthly Metrics'!$B:$B,P$8,'Data - Monthly Metrics'!$C:$C,"Southwest",'Data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Metrics'!$C:$C,"Southwest",'Data - Monthly Metrics'!$D:$D,"Goal - Retention %")&gt;0,B93&gt;=SUMIFS('Data - Monthly Metrics'!$E:$E,'Data - Monthly Metrics'!$A:$A,$B$4-1,'Data - Monthly Metrics'!$B:$B,B$8,'Data - Monthly Metrics'!$C:$C,"Southwest",'Data - Monthly Metrics'!$D:$D,"Goal - Retention %"))</formula>
    </cfRule>
    <cfRule type="expression" rank="0" priority="47" equalAverage="0" aboveAverage="0" dxfId="2" stopIfTrue="1" text="" percent="0" bottom="0">
      <formula>AND(ISNUMBER(B93),COUNTIFS('Data - Monthly Metrics'!$A:$A,$B$4-1,'Data - Monthly Metrics'!$B:$B,B$8,'Data - Monthly Metrics'!$C:$C,"Southwest",'Data - Monthly Metrics'!$D:$D,"Goal - Retention %")&gt;0,B93&gt;=SUMIFS('Data - Monthly Metrics'!$E:$E,'Data - Monthly Metrics'!$A:$A,$B$4-1,'Data - Monthly Metrics'!$B:$B,B$8,'Data - Monthly Metrics'!$C:$C,"Southwest",'Data - Monthly Metrics'!$D:$D,"Goal - Retention %")-0.05)</formula>
    </cfRule>
    <cfRule type="expression" rank="0" priority="48" equalAverage="0" aboveAverage="0" dxfId="1" stopIfTrue="1" text="" percent="0" bottom="0">
      <formula>AND(ISNUMBER(B93),COUNTIFS('Data - Monthly Metrics'!$A:$A,$B$4-1,'Data - Monthly Metrics'!$B:$B,B$8,'Data - Monthly Metrics'!$C:$C,"Southwest",'Data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Metrics'!$C:$C,"Southwest",'Data - Monthly Metrics'!$D:$D,"Goal - Retention %")&gt;0,C93&gt;=SUMIFS('Data - Monthly Metrics'!$E:$E,'Data - Monthly Metrics'!$A:$A,$B$4-1,'Data - Monthly Metrics'!$B:$B,C$8,'Data - Monthly Metrics'!$C:$C,"Southwest",'Data - Monthly Metrics'!$D:$D,"Goal - Retention %"))</formula>
    </cfRule>
    <cfRule type="expression" rank="0" priority="50" equalAverage="0" aboveAverage="0" dxfId="2" stopIfTrue="1" text="" percent="0" bottom="0">
      <formula>AND(ISNUMBER(C93),COUNTIFS('Data - Monthly Metrics'!$A:$A,$B$4-1,'Data - Monthly Metrics'!$B:$B,C$8,'Data - Monthly Metrics'!$C:$C,"Southwest",'Data - Monthly Metrics'!$D:$D,"Goal - Retention %")&gt;0,C93&gt;=SUMIFS('Data - Monthly Metrics'!$E:$E,'Data - Monthly Metrics'!$A:$A,$B$4-1,'Data - Monthly Metrics'!$B:$B,C$8,'Data - Monthly Metrics'!$C:$C,"Southwest",'Data - Monthly Metrics'!$D:$D,"Goal - Retention %")-0.05)</formula>
    </cfRule>
    <cfRule type="expression" rank="0" priority="51" equalAverage="0" aboveAverage="0" dxfId="1" stopIfTrue="1" text="" percent="0" bottom="0">
      <formula>AND(ISNUMBER(C93),COUNTIFS('Data - Monthly Metrics'!$A:$A,$B$4-1,'Data - Monthly Metrics'!$B:$B,C$8,'Data - Monthly Metrics'!$C:$C,"Southwest",'Data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Metrics'!$C:$C,"Southwest",'Data - Monthly Metrics'!$D:$D,"Goal - Retention %")&gt;0,D93&gt;=SUMIFS('Data - Monthly Metrics'!$E:$E,'Data - Monthly Metrics'!$A:$A,$B$4-1,'Data - Monthly Metrics'!$B:$B,D$8,'Data - Monthly Metrics'!$C:$C,"Southwest",'Data - Monthly Metrics'!$D:$D,"Goal - Retention %"))</formula>
    </cfRule>
    <cfRule type="expression" rank="0" priority="53" equalAverage="0" aboveAverage="0" dxfId="2" stopIfTrue="1" text="" percent="0" bottom="0">
      <formula>AND(ISNUMBER(D93),COUNTIFS('Data - Monthly Metrics'!$A:$A,$B$4-1,'Data - Monthly Metrics'!$B:$B,D$8,'Data - Monthly Metrics'!$C:$C,"Southwest",'Data - Monthly Metrics'!$D:$D,"Goal - Retention %")&gt;0,D93&gt;=SUMIFS('Data - Monthly Metrics'!$E:$E,'Data - Monthly Metrics'!$A:$A,$B$4-1,'Data - Monthly Metrics'!$B:$B,D$8,'Data - Monthly Metrics'!$C:$C,"Southwest",'Data - Monthly Metrics'!$D:$D,"Goal - Retention %")-0.05)</formula>
    </cfRule>
    <cfRule type="expression" rank="0" priority="54" equalAverage="0" aboveAverage="0" dxfId="1" stopIfTrue="1" text="" percent="0" bottom="0">
      <formula>AND(ISNUMBER(D93),COUNTIFS('Data - Monthly Metrics'!$A:$A,$B$4-1,'Data - Monthly Metrics'!$B:$B,D$8,'Data - Monthly Metrics'!$C:$C,"Southwest",'Data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Metrics'!$C:$C,"Southwest",'Data - Monthly Metrics'!$D:$D,"Goal - Retention %")&gt;0,F93&gt;=SUMIFS('Data - Monthly Metrics'!$E:$E,'Data - Monthly Metrics'!$A:$A,$B$4,'Data - Monthly Metrics'!$B:$B,F$8,'Data - Monthly Metrics'!$C:$C,"Southwest",'Data - Monthly Metrics'!$D:$D,"Goal - Retention %"))</formula>
    </cfRule>
    <cfRule type="expression" rank="0" priority="56" equalAverage="0" aboveAverage="0" dxfId="2" stopIfTrue="1" text="" percent="0" bottom="0">
      <formula>AND(ISNUMBER(F93),COUNTIFS('Data - Monthly Metrics'!$A:$A,$B$4,'Data - Monthly Metrics'!$B:$B,F$8,'Data - Monthly Metrics'!$C:$C,"Southwest",'Data - Monthly Metrics'!$D:$D,"Goal - Retention %")&gt;0,F93&gt;=SUMIFS('Data - Monthly Metrics'!$E:$E,'Data - Monthly Metrics'!$A:$A,$B$4,'Data - Monthly Metrics'!$B:$B,F$8,'Data - Monthly Metrics'!$C:$C,"Southwest",'Data - Monthly Metrics'!$D:$D,"Goal - Retention %")-0.05)</formula>
    </cfRule>
    <cfRule type="expression" rank="0" priority="57" equalAverage="0" aboveAverage="0" dxfId="1" stopIfTrue="1" text="" percent="0" bottom="0">
      <formula>AND(ISNUMBER(F93),COUNTIFS('Data - Monthly Metrics'!$A:$A,$B$4,'Data - Monthly Metrics'!$B:$B,F$8,'Data - Monthly Metrics'!$C:$C,"Southwest",'Data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Metrics'!$C:$C,"Southwest",'Data - Monthly Metrics'!$D:$D,"Goal - Retention %")&gt;0,G93&gt;=SUMIFS('Data - Monthly Metrics'!$E:$E,'Data - Monthly Metrics'!$A:$A,$B$4,'Data - Monthly Metrics'!$B:$B,G$8,'Data - Monthly Metrics'!$C:$C,"Southwest",'Data - Monthly Metrics'!$D:$D,"Goal - Retention %"))</formula>
    </cfRule>
    <cfRule type="expression" rank="0" priority="59" equalAverage="0" aboveAverage="0" dxfId="2" stopIfTrue="1" text="" percent="0" bottom="0">
      <formula>AND(ISNUMBER(G93),COUNTIFS('Data - Monthly Metrics'!$A:$A,$B$4,'Data - Monthly Metrics'!$B:$B,G$8,'Data - Monthly Metrics'!$C:$C,"Southwest",'Data - Monthly Metrics'!$D:$D,"Goal - Retention %")&gt;0,G93&gt;=SUMIFS('Data - Monthly Metrics'!$E:$E,'Data - Monthly Metrics'!$A:$A,$B$4,'Data - Monthly Metrics'!$B:$B,G$8,'Data - Monthly Metrics'!$C:$C,"Southwest",'Data - Monthly Metrics'!$D:$D,"Goal - Retention %")-0.05)</formula>
    </cfRule>
    <cfRule type="expression" rank="0" priority="60" equalAverage="0" aboveAverage="0" dxfId="1" stopIfTrue="1" text="" percent="0" bottom="0">
      <formula>AND(ISNUMBER(G93),COUNTIFS('Data - Monthly Metrics'!$A:$A,$B$4,'Data - Monthly Metrics'!$B:$B,G$8,'Data - Monthly Metrics'!$C:$C,"Southwest",'Data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Metrics'!$C:$C,"Southwest",'Data - Monthly Metrics'!$D:$D,"Goal - Retention %")&gt;0,H93&gt;=SUMIFS('Data - Monthly Metrics'!$E:$E,'Data - Monthly Metrics'!$A:$A,$B$4,'Data - Monthly Metrics'!$B:$B,H$8,'Data - Monthly Metrics'!$C:$C,"Southwest",'Data - Monthly Metrics'!$D:$D,"Goal - Retention %"))</formula>
    </cfRule>
    <cfRule type="expression" rank="0" priority="62" equalAverage="0" aboveAverage="0" dxfId="2" stopIfTrue="1" text="" percent="0" bottom="0">
      <formula>AND(ISNUMBER(H93),COUNTIFS('Data - Monthly Metrics'!$A:$A,$B$4,'Data - Monthly Metrics'!$B:$B,H$8,'Data - Monthly Metrics'!$C:$C,"Southwest",'Data - Monthly Metrics'!$D:$D,"Goal - Retention %")&gt;0,H93&gt;=SUMIFS('Data - Monthly Metrics'!$E:$E,'Data - Monthly Metrics'!$A:$A,$B$4,'Data - Monthly Metrics'!$B:$B,H$8,'Data - Monthly Metrics'!$C:$C,"Southwest",'Data - Monthly Metrics'!$D:$D,"Goal - Retention %")-0.05)</formula>
    </cfRule>
    <cfRule type="expression" rank="0" priority="63" equalAverage="0" aboveAverage="0" dxfId="1" stopIfTrue="1" text="" percent="0" bottom="0">
      <formula>AND(ISNUMBER(H93),COUNTIFS('Data - Monthly Metrics'!$A:$A,$B$4,'Data - Monthly Metrics'!$B:$B,H$8,'Data - Monthly Metrics'!$C:$C,"Southwest",'Data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Metrics'!$C:$C,"Southwest",'Data - Monthly Metrics'!$D:$D,"Goal - Retention %")&gt;0,J93&gt;=SUMIFS('Data - Monthly Metrics'!$E:$E,'Data - Monthly Metrics'!$A:$A,$B$4,'Data - Monthly Metrics'!$B:$B,J$8,'Data - Monthly Metrics'!$C:$C,"Southwest",'Data - Monthly Metrics'!$D:$D,"Goal - Retention %"))</formula>
    </cfRule>
    <cfRule type="expression" rank="0" priority="65" equalAverage="0" aboveAverage="0" dxfId="2" stopIfTrue="1" text="" percent="0" bottom="0">
      <formula>AND(ISNUMBER(J93),COUNTIFS('Data - Monthly Metrics'!$A:$A,$B$4,'Data - Monthly Metrics'!$B:$B,J$8,'Data - Monthly Metrics'!$C:$C,"Southwest",'Data - Monthly Metrics'!$D:$D,"Goal - Retention %")&gt;0,J93&gt;=SUMIFS('Data - Monthly Metrics'!$E:$E,'Data - Monthly Metrics'!$A:$A,$B$4,'Data - Monthly Metrics'!$B:$B,J$8,'Data - Monthly Metrics'!$C:$C,"Southwest",'Data - Monthly Metrics'!$D:$D,"Goal - Retention %")-0.05)</formula>
    </cfRule>
    <cfRule type="expression" rank="0" priority="66" equalAverage="0" aboveAverage="0" dxfId="1" stopIfTrue="1" text="" percent="0" bottom="0">
      <formula>AND(ISNUMBER(J93),COUNTIFS('Data - Monthly Metrics'!$A:$A,$B$4,'Data - Monthly Metrics'!$B:$B,J$8,'Data - Monthly Metrics'!$C:$C,"Southwest",'Data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Metrics'!$C:$C,"Southwest",'Data - Monthly Metrics'!$D:$D,"Goal - Retention %")&gt;0,K93&gt;=SUMIFS('Data - Monthly Metrics'!$E:$E,'Data - Monthly Metrics'!$A:$A,$B$4,'Data - Monthly Metrics'!$B:$B,K$8,'Data - Monthly Metrics'!$C:$C,"Southwest",'Data - Monthly Metrics'!$D:$D,"Goal - Retention %"))</formula>
    </cfRule>
    <cfRule type="expression" rank="0" priority="68" equalAverage="0" aboveAverage="0" dxfId="2" stopIfTrue="1" text="" percent="0" bottom="0">
      <formula>AND(ISNUMBER(K93),COUNTIFS('Data - Monthly Metrics'!$A:$A,$B$4,'Data - Monthly Metrics'!$B:$B,K$8,'Data - Monthly Metrics'!$C:$C,"Southwest",'Data - Monthly Metrics'!$D:$D,"Goal - Retention %")&gt;0,K93&gt;=SUMIFS('Data - Monthly Metrics'!$E:$E,'Data - Monthly Metrics'!$A:$A,$B$4,'Data - Monthly Metrics'!$B:$B,K$8,'Data - Monthly Metrics'!$C:$C,"Southwest",'Data - Monthly Metrics'!$D:$D,"Goal - Retention %")-0.05)</formula>
    </cfRule>
    <cfRule type="expression" rank="0" priority="69" equalAverage="0" aboveAverage="0" dxfId="1" stopIfTrue="1" text="" percent="0" bottom="0">
      <formula>AND(ISNUMBER(K93),COUNTIFS('Data - Monthly Metrics'!$A:$A,$B$4,'Data - Monthly Metrics'!$B:$B,K$8,'Data - Monthly Metrics'!$C:$C,"Southwest",'Data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Metrics'!$C:$C,"Southwest",'Data - Monthly Metrics'!$D:$D,"Goal - Retention %")&gt;0,L93&gt;=SUMIFS('Data - Monthly Metrics'!$E:$E,'Data - Monthly Metrics'!$A:$A,$B$4,'Data - Monthly Metrics'!$B:$B,L$8,'Data - Monthly Metrics'!$C:$C,"Southwest",'Data - Monthly Metrics'!$D:$D,"Goal - Retention %"))</formula>
    </cfRule>
    <cfRule type="expression" rank="0" priority="71" equalAverage="0" aboveAverage="0" dxfId="2" stopIfTrue="1" text="" percent="0" bottom="0">
      <formula>AND(ISNUMBER(L93),COUNTIFS('Data - Monthly Metrics'!$A:$A,$B$4,'Data - Monthly Metrics'!$B:$B,L$8,'Data - Monthly Metrics'!$C:$C,"Southwest",'Data - Monthly Metrics'!$D:$D,"Goal - Retention %")&gt;0,L93&gt;=SUMIFS('Data - Monthly Metrics'!$E:$E,'Data - Monthly Metrics'!$A:$A,$B$4,'Data - Monthly Metrics'!$B:$B,L$8,'Data - Monthly Metrics'!$C:$C,"Southwest",'Data - Monthly Metrics'!$D:$D,"Goal - Retention %")-0.05)</formula>
    </cfRule>
    <cfRule type="expression" rank="0" priority="72" equalAverage="0" aboveAverage="0" dxfId="1" stopIfTrue="1" text="" percent="0" bottom="0">
      <formula>AND(ISNUMBER(L93),COUNTIFS('Data - Monthly Metrics'!$A:$A,$B$4,'Data - Monthly Metrics'!$B:$B,L$8,'Data - Monthly Metrics'!$C:$C,"Southwest",'Data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Metrics'!$C:$C,"Southwest",'Data - Monthly Metrics'!$D:$D,"Goal - Retention %")&gt;0,N93&gt;=SUMIFS('Data - Monthly Metrics'!$E:$E,'Data - Monthly Metrics'!$A:$A,$B$4,'Data - Monthly Metrics'!$B:$B,N$8,'Data - Monthly Metrics'!$C:$C,"Southwest",'Data - Monthly Metrics'!$D:$D,"Goal - Retention %"))</formula>
    </cfRule>
    <cfRule type="expression" rank="0" priority="74" equalAverage="0" aboveAverage="0" dxfId="2" stopIfTrue="1" text="" percent="0" bottom="0">
      <formula>AND(ISNUMBER(N93),COUNTIFS('Data - Monthly Metrics'!$A:$A,$B$4,'Data - Monthly Metrics'!$B:$B,N$8,'Data - Monthly Metrics'!$C:$C,"Southwest",'Data - Monthly Metrics'!$D:$D,"Goal - Retention %")&gt;0,N93&gt;=SUMIFS('Data - Monthly Metrics'!$E:$E,'Data - Monthly Metrics'!$A:$A,$B$4,'Data - Monthly Metrics'!$B:$B,N$8,'Data - Monthly Metrics'!$C:$C,"Southwest",'Data - Monthly Metrics'!$D:$D,"Goal - Retention %")-0.05)</formula>
    </cfRule>
    <cfRule type="expression" rank="0" priority="75" equalAverage="0" aboveAverage="0" dxfId="1" stopIfTrue="1" text="" percent="0" bottom="0">
      <formula>AND(ISNUMBER(N93),COUNTIFS('Data - Monthly Metrics'!$A:$A,$B$4,'Data - Monthly Metrics'!$B:$B,N$8,'Data - Monthly Metrics'!$C:$C,"Southwest",'Data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Metrics'!$C:$C,"Southwest",'Data - Monthly Metrics'!$D:$D,"Goal - Retention %")&gt;0,O93&gt;=SUMIFS('Data - Monthly Metrics'!$E:$E,'Data - Monthly Metrics'!$A:$A,$B$4,'Data - Monthly Metrics'!$B:$B,O$8,'Data - Monthly Metrics'!$C:$C,"Southwest",'Data - Monthly Metrics'!$D:$D,"Goal - Retention %"))</formula>
    </cfRule>
    <cfRule type="expression" rank="0" priority="77" equalAverage="0" aboveAverage="0" dxfId="2" stopIfTrue="1" text="" percent="0" bottom="0">
      <formula>AND(ISNUMBER(O93),COUNTIFS('Data - Monthly Metrics'!$A:$A,$B$4,'Data - Monthly Metrics'!$B:$B,O$8,'Data - Monthly Metrics'!$C:$C,"Southwest",'Data - Monthly Metrics'!$D:$D,"Goal - Retention %")&gt;0,O93&gt;=SUMIFS('Data - Monthly Metrics'!$E:$E,'Data - Monthly Metrics'!$A:$A,$B$4,'Data - Monthly Metrics'!$B:$B,O$8,'Data - Monthly Metrics'!$C:$C,"Southwest",'Data - Monthly Metrics'!$D:$D,"Goal - Retention %")-0.05)</formula>
    </cfRule>
    <cfRule type="expression" rank="0" priority="78" equalAverage="0" aboveAverage="0" dxfId="1" stopIfTrue="1" text="" percent="0" bottom="0">
      <formula>AND(ISNUMBER(O93),COUNTIFS('Data - Monthly Metrics'!$A:$A,$B$4,'Data - Monthly Metrics'!$B:$B,O$8,'Data - Monthly Metrics'!$C:$C,"Southwest",'Data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Metrics'!$C:$C,"Southwest",'Data - Monthly Metrics'!$D:$D,"Goal - Retention %")&gt;0,P93&gt;=SUMIFS('Data - Monthly Metrics'!$E:$E,'Data - Monthly Metrics'!$A:$A,$B$4,'Data - Monthly Metrics'!$B:$B,P$8,'Data - Monthly Metrics'!$C:$C,"Southwest",'Data - Monthly Metrics'!$D:$D,"Goal - Retention %"))</formula>
    </cfRule>
    <cfRule type="expression" rank="0" priority="80" equalAverage="0" aboveAverage="0" dxfId="2" stopIfTrue="1" text="" percent="0" bottom="0">
      <formula>AND(ISNUMBER(P93),COUNTIFS('Data - Monthly Metrics'!$A:$A,$B$4,'Data - Monthly Metrics'!$B:$B,P$8,'Data - Monthly Metrics'!$C:$C,"Southwest",'Data - Monthly Metrics'!$D:$D,"Goal - Retention %")&gt;0,P93&gt;=SUMIFS('Data - Monthly Metrics'!$E:$E,'Data - Monthly Metrics'!$A:$A,$B$4,'Data - Monthly Metrics'!$B:$B,P$8,'Data - Monthly Metrics'!$C:$C,"Southwest",'Data - Monthly Metrics'!$D:$D,"Goal - Retention %")-0.05)</formula>
    </cfRule>
    <cfRule type="expression" rank="0" priority="81" equalAverage="0" aboveAverage="0" dxfId="1" stopIfTrue="1" text="" percent="0" bottom="0">
      <formula>AND(ISNUMBER(P93),COUNTIFS('Data - Monthly Metrics'!$A:$A,$B$4,'Data - Monthly Metrics'!$B:$B,P$8,'Data - Monthly Metrics'!$C:$C,"Southwest",'Data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Metrics'!$C:$C,"Southwest",'Data - Monthly Metrics'!$D:$D,"Goal - Retention %")&gt;0,B59&gt;=SUMIFS('Data - Monthly Metrics'!$E:$E,'Data - Monthly Metrics'!$A:$A,$B$4-1,'Data - Monthly Metrics'!$B:$B,B$8,'Data - Monthly Metrics'!$C:$C,"Southwest",'Data - Monthly Metrics'!$D:$D,"Goal - Retention %"))</formula>
    </cfRule>
    <cfRule type="expression" rank="0" priority="83" equalAverage="0" aboveAverage="0" dxfId="2" stopIfTrue="1" text="" percent="0" bottom="0">
      <formula>AND(ISNUMBER(B59),COUNTIFS('Data - Monthly Metrics'!$A:$A,$B$4-1,'Data - Monthly Metrics'!$B:$B,B$8,'Data - Monthly Metrics'!$C:$C,"Southwest",'Data - Monthly Metrics'!$D:$D,"Goal - Retention %")&gt;0,B59&gt;=SUMIFS('Data - Monthly Metrics'!$E:$E,'Data - Monthly Metrics'!$A:$A,$B$4-1,'Data - Monthly Metrics'!$B:$B,B$8,'Data - Monthly Metrics'!$C:$C,"Southwest",'Data - Monthly Metrics'!$D:$D,"Goal - Retention %")-0.05)</formula>
    </cfRule>
    <cfRule type="expression" rank="0" priority="84" equalAverage="0" aboveAverage="0" dxfId="1" stopIfTrue="1" text="" percent="0" bottom="0">
      <formula>AND(ISNUMBER(B59),COUNTIFS('Data - Monthly Metrics'!$A:$A,$B$4-1,'Data - Monthly Metrics'!$B:$B,B$8,'Data - Monthly Metrics'!$C:$C,"Southwest",'Data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Metrics'!$C:$C,"Southwest",'Data - Monthly Metrics'!$D:$D,"Goal - Retention %")&gt;0,C59&gt;=SUMIFS('Data - Monthly Metrics'!$E:$E,'Data - Monthly Metrics'!$A:$A,$B$4-1,'Data - Monthly Metrics'!$B:$B,C$8,'Data - Monthly Metrics'!$C:$C,"Southwest",'Data - Monthly Metrics'!$D:$D,"Goal - Retention %"))</formula>
    </cfRule>
    <cfRule type="expression" rank="0" priority="86" equalAverage="0" aboveAverage="0" dxfId="2" stopIfTrue="1" text="" percent="0" bottom="0">
      <formula>AND(ISNUMBER(C59),COUNTIFS('Data - Monthly Metrics'!$A:$A,$B$4-1,'Data - Monthly Metrics'!$B:$B,C$8,'Data - Monthly Metrics'!$C:$C,"Southwest",'Data - Monthly Metrics'!$D:$D,"Goal - Retention %")&gt;0,C59&gt;=SUMIFS('Data - Monthly Metrics'!$E:$E,'Data - Monthly Metrics'!$A:$A,$B$4-1,'Data - Monthly Metrics'!$B:$B,C$8,'Data - Monthly Metrics'!$C:$C,"Southwest",'Data - Monthly Metrics'!$D:$D,"Goal - Retention %")-0.05)</formula>
    </cfRule>
    <cfRule type="expression" rank="0" priority="87" equalAverage="0" aboveAverage="0" dxfId="1" stopIfTrue="1" text="" percent="0" bottom="0">
      <formula>AND(ISNUMBER(C59),COUNTIFS('Data - Monthly Metrics'!$A:$A,$B$4-1,'Data - Monthly Metrics'!$B:$B,C$8,'Data - Monthly Metrics'!$C:$C,"Southwest",'Data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Metrics'!$C:$C,"Southwest",'Data - Monthly Metrics'!$D:$D,"Goal - Retention %")&gt;0,D59&gt;=SUMIFS('Data - Monthly Metrics'!$E:$E,'Data - Monthly Metrics'!$A:$A,$B$4-1,'Data - Monthly Metrics'!$B:$B,D$8,'Data - Monthly Metrics'!$C:$C,"Southwest",'Data - Monthly Metrics'!$D:$D,"Goal - Retention %"))</formula>
    </cfRule>
    <cfRule type="expression" rank="0" priority="89" equalAverage="0" aboveAverage="0" dxfId="2" stopIfTrue="1" text="" percent="0" bottom="0">
      <formula>AND(ISNUMBER(D59),COUNTIFS('Data - Monthly Metrics'!$A:$A,$B$4-1,'Data - Monthly Metrics'!$B:$B,D$8,'Data - Monthly Metrics'!$C:$C,"Southwest",'Data - Monthly Metrics'!$D:$D,"Goal - Retention %")&gt;0,D59&gt;=SUMIFS('Data - Monthly Metrics'!$E:$E,'Data - Monthly Metrics'!$A:$A,$B$4-1,'Data - Monthly Metrics'!$B:$B,D$8,'Data - Monthly Metrics'!$C:$C,"Southwest",'Data - Monthly Metrics'!$D:$D,"Goal - Retention %")-0.05)</formula>
    </cfRule>
    <cfRule type="expression" rank="0" priority="90" equalAverage="0" aboveAverage="0" dxfId="1" stopIfTrue="1" text="" percent="0" bottom="0">
      <formula>AND(ISNUMBER(D59),COUNTIFS('Data - Monthly Metrics'!$A:$A,$B$4-1,'Data - Monthly Metrics'!$B:$B,D$8,'Data - Monthly Metrics'!$C:$C,"Southwest",'Data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Metrics'!$C:$C,"Southwest",'Data - Monthly Metrics'!$D:$D,"Goal - Retention %")&gt;0,F59&gt;=SUMIFS('Data - Monthly Metrics'!$E:$E,'Data - Monthly Metrics'!$A:$A,$B$4,'Data - Monthly Metrics'!$B:$B,F$8,'Data - Monthly Metrics'!$C:$C,"Southwest",'Data - Monthly Metrics'!$D:$D,"Goal - Retention %"))</formula>
    </cfRule>
    <cfRule type="expression" rank="0" priority="92" equalAverage="0" aboveAverage="0" dxfId="2" stopIfTrue="1" text="" percent="0" bottom="0">
      <formula>AND(ISNUMBER(F59),COUNTIFS('Data - Monthly Metrics'!$A:$A,$B$4,'Data - Monthly Metrics'!$B:$B,F$8,'Data - Monthly Metrics'!$C:$C,"Southwest",'Data - Monthly Metrics'!$D:$D,"Goal - Retention %")&gt;0,F59&gt;=SUMIFS('Data - Monthly Metrics'!$E:$E,'Data - Monthly Metrics'!$A:$A,$B$4,'Data - Monthly Metrics'!$B:$B,F$8,'Data - Monthly Metrics'!$C:$C,"Southwest",'Data - Monthly Metrics'!$D:$D,"Goal - Retention %")-0.05)</formula>
    </cfRule>
    <cfRule type="expression" rank="0" priority="93" equalAverage="0" aboveAverage="0" dxfId="1" stopIfTrue="1" text="" percent="0" bottom="0">
      <formula>AND(ISNUMBER(F59),COUNTIFS('Data - Monthly Metrics'!$A:$A,$B$4,'Data - Monthly Metrics'!$B:$B,F$8,'Data - Monthly Metrics'!$C:$C,"Southwest",'Data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Metrics'!$C:$C,"Southwest",'Data - Monthly Metrics'!$D:$D,"Goal - Retention %")&gt;0,G59&gt;=SUMIFS('Data - Monthly Metrics'!$E:$E,'Data - Monthly Metrics'!$A:$A,$B$4,'Data - Monthly Metrics'!$B:$B,G$8,'Data - Monthly Metrics'!$C:$C,"Southwest",'Data - Monthly Metrics'!$D:$D,"Goal - Retention %"))</formula>
    </cfRule>
    <cfRule type="expression" rank="0" priority="95" equalAverage="0" aboveAverage="0" dxfId="2" stopIfTrue="1" text="" percent="0" bottom="0">
      <formula>AND(ISNUMBER(G59),COUNTIFS('Data - Monthly Metrics'!$A:$A,$B$4,'Data - Monthly Metrics'!$B:$B,G$8,'Data - Monthly Metrics'!$C:$C,"Southwest",'Data - Monthly Metrics'!$D:$D,"Goal - Retention %")&gt;0,G59&gt;=SUMIFS('Data - Monthly Metrics'!$E:$E,'Data - Monthly Metrics'!$A:$A,$B$4,'Data - Monthly Metrics'!$B:$B,G$8,'Data - Monthly Metrics'!$C:$C,"Southwest",'Data - Monthly Metrics'!$D:$D,"Goal - Retention %")-0.05)</formula>
    </cfRule>
    <cfRule type="expression" rank="0" priority="96" equalAverage="0" aboveAverage="0" dxfId="1" stopIfTrue="1" text="" percent="0" bottom="0">
      <formula>AND(ISNUMBER(G59),COUNTIFS('Data - Monthly Metrics'!$A:$A,$B$4,'Data - Monthly Metrics'!$B:$B,G$8,'Data - Monthly Metrics'!$C:$C,"Southwest",'Data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Metrics'!$C:$C,"Southwest",'Data - Monthly Metrics'!$D:$D,"Goal - Retention %")&gt;0,H59&gt;=SUMIFS('Data - Monthly Metrics'!$E:$E,'Data - Monthly Metrics'!$A:$A,$B$4,'Data - Monthly Metrics'!$B:$B,H$8,'Data - Monthly Metrics'!$C:$C,"Southwest",'Data - Monthly Metrics'!$D:$D,"Goal - Retention %"))</formula>
    </cfRule>
    <cfRule type="expression" rank="0" priority="98" equalAverage="0" aboveAverage="0" dxfId="2" stopIfTrue="1" text="" percent="0" bottom="0">
      <formula>AND(ISNUMBER(H59),COUNTIFS('Data - Monthly Metrics'!$A:$A,$B$4,'Data - Monthly Metrics'!$B:$B,H$8,'Data - Monthly Metrics'!$C:$C,"Southwest",'Data - Monthly Metrics'!$D:$D,"Goal - Retention %")&gt;0,H59&gt;=SUMIFS('Data - Monthly Metrics'!$E:$E,'Data - Monthly Metrics'!$A:$A,$B$4,'Data - Monthly Metrics'!$B:$B,H$8,'Data - Monthly Metrics'!$C:$C,"Southwest",'Data - Monthly Metrics'!$D:$D,"Goal - Retention %")-0.05)</formula>
    </cfRule>
    <cfRule type="expression" rank="0" priority="99" equalAverage="0" aboveAverage="0" dxfId="1" stopIfTrue="1" text="" percent="0" bottom="0">
      <formula>AND(ISNUMBER(H59),COUNTIFS('Data - Monthly Metrics'!$A:$A,$B$4,'Data - Monthly Metrics'!$B:$B,H$8,'Data - Monthly Metrics'!$C:$C,"Southwest",'Data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Metrics'!$C:$C,"Southwest",'Data - Monthly Metrics'!$D:$D,"Goal - Retention %")&gt;0,J59&gt;=SUMIFS('Data - Monthly Metrics'!$E:$E,'Data - Monthly Metrics'!$A:$A,$B$4,'Data - Monthly Metrics'!$B:$B,J$8,'Data - Monthly Metrics'!$C:$C,"Southwest",'Data - Monthly Metrics'!$D:$D,"Goal - Retention %"))</formula>
    </cfRule>
    <cfRule type="expression" rank="0" priority="101" equalAverage="0" aboveAverage="0" dxfId="2" stopIfTrue="1" text="" percent="0" bottom="0">
      <formula>AND(ISNUMBER(J59),COUNTIFS('Data - Monthly Metrics'!$A:$A,$B$4,'Data - Monthly Metrics'!$B:$B,J$8,'Data - Monthly Metrics'!$C:$C,"Southwest",'Data - Monthly Metrics'!$D:$D,"Goal - Retention %")&gt;0,J59&gt;=SUMIFS('Data - Monthly Metrics'!$E:$E,'Data - Monthly Metrics'!$A:$A,$B$4,'Data - Monthly Metrics'!$B:$B,J$8,'Data - Monthly Metrics'!$C:$C,"Southwest",'Data - Monthly Metrics'!$D:$D,"Goal - Retention %")-0.05)</formula>
    </cfRule>
    <cfRule type="expression" rank="0" priority="102" equalAverage="0" aboveAverage="0" dxfId="1" stopIfTrue="1" text="" percent="0" bottom="0">
      <formula>AND(ISNUMBER(J59),COUNTIFS('Data - Monthly Metrics'!$A:$A,$B$4,'Data - Monthly Metrics'!$B:$B,J$8,'Data - Monthly Metrics'!$C:$C,"Southwest",'Data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Metrics'!$C:$C,"Southwest",'Data - Monthly Metrics'!$D:$D,"Goal - Retention %")&gt;0,K59&gt;=SUMIFS('Data - Monthly Metrics'!$E:$E,'Data - Monthly Metrics'!$A:$A,$B$4,'Data - Monthly Metrics'!$B:$B,K$8,'Data - Monthly Metrics'!$C:$C,"Southwest",'Data - Monthly Metrics'!$D:$D,"Goal - Retention %"))</formula>
    </cfRule>
    <cfRule type="expression" rank="0" priority="104" equalAverage="0" aboveAverage="0" dxfId="2" stopIfTrue="1" text="" percent="0" bottom="0">
      <formula>AND(ISNUMBER(K59),COUNTIFS('Data - Monthly Metrics'!$A:$A,$B$4,'Data - Monthly Metrics'!$B:$B,K$8,'Data - Monthly Metrics'!$C:$C,"Southwest",'Data - Monthly Metrics'!$D:$D,"Goal - Retention %")&gt;0,K59&gt;=SUMIFS('Data - Monthly Metrics'!$E:$E,'Data - Monthly Metrics'!$A:$A,$B$4,'Data - Monthly Metrics'!$B:$B,K$8,'Data - Monthly Metrics'!$C:$C,"Southwest",'Data - Monthly Metrics'!$D:$D,"Goal - Retention %")-0.05)</formula>
    </cfRule>
    <cfRule type="expression" rank="0" priority="105" equalAverage="0" aboveAverage="0" dxfId="1" stopIfTrue="1" text="" percent="0" bottom="0">
      <formula>AND(ISNUMBER(K59),COUNTIFS('Data - Monthly Metrics'!$A:$A,$B$4,'Data - Monthly Metrics'!$B:$B,K$8,'Data - Monthly Metrics'!$C:$C,"Southwest",'Data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Metrics'!$C:$C,"Southwest",'Data - Monthly Metrics'!$D:$D,"Goal - Retention %")&gt;0,L59&gt;=SUMIFS('Data - Monthly Metrics'!$E:$E,'Data - Monthly Metrics'!$A:$A,$B$4,'Data - Monthly Metrics'!$B:$B,L$8,'Data - Monthly Metrics'!$C:$C,"Southwest",'Data - Monthly Metrics'!$D:$D,"Goal - Retention %"))</formula>
    </cfRule>
    <cfRule type="expression" rank="0" priority="107" equalAverage="0" aboveAverage="0" dxfId="2" stopIfTrue="1" text="" percent="0" bottom="0">
      <formula>AND(ISNUMBER(L59),COUNTIFS('Data - Monthly Metrics'!$A:$A,$B$4,'Data - Monthly Metrics'!$B:$B,L$8,'Data - Monthly Metrics'!$C:$C,"Southwest",'Data - Monthly Metrics'!$D:$D,"Goal - Retention %")&gt;0,L59&gt;=SUMIFS('Data - Monthly Metrics'!$E:$E,'Data - Monthly Metrics'!$A:$A,$B$4,'Data - Monthly Metrics'!$B:$B,L$8,'Data - Monthly Metrics'!$C:$C,"Southwest",'Data - Monthly Metrics'!$D:$D,"Goal - Retention %")-0.05)</formula>
    </cfRule>
    <cfRule type="expression" rank="0" priority="108" equalAverage="0" aboveAverage="0" dxfId="1" stopIfTrue="1" text="" percent="0" bottom="0">
      <formula>AND(ISNUMBER(L59),COUNTIFS('Data - Monthly Metrics'!$A:$A,$B$4,'Data - Monthly Metrics'!$B:$B,L$8,'Data - Monthly Metrics'!$C:$C,"Southwest",'Data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Metrics'!$C:$C,"Southwest",'Data - Monthly Metrics'!$D:$D,"Goal - Retention %")&gt;0,N59&gt;=SUMIFS('Data - Monthly Metrics'!$E:$E,'Data - Monthly Metrics'!$A:$A,$B$4,'Data - Monthly Metrics'!$B:$B,N$8,'Data - Monthly Metrics'!$C:$C,"Southwest",'Data - Monthly Metrics'!$D:$D,"Goal - Retention %"))</formula>
    </cfRule>
    <cfRule type="expression" rank="0" priority="110" equalAverage="0" aboveAverage="0" dxfId="2" stopIfTrue="1" text="" percent="0" bottom="0">
      <formula>AND(ISNUMBER(N59),COUNTIFS('Data - Monthly Metrics'!$A:$A,$B$4,'Data - Monthly Metrics'!$B:$B,N$8,'Data - Monthly Metrics'!$C:$C,"Southwest",'Data - Monthly Metrics'!$D:$D,"Goal - Retention %")&gt;0,N59&gt;=SUMIFS('Data - Monthly Metrics'!$E:$E,'Data - Monthly Metrics'!$A:$A,$B$4,'Data - Monthly Metrics'!$B:$B,N$8,'Data - Monthly Metrics'!$C:$C,"Southwest",'Data - Monthly Metrics'!$D:$D,"Goal - Retention %")-0.05)</formula>
    </cfRule>
    <cfRule type="expression" rank="0" priority="111" equalAverage="0" aboveAverage="0" dxfId="1" stopIfTrue="1" text="" percent="0" bottom="0">
      <formula>AND(ISNUMBER(N59),COUNTIFS('Data - Monthly Metrics'!$A:$A,$B$4,'Data - Monthly Metrics'!$B:$B,N$8,'Data - Monthly Metrics'!$C:$C,"Southwest",'Data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Metrics'!$C:$C,"Southwest",'Data - Monthly Metrics'!$D:$D,"Goal - Retention %")&gt;0,O59&gt;=SUMIFS('Data - Monthly Metrics'!$E:$E,'Data - Monthly Metrics'!$A:$A,$B$4,'Data - Monthly Metrics'!$B:$B,O$8,'Data - Monthly Metrics'!$C:$C,"Southwest",'Data - Monthly Metrics'!$D:$D,"Goal - Retention %"))</formula>
    </cfRule>
    <cfRule type="expression" rank="0" priority="113" equalAverage="0" aboveAverage="0" dxfId="2" stopIfTrue="1" text="" percent="0" bottom="0">
      <formula>AND(ISNUMBER(O59),COUNTIFS('Data - Monthly Metrics'!$A:$A,$B$4,'Data - Monthly Metrics'!$B:$B,O$8,'Data - Monthly Metrics'!$C:$C,"Southwest",'Data - Monthly Metrics'!$D:$D,"Goal - Retention %")&gt;0,O59&gt;=SUMIFS('Data - Monthly Metrics'!$E:$E,'Data - Monthly Metrics'!$A:$A,$B$4,'Data - Monthly Metrics'!$B:$B,O$8,'Data - Monthly Metrics'!$C:$C,"Southwest",'Data - Monthly Metrics'!$D:$D,"Goal - Retention %")-0.05)</formula>
    </cfRule>
    <cfRule type="expression" rank="0" priority="114" equalAverage="0" aboveAverage="0" dxfId="1" stopIfTrue="1" text="" percent="0" bottom="0">
      <formula>AND(ISNUMBER(O59),COUNTIFS('Data - Monthly Metrics'!$A:$A,$B$4,'Data - Monthly Metrics'!$B:$B,O$8,'Data - Monthly Metrics'!$C:$C,"Southwest",'Data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Metrics'!$C:$C,"Southwest",'Data - Monthly Metrics'!$D:$D,"Goal - Retention %")&gt;0,P59&gt;=SUMIFS('Data - Monthly Metrics'!$E:$E,'Data - Monthly Metrics'!$A:$A,$B$4,'Data - Monthly Metrics'!$B:$B,P$8,'Data - Monthly Metrics'!$C:$C,"Southwest",'Data - Monthly Metrics'!$D:$D,"Goal - Retention %"))</formula>
    </cfRule>
    <cfRule type="expression" rank="0" priority="116" equalAverage="0" aboveAverage="0" dxfId="2" stopIfTrue="1" text="" percent="0" bottom="0">
      <formula>AND(ISNUMBER(P59),COUNTIFS('Data - Monthly Metrics'!$A:$A,$B$4,'Data - Monthly Metrics'!$B:$B,P$8,'Data - Monthly Metrics'!$C:$C,"Southwest",'Data - Monthly Metrics'!$D:$D,"Goal - Retention %")&gt;0,P59&gt;=SUMIFS('Data - Monthly Metrics'!$E:$E,'Data - Monthly Metrics'!$A:$A,$B$4,'Data - Monthly Metrics'!$B:$B,P$8,'Data - Monthly Metrics'!$C:$C,"Southwest",'Data - Monthly Metrics'!$D:$D,"Goal - Retention %")-0.05)</formula>
    </cfRule>
    <cfRule type="expression" rank="0" priority="117" equalAverage="0" aboveAverage="0" dxfId="1" stopIfTrue="1" text="" percent="0" bottom="0">
      <formula>AND(ISNUMBER(P59),COUNTIFS('Data - Monthly Metrics'!$A:$A,$B$4,'Data - Monthly Metrics'!$B:$B,P$8,'Data - Monthly Metrics'!$C:$C,"Southwest",'Data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Metrics'!$C:$C,"Southwest",'Data - Monthly Metrics'!$D:$D,"Goal - Penetration %")&gt;0,B68&gt;=SUMIFS('Data - Monthly Metrics'!$E:$E,'Data - Monthly Metrics'!$A:$A,$B$4-1,'Data - Monthly Metrics'!$B:$B,B$8,'Data - Monthly Metrics'!$C:$C,"Southwest",'Data - Monthly Metrics'!$D:$D,"Goal - Penetration %"))</formula>
    </cfRule>
    <cfRule type="expression" rank="0" priority="119" equalAverage="0" aboveAverage="0" dxfId="2" stopIfTrue="1" text="" percent="0" bottom="0">
      <formula>AND(ISNUMBER(B68),COUNTIFS('Data - Monthly Metrics'!$A:$A,$B$4-1,'Data - Monthly Metrics'!$B:$B,B$8,'Data - Monthly Metrics'!$C:$C,"Southwest",'Data - Monthly Metrics'!$D:$D,"Goal - Penetration %")&gt;0,B68&gt;=SUMIFS('Data - Monthly Metrics'!$E:$E,'Data - Monthly Metrics'!$A:$A,$B$4-1,'Data - Monthly Metrics'!$B:$B,B$8,'Data - Monthly Metrics'!$C:$C,"Southwest",'Data - Monthly Metrics'!$D:$D,"Goal - Penetration %")-0.05)</formula>
    </cfRule>
    <cfRule type="expression" rank="0" priority="120" equalAverage="0" aboveAverage="0" dxfId="1" stopIfTrue="1" text="" percent="0" bottom="0">
      <formula>AND(ISNUMBER(B68),COUNTIFS('Data - Monthly Metrics'!$A:$A,$B$4-1,'Data - Monthly Metrics'!$B:$B,B$8,'Data - Monthly Metrics'!$C:$C,"Southwest",'Data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Metrics'!$C:$C,"Southwest",'Data - Monthly Metrics'!$D:$D,"Goal - Penetration %")&gt;0,C68&gt;=SUMIFS('Data - Monthly Metrics'!$E:$E,'Data - Monthly Metrics'!$A:$A,$B$4-1,'Data - Monthly Metrics'!$B:$B,C$8,'Data - Monthly Metrics'!$C:$C,"Southwest",'Data - Monthly Metrics'!$D:$D,"Goal - Penetration %"))</formula>
    </cfRule>
    <cfRule type="expression" rank="0" priority="122" equalAverage="0" aboveAverage="0" dxfId="2" stopIfTrue="1" text="" percent="0" bottom="0">
      <formula>AND(ISNUMBER(C68),COUNTIFS('Data - Monthly Metrics'!$A:$A,$B$4-1,'Data - Monthly Metrics'!$B:$B,C$8,'Data - Monthly Metrics'!$C:$C,"Southwest",'Data - Monthly Metrics'!$D:$D,"Goal - Penetration %")&gt;0,C68&gt;=SUMIFS('Data - Monthly Metrics'!$E:$E,'Data - Monthly Metrics'!$A:$A,$B$4-1,'Data - Monthly Metrics'!$B:$B,C$8,'Data - Monthly Metrics'!$C:$C,"Southwest",'Data - Monthly Metrics'!$D:$D,"Goal - Penetration %")-0.05)</formula>
    </cfRule>
    <cfRule type="expression" rank="0" priority="123" equalAverage="0" aboveAverage="0" dxfId="1" stopIfTrue="1" text="" percent="0" bottom="0">
      <formula>AND(ISNUMBER(C68),COUNTIFS('Data - Monthly Metrics'!$A:$A,$B$4-1,'Data - Monthly Metrics'!$B:$B,C$8,'Data - Monthly Metrics'!$C:$C,"Southwest",'Data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Metrics'!$C:$C,"Southwest",'Data - Monthly Metrics'!$D:$D,"Goal - Penetration %")&gt;0,D68&gt;=SUMIFS('Data - Monthly Metrics'!$E:$E,'Data - Monthly Metrics'!$A:$A,$B$4-1,'Data - Monthly Metrics'!$B:$B,D$8,'Data - Monthly Metrics'!$C:$C,"Southwest",'Data - Monthly Metrics'!$D:$D,"Goal - Penetration %"))</formula>
    </cfRule>
    <cfRule type="expression" rank="0" priority="125" equalAverage="0" aboveAverage="0" dxfId="2" stopIfTrue="1" text="" percent="0" bottom="0">
      <formula>AND(ISNUMBER(D68),COUNTIFS('Data - Monthly Metrics'!$A:$A,$B$4-1,'Data - Monthly Metrics'!$B:$B,D$8,'Data - Monthly Metrics'!$C:$C,"Southwest",'Data - Monthly Metrics'!$D:$D,"Goal - Penetration %")&gt;0,D68&gt;=SUMIFS('Data - Monthly Metrics'!$E:$E,'Data - Monthly Metrics'!$A:$A,$B$4-1,'Data - Monthly Metrics'!$B:$B,D$8,'Data - Monthly Metrics'!$C:$C,"Southwest",'Data - Monthly Metrics'!$D:$D,"Goal - Penetration %")-0.05)</formula>
    </cfRule>
    <cfRule type="expression" rank="0" priority="126" equalAverage="0" aboveAverage="0" dxfId="1" stopIfTrue="1" text="" percent="0" bottom="0">
      <formula>AND(ISNUMBER(D68),COUNTIFS('Data - Monthly Metrics'!$A:$A,$B$4-1,'Data - Monthly Metrics'!$B:$B,D$8,'Data - Monthly Metrics'!$C:$C,"Southwest",'Data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Metrics'!$C:$C,"Southwest",'Data - Monthly Metrics'!$D:$D,"Goal - Penetration %")&gt;0,F68&gt;=SUMIFS('Data - Monthly Metrics'!$E:$E,'Data - Monthly Metrics'!$A:$A,$B$4,'Data - Monthly Metrics'!$B:$B,F$8,'Data - Monthly Metrics'!$C:$C,"Southwest",'Data - Monthly Metrics'!$D:$D,"Goal - Penetration %"))</formula>
    </cfRule>
    <cfRule type="expression" rank="0" priority="128" equalAverage="0" aboveAverage="0" dxfId="2" stopIfTrue="1" text="" percent="0" bottom="0">
      <formula>AND(ISNUMBER(F68),COUNTIFS('Data - Monthly Metrics'!$A:$A,$B$4,'Data - Monthly Metrics'!$B:$B,F$8,'Data - Monthly Metrics'!$C:$C,"Southwest",'Data - Monthly Metrics'!$D:$D,"Goal - Penetration %")&gt;0,F68&gt;=SUMIFS('Data - Monthly Metrics'!$E:$E,'Data - Monthly Metrics'!$A:$A,$B$4,'Data - Monthly Metrics'!$B:$B,F$8,'Data - Monthly Metrics'!$C:$C,"Southwest",'Data - Monthly Metrics'!$D:$D,"Goal - Penetration %")-0.05)</formula>
    </cfRule>
    <cfRule type="expression" rank="0" priority="129" equalAverage="0" aboveAverage="0" dxfId="1" stopIfTrue="1" text="" percent="0" bottom="0">
      <formula>AND(ISNUMBER(F68),COUNTIFS('Data - Monthly Metrics'!$A:$A,$B$4,'Data - Monthly Metrics'!$B:$B,F$8,'Data - Monthly Metrics'!$C:$C,"Southwest",'Data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Metrics'!$C:$C,"Southwest",'Data - Monthly Metrics'!$D:$D,"Goal - Penetration %")&gt;0,G68&gt;=SUMIFS('Data - Monthly Metrics'!$E:$E,'Data - Monthly Metrics'!$A:$A,$B$4,'Data - Monthly Metrics'!$B:$B,G$8,'Data - Monthly Metrics'!$C:$C,"Southwest",'Data - Monthly Metrics'!$D:$D,"Goal - Penetration %"))</formula>
    </cfRule>
    <cfRule type="expression" rank="0" priority="131" equalAverage="0" aboveAverage="0" dxfId="2" stopIfTrue="1" text="" percent="0" bottom="0">
      <formula>AND(ISNUMBER(G68),COUNTIFS('Data - Monthly Metrics'!$A:$A,$B$4,'Data - Monthly Metrics'!$B:$B,G$8,'Data - Monthly Metrics'!$C:$C,"Southwest",'Data - Monthly Metrics'!$D:$D,"Goal - Penetration %")&gt;0,G68&gt;=SUMIFS('Data - Monthly Metrics'!$E:$E,'Data - Monthly Metrics'!$A:$A,$B$4,'Data - Monthly Metrics'!$B:$B,G$8,'Data - Monthly Metrics'!$C:$C,"Southwest",'Data - Monthly Metrics'!$D:$D,"Goal - Penetration %")-0.05)</formula>
    </cfRule>
    <cfRule type="expression" rank="0" priority="132" equalAverage="0" aboveAverage="0" dxfId="1" stopIfTrue="1" text="" percent="0" bottom="0">
      <formula>AND(ISNUMBER(G68),COUNTIFS('Data - Monthly Metrics'!$A:$A,$B$4,'Data - Monthly Metrics'!$B:$B,G$8,'Data - Monthly Metrics'!$C:$C,"Southwest",'Data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Metrics'!$C:$C,"Southwest",'Data - Monthly Metrics'!$D:$D,"Goal - Penetration %")&gt;0,H68&gt;=SUMIFS('Data - Monthly Metrics'!$E:$E,'Data - Monthly Metrics'!$A:$A,$B$4,'Data - Monthly Metrics'!$B:$B,H$8,'Data - Monthly Metrics'!$C:$C,"Southwest",'Data - Monthly Metrics'!$D:$D,"Goal - Penetration %"))</formula>
    </cfRule>
    <cfRule type="expression" rank="0" priority="134" equalAverage="0" aboveAverage="0" dxfId="2" stopIfTrue="1" text="" percent="0" bottom="0">
      <formula>AND(ISNUMBER(H68),COUNTIFS('Data - Monthly Metrics'!$A:$A,$B$4,'Data - Monthly Metrics'!$B:$B,H$8,'Data - Monthly Metrics'!$C:$C,"Southwest",'Data - Monthly Metrics'!$D:$D,"Goal - Penetration %")&gt;0,H68&gt;=SUMIFS('Data - Monthly Metrics'!$E:$E,'Data - Monthly Metrics'!$A:$A,$B$4,'Data - Monthly Metrics'!$B:$B,H$8,'Data - Monthly Metrics'!$C:$C,"Southwest",'Data - Monthly Metrics'!$D:$D,"Goal - Penetration %")-0.05)</formula>
    </cfRule>
    <cfRule type="expression" rank="0" priority="135" equalAverage="0" aboveAverage="0" dxfId="1" stopIfTrue="1" text="" percent="0" bottom="0">
      <formula>AND(ISNUMBER(H68),COUNTIFS('Data - Monthly Metrics'!$A:$A,$B$4,'Data - Monthly Metrics'!$B:$B,H$8,'Data - Monthly Metrics'!$C:$C,"Southwest",'Data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Metrics'!$C:$C,"Southwest",'Data - Monthly Metrics'!$D:$D,"Goal - Penetration %")&gt;0,J68&gt;=SUMIFS('Data - Monthly Metrics'!$E:$E,'Data - Monthly Metrics'!$A:$A,$B$4,'Data - Monthly Metrics'!$B:$B,J$8,'Data - Monthly Metrics'!$C:$C,"Southwest",'Data - Monthly Metrics'!$D:$D,"Goal - Penetration %"))</formula>
    </cfRule>
    <cfRule type="expression" rank="0" priority="137" equalAverage="0" aboveAverage="0" dxfId="2" stopIfTrue="1" text="" percent="0" bottom="0">
      <formula>AND(ISNUMBER(J68),COUNTIFS('Data - Monthly Metrics'!$A:$A,$B$4,'Data - Monthly Metrics'!$B:$B,J$8,'Data - Monthly Metrics'!$C:$C,"Southwest",'Data - Monthly Metrics'!$D:$D,"Goal - Penetration %")&gt;0,J68&gt;=SUMIFS('Data - Monthly Metrics'!$E:$E,'Data - Monthly Metrics'!$A:$A,$B$4,'Data - Monthly Metrics'!$B:$B,J$8,'Data - Monthly Metrics'!$C:$C,"Southwest",'Data - Monthly Metrics'!$D:$D,"Goal - Penetration %")-0.05)</formula>
    </cfRule>
    <cfRule type="expression" rank="0" priority="138" equalAverage="0" aboveAverage="0" dxfId="1" stopIfTrue="1" text="" percent="0" bottom="0">
      <formula>AND(ISNUMBER(J68),COUNTIFS('Data - Monthly Metrics'!$A:$A,$B$4,'Data - Monthly Metrics'!$B:$B,J$8,'Data - Monthly Metrics'!$C:$C,"Southwest",'Data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Metrics'!$C:$C,"Southwest",'Data - Monthly Metrics'!$D:$D,"Goal - Penetration %")&gt;0,K68&gt;=SUMIFS('Data - Monthly Metrics'!$E:$E,'Data - Monthly Metrics'!$A:$A,$B$4,'Data - Monthly Metrics'!$B:$B,K$8,'Data - Monthly Metrics'!$C:$C,"Southwest",'Data - Monthly Metrics'!$D:$D,"Goal - Penetration %"))</formula>
    </cfRule>
    <cfRule type="expression" rank="0" priority="140" equalAverage="0" aboveAverage="0" dxfId="2" stopIfTrue="1" text="" percent="0" bottom="0">
      <formula>AND(ISNUMBER(K68),COUNTIFS('Data - Monthly Metrics'!$A:$A,$B$4,'Data - Monthly Metrics'!$B:$B,K$8,'Data - Monthly Metrics'!$C:$C,"Southwest",'Data - Monthly Metrics'!$D:$D,"Goal - Penetration %")&gt;0,K68&gt;=SUMIFS('Data - Monthly Metrics'!$E:$E,'Data - Monthly Metrics'!$A:$A,$B$4,'Data - Monthly Metrics'!$B:$B,K$8,'Data - Monthly Metrics'!$C:$C,"Southwest",'Data - Monthly Metrics'!$D:$D,"Goal - Penetration %")-0.05)</formula>
    </cfRule>
    <cfRule type="expression" rank="0" priority="141" equalAverage="0" aboveAverage="0" dxfId="1" stopIfTrue="1" text="" percent="0" bottom="0">
      <formula>AND(ISNUMBER(K68),COUNTIFS('Data - Monthly Metrics'!$A:$A,$B$4,'Data - Monthly Metrics'!$B:$B,K$8,'Data - Monthly Metrics'!$C:$C,"Southwest",'Data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Metrics'!$C:$C,"Southwest",'Data - Monthly Metrics'!$D:$D,"Goal - Penetration %")&gt;0,L68&gt;=SUMIFS('Data - Monthly Metrics'!$E:$E,'Data - Monthly Metrics'!$A:$A,$B$4,'Data - Monthly Metrics'!$B:$B,L$8,'Data - Monthly Metrics'!$C:$C,"Southwest",'Data - Monthly Metrics'!$D:$D,"Goal - Penetration %"))</formula>
    </cfRule>
    <cfRule type="expression" rank="0" priority="143" equalAverage="0" aboveAverage="0" dxfId="2" stopIfTrue="1" text="" percent="0" bottom="0">
      <formula>AND(ISNUMBER(L68),COUNTIFS('Data - Monthly Metrics'!$A:$A,$B$4,'Data - Monthly Metrics'!$B:$B,L$8,'Data - Monthly Metrics'!$C:$C,"Southwest",'Data - Monthly Metrics'!$D:$D,"Goal - Penetration %")&gt;0,L68&gt;=SUMIFS('Data - Monthly Metrics'!$E:$E,'Data - Monthly Metrics'!$A:$A,$B$4,'Data - Monthly Metrics'!$B:$B,L$8,'Data - Monthly Metrics'!$C:$C,"Southwest",'Data - Monthly Metrics'!$D:$D,"Goal - Penetration %")-0.05)</formula>
    </cfRule>
    <cfRule type="expression" rank="0" priority="144" equalAverage="0" aboveAverage="0" dxfId="1" stopIfTrue="1" text="" percent="0" bottom="0">
      <formula>AND(ISNUMBER(L68),COUNTIFS('Data - Monthly Metrics'!$A:$A,$B$4,'Data - Monthly Metrics'!$B:$B,L$8,'Data - Monthly Metrics'!$C:$C,"Southwest",'Data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Metrics'!$C:$C,"Southwest",'Data - Monthly Metrics'!$D:$D,"Goal - Penetration %")&gt;0,N68&gt;=SUMIFS('Data - Monthly Metrics'!$E:$E,'Data - Monthly Metrics'!$A:$A,$B$4,'Data - Monthly Metrics'!$B:$B,N$8,'Data - Monthly Metrics'!$C:$C,"Southwest",'Data - Monthly Metrics'!$D:$D,"Goal - Penetration %"))</formula>
    </cfRule>
    <cfRule type="expression" rank="0" priority="146" equalAverage="0" aboveAverage="0" dxfId="2" stopIfTrue="1" text="" percent="0" bottom="0">
      <formula>AND(ISNUMBER(N68),COUNTIFS('Data - Monthly Metrics'!$A:$A,$B$4,'Data - Monthly Metrics'!$B:$B,N$8,'Data - Monthly Metrics'!$C:$C,"Southwest",'Data - Monthly Metrics'!$D:$D,"Goal - Penetration %")&gt;0,N68&gt;=SUMIFS('Data - Monthly Metrics'!$E:$E,'Data - Monthly Metrics'!$A:$A,$B$4,'Data - Monthly Metrics'!$B:$B,N$8,'Data - Monthly Metrics'!$C:$C,"Southwest",'Data - Monthly Metrics'!$D:$D,"Goal - Penetration %")-0.05)</formula>
    </cfRule>
    <cfRule type="expression" rank="0" priority="147" equalAverage="0" aboveAverage="0" dxfId="1" stopIfTrue="1" text="" percent="0" bottom="0">
      <formula>AND(ISNUMBER(N68),COUNTIFS('Data - Monthly Metrics'!$A:$A,$B$4,'Data - Monthly Metrics'!$B:$B,N$8,'Data - Monthly Metrics'!$C:$C,"Southwest",'Data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Metrics'!$C:$C,"Southwest",'Data - Monthly Metrics'!$D:$D,"Goal - Penetration %")&gt;0,O68&gt;=SUMIFS('Data - Monthly Metrics'!$E:$E,'Data - Monthly Metrics'!$A:$A,$B$4,'Data - Monthly Metrics'!$B:$B,O$8,'Data - Monthly Metrics'!$C:$C,"Southwest",'Data - Monthly Metrics'!$D:$D,"Goal - Penetration %"))</formula>
    </cfRule>
    <cfRule type="expression" rank="0" priority="149" equalAverage="0" aboveAverage="0" dxfId="2" stopIfTrue="1" text="" percent="0" bottom="0">
      <formula>AND(ISNUMBER(O68),COUNTIFS('Data - Monthly Metrics'!$A:$A,$B$4,'Data - Monthly Metrics'!$B:$B,O$8,'Data - Monthly Metrics'!$C:$C,"Southwest",'Data - Monthly Metrics'!$D:$D,"Goal - Penetration %")&gt;0,O68&gt;=SUMIFS('Data - Monthly Metrics'!$E:$E,'Data - Monthly Metrics'!$A:$A,$B$4,'Data - Monthly Metrics'!$B:$B,O$8,'Data - Monthly Metrics'!$C:$C,"Southwest",'Data - Monthly Metrics'!$D:$D,"Goal - Penetration %")-0.05)</formula>
    </cfRule>
    <cfRule type="expression" rank="0" priority="150" equalAverage="0" aboveAverage="0" dxfId="1" stopIfTrue="1" text="" percent="0" bottom="0">
      <formula>AND(ISNUMBER(O68),COUNTIFS('Data - Monthly Metrics'!$A:$A,$B$4,'Data - Monthly Metrics'!$B:$B,O$8,'Data - Monthly Metrics'!$C:$C,"Southwest",'Data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Metrics'!$C:$C,"Southwest",'Data - Monthly Metrics'!$D:$D,"Goal - Penetration %")&gt;0,P68&gt;=SUMIFS('Data - Monthly Metrics'!$E:$E,'Data - Monthly Metrics'!$A:$A,$B$4,'Data - Monthly Metrics'!$B:$B,P$8,'Data - Monthly Metrics'!$C:$C,"Southwest",'Data - Monthly Metrics'!$D:$D,"Goal - Penetration %"))</formula>
    </cfRule>
    <cfRule type="expression" rank="0" priority="152" equalAverage="0" aboveAverage="0" dxfId="2" stopIfTrue="1" text="" percent="0" bottom="0">
      <formula>AND(ISNUMBER(P68),COUNTIFS('Data - Monthly Metrics'!$A:$A,$B$4,'Data - Monthly Metrics'!$B:$B,P$8,'Data - Monthly Metrics'!$C:$C,"Southwest",'Data - Monthly Metrics'!$D:$D,"Goal - Penetration %")&gt;0,P68&gt;=SUMIFS('Data - Monthly Metrics'!$E:$E,'Data - Monthly Metrics'!$A:$A,$B$4,'Data - Monthly Metrics'!$B:$B,P$8,'Data - Monthly Metrics'!$C:$C,"Southwest",'Data - Monthly Metrics'!$D:$D,"Goal - Penetration %")-0.05)</formula>
    </cfRule>
    <cfRule type="expression" rank="0" priority="153" equalAverage="0" aboveAverage="0" dxfId="1" stopIfTrue="1" text="" percent="0" bottom="0">
      <formula>AND(ISNUMBER(P68),COUNTIFS('Data - Monthly Metrics'!$A:$A,$B$4,'Data - Monthly Metrics'!$B:$B,P$8,'Data - Monthly Metrics'!$C:$C,"Southwest",'Data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Metrics'!$C:$C,"Southwest",'Data - Monthly Metrics'!$D:$D,"Goal - Penetration %")&gt;0,B69&gt;=SUMIFS('Data - Monthly Metrics'!$E:$E,'Data - Monthly Metrics'!$A:$A,$B$4-1,'Data - Monthly Metrics'!$B:$B,B$8,'Data - Monthly Metrics'!$C:$C,"Southwest",'Data - Monthly Metrics'!$D:$D,"Goal - Penetration %"))</formula>
    </cfRule>
    <cfRule type="expression" rank="0" priority="155" equalAverage="0" aboveAverage="0" dxfId="2" stopIfTrue="1" text="" percent="0" bottom="0">
      <formula>AND(ISNUMBER(B69),COUNTIFS('Data - Monthly Metrics'!$A:$A,$B$4-1,'Data - Monthly Metrics'!$B:$B,B$8,'Data - Monthly Metrics'!$C:$C,"Southwest",'Data - Monthly Metrics'!$D:$D,"Goal - Penetration %")&gt;0,B69&gt;=SUMIFS('Data - Monthly Metrics'!$E:$E,'Data - Monthly Metrics'!$A:$A,$B$4-1,'Data - Monthly Metrics'!$B:$B,B$8,'Data - Monthly Metrics'!$C:$C,"Southwest",'Data - Monthly Metrics'!$D:$D,"Goal - Penetration %")-0.05)</formula>
    </cfRule>
    <cfRule type="expression" rank="0" priority="156" equalAverage="0" aboveAverage="0" dxfId="1" stopIfTrue="1" text="" percent="0" bottom="0">
      <formula>AND(ISNUMBER(B69),COUNTIFS('Data - Monthly Metrics'!$A:$A,$B$4-1,'Data - Monthly Metrics'!$B:$B,B$8,'Data - Monthly Metrics'!$C:$C,"Southwest",'Data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Metrics'!$C:$C,"Southwest",'Data - Monthly Metrics'!$D:$D,"Goal - Penetration %")&gt;0,C69&gt;=SUMIFS('Data - Monthly Metrics'!$E:$E,'Data - Monthly Metrics'!$A:$A,$B$4-1,'Data - Monthly Metrics'!$B:$B,C$8,'Data - Monthly Metrics'!$C:$C,"Southwest",'Data - Monthly Metrics'!$D:$D,"Goal - Penetration %"))</formula>
    </cfRule>
    <cfRule type="expression" rank="0" priority="158" equalAverage="0" aboveAverage="0" dxfId="2" stopIfTrue="1" text="" percent="0" bottom="0">
      <formula>AND(ISNUMBER(C69),COUNTIFS('Data - Monthly Metrics'!$A:$A,$B$4-1,'Data - Monthly Metrics'!$B:$B,C$8,'Data - Monthly Metrics'!$C:$C,"Southwest",'Data - Monthly Metrics'!$D:$D,"Goal - Penetration %")&gt;0,C69&gt;=SUMIFS('Data - Monthly Metrics'!$E:$E,'Data - Monthly Metrics'!$A:$A,$B$4-1,'Data - Monthly Metrics'!$B:$B,C$8,'Data - Monthly Metrics'!$C:$C,"Southwest",'Data - Monthly Metrics'!$D:$D,"Goal - Penetration %")-0.05)</formula>
    </cfRule>
    <cfRule type="expression" rank="0" priority="159" equalAverage="0" aboveAverage="0" dxfId="1" stopIfTrue="1" text="" percent="0" bottom="0">
      <formula>AND(ISNUMBER(C69),COUNTIFS('Data - Monthly Metrics'!$A:$A,$B$4-1,'Data - Monthly Metrics'!$B:$B,C$8,'Data - Monthly Metrics'!$C:$C,"Southwest",'Data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Metrics'!$C:$C,"Southwest",'Data - Monthly Metrics'!$D:$D,"Goal - Penetration %")&gt;0,D69&gt;=SUMIFS('Data - Monthly Metrics'!$E:$E,'Data - Monthly Metrics'!$A:$A,$B$4-1,'Data - Monthly Metrics'!$B:$B,D$8,'Data - Monthly Metrics'!$C:$C,"Southwest",'Data - Monthly Metrics'!$D:$D,"Goal - Penetration %"))</formula>
    </cfRule>
    <cfRule type="expression" rank="0" priority="161" equalAverage="0" aboveAverage="0" dxfId="2" stopIfTrue="1" text="" percent="0" bottom="0">
      <formula>AND(ISNUMBER(D69),COUNTIFS('Data - Monthly Metrics'!$A:$A,$B$4-1,'Data - Monthly Metrics'!$B:$B,D$8,'Data - Monthly Metrics'!$C:$C,"Southwest",'Data - Monthly Metrics'!$D:$D,"Goal - Penetration %")&gt;0,D69&gt;=SUMIFS('Data - Monthly Metrics'!$E:$E,'Data - Monthly Metrics'!$A:$A,$B$4-1,'Data - Monthly Metrics'!$B:$B,D$8,'Data - Monthly Metrics'!$C:$C,"Southwest",'Data - Monthly Metrics'!$D:$D,"Goal - Penetration %")-0.05)</formula>
    </cfRule>
    <cfRule type="expression" rank="0" priority="162" equalAverage="0" aboveAverage="0" dxfId="1" stopIfTrue="1" text="" percent="0" bottom="0">
      <formula>AND(ISNUMBER(D69),COUNTIFS('Data - Monthly Metrics'!$A:$A,$B$4-1,'Data - Monthly Metrics'!$B:$B,D$8,'Data - Monthly Metrics'!$C:$C,"Southwest",'Data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Metrics'!$C:$C,"Southwest",'Data - Monthly Metrics'!$D:$D,"Goal - Penetration %")&gt;0,F69&gt;=SUMIFS('Data - Monthly Metrics'!$E:$E,'Data - Monthly Metrics'!$A:$A,$B$4,'Data - Monthly Metrics'!$B:$B,F$8,'Data - Monthly Metrics'!$C:$C,"Southwest",'Data - Monthly Metrics'!$D:$D,"Goal - Penetration %"))</formula>
    </cfRule>
    <cfRule type="expression" rank="0" priority="164" equalAverage="0" aboveAverage="0" dxfId="2" stopIfTrue="1" text="" percent="0" bottom="0">
      <formula>AND(ISNUMBER(F69),COUNTIFS('Data - Monthly Metrics'!$A:$A,$B$4,'Data - Monthly Metrics'!$B:$B,F$8,'Data - Monthly Metrics'!$C:$C,"Southwest",'Data - Monthly Metrics'!$D:$D,"Goal - Penetration %")&gt;0,F69&gt;=SUMIFS('Data - Monthly Metrics'!$E:$E,'Data - Monthly Metrics'!$A:$A,$B$4,'Data - Monthly Metrics'!$B:$B,F$8,'Data - Monthly Metrics'!$C:$C,"Southwest",'Data - Monthly Metrics'!$D:$D,"Goal - Penetration %")-0.05)</formula>
    </cfRule>
    <cfRule type="expression" rank="0" priority="165" equalAverage="0" aboveAverage="0" dxfId="1" stopIfTrue="1" text="" percent="0" bottom="0">
      <formula>AND(ISNUMBER(F69),COUNTIFS('Data - Monthly Metrics'!$A:$A,$B$4,'Data - Monthly Metrics'!$B:$B,F$8,'Data - Monthly Metrics'!$C:$C,"Southwest",'Data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Metrics'!$C:$C,"Southwest",'Data - Monthly Metrics'!$D:$D,"Goal - Penetration %")&gt;0,G69&gt;=SUMIFS('Data - Monthly Metrics'!$E:$E,'Data - Monthly Metrics'!$A:$A,$B$4,'Data - Monthly Metrics'!$B:$B,G$8,'Data - Monthly Metrics'!$C:$C,"Southwest",'Data - Monthly Metrics'!$D:$D,"Goal - Penetration %"))</formula>
    </cfRule>
    <cfRule type="expression" rank="0" priority="167" equalAverage="0" aboveAverage="0" dxfId="2" stopIfTrue="1" text="" percent="0" bottom="0">
      <formula>AND(ISNUMBER(G69),COUNTIFS('Data - Monthly Metrics'!$A:$A,$B$4,'Data - Monthly Metrics'!$B:$B,G$8,'Data - Monthly Metrics'!$C:$C,"Southwest",'Data - Monthly Metrics'!$D:$D,"Goal - Penetration %")&gt;0,G69&gt;=SUMIFS('Data - Monthly Metrics'!$E:$E,'Data - Monthly Metrics'!$A:$A,$B$4,'Data - Monthly Metrics'!$B:$B,G$8,'Data - Monthly Metrics'!$C:$C,"Southwest",'Data - Monthly Metrics'!$D:$D,"Goal - Penetration %")-0.05)</formula>
    </cfRule>
    <cfRule type="expression" rank="0" priority="168" equalAverage="0" aboveAverage="0" dxfId="1" stopIfTrue="1" text="" percent="0" bottom="0">
      <formula>AND(ISNUMBER(G69),COUNTIFS('Data - Monthly Metrics'!$A:$A,$B$4,'Data - Monthly Metrics'!$B:$B,G$8,'Data - Monthly Metrics'!$C:$C,"Southwest",'Data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Metrics'!$C:$C,"Southwest",'Data - Monthly Metrics'!$D:$D,"Goal - Penetration %")&gt;0,H69&gt;=SUMIFS('Data - Monthly Metrics'!$E:$E,'Data - Monthly Metrics'!$A:$A,$B$4,'Data - Monthly Metrics'!$B:$B,H$8,'Data - Monthly Metrics'!$C:$C,"Southwest",'Data - Monthly Metrics'!$D:$D,"Goal - Penetration %"))</formula>
    </cfRule>
    <cfRule type="expression" rank="0" priority="170" equalAverage="0" aboveAverage="0" dxfId="2" stopIfTrue="1" text="" percent="0" bottom="0">
      <formula>AND(ISNUMBER(H69),COUNTIFS('Data - Monthly Metrics'!$A:$A,$B$4,'Data - Monthly Metrics'!$B:$B,H$8,'Data - Monthly Metrics'!$C:$C,"Southwest",'Data - Monthly Metrics'!$D:$D,"Goal - Penetration %")&gt;0,H69&gt;=SUMIFS('Data - Monthly Metrics'!$E:$E,'Data - Monthly Metrics'!$A:$A,$B$4,'Data - Monthly Metrics'!$B:$B,H$8,'Data - Monthly Metrics'!$C:$C,"Southwest",'Data - Monthly Metrics'!$D:$D,"Goal - Penetration %")-0.05)</formula>
    </cfRule>
    <cfRule type="expression" rank="0" priority="171" equalAverage="0" aboveAverage="0" dxfId="1" stopIfTrue="1" text="" percent="0" bottom="0">
      <formula>AND(ISNUMBER(H69),COUNTIFS('Data - Monthly Metrics'!$A:$A,$B$4,'Data - Monthly Metrics'!$B:$B,H$8,'Data - Monthly Metrics'!$C:$C,"Southwest",'Data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Metrics'!$C:$C,"Southwest",'Data - Monthly Metrics'!$D:$D,"Goal - Penetration %")&gt;0,J69&gt;=SUMIFS('Data - Monthly Metrics'!$E:$E,'Data - Monthly Metrics'!$A:$A,$B$4,'Data - Monthly Metrics'!$B:$B,J$8,'Data - Monthly Metrics'!$C:$C,"Southwest",'Data - Monthly Metrics'!$D:$D,"Goal - Penetration %"))</formula>
    </cfRule>
    <cfRule type="expression" rank="0" priority="173" equalAverage="0" aboveAverage="0" dxfId="2" stopIfTrue="1" text="" percent="0" bottom="0">
      <formula>AND(ISNUMBER(J69),COUNTIFS('Data - Monthly Metrics'!$A:$A,$B$4,'Data - Monthly Metrics'!$B:$B,J$8,'Data - Monthly Metrics'!$C:$C,"Southwest",'Data - Monthly Metrics'!$D:$D,"Goal - Penetration %")&gt;0,J69&gt;=SUMIFS('Data - Monthly Metrics'!$E:$E,'Data - Monthly Metrics'!$A:$A,$B$4,'Data - Monthly Metrics'!$B:$B,J$8,'Data - Monthly Metrics'!$C:$C,"Southwest",'Data - Monthly Metrics'!$D:$D,"Goal - Penetration %")-0.05)</formula>
    </cfRule>
    <cfRule type="expression" rank="0" priority="174" equalAverage="0" aboveAverage="0" dxfId="1" stopIfTrue="1" text="" percent="0" bottom="0">
      <formula>AND(ISNUMBER(J69),COUNTIFS('Data - Monthly Metrics'!$A:$A,$B$4,'Data - Monthly Metrics'!$B:$B,J$8,'Data - Monthly Metrics'!$C:$C,"Southwest",'Data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Metrics'!$C:$C,"Southwest",'Data - Monthly Metrics'!$D:$D,"Goal - Penetration %")&gt;0,K69&gt;=SUMIFS('Data - Monthly Metrics'!$E:$E,'Data - Monthly Metrics'!$A:$A,$B$4,'Data - Monthly Metrics'!$B:$B,K$8,'Data - Monthly Metrics'!$C:$C,"Southwest",'Data - Monthly Metrics'!$D:$D,"Goal - Penetration %"))</formula>
    </cfRule>
    <cfRule type="expression" rank="0" priority="176" equalAverage="0" aboveAverage="0" dxfId="2" stopIfTrue="1" text="" percent="0" bottom="0">
      <formula>AND(ISNUMBER(K69),COUNTIFS('Data - Monthly Metrics'!$A:$A,$B$4,'Data - Monthly Metrics'!$B:$B,K$8,'Data - Monthly Metrics'!$C:$C,"Southwest",'Data - Monthly Metrics'!$D:$D,"Goal - Penetration %")&gt;0,K69&gt;=SUMIFS('Data - Monthly Metrics'!$E:$E,'Data - Monthly Metrics'!$A:$A,$B$4,'Data - Monthly Metrics'!$B:$B,K$8,'Data - Monthly Metrics'!$C:$C,"Southwest",'Data - Monthly Metrics'!$D:$D,"Goal - Penetration %")-0.05)</formula>
    </cfRule>
    <cfRule type="expression" rank="0" priority="177" equalAverage="0" aboveAverage="0" dxfId="1" stopIfTrue="1" text="" percent="0" bottom="0">
      <formula>AND(ISNUMBER(K69),COUNTIFS('Data - Monthly Metrics'!$A:$A,$B$4,'Data - Monthly Metrics'!$B:$B,K$8,'Data - Monthly Metrics'!$C:$C,"Southwest",'Data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Metrics'!$C:$C,"Southwest",'Data - Monthly Metrics'!$D:$D,"Goal - Penetration %")&gt;0,L69&gt;=SUMIFS('Data - Monthly Metrics'!$E:$E,'Data - Monthly Metrics'!$A:$A,$B$4,'Data - Monthly Metrics'!$B:$B,L$8,'Data - Monthly Metrics'!$C:$C,"Southwest",'Data - Monthly Metrics'!$D:$D,"Goal - Penetration %"))</formula>
    </cfRule>
    <cfRule type="expression" rank="0" priority="179" equalAverage="0" aboveAverage="0" dxfId="2" stopIfTrue="1" text="" percent="0" bottom="0">
      <formula>AND(ISNUMBER(L69),COUNTIFS('Data - Monthly Metrics'!$A:$A,$B$4,'Data - Monthly Metrics'!$B:$B,L$8,'Data - Monthly Metrics'!$C:$C,"Southwest",'Data - Monthly Metrics'!$D:$D,"Goal - Penetration %")&gt;0,L69&gt;=SUMIFS('Data - Monthly Metrics'!$E:$E,'Data - Monthly Metrics'!$A:$A,$B$4,'Data - Monthly Metrics'!$B:$B,L$8,'Data - Monthly Metrics'!$C:$C,"Southwest",'Data - Monthly Metrics'!$D:$D,"Goal - Penetration %")-0.05)</formula>
    </cfRule>
    <cfRule type="expression" rank="0" priority="180" equalAverage="0" aboveAverage="0" dxfId="1" stopIfTrue="1" text="" percent="0" bottom="0">
      <formula>AND(ISNUMBER(L69),COUNTIFS('Data - Monthly Metrics'!$A:$A,$B$4,'Data - Monthly Metrics'!$B:$B,L$8,'Data - Monthly Metrics'!$C:$C,"Southwest",'Data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Metrics'!$C:$C,"Southwest",'Data - Monthly Metrics'!$D:$D,"Goal - Penetration %")&gt;0,N69&gt;=SUMIFS('Data - Monthly Metrics'!$E:$E,'Data - Monthly Metrics'!$A:$A,$B$4,'Data - Monthly Metrics'!$B:$B,N$8,'Data - Monthly Metrics'!$C:$C,"Southwest",'Data - Monthly Metrics'!$D:$D,"Goal - Penetration %"))</formula>
    </cfRule>
    <cfRule type="expression" rank="0" priority="182" equalAverage="0" aboveAverage="0" dxfId="2" stopIfTrue="1" text="" percent="0" bottom="0">
      <formula>AND(ISNUMBER(N69),COUNTIFS('Data - Monthly Metrics'!$A:$A,$B$4,'Data - Monthly Metrics'!$B:$B,N$8,'Data - Monthly Metrics'!$C:$C,"Southwest",'Data - Monthly Metrics'!$D:$D,"Goal - Penetration %")&gt;0,N69&gt;=SUMIFS('Data - Monthly Metrics'!$E:$E,'Data - Monthly Metrics'!$A:$A,$B$4,'Data - Monthly Metrics'!$B:$B,N$8,'Data - Monthly Metrics'!$C:$C,"Southwest",'Data - Monthly Metrics'!$D:$D,"Goal - Penetration %")-0.05)</formula>
    </cfRule>
    <cfRule type="expression" rank="0" priority="183" equalAverage="0" aboveAverage="0" dxfId="1" stopIfTrue="1" text="" percent="0" bottom="0">
      <formula>AND(ISNUMBER(N69),COUNTIFS('Data - Monthly Metrics'!$A:$A,$B$4,'Data - Monthly Metrics'!$B:$B,N$8,'Data - Monthly Metrics'!$C:$C,"Southwest",'Data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Metrics'!$C:$C,"Southwest",'Data - Monthly Metrics'!$D:$D,"Goal - Penetration %")&gt;0,O69&gt;=SUMIFS('Data - Monthly Metrics'!$E:$E,'Data - Monthly Metrics'!$A:$A,$B$4,'Data - Monthly Metrics'!$B:$B,O$8,'Data - Monthly Metrics'!$C:$C,"Southwest",'Data - Monthly Metrics'!$D:$D,"Goal - Penetration %"))</formula>
    </cfRule>
    <cfRule type="expression" rank="0" priority="185" equalAverage="0" aboveAverage="0" dxfId="2" stopIfTrue="1" text="" percent="0" bottom="0">
      <formula>AND(ISNUMBER(O69),COUNTIFS('Data - Monthly Metrics'!$A:$A,$B$4,'Data - Monthly Metrics'!$B:$B,O$8,'Data - Monthly Metrics'!$C:$C,"Southwest",'Data - Monthly Metrics'!$D:$D,"Goal - Penetration %")&gt;0,O69&gt;=SUMIFS('Data - Monthly Metrics'!$E:$E,'Data - Monthly Metrics'!$A:$A,$B$4,'Data - Monthly Metrics'!$B:$B,O$8,'Data - Monthly Metrics'!$C:$C,"Southwest",'Data - Monthly Metrics'!$D:$D,"Goal - Penetration %")-0.05)</formula>
    </cfRule>
    <cfRule type="expression" rank="0" priority="186" equalAverage="0" aboveAverage="0" dxfId="1" stopIfTrue="1" text="" percent="0" bottom="0">
      <formula>AND(ISNUMBER(O69),COUNTIFS('Data - Monthly Metrics'!$A:$A,$B$4,'Data - Monthly Metrics'!$B:$B,O$8,'Data - Monthly Metrics'!$C:$C,"Southwest",'Data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Metrics'!$C:$C,"Southwest",'Data - Monthly Metrics'!$D:$D,"Goal - Penetration %")&gt;0,P69&gt;=SUMIFS('Data - Monthly Metrics'!$E:$E,'Data - Monthly Metrics'!$A:$A,$B$4,'Data - Monthly Metrics'!$B:$B,P$8,'Data - Monthly Metrics'!$C:$C,"Southwest",'Data - Monthly Metrics'!$D:$D,"Goal - Penetration %"))</formula>
    </cfRule>
    <cfRule type="expression" rank="0" priority="188" equalAverage="0" aboveAverage="0" dxfId="2" stopIfTrue="1" text="" percent="0" bottom="0">
      <formula>AND(ISNUMBER(P69),COUNTIFS('Data - Monthly Metrics'!$A:$A,$B$4,'Data - Monthly Metrics'!$B:$B,P$8,'Data - Monthly Metrics'!$C:$C,"Southwest",'Data - Monthly Metrics'!$D:$D,"Goal - Penetration %")&gt;0,P69&gt;=SUMIFS('Data - Monthly Metrics'!$E:$E,'Data - Monthly Metrics'!$A:$A,$B$4,'Data - Monthly Metrics'!$B:$B,P$8,'Data - Monthly Metrics'!$C:$C,"Southwest",'Data - Monthly Metrics'!$D:$D,"Goal - Penetration %")-0.05)</formula>
    </cfRule>
    <cfRule type="expression" rank="0" priority="189" equalAverage="0" aboveAverage="0" dxfId="1" stopIfTrue="1" text="" percent="0" bottom="0">
      <formula>AND(ISNUMBER(P69),COUNTIFS('Data - Monthly Metrics'!$A:$A,$B$4,'Data - Monthly Metrics'!$B:$B,P$8,'Data - Monthly Metrics'!$C:$C,"Southwest",'Data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Metrics'!$C:$C,"Southwest",'Data - Monthly Metrics'!$D:$D,"Goal - Penetration %")&gt;0,B70&gt;=SUMIFS('Data - Monthly Metrics'!$E:$E,'Data - Monthly Metrics'!$A:$A,$B$4-1,'Data - Monthly Metrics'!$B:$B,B$8,'Data - Monthly Metrics'!$C:$C,"Southwest",'Data - Monthly Metrics'!$D:$D,"Goal - Penetration %"))</formula>
    </cfRule>
    <cfRule type="expression" rank="0" priority="191" equalAverage="0" aboveAverage="0" dxfId="2" stopIfTrue="1" text="" percent="0" bottom="0">
      <formula>AND(ISNUMBER(B70),COUNTIFS('Data - Monthly Metrics'!$A:$A,$B$4-1,'Data - Monthly Metrics'!$B:$B,B$8,'Data - Monthly Metrics'!$C:$C,"Southwest",'Data - Monthly Metrics'!$D:$D,"Goal - Penetration %")&gt;0,B70&gt;=SUMIFS('Data - Monthly Metrics'!$E:$E,'Data - Monthly Metrics'!$A:$A,$B$4-1,'Data - Monthly Metrics'!$B:$B,B$8,'Data - Monthly Metrics'!$C:$C,"Southwest",'Data - Monthly Metrics'!$D:$D,"Goal - Penetration %")-0.05)</formula>
    </cfRule>
    <cfRule type="expression" rank="0" priority="192" equalAverage="0" aboveAverage="0" dxfId="1" stopIfTrue="1" text="" percent="0" bottom="0">
      <formula>AND(ISNUMBER(B70),COUNTIFS('Data - Monthly Metrics'!$A:$A,$B$4-1,'Data - Monthly Metrics'!$B:$B,B$8,'Data - Monthly Metrics'!$C:$C,"Southwest",'Data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Metrics'!$C:$C,"Southwest",'Data - Monthly Metrics'!$D:$D,"Goal - Penetration %")&gt;0,C70&gt;=SUMIFS('Data - Monthly Metrics'!$E:$E,'Data - Monthly Metrics'!$A:$A,$B$4-1,'Data - Monthly Metrics'!$B:$B,C$8,'Data - Monthly Metrics'!$C:$C,"Southwest",'Data - Monthly Metrics'!$D:$D,"Goal - Penetration %"))</formula>
    </cfRule>
    <cfRule type="expression" rank="0" priority="194" equalAverage="0" aboveAverage="0" dxfId="2" stopIfTrue="1" text="" percent="0" bottom="0">
      <formula>AND(ISNUMBER(C70),COUNTIFS('Data - Monthly Metrics'!$A:$A,$B$4-1,'Data - Monthly Metrics'!$B:$B,C$8,'Data - Monthly Metrics'!$C:$C,"Southwest",'Data - Monthly Metrics'!$D:$D,"Goal - Penetration %")&gt;0,C70&gt;=SUMIFS('Data - Monthly Metrics'!$E:$E,'Data - Monthly Metrics'!$A:$A,$B$4-1,'Data - Monthly Metrics'!$B:$B,C$8,'Data - Monthly Metrics'!$C:$C,"Southwest",'Data - Monthly Metrics'!$D:$D,"Goal - Penetration %")-0.05)</formula>
    </cfRule>
    <cfRule type="expression" rank="0" priority="195" equalAverage="0" aboveAverage="0" dxfId="1" stopIfTrue="1" text="" percent="0" bottom="0">
      <formula>AND(ISNUMBER(C70),COUNTIFS('Data - Monthly Metrics'!$A:$A,$B$4-1,'Data - Monthly Metrics'!$B:$B,C$8,'Data - Monthly Metrics'!$C:$C,"Southwest",'Data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Metrics'!$C:$C,"Southwest",'Data - Monthly Metrics'!$D:$D,"Goal - Penetration %")&gt;0,D70&gt;=SUMIFS('Data - Monthly Metrics'!$E:$E,'Data - Monthly Metrics'!$A:$A,$B$4-1,'Data - Monthly Metrics'!$B:$B,D$8,'Data - Monthly Metrics'!$C:$C,"Southwest",'Data - Monthly Metrics'!$D:$D,"Goal - Penetration %"))</formula>
    </cfRule>
    <cfRule type="expression" rank="0" priority="197" equalAverage="0" aboveAverage="0" dxfId="2" stopIfTrue="1" text="" percent="0" bottom="0">
      <formula>AND(ISNUMBER(D70),COUNTIFS('Data - Monthly Metrics'!$A:$A,$B$4-1,'Data - Monthly Metrics'!$B:$B,D$8,'Data - Monthly Metrics'!$C:$C,"Southwest",'Data - Monthly Metrics'!$D:$D,"Goal - Penetration %")&gt;0,D70&gt;=SUMIFS('Data - Monthly Metrics'!$E:$E,'Data - Monthly Metrics'!$A:$A,$B$4-1,'Data - Monthly Metrics'!$B:$B,D$8,'Data - Monthly Metrics'!$C:$C,"Southwest",'Data - Monthly Metrics'!$D:$D,"Goal - Penetration %")-0.05)</formula>
    </cfRule>
    <cfRule type="expression" rank="0" priority="198" equalAverage="0" aboveAverage="0" dxfId="1" stopIfTrue="1" text="" percent="0" bottom="0">
      <formula>AND(ISNUMBER(D70),COUNTIFS('Data - Monthly Metrics'!$A:$A,$B$4-1,'Data - Monthly Metrics'!$B:$B,D$8,'Data - Monthly Metrics'!$C:$C,"Southwest",'Data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Metrics'!$C:$C,"Southwest",'Data - Monthly Metrics'!$D:$D,"Goal - Penetration %")&gt;0,F70&gt;=SUMIFS('Data - Monthly Metrics'!$E:$E,'Data - Monthly Metrics'!$A:$A,$B$4,'Data - Monthly Metrics'!$B:$B,F$8,'Data - Monthly Metrics'!$C:$C,"Southwest",'Data - Monthly Metrics'!$D:$D,"Goal - Penetration %"))</formula>
    </cfRule>
    <cfRule type="expression" rank="0" priority="200" equalAverage="0" aboveAverage="0" dxfId="2" stopIfTrue="1" text="" percent="0" bottom="0">
      <formula>AND(ISNUMBER(F70),COUNTIFS('Data - Monthly Metrics'!$A:$A,$B$4,'Data - Monthly Metrics'!$B:$B,F$8,'Data - Monthly Metrics'!$C:$C,"Southwest",'Data - Monthly Metrics'!$D:$D,"Goal - Penetration %")&gt;0,F70&gt;=SUMIFS('Data - Monthly Metrics'!$E:$E,'Data - Monthly Metrics'!$A:$A,$B$4,'Data - Monthly Metrics'!$B:$B,F$8,'Data - Monthly Metrics'!$C:$C,"Southwest",'Data - Monthly Metrics'!$D:$D,"Goal - Penetration %")-0.05)</formula>
    </cfRule>
    <cfRule type="expression" rank="0" priority="201" equalAverage="0" aboveAverage="0" dxfId="1" stopIfTrue="1" text="" percent="0" bottom="0">
      <formula>AND(ISNUMBER(F70),COUNTIFS('Data - Monthly Metrics'!$A:$A,$B$4,'Data - Monthly Metrics'!$B:$B,F$8,'Data - Monthly Metrics'!$C:$C,"Southwest",'Data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Metrics'!$C:$C,"Southwest",'Data - Monthly Metrics'!$D:$D,"Goal - Penetration %")&gt;0,G70&gt;=SUMIFS('Data - Monthly Metrics'!$E:$E,'Data - Monthly Metrics'!$A:$A,$B$4,'Data - Monthly Metrics'!$B:$B,G$8,'Data - Monthly Metrics'!$C:$C,"Southwest",'Data - Monthly Metrics'!$D:$D,"Goal - Penetration %"))</formula>
    </cfRule>
    <cfRule type="expression" rank="0" priority="203" equalAverage="0" aboveAverage="0" dxfId="2" stopIfTrue="1" text="" percent="0" bottom="0">
      <formula>AND(ISNUMBER(G70),COUNTIFS('Data - Monthly Metrics'!$A:$A,$B$4,'Data - Monthly Metrics'!$B:$B,G$8,'Data - Monthly Metrics'!$C:$C,"Southwest",'Data - Monthly Metrics'!$D:$D,"Goal - Penetration %")&gt;0,G70&gt;=SUMIFS('Data - Monthly Metrics'!$E:$E,'Data - Monthly Metrics'!$A:$A,$B$4,'Data - Monthly Metrics'!$B:$B,G$8,'Data - Monthly Metrics'!$C:$C,"Southwest",'Data - Monthly Metrics'!$D:$D,"Goal - Penetration %")-0.05)</formula>
    </cfRule>
    <cfRule type="expression" rank="0" priority="204" equalAverage="0" aboveAverage="0" dxfId="1" stopIfTrue="1" text="" percent="0" bottom="0">
      <formula>AND(ISNUMBER(G70),COUNTIFS('Data - Monthly Metrics'!$A:$A,$B$4,'Data - Monthly Metrics'!$B:$B,G$8,'Data - Monthly Metrics'!$C:$C,"Southwest",'Data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Metrics'!$C:$C,"Southwest",'Data - Monthly Metrics'!$D:$D,"Goal - Penetration %")&gt;0,H70&gt;=SUMIFS('Data - Monthly Metrics'!$E:$E,'Data - Monthly Metrics'!$A:$A,$B$4,'Data - Monthly Metrics'!$B:$B,H$8,'Data - Monthly Metrics'!$C:$C,"Southwest",'Data - Monthly Metrics'!$D:$D,"Goal - Penetration %"))</formula>
    </cfRule>
    <cfRule type="expression" rank="0" priority="206" equalAverage="0" aboveAverage="0" dxfId="2" stopIfTrue="1" text="" percent="0" bottom="0">
      <formula>AND(ISNUMBER(H70),COUNTIFS('Data - Monthly Metrics'!$A:$A,$B$4,'Data - Monthly Metrics'!$B:$B,H$8,'Data - Monthly Metrics'!$C:$C,"Southwest",'Data - Monthly Metrics'!$D:$D,"Goal - Penetration %")&gt;0,H70&gt;=SUMIFS('Data - Monthly Metrics'!$E:$E,'Data - Monthly Metrics'!$A:$A,$B$4,'Data - Monthly Metrics'!$B:$B,H$8,'Data - Monthly Metrics'!$C:$C,"Southwest",'Data - Monthly Metrics'!$D:$D,"Goal - Penetration %")-0.05)</formula>
    </cfRule>
    <cfRule type="expression" rank="0" priority="207" equalAverage="0" aboveAverage="0" dxfId="1" stopIfTrue="1" text="" percent="0" bottom="0">
      <formula>AND(ISNUMBER(H70),COUNTIFS('Data - Monthly Metrics'!$A:$A,$B$4,'Data - Monthly Metrics'!$B:$B,H$8,'Data - Monthly Metrics'!$C:$C,"Southwest",'Data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Metrics'!$C:$C,"Southwest",'Data - Monthly Metrics'!$D:$D,"Goal - Penetration %")&gt;0,J70&gt;=SUMIFS('Data - Monthly Metrics'!$E:$E,'Data - Monthly Metrics'!$A:$A,$B$4,'Data - Monthly Metrics'!$B:$B,J$8,'Data - Monthly Metrics'!$C:$C,"Southwest",'Data - Monthly Metrics'!$D:$D,"Goal - Penetration %"))</formula>
    </cfRule>
    <cfRule type="expression" rank="0" priority="209" equalAverage="0" aboveAverage="0" dxfId="2" stopIfTrue="1" text="" percent="0" bottom="0">
      <formula>AND(ISNUMBER(J70),COUNTIFS('Data - Monthly Metrics'!$A:$A,$B$4,'Data - Monthly Metrics'!$B:$B,J$8,'Data - Monthly Metrics'!$C:$C,"Southwest",'Data - Monthly Metrics'!$D:$D,"Goal - Penetration %")&gt;0,J70&gt;=SUMIFS('Data - Monthly Metrics'!$E:$E,'Data - Monthly Metrics'!$A:$A,$B$4,'Data - Monthly Metrics'!$B:$B,J$8,'Data - Monthly Metrics'!$C:$C,"Southwest",'Data - Monthly Metrics'!$D:$D,"Goal - Penetration %")-0.05)</formula>
    </cfRule>
    <cfRule type="expression" rank="0" priority="210" equalAverage="0" aboveAverage="0" dxfId="1" stopIfTrue="1" text="" percent="0" bottom="0">
      <formula>AND(ISNUMBER(J70),COUNTIFS('Data - Monthly Metrics'!$A:$A,$B$4,'Data - Monthly Metrics'!$B:$B,J$8,'Data - Monthly Metrics'!$C:$C,"Southwest",'Data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Metrics'!$C:$C,"Southwest",'Data - Monthly Metrics'!$D:$D,"Goal - Penetration %")&gt;0,K70&gt;=SUMIFS('Data - Monthly Metrics'!$E:$E,'Data - Monthly Metrics'!$A:$A,$B$4,'Data - Monthly Metrics'!$B:$B,K$8,'Data - Monthly Metrics'!$C:$C,"Southwest",'Data - Monthly Metrics'!$D:$D,"Goal - Penetration %"))</formula>
    </cfRule>
    <cfRule type="expression" rank="0" priority="212" equalAverage="0" aboveAverage="0" dxfId="2" stopIfTrue="1" text="" percent="0" bottom="0">
      <formula>AND(ISNUMBER(K70),COUNTIFS('Data - Monthly Metrics'!$A:$A,$B$4,'Data - Monthly Metrics'!$B:$B,K$8,'Data - Monthly Metrics'!$C:$C,"Southwest",'Data - Monthly Metrics'!$D:$D,"Goal - Penetration %")&gt;0,K70&gt;=SUMIFS('Data - Monthly Metrics'!$E:$E,'Data - Monthly Metrics'!$A:$A,$B$4,'Data - Monthly Metrics'!$B:$B,K$8,'Data - Monthly Metrics'!$C:$C,"Southwest",'Data - Monthly Metrics'!$D:$D,"Goal - Penetration %")-0.05)</formula>
    </cfRule>
    <cfRule type="expression" rank="0" priority="213" equalAverage="0" aboveAverage="0" dxfId="1" stopIfTrue="1" text="" percent="0" bottom="0">
      <formula>AND(ISNUMBER(K70),COUNTIFS('Data - Monthly Metrics'!$A:$A,$B$4,'Data - Monthly Metrics'!$B:$B,K$8,'Data - Monthly Metrics'!$C:$C,"Southwest",'Data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Metrics'!$C:$C,"Southwest",'Data - Monthly Metrics'!$D:$D,"Goal - Penetration %")&gt;0,L70&gt;=SUMIFS('Data - Monthly Metrics'!$E:$E,'Data - Monthly Metrics'!$A:$A,$B$4,'Data - Monthly Metrics'!$B:$B,L$8,'Data - Monthly Metrics'!$C:$C,"Southwest",'Data - Monthly Metrics'!$D:$D,"Goal - Penetration %"))</formula>
    </cfRule>
    <cfRule type="expression" rank="0" priority="215" equalAverage="0" aboveAverage="0" dxfId="2" stopIfTrue="1" text="" percent="0" bottom="0">
      <formula>AND(ISNUMBER(L70),COUNTIFS('Data - Monthly Metrics'!$A:$A,$B$4,'Data - Monthly Metrics'!$B:$B,L$8,'Data - Monthly Metrics'!$C:$C,"Southwest",'Data - Monthly Metrics'!$D:$D,"Goal - Penetration %")&gt;0,L70&gt;=SUMIFS('Data - Monthly Metrics'!$E:$E,'Data - Monthly Metrics'!$A:$A,$B$4,'Data - Monthly Metrics'!$B:$B,L$8,'Data - Monthly Metrics'!$C:$C,"Southwest",'Data - Monthly Metrics'!$D:$D,"Goal - Penetration %")-0.05)</formula>
    </cfRule>
    <cfRule type="expression" rank="0" priority="216" equalAverage="0" aboveAverage="0" dxfId="1" stopIfTrue="1" text="" percent="0" bottom="0">
      <formula>AND(ISNUMBER(L70),COUNTIFS('Data - Monthly Metrics'!$A:$A,$B$4,'Data - Monthly Metrics'!$B:$B,L$8,'Data - Monthly Metrics'!$C:$C,"Southwest",'Data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Metrics'!$C:$C,"Southwest",'Data - Monthly Metrics'!$D:$D,"Goal - Penetration %")&gt;0,N70&gt;=SUMIFS('Data - Monthly Metrics'!$E:$E,'Data - Monthly Metrics'!$A:$A,$B$4,'Data - Monthly Metrics'!$B:$B,N$8,'Data - Monthly Metrics'!$C:$C,"Southwest",'Data - Monthly Metrics'!$D:$D,"Goal - Penetration %"))</formula>
    </cfRule>
    <cfRule type="expression" rank="0" priority="218" equalAverage="0" aboveAverage="0" dxfId="2" stopIfTrue="1" text="" percent="0" bottom="0">
      <formula>AND(ISNUMBER(N70),COUNTIFS('Data - Monthly Metrics'!$A:$A,$B$4,'Data - Monthly Metrics'!$B:$B,N$8,'Data - Monthly Metrics'!$C:$C,"Southwest",'Data - Monthly Metrics'!$D:$D,"Goal - Penetration %")&gt;0,N70&gt;=SUMIFS('Data - Monthly Metrics'!$E:$E,'Data - Monthly Metrics'!$A:$A,$B$4,'Data - Monthly Metrics'!$B:$B,N$8,'Data - Monthly Metrics'!$C:$C,"Southwest",'Data - Monthly Metrics'!$D:$D,"Goal - Penetration %")-0.05)</formula>
    </cfRule>
    <cfRule type="expression" rank="0" priority="219" equalAverage="0" aboveAverage="0" dxfId="1" stopIfTrue="1" text="" percent="0" bottom="0">
      <formula>AND(ISNUMBER(N70),COUNTIFS('Data - Monthly Metrics'!$A:$A,$B$4,'Data - Monthly Metrics'!$B:$B,N$8,'Data - Monthly Metrics'!$C:$C,"Southwest",'Data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Metrics'!$C:$C,"Southwest",'Data - Monthly Metrics'!$D:$D,"Goal - Penetration %")&gt;0,O70&gt;=SUMIFS('Data - Monthly Metrics'!$E:$E,'Data - Monthly Metrics'!$A:$A,$B$4,'Data - Monthly Metrics'!$B:$B,O$8,'Data - Monthly Metrics'!$C:$C,"Southwest",'Data - Monthly Metrics'!$D:$D,"Goal - Penetration %"))</formula>
    </cfRule>
    <cfRule type="expression" rank="0" priority="221" equalAverage="0" aboveAverage="0" dxfId="2" stopIfTrue="1" text="" percent="0" bottom="0">
      <formula>AND(ISNUMBER(O70),COUNTIFS('Data - Monthly Metrics'!$A:$A,$B$4,'Data - Monthly Metrics'!$B:$B,O$8,'Data - Monthly Metrics'!$C:$C,"Southwest",'Data - Monthly Metrics'!$D:$D,"Goal - Penetration %")&gt;0,O70&gt;=SUMIFS('Data - Monthly Metrics'!$E:$E,'Data - Monthly Metrics'!$A:$A,$B$4,'Data - Monthly Metrics'!$B:$B,O$8,'Data - Monthly Metrics'!$C:$C,"Southwest",'Data - Monthly Metrics'!$D:$D,"Goal - Penetration %")-0.05)</formula>
    </cfRule>
    <cfRule type="expression" rank="0" priority="222" equalAverage="0" aboveAverage="0" dxfId="1" stopIfTrue="1" text="" percent="0" bottom="0">
      <formula>AND(ISNUMBER(O70),COUNTIFS('Data - Monthly Metrics'!$A:$A,$B$4,'Data - Monthly Metrics'!$B:$B,O$8,'Data - Monthly Metrics'!$C:$C,"Southwest",'Data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Metrics'!$C:$C,"Southwest",'Data - Monthly Metrics'!$D:$D,"Goal - Penetration %")&gt;0,P70&gt;=SUMIFS('Data - Monthly Metrics'!$E:$E,'Data - Monthly Metrics'!$A:$A,$B$4,'Data - Monthly Metrics'!$B:$B,P$8,'Data - Monthly Metrics'!$C:$C,"Southwest",'Data - Monthly Metrics'!$D:$D,"Goal - Penetration %"))</formula>
    </cfRule>
    <cfRule type="expression" rank="0" priority="224" equalAverage="0" aboveAverage="0" dxfId="2" stopIfTrue="1" text="" percent="0" bottom="0">
      <formula>AND(ISNUMBER(P70),COUNTIFS('Data - Monthly Metrics'!$A:$A,$B$4,'Data - Monthly Metrics'!$B:$B,P$8,'Data - Monthly Metrics'!$C:$C,"Southwest",'Data - Monthly Metrics'!$D:$D,"Goal - Penetration %")&gt;0,P70&gt;=SUMIFS('Data - Monthly Metrics'!$E:$E,'Data - Monthly Metrics'!$A:$A,$B$4,'Data - Monthly Metrics'!$B:$B,P$8,'Data - Monthly Metrics'!$C:$C,"Southwest",'Data - Monthly Metrics'!$D:$D,"Goal - Penetration %")-0.05)</formula>
    </cfRule>
    <cfRule type="expression" rank="0" priority="225" equalAverage="0" aboveAverage="0" dxfId="1" stopIfTrue="1" text="" percent="0" bottom="0">
      <formula>AND(ISNUMBER(P70),COUNTIFS('Data - Monthly Metrics'!$A:$A,$B$4,'Data - Monthly Metrics'!$B:$B,P$8,'Data - Monthly Metrics'!$C:$C,"Southwest",'Data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Metrics'!$C:$C,"Southwest",'Data - Monthly Metrics'!$D:$D,"Goal - Penetration %")&gt;0,B105&gt;=SUMIFS('Data - Monthly Metrics'!$E:$E,'Data - Monthly Metrics'!$A:$A,$B$4-1,'Data - Monthly Metrics'!$B:$B,B$8,'Data - Monthly Metrics'!$C:$C,"Southwest",'Data - Monthly Metrics'!$D:$D,"Goal - Penetration %"))</formula>
    </cfRule>
    <cfRule type="expression" rank="0" priority="227" equalAverage="0" aboveAverage="0" dxfId="2" stopIfTrue="1" text="" percent="0" bottom="0">
      <formula>AND(ISNUMBER(B105),COUNTIFS('Data - Monthly Metrics'!$A:$A,$B$4-1,'Data - Monthly Metrics'!$B:$B,B$8,'Data - Monthly Metrics'!$C:$C,"Southwest",'Data - Monthly Metrics'!$D:$D,"Goal - Penetration %")&gt;0,B105&gt;=SUMIFS('Data - Monthly Metrics'!$E:$E,'Data - Monthly Metrics'!$A:$A,$B$4-1,'Data - Monthly Metrics'!$B:$B,B$8,'Data - Monthly Metrics'!$C:$C,"Southwest",'Data - Monthly Metrics'!$D:$D,"Goal - Penetration %")-0.05)</formula>
    </cfRule>
    <cfRule type="expression" rank="0" priority="228" equalAverage="0" aboveAverage="0" dxfId="1" stopIfTrue="1" text="" percent="0" bottom="0">
      <formula>AND(ISNUMBER(B105),COUNTIFS('Data - Monthly Metrics'!$A:$A,$B$4-1,'Data - Monthly Metrics'!$B:$B,B$8,'Data - Monthly Metrics'!$C:$C,"Southwest",'Data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Metrics'!$C:$C,"Southwest",'Data - Monthly Metrics'!$D:$D,"Goal - Penetration %")&gt;0,C105&gt;=SUMIFS('Data - Monthly Metrics'!$E:$E,'Data - Monthly Metrics'!$A:$A,$B$4-1,'Data - Monthly Metrics'!$B:$B,C$8,'Data - Monthly Metrics'!$C:$C,"Southwest",'Data - Monthly Metrics'!$D:$D,"Goal - Penetration %"))</formula>
    </cfRule>
    <cfRule type="expression" rank="0" priority="230" equalAverage="0" aboveAverage="0" dxfId="2" stopIfTrue="1" text="" percent="0" bottom="0">
      <formula>AND(ISNUMBER(C105),COUNTIFS('Data - Monthly Metrics'!$A:$A,$B$4-1,'Data - Monthly Metrics'!$B:$B,C$8,'Data - Monthly Metrics'!$C:$C,"Southwest",'Data - Monthly Metrics'!$D:$D,"Goal - Penetration %")&gt;0,C105&gt;=SUMIFS('Data - Monthly Metrics'!$E:$E,'Data - Monthly Metrics'!$A:$A,$B$4-1,'Data - Monthly Metrics'!$B:$B,C$8,'Data - Monthly Metrics'!$C:$C,"Southwest",'Data - Monthly Metrics'!$D:$D,"Goal - Penetration %")-0.05)</formula>
    </cfRule>
    <cfRule type="expression" rank="0" priority="231" equalAverage="0" aboveAverage="0" dxfId="1" stopIfTrue="1" text="" percent="0" bottom="0">
      <formula>AND(ISNUMBER(C105),COUNTIFS('Data - Monthly Metrics'!$A:$A,$B$4-1,'Data - Monthly Metrics'!$B:$B,C$8,'Data - Monthly Metrics'!$C:$C,"Southwest",'Data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Metrics'!$C:$C,"Southwest",'Data - Monthly Metrics'!$D:$D,"Goal - Penetration %")&gt;0,D105&gt;=SUMIFS('Data - Monthly Metrics'!$E:$E,'Data - Monthly Metrics'!$A:$A,$B$4-1,'Data - Monthly Metrics'!$B:$B,D$8,'Data - Monthly Metrics'!$C:$C,"Southwest",'Data - Monthly Metrics'!$D:$D,"Goal - Penetration %"))</formula>
    </cfRule>
    <cfRule type="expression" rank="0" priority="233" equalAverage="0" aboveAverage="0" dxfId="2" stopIfTrue="1" text="" percent="0" bottom="0">
      <formula>AND(ISNUMBER(D105),COUNTIFS('Data - Monthly Metrics'!$A:$A,$B$4-1,'Data - Monthly Metrics'!$B:$B,D$8,'Data - Monthly Metrics'!$C:$C,"Southwest",'Data - Monthly Metrics'!$D:$D,"Goal - Penetration %")&gt;0,D105&gt;=SUMIFS('Data - Monthly Metrics'!$E:$E,'Data - Monthly Metrics'!$A:$A,$B$4-1,'Data - Monthly Metrics'!$B:$B,D$8,'Data - Monthly Metrics'!$C:$C,"Southwest",'Data - Monthly Metrics'!$D:$D,"Goal - Penetration %")-0.05)</formula>
    </cfRule>
    <cfRule type="expression" rank="0" priority="234" equalAverage="0" aboveAverage="0" dxfId="1" stopIfTrue="1" text="" percent="0" bottom="0">
      <formula>AND(ISNUMBER(D105),COUNTIFS('Data - Monthly Metrics'!$A:$A,$B$4-1,'Data - Monthly Metrics'!$B:$B,D$8,'Data - Monthly Metrics'!$C:$C,"Southwest",'Data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Metrics'!$C:$C,"Southwest",'Data - Monthly Metrics'!$D:$D,"Goal - Penetration %")&gt;0,F105&gt;=SUMIFS('Data - Monthly Metrics'!$E:$E,'Data - Monthly Metrics'!$A:$A,$B$4,'Data - Monthly Metrics'!$B:$B,F$8,'Data - Monthly Metrics'!$C:$C,"Southwest",'Data - Monthly Metrics'!$D:$D,"Goal - Penetration %"))</formula>
    </cfRule>
    <cfRule type="expression" rank="0" priority="236" equalAverage="0" aboveAverage="0" dxfId="2" stopIfTrue="1" text="" percent="0" bottom="0">
      <formula>AND(ISNUMBER(F105),COUNTIFS('Data - Monthly Metrics'!$A:$A,$B$4,'Data - Monthly Metrics'!$B:$B,F$8,'Data - Monthly Metrics'!$C:$C,"Southwest",'Data - Monthly Metrics'!$D:$D,"Goal - Penetration %")&gt;0,F105&gt;=SUMIFS('Data - Monthly Metrics'!$E:$E,'Data - Monthly Metrics'!$A:$A,$B$4,'Data - Monthly Metrics'!$B:$B,F$8,'Data - Monthly Metrics'!$C:$C,"Southwest",'Data - Monthly Metrics'!$D:$D,"Goal - Penetration %")-0.05)</formula>
    </cfRule>
    <cfRule type="expression" rank="0" priority="237" equalAverage="0" aboveAverage="0" dxfId="1" stopIfTrue="1" text="" percent="0" bottom="0">
      <formula>AND(ISNUMBER(F105),COUNTIFS('Data - Monthly Metrics'!$A:$A,$B$4,'Data - Monthly Metrics'!$B:$B,F$8,'Data - Monthly Metrics'!$C:$C,"Southwest",'Data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Metrics'!$C:$C,"Southwest",'Data - Monthly Metrics'!$D:$D,"Goal - Penetration %")&gt;0,G105&gt;=SUMIFS('Data - Monthly Metrics'!$E:$E,'Data - Monthly Metrics'!$A:$A,$B$4,'Data - Monthly Metrics'!$B:$B,G$8,'Data - Monthly Metrics'!$C:$C,"Southwest",'Data - Monthly Metrics'!$D:$D,"Goal - Penetration %"))</formula>
    </cfRule>
    <cfRule type="expression" rank="0" priority="239" equalAverage="0" aboveAverage="0" dxfId="2" stopIfTrue="1" text="" percent="0" bottom="0">
      <formula>AND(ISNUMBER(G105),COUNTIFS('Data - Monthly Metrics'!$A:$A,$B$4,'Data - Monthly Metrics'!$B:$B,G$8,'Data - Monthly Metrics'!$C:$C,"Southwest",'Data - Monthly Metrics'!$D:$D,"Goal - Penetration %")&gt;0,G105&gt;=SUMIFS('Data - Monthly Metrics'!$E:$E,'Data - Monthly Metrics'!$A:$A,$B$4,'Data - Monthly Metrics'!$B:$B,G$8,'Data - Monthly Metrics'!$C:$C,"Southwest",'Data - Monthly Metrics'!$D:$D,"Goal - Penetration %")-0.05)</formula>
    </cfRule>
    <cfRule type="expression" rank="0" priority="240" equalAverage="0" aboveAverage="0" dxfId="1" stopIfTrue="1" text="" percent="0" bottom="0">
      <formula>AND(ISNUMBER(G105),COUNTIFS('Data - Monthly Metrics'!$A:$A,$B$4,'Data - Monthly Metrics'!$B:$B,G$8,'Data - Monthly Metrics'!$C:$C,"Southwest",'Data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Metrics'!$C:$C,"Southwest",'Data - Monthly Metrics'!$D:$D,"Goal - Penetration %")&gt;0,H105&gt;=SUMIFS('Data - Monthly Metrics'!$E:$E,'Data - Monthly Metrics'!$A:$A,$B$4,'Data - Monthly Metrics'!$B:$B,H$8,'Data - Monthly Metrics'!$C:$C,"Southwest",'Data - Monthly Metrics'!$D:$D,"Goal - Penetration %"))</formula>
    </cfRule>
    <cfRule type="expression" rank="0" priority="242" equalAverage="0" aboveAverage="0" dxfId="2" stopIfTrue="1" text="" percent="0" bottom="0">
      <formula>AND(ISNUMBER(H105),COUNTIFS('Data - Monthly Metrics'!$A:$A,$B$4,'Data - Monthly Metrics'!$B:$B,H$8,'Data - Monthly Metrics'!$C:$C,"Southwest",'Data - Monthly Metrics'!$D:$D,"Goal - Penetration %")&gt;0,H105&gt;=SUMIFS('Data - Monthly Metrics'!$E:$E,'Data - Monthly Metrics'!$A:$A,$B$4,'Data - Monthly Metrics'!$B:$B,H$8,'Data - Monthly Metrics'!$C:$C,"Southwest",'Data - Monthly Metrics'!$D:$D,"Goal - Penetration %")-0.05)</formula>
    </cfRule>
    <cfRule type="expression" rank="0" priority="243" equalAverage="0" aboveAverage="0" dxfId="1" stopIfTrue="1" text="" percent="0" bottom="0">
      <formula>AND(ISNUMBER(H105),COUNTIFS('Data - Monthly Metrics'!$A:$A,$B$4,'Data - Monthly Metrics'!$B:$B,H$8,'Data - Monthly Metrics'!$C:$C,"Southwest",'Data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Metrics'!$C:$C,"Southwest",'Data - Monthly Metrics'!$D:$D,"Goal - Penetration %")&gt;0,J105&gt;=SUMIFS('Data - Monthly Metrics'!$E:$E,'Data - Monthly Metrics'!$A:$A,$B$4,'Data - Monthly Metrics'!$B:$B,J$8,'Data - Monthly Metrics'!$C:$C,"Southwest",'Data - Monthly Metrics'!$D:$D,"Goal - Penetration %"))</formula>
    </cfRule>
    <cfRule type="expression" rank="0" priority="245" equalAverage="0" aboveAverage="0" dxfId="2" stopIfTrue="1" text="" percent="0" bottom="0">
      <formula>AND(ISNUMBER(J105),COUNTIFS('Data - Monthly Metrics'!$A:$A,$B$4,'Data - Monthly Metrics'!$B:$B,J$8,'Data - Monthly Metrics'!$C:$C,"Southwest",'Data - Monthly Metrics'!$D:$D,"Goal - Penetration %")&gt;0,J105&gt;=SUMIFS('Data - Monthly Metrics'!$E:$E,'Data - Monthly Metrics'!$A:$A,$B$4,'Data - Monthly Metrics'!$B:$B,J$8,'Data - Monthly Metrics'!$C:$C,"Southwest",'Data - Monthly Metrics'!$D:$D,"Goal - Penetration %")-0.05)</formula>
    </cfRule>
    <cfRule type="expression" rank="0" priority="246" equalAverage="0" aboveAverage="0" dxfId="1" stopIfTrue="1" text="" percent="0" bottom="0">
      <formula>AND(ISNUMBER(J105),COUNTIFS('Data - Monthly Metrics'!$A:$A,$B$4,'Data - Monthly Metrics'!$B:$B,J$8,'Data - Monthly Metrics'!$C:$C,"Southwest",'Data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Metrics'!$C:$C,"Southwest",'Data - Monthly Metrics'!$D:$D,"Goal - Penetration %")&gt;0,K105&gt;=SUMIFS('Data - Monthly Metrics'!$E:$E,'Data - Monthly Metrics'!$A:$A,$B$4,'Data - Monthly Metrics'!$B:$B,K$8,'Data - Monthly Metrics'!$C:$C,"Southwest",'Data - Monthly Metrics'!$D:$D,"Goal - Penetration %"))</formula>
    </cfRule>
    <cfRule type="expression" rank="0" priority="248" equalAverage="0" aboveAverage="0" dxfId="2" stopIfTrue="1" text="" percent="0" bottom="0">
      <formula>AND(ISNUMBER(K105),COUNTIFS('Data - Monthly Metrics'!$A:$A,$B$4,'Data - Monthly Metrics'!$B:$B,K$8,'Data - Monthly Metrics'!$C:$C,"Southwest",'Data - Monthly Metrics'!$D:$D,"Goal - Penetration %")&gt;0,K105&gt;=SUMIFS('Data - Monthly Metrics'!$E:$E,'Data - Monthly Metrics'!$A:$A,$B$4,'Data - Monthly Metrics'!$B:$B,K$8,'Data - Monthly Metrics'!$C:$C,"Southwest",'Data - Monthly Metrics'!$D:$D,"Goal - Penetration %")-0.05)</formula>
    </cfRule>
    <cfRule type="expression" rank="0" priority="249" equalAverage="0" aboveAverage="0" dxfId="1" stopIfTrue="1" text="" percent="0" bottom="0">
      <formula>AND(ISNUMBER(K105),COUNTIFS('Data - Monthly Metrics'!$A:$A,$B$4,'Data - Monthly Metrics'!$B:$B,K$8,'Data - Monthly Metrics'!$C:$C,"Southwest",'Data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Metrics'!$C:$C,"Southwest",'Data - Monthly Metrics'!$D:$D,"Goal - Penetration %")&gt;0,L105&gt;=SUMIFS('Data - Monthly Metrics'!$E:$E,'Data - Monthly Metrics'!$A:$A,$B$4,'Data - Monthly Metrics'!$B:$B,L$8,'Data - Monthly Metrics'!$C:$C,"Southwest",'Data - Monthly Metrics'!$D:$D,"Goal - Penetration %"))</formula>
    </cfRule>
    <cfRule type="expression" rank="0" priority="251" equalAverage="0" aboveAverage="0" dxfId="2" stopIfTrue="1" text="" percent="0" bottom="0">
      <formula>AND(ISNUMBER(L105),COUNTIFS('Data - Monthly Metrics'!$A:$A,$B$4,'Data - Monthly Metrics'!$B:$B,L$8,'Data - Monthly Metrics'!$C:$C,"Southwest",'Data - Monthly Metrics'!$D:$D,"Goal - Penetration %")&gt;0,L105&gt;=SUMIFS('Data - Monthly Metrics'!$E:$E,'Data - Monthly Metrics'!$A:$A,$B$4,'Data - Monthly Metrics'!$B:$B,L$8,'Data - Monthly Metrics'!$C:$C,"Southwest",'Data - Monthly Metrics'!$D:$D,"Goal - Penetration %")-0.05)</formula>
    </cfRule>
    <cfRule type="expression" rank="0" priority="252" equalAverage="0" aboveAverage="0" dxfId="1" stopIfTrue="1" text="" percent="0" bottom="0">
      <formula>AND(ISNUMBER(L105),COUNTIFS('Data - Monthly Metrics'!$A:$A,$B$4,'Data - Monthly Metrics'!$B:$B,L$8,'Data - Monthly Metrics'!$C:$C,"Southwest",'Data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Metrics'!$C:$C,"Southwest",'Data - Monthly Metrics'!$D:$D,"Goal - Penetration %")&gt;0,N105&gt;=SUMIFS('Data - Monthly Metrics'!$E:$E,'Data - Monthly Metrics'!$A:$A,$B$4,'Data - Monthly Metrics'!$B:$B,N$8,'Data - Monthly Metrics'!$C:$C,"Southwest",'Data - Monthly Metrics'!$D:$D,"Goal - Penetration %"))</formula>
    </cfRule>
    <cfRule type="expression" rank="0" priority="254" equalAverage="0" aboveAverage="0" dxfId="2" stopIfTrue="1" text="" percent="0" bottom="0">
      <formula>AND(ISNUMBER(N105),COUNTIFS('Data - Monthly Metrics'!$A:$A,$B$4,'Data - Monthly Metrics'!$B:$B,N$8,'Data - Monthly Metrics'!$C:$C,"Southwest",'Data - Monthly Metrics'!$D:$D,"Goal - Penetration %")&gt;0,N105&gt;=SUMIFS('Data - Monthly Metrics'!$E:$E,'Data - Monthly Metrics'!$A:$A,$B$4,'Data - Monthly Metrics'!$B:$B,N$8,'Data - Monthly Metrics'!$C:$C,"Southwest",'Data - Monthly Metrics'!$D:$D,"Goal - Penetration %")-0.05)</formula>
    </cfRule>
    <cfRule type="expression" rank="0" priority="255" equalAverage="0" aboveAverage="0" dxfId="1" stopIfTrue="1" text="" percent="0" bottom="0">
      <formula>AND(ISNUMBER(N105),COUNTIFS('Data - Monthly Metrics'!$A:$A,$B$4,'Data - Monthly Metrics'!$B:$B,N$8,'Data - Monthly Metrics'!$C:$C,"Southwest",'Data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Metrics'!$C:$C,"Southwest",'Data - Monthly Metrics'!$D:$D,"Goal - Penetration %")&gt;0,O105&gt;=SUMIFS('Data - Monthly Metrics'!$E:$E,'Data - Monthly Metrics'!$A:$A,$B$4,'Data - Monthly Metrics'!$B:$B,O$8,'Data - Monthly Metrics'!$C:$C,"Southwest",'Data - Monthly Metrics'!$D:$D,"Goal - Penetration %"))</formula>
    </cfRule>
    <cfRule type="expression" rank="0" priority="257" equalAverage="0" aboveAverage="0" dxfId="2" stopIfTrue="1" text="" percent="0" bottom="0">
      <formula>AND(ISNUMBER(O105),COUNTIFS('Data - Monthly Metrics'!$A:$A,$B$4,'Data - Monthly Metrics'!$B:$B,O$8,'Data - Monthly Metrics'!$C:$C,"Southwest",'Data - Monthly Metrics'!$D:$D,"Goal - Penetration %")&gt;0,O105&gt;=SUMIFS('Data - Monthly Metrics'!$E:$E,'Data - Monthly Metrics'!$A:$A,$B$4,'Data - Monthly Metrics'!$B:$B,O$8,'Data - Monthly Metrics'!$C:$C,"Southwest",'Data - Monthly Metrics'!$D:$D,"Goal - Penetration %")-0.05)</formula>
    </cfRule>
    <cfRule type="expression" rank="0" priority="258" equalAverage="0" aboveAverage="0" dxfId="1" stopIfTrue="1" text="" percent="0" bottom="0">
      <formula>AND(ISNUMBER(O105),COUNTIFS('Data - Monthly Metrics'!$A:$A,$B$4,'Data - Monthly Metrics'!$B:$B,O$8,'Data - Monthly Metrics'!$C:$C,"Southwest",'Data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Metrics'!$C:$C,"Southwest",'Data - Monthly Metrics'!$D:$D,"Goal - Penetration %")&gt;0,P105&gt;=SUMIFS('Data - Monthly Metrics'!$E:$E,'Data - Monthly Metrics'!$A:$A,$B$4,'Data - Monthly Metrics'!$B:$B,P$8,'Data - Monthly Metrics'!$C:$C,"Southwest",'Data - Monthly Metrics'!$D:$D,"Goal - Penetration %"))</formula>
    </cfRule>
    <cfRule type="expression" rank="0" priority="260" equalAverage="0" aboveAverage="0" dxfId="2" stopIfTrue="1" text="" percent="0" bottom="0">
      <formula>AND(ISNUMBER(P105),COUNTIFS('Data - Monthly Metrics'!$A:$A,$B$4,'Data - Monthly Metrics'!$B:$B,P$8,'Data - Monthly Metrics'!$C:$C,"Southwest",'Data - Monthly Metrics'!$D:$D,"Goal - Penetration %")&gt;0,P105&gt;=SUMIFS('Data - Monthly Metrics'!$E:$E,'Data - Monthly Metrics'!$A:$A,$B$4,'Data - Monthly Metrics'!$B:$B,P$8,'Data - Monthly Metrics'!$C:$C,"Southwest",'Data - Monthly Metrics'!$D:$D,"Goal - Penetration %")-0.05)</formula>
    </cfRule>
    <cfRule type="expression" rank="0" priority="261" equalAverage="0" aboveAverage="0" dxfId="1" stopIfTrue="1" text="" percent="0" bottom="0">
      <formula>AND(ISNUMBER(P105),COUNTIFS('Data - Monthly Metrics'!$A:$A,$B$4,'Data - Monthly Metrics'!$B:$B,P$8,'Data - Monthly Metrics'!$C:$C,"Southwest",'Data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Metrics'!$C:$C,"Southwest",'Data - Monthly Metrics'!$D:$D,"Goal - Penetration %")&gt;0,B106&gt;=SUMIFS('Data - Monthly Metrics'!$E:$E,'Data - Monthly Metrics'!$A:$A,$B$4-1,'Data - Monthly Metrics'!$B:$B,B$8,'Data - Monthly Metrics'!$C:$C,"Southwest",'Data - Monthly Metrics'!$D:$D,"Goal - Penetration %"))</formula>
    </cfRule>
    <cfRule type="expression" rank="0" priority="263" equalAverage="0" aboveAverage="0" dxfId="2" stopIfTrue="1" text="" percent="0" bottom="0">
      <formula>AND(ISNUMBER(B106),COUNTIFS('Data - Monthly Metrics'!$A:$A,$B$4-1,'Data - Monthly Metrics'!$B:$B,B$8,'Data - Monthly Metrics'!$C:$C,"Southwest",'Data - Monthly Metrics'!$D:$D,"Goal - Penetration %")&gt;0,B106&gt;=SUMIFS('Data - Monthly Metrics'!$E:$E,'Data - Monthly Metrics'!$A:$A,$B$4-1,'Data - Monthly Metrics'!$B:$B,B$8,'Data - Monthly Metrics'!$C:$C,"Southwest",'Data - Monthly Metrics'!$D:$D,"Goal - Penetration %")-0.05)</formula>
    </cfRule>
    <cfRule type="expression" rank="0" priority="264" equalAverage="0" aboveAverage="0" dxfId="1" stopIfTrue="1" text="" percent="0" bottom="0">
      <formula>AND(ISNUMBER(B106),COUNTIFS('Data - Monthly Metrics'!$A:$A,$B$4-1,'Data - Monthly Metrics'!$B:$B,B$8,'Data - Monthly Metrics'!$C:$C,"Southwest",'Data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Metrics'!$C:$C,"Southwest",'Data - Monthly Metrics'!$D:$D,"Goal - Penetration %")&gt;0,C106&gt;=SUMIFS('Data - Monthly Metrics'!$E:$E,'Data - Monthly Metrics'!$A:$A,$B$4-1,'Data - Monthly Metrics'!$B:$B,C$8,'Data - Monthly Metrics'!$C:$C,"Southwest",'Data - Monthly Metrics'!$D:$D,"Goal - Penetration %"))</formula>
    </cfRule>
    <cfRule type="expression" rank="0" priority="266" equalAverage="0" aboveAverage="0" dxfId="2" stopIfTrue="1" text="" percent="0" bottom="0">
      <formula>AND(ISNUMBER(C106),COUNTIFS('Data - Monthly Metrics'!$A:$A,$B$4-1,'Data - Monthly Metrics'!$B:$B,C$8,'Data - Monthly Metrics'!$C:$C,"Southwest",'Data - Monthly Metrics'!$D:$D,"Goal - Penetration %")&gt;0,C106&gt;=SUMIFS('Data - Monthly Metrics'!$E:$E,'Data - Monthly Metrics'!$A:$A,$B$4-1,'Data - Monthly Metrics'!$B:$B,C$8,'Data - Monthly Metrics'!$C:$C,"Southwest",'Data - Monthly Metrics'!$D:$D,"Goal - Penetration %")-0.05)</formula>
    </cfRule>
    <cfRule type="expression" rank="0" priority="267" equalAverage="0" aboveAverage="0" dxfId="1" stopIfTrue="1" text="" percent="0" bottom="0">
      <formula>AND(ISNUMBER(C106),COUNTIFS('Data - Monthly Metrics'!$A:$A,$B$4-1,'Data - Monthly Metrics'!$B:$B,C$8,'Data - Monthly Metrics'!$C:$C,"Southwest",'Data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Metrics'!$C:$C,"Southwest",'Data - Monthly Metrics'!$D:$D,"Goal - Penetration %")&gt;0,D106&gt;=SUMIFS('Data - Monthly Metrics'!$E:$E,'Data - Monthly Metrics'!$A:$A,$B$4-1,'Data - Monthly Metrics'!$B:$B,D$8,'Data - Monthly Metrics'!$C:$C,"Southwest",'Data - Monthly Metrics'!$D:$D,"Goal - Penetration %"))</formula>
    </cfRule>
    <cfRule type="expression" rank="0" priority="269" equalAverage="0" aboveAverage="0" dxfId="2" stopIfTrue="1" text="" percent="0" bottom="0">
      <formula>AND(ISNUMBER(D106),COUNTIFS('Data - Monthly Metrics'!$A:$A,$B$4-1,'Data - Monthly Metrics'!$B:$B,D$8,'Data - Monthly Metrics'!$C:$C,"Southwest",'Data - Monthly Metrics'!$D:$D,"Goal - Penetration %")&gt;0,D106&gt;=SUMIFS('Data - Monthly Metrics'!$E:$E,'Data - Monthly Metrics'!$A:$A,$B$4-1,'Data - Monthly Metrics'!$B:$B,D$8,'Data - Monthly Metrics'!$C:$C,"Southwest",'Data - Monthly Metrics'!$D:$D,"Goal - Penetration %")-0.05)</formula>
    </cfRule>
    <cfRule type="expression" rank="0" priority="270" equalAverage="0" aboveAverage="0" dxfId="1" stopIfTrue="1" text="" percent="0" bottom="0">
      <formula>AND(ISNUMBER(D106),COUNTIFS('Data - Monthly Metrics'!$A:$A,$B$4-1,'Data - Monthly Metrics'!$B:$B,D$8,'Data - Monthly Metrics'!$C:$C,"Southwest",'Data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Metrics'!$C:$C,"Southwest",'Data - Monthly Metrics'!$D:$D,"Goal - Penetration %")&gt;0,F106&gt;=SUMIFS('Data - Monthly Metrics'!$E:$E,'Data - Monthly Metrics'!$A:$A,$B$4,'Data - Monthly Metrics'!$B:$B,F$8,'Data - Monthly Metrics'!$C:$C,"Southwest",'Data - Monthly Metrics'!$D:$D,"Goal - Penetration %"))</formula>
    </cfRule>
    <cfRule type="expression" rank="0" priority="272" equalAverage="0" aboveAverage="0" dxfId="2" stopIfTrue="1" text="" percent="0" bottom="0">
      <formula>AND(ISNUMBER(F106),COUNTIFS('Data - Monthly Metrics'!$A:$A,$B$4,'Data - Monthly Metrics'!$B:$B,F$8,'Data - Monthly Metrics'!$C:$C,"Southwest",'Data - Monthly Metrics'!$D:$D,"Goal - Penetration %")&gt;0,F106&gt;=SUMIFS('Data - Monthly Metrics'!$E:$E,'Data - Monthly Metrics'!$A:$A,$B$4,'Data - Monthly Metrics'!$B:$B,F$8,'Data - Monthly Metrics'!$C:$C,"Southwest",'Data - Monthly Metrics'!$D:$D,"Goal - Penetration %")-0.05)</formula>
    </cfRule>
    <cfRule type="expression" rank="0" priority="273" equalAverage="0" aboveAverage="0" dxfId="1" stopIfTrue="1" text="" percent="0" bottom="0">
      <formula>AND(ISNUMBER(F106),COUNTIFS('Data - Monthly Metrics'!$A:$A,$B$4,'Data - Monthly Metrics'!$B:$B,F$8,'Data - Monthly Metrics'!$C:$C,"Southwest",'Data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Metrics'!$C:$C,"Southwest",'Data - Monthly Metrics'!$D:$D,"Goal - Penetration %")&gt;0,G106&gt;=SUMIFS('Data - Monthly Metrics'!$E:$E,'Data - Monthly Metrics'!$A:$A,$B$4,'Data - Monthly Metrics'!$B:$B,G$8,'Data - Monthly Metrics'!$C:$C,"Southwest",'Data - Monthly Metrics'!$D:$D,"Goal - Penetration %"))</formula>
    </cfRule>
    <cfRule type="expression" rank="0" priority="275" equalAverage="0" aboveAverage="0" dxfId="2" stopIfTrue="1" text="" percent="0" bottom="0">
      <formula>AND(ISNUMBER(G106),COUNTIFS('Data - Monthly Metrics'!$A:$A,$B$4,'Data - Monthly Metrics'!$B:$B,G$8,'Data - Monthly Metrics'!$C:$C,"Southwest",'Data - Monthly Metrics'!$D:$D,"Goal - Penetration %")&gt;0,G106&gt;=SUMIFS('Data - Monthly Metrics'!$E:$E,'Data - Monthly Metrics'!$A:$A,$B$4,'Data - Monthly Metrics'!$B:$B,G$8,'Data - Monthly Metrics'!$C:$C,"Southwest",'Data - Monthly Metrics'!$D:$D,"Goal - Penetration %")-0.05)</formula>
    </cfRule>
    <cfRule type="expression" rank="0" priority="276" equalAverage="0" aboveAverage="0" dxfId="1" stopIfTrue="1" text="" percent="0" bottom="0">
      <formula>AND(ISNUMBER(G106),COUNTIFS('Data - Monthly Metrics'!$A:$A,$B$4,'Data - Monthly Metrics'!$B:$B,G$8,'Data - Monthly Metrics'!$C:$C,"Southwest",'Data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Metrics'!$C:$C,"Southwest",'Data - Monthly Metrics'!$D:$D,"Goal - Penetration %")&gt;0,H106&gt;=SUMIFS('Data - Monthly Metrics'!$E:$E,'Data - Monthly Metrics'!$A:$A,$B$4,'Data - Monthly Metrics'!$B:$B,H$8,'Data - Monthly Metrics'!$C:$C,"Southwest",'Data - Monthly Metrics'!$D:$D,"Goal - Penetration %"))</formula>
    </cfRule>
    <cfRule type="expression" rank="0" priority="278" equalAverage="0" aboveAverage="0" dxfId="2" stopIfTrue="1" text="" percent="0" bottom="0">
      <formula>AND(ISNUMBER(H106),COUNTIFS('Data - Monthly Metrics'!$A:$A,$B$4,'Data - Monthly Metrics'!$B:$B,H$8,'Data - Monthly Metrics'!$C:$C,"Southwest",'Data - Monthly Metrics'!$D:$D,"Goal - Penetration %")&gt;0,H106&gt;=SUMIFS('Data - Monthly Metrics'!$E:$E,'Data - Monthly Metrics'!$A:$A,$B$4,'Data - Monthly Metrics'!$B:$B,H$8,'Data - Monthly Metrics'!$C:$C,"Southwest",'Data - Monthly Metrics'!$D:$D,"Goal - Penetration %")-0.05)</formula>
    </cfRule>
    <cfRule type="expression" rank="0" priority="279" equalAverage="0" aboveAverage="0" dxfId="1" stopIfTrue="1" text="" percent="0" bottom="0">
      <formula>AND(ISNUMBER(H106),COUNTIFS('Data - Monthly Metrics'!$A:$A,$B$4,'Data - Monthly Metrics'!$B:$B,H$8,'Data - Monthly Metrics'!$C:$C,"Southwest",'Data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Metrics'!$C:$C,"Southwest",'Data - Monthly Metrics'!$D:$D,"Goal - Penetration %")&gt;0,J106&gt;=SUMIFS('Data - Monthly Metrics'!$E:$E,'Data - Monthly Metrics'!$A:$A,$B$4,'Data - Monthly Metrics'!$B:$B,J$8,'Data - Monthly Metrics'!$C:$C,"Southwest",'Data - Monthly Metrics'!$D:$D,"Goal - Penetration %"))</formula>
    </cfRule>
    <cfRule type="expression" rank="0" priority="281" equalAverage="0" aboveAverage="0" dxfId="2" stopIfTrue="1" text="" percent="0" bottom="0">
      <formula>AND(ISNUMBER(J106),COUNTIFS('Data - Monthly Metrics'!$A:$A,$B$4,'Data - Monthly Metrics'!$B:$B,J$8,'Data - Monthly Metrics'!$C:$C,"Southwest",'Data - Monthly Metrics'!$D:$D,"Goal - Penetration %")&gt;0,J106&gt;=SUMIFS('Data - Monthly Metrics'!$E:$E,'Data - Monthly Metrics'!$A:$A,$B$4,'Data - Monthly Metrics'!$B:$B,J$8,'Data - Monthly Metrics'!$C:$C,"Southwest",'Data - Monthly Metrics'!$D:$D,"Goal - Penetration %")-0.05)</formula>
    </cfRule>
    <cfRule type="expression" rank="0" priority="282" equalAverage="0" aboveAverage="0" dxfId="1" stopIfTrue="1" text="" percent="0" bottom="0">
      <formula>AND(ISNUMBER(J106),COUNTIFS('Data - Monthly Metrics'!$A:$A,$B$4,'Data - Monthly Metrics'!$B:$B,J$8,'Data - Monthly Metrics'!$C:$C,"Southwest",'Data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Metrics'!$C:$C,"Southwest",'Data - Monthly Metrics'!$D:$D,"Goal - Penetration %")&gt;0,K106&gt;=SUMIFS('Data - Monthly Metrics'!$E:$E,'Data - Monthly Metrics'!$A:$A,$B$4,'Data - Monthly Metrics'!$B:$B,K$8,'Data - Monthly Metrics'!$C:$C,"Southwest",'Data - Monthly Metrics'!$D:$D,"Goal - Penetration %"))</formula>
    </cfRule>
    <cfRule type="expression" rank="0" priority="284" equalAverage="0" aboveAverage="0" dxfId="2" stopIfTrue="1" text="" percent="0" bottom="0">
      <formula>AND(ISNUMBER(K106),COUNTIFS('Data - Monthly Metrics'!$A:$A,$B$4,'Data - Monthly Metrics'!$B:$B,K$8,'Data - Monthly Metrics'!$C:$C,"Southwest",'Data - Monthly Metrics'!$D:$D,"Goal - Penetration %")&gt;0,K106&gt;=SUMIFS('Data - Monthly Metrics'!$E:$E,'Data - Monthly Metrics'!$A:$A,$B$4,'Data - Monthly Metrics'!$B:$B,K$8,'Data - Monthly Metrics'!$C:$C,"Southwest",'Data - Monthly Metrics'!$D:$D,"Goal - Penetration %")-0.05)</formula>
    </cfRule>
    <cfRule type="expression" rank="0" priority="285" equalAverage="0" aboveAverage="0" dxfId="1" stopIfTrue="1" text="" percent="0" bottom="0">
      <formula>AND(ISNUMBER(K106),COUNTIFS('Data - Monthly Metrics'!$A:$A,$B$4,'Data - Monthly Metrics'!$B:$B,K$8,'Data - Monthly Metrics'!$C:$C,"Southwest",'Data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Metrics'!$C:$C,"Southwest",'Data - Monthly Metrics'!$D:$D,"Goal - Penetration %")&gt;0,L106&gt;=SUMIFS('Data - Monthly Metrics'!$E:$E,'Data - Monthly Metrics'!$A:$A,$B$4,'Data - Monthly Metrics'!$B:$B,L$8,'Data - Monthly Metrics'!$C:$C,"Southwest",'Data - Monthly Metrics'!$D:$D,"Goal - Penetration %"))</formula>
    </cfRule>
    <cfRule type="expression" rank="0" priority="287" equalAverage="0" aboveAverage="0" dxfId="2" stopIfTrue="1" text="" percent="0" bottom="0">
      <formula>AND(ISNUMBER(L106),COUNTIFS('Data - Monthly Metrics'!$A:$A,$B$4,'Data - Monthly Metrics'!$B:$B,L$8,'Data - Monthly Metrics'!$C:$C,"Southwest",'Data - Monthly Metrics'!$D:$D,"Goal - Penetration %")&gt;0,L106&gt;=SUMIFS('Data - Monthly Metrics'!$E:$E,'Data - Monthly Metrics'!$A:$A,$B$4,'Data - Monthly Metrics'!$B:$B,L$8,'Data - Monthly Metrics'!$C:$C,"Southwest",'Data - Monthly Metrics'!$D:$D,"Goal - Penetration %")-0.05)</formula>
    </cfRule>
    <cfRule type="expression" rank="0" priority="288" equalAverage="0" aboveAverage="0" dxfId="1" stopIfTrue="1" text="" percent="0" bottom="0">
      <formula>AND(ISNUMBER(L106),COUNTIFS('Data - Monthly Metrics'!$A:$A,$B$4,'Data - Monthly Metrics'!$B:$B,L$8,'Data - Monthly Metrics'!$C:$C,"Southwest",'Data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Metrics'!$C:$C,"Southwest",'Data - Monthly Metrics'!$D:$D,"Goal - Penetration %")&gt;0,N106&gt;=SUMIFS('Data - Monthly Metrics'!$E:$E,'Data - Monthly Metrics'!$A:$A,$B$4,'Data - Monthly Metrics'!$B:$B,N$8,'Data - Monthly Metrics'!$C:$C,"Southwest",'Data - Monthly Metrics'!$D:$D,"Goal - Penetration %"))</formula>
    </cfRule>
    <cfRule type="expression" rank="0" priority="290" equalAverage="0" aboveAverage="0" dxfId="2" stopIfTrue="1" text="" percent="0" bottom="0">
      <formula>AND(ISNUMBER(N106),COUNTIFS('Data - Monthly Metrics'!$A:$A,$B$4,'Data - Monthly Metrics'!$B:$B,N$8,'Data - Monthly Metrics'!$C:$C,"Southwest",'Data - Monthly Metrics'!$D:$D,"Goal - Penetration %")&gt;0,N106&gt;=SUMIFS('Data - Monthly Metrics'!$E:$E,'Data - Monthly Metrics'!$A:$A,$B$4,'Data - Monthly Metrics'!$B:$B,N$8,'Data - Monthly Metrics'!$C:$C,"Southwest",'Data - Monthly Metrics'!$D:$D,"Goal - Penetration %")-0.05)</formula>
    </cfRule>
    <cfRule type="expression" rank="0" priority="291" equalAverage="0" aboveAverage="0" dxfId="1" stopIfTrue="1" text="" percent="0" bottom="0">
      <formula>AND(ISNUMBER(N106),COUNTIFS('Data - Monthly Metrics'!$A:$A,$B$4,'Data - Monthly Metrics'!$B:$B,N$8,'Data - Monthly Metrics'!$C:$C,"Southwest",'Data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Metrics'!$C:$C,"Southwest",'Data - Monthly Metrics'!$D:$D,"Goal - Penetration %")&gt;0,O106&gt;=SUMIFS('Data - Monthly Metrics'!$E:$E,'Data - Monthly Metrics'!$A:$A,$B$4,'Data - Monthly Metrics'!$B:$B,O$8,'Data - Monthly Metrics'!$C:$C,"Southwest",'Data - Monthly Metrics'!$D:$D,"Goal - Penetration %"))</formula>
    </cfRule>
    <cfRule type="expression" rank="0" priority="293" equalAverage="0" aboveAverage="0" dxfId="2" stopIfTrue="1" text="" percent="0" bottom="0">
      <formula>AND(ISNUMBER(O106),COUNTIFS('Data - Monthly Metrics'!$A:$A,$B$4,'Data - Monthly Metrics'!$B:$B,O$8,'Data - Monthly Metrics'!$C:$C,"Southwest",'Data - Monthly Metrics'!$D:$D,"Goal - Penetration %")&gt;0,O106&gt;=SUMIFS('Data - Monthly Metrics'!$E:$E,'Data - Monthly Metrics'!$A:$A,$B$4,'Data - Monthly Metrics'!$B:$B,O$8,'Data - Monthly Metrics'!$C:$C,"Southwest",'Data - Monthly Metrics'!$D:$D,"Goal - Penetration %")-0.05)</formula>
    </cfRule>
    <cfRule type="expression" rank="0" priority="294" equalAverage="0" aboveAverage="0" dxfId="1" stopIfTrue="1" text="" percent="0" bottom="0">
      <formula>AND(ISNUMBER(O106),COUNTIFS('Data - Monthly Metrics'!$A:$A,$B$4,'Data - Monthly Metrics'!$B:$B,O$8,'Data - Monthly Metrics'!$C:$C,"Southwest",'Data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Metrics'!$C:$C,"Southwest",'Data - Monthly Metrics'!$D:$D,"Goal - Penetration %")&gt;0,P106&gt;=SUMIFS('Data - Monthly Metrics'!$E:$E,'Data - Monthly Metrics'!$A:$A,$B$4,'Data - Monthly Metrics'!$B:$B,P$8,'Data - Monthly Metrics'!$C:$C,"Southwest",'Data - Monthly Metrics'!$D:$D,"Goal - Penetration %"))</formula>
    </cfRule>
    <cfRule type="expression" rank="0" priority="296" equalAverage="0" aboveAverage="0" dxfId="2" stopIfTrue="1" text="" percent="0" bottom="0">
      <formula>AND(ISNUMBER(P106),COUNTIFS('Data - Monthly Metrics'!$A:$A,$B$4,'Data - Monthly Metrics'!$B:$B,P$8,'Data - Monthly Metrics'!$C:$C,"Southwest",'Data - Monthly Metrics'!$D:$D,"Goal - Penetration %")&gt;0,P106&gt;=SUMIFS('Data - Monthly Metrics'!$E:$E,'Data - Monthly Metrics'!$A:$A,$B$4,'Data - Monthly Metrics'!$B:$B,P$8,'Data - Monthly Metrics'!$C:$C,"Southwest",'Data - Monthly Metrics'!$D:$D,"Goal - Penetration %")-0.05)</formula>
    </cfRule>
    <cfRule type="expression" rank="0" priority="297" equalAverage="0" aboveAverage="0" dxfId="1" stopIfTrue="1" text="" percent="0" bottom="0">
      <formula>AND(ISNUMBER(P106),COUNTIFS('Data - Monthly Metrics'!$A:$A,$B$4,'Data - Monthly Metrics'!$B:$B,P$8,'Data - Monthly Metrics'!$C:$C,"Southwest",'Data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Metrics'!$C:$C,"Southwest",'Data - Monthly Metrics'!$D:$D,"Goal - Penetration %")&gt;0,B107&gt;=SUMIFS('Data - Monthly Metrics'!$E:$E,'Data - Monthly Metrics'!$A:$A,$B$4-1,'Data - Monthly Metrics'!$B:$B,B$8,'Data - Monthly Metrics'!$C:$C,"Southwest",'Data - Monthly Metrics'!$D:$D,"Goal - Penetration %"))</formula>
    </cfRule>
    <cfRule type="expression" rank="0" priority="299" equalAverage="0" aboveAverage="0" dxfId="2" stopIfTrue="1" text="" percent="0" bottom="0">
      <formula>AND(ISNUMBER(B107),COUNTIFS('Data - Monthly Metrics'!$A:$A,$B$4-1,'Data - Monthly Metrics'!$B:$B,B$8,'Data - Monthly Metrics'!$C:$C,"Southwest",'Data - Monthly Metrics'!$D:$D,"Goal - Penetration %")&gt;0,B107&gt;=SUMIFS('Data - Monthly Metrics'!$E:$E,'Data - Monthly Metrics'!$A:$A,$B$4-1,'Data - Monthly Metrics'!$B:$B,B$8,'Data - Monthly Metrics'!$C:$C,"Southwest",'Data - Monthly Metrics'!$D:$D,"Goal - Penetration %")-0.05)</formula>
    </cfRule>
    <cfRule type="expression" rank="0" priority="300" equalAverage="0" aboveAverage="0" dxfId="1" stopIfTrue="1" text="" percent="0" bottom="0">
      <formula>AND(ISNUMBER(B107),COUNTIFS('Data - Monthly Metrics'!$A:$A,$B$4-1,'Data - Monthly Metrics'!$B:$B,B$8,'Data - Monthly Metrics'!$C:$C,"Southwest",'Data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Metrics'!$C:$C,"Southwest",'Data - Monthly Metrics'!$D:$D,"Goal - Penetration %")&gt;0,C107&gt;=SUMIFS('Data - Monthly Metrics'!$E:$E,'Data - Monthly Metrics'!$A:$A,$B$4-1,'Data - Monthly Metrics'!$B:$B,C$8,'Data - Monthly Metrics'!$C:$C,"Southwest",'Data - Monthly Metrics'!$D:$D,"Goal - Penetration %"))</formula>
    </cfRule>
    <cfRule type="expression" rank="0" priority="302" equalAverage="0" aboveAverage="0" dxfId="2" stopIfTrue="1" text="" percent="0" bottom="0">
      <formula>AND(ISNUMBER(C107),COUNTIFS('Data - Monthly Metrics'!$A:$A,$B$4-1,'Data - Monthly Metrics'!$B:$B,C$8,'Data - Monthly Metrics'!$C:$C,"Southwest",'Data - Monthly Metrics'!$D:$D,"Goal - Penetration %")&gt;0,C107&gt;=SUMIFS('Data - Monthly Metrics'!$E:$E,'Data - Monthly Metrics'!$A:$A,$B$4-1,'Data - Monthly Metrics'!$B:$B,C$8,'Data - Monthly Metrics'!$C:$C,"Southwest",'Data - Monthly Metrics'!$D:$D,"Goal - Penetration %")-0.05)</formula>
    </cfRule>
    <cfRule type="expression" rank="0" priority="303" equalAverage="0" aboveAverage="0" dxfId="1" stopIfTrue="1" text="" percent="0" bottom="0">
      <formula>AND(ISNUMBER(C107),COUNTIFS('Data - Monthly Metrics'!$A:$A,$B$4-1,'Data - Monthly Metrics'!$B:$B,C$8,'Data - Monthly Metrics'!$C:$C,"Southwest",'Data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Metrics'!$C:$C,"Southwest",'Data - Monthly Metrics'!$D:$D,"Goal - Penetration %")&gt;0,D107&gt;=SUMIFS('Data - Monthly Metrics'!$E:$E,'Data - Monthly Metrics'!$A:$A,$B$4-1,'Data - Monthly Metrics'!$B:$B,D$8,'Data - Monthly Metrics'!$C:$C,"Southwest",'Data - Monthly Metrics'!$D:$D,"Goal - Penetration %"))</formula>
    </cfRule>
    <cfRule type="expression" rank="0" priority="305" equalAverage="0" aboveAverage="0" dxfId="2" stopIfTrue="1" text="" percent="0" bottom="0">
      <formula>AND(ISNUMBER(D107),COUNTIFS('Data - Monthly Metrics'!$A:$A,$B$4-1,'Data - Monthly Metrics'!$B:$B,D$8,'Data - Monthly Metrics'!$C:$C,"Southwest",'Data - Monthly Metrics'!$D:$D,"Goal - Penetration %")&gt;0,D107&gt;=SUMIFS('Data - Monthly Metrics'!$E:$E,'Data - Monthly Metrics'!$A:$A,$B$4-1,'Data - Monthly Metrics'!$B:$B,D$8,'Data - Monthly Metrics'!$C:$C,"Southwest",'Data - Monthly Metrics'!$D:$D,"Goal - Penetration %")-0.05)</formula>
    </cfRule>
    <cfRule type="expression" rank="0" priority="306" equalAverage="0" aboveAverage="0" dxfId="1" stopIfTrue="1" text="" percent="0" bottom="0">
      <formula>AND(ISNUMBER(D107),COUNTIFS('Data - Monthly Metrics'!$A:$A,$B$4-1,'Data - Monthly Metrics'!$B:$B,D$8,'Data - Monthly Metrics'!$C:$C,"Southwest",'Data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Metrics'!$C:$C,"Southwest",'Data - Monthly Metrics'!$D:$D,"Goal - Penetration %")&gt;0,F107&gt;=SUMIFS('Data - Monthly Metrics'!$E:$E,'Data - Monthly Metrics'!$A:$A,$B$4,'Data - Monthly Metrics'!$B:$B,F$8,'Data - Monthly Metrics'!$C:$C,"Southwest",'Data - Monthly Metrics'!$D:$D,"Goal - Penetration %"))</formula>
    </cfRule>
    <cfRule type="expression" rank="0" priority="308" equalAverage="0" aboveAverage="0" dxfId="2" stopIfTrue="1" text="" percent="0" bottom="0">
      <formula>AND(ISNUMBER(F107),COUNTIFS('Data - Monthly Metrics'!$A:$A,$B$4,'Data - Monthly Metrics'!$B:$B,F$8,'Data - Monthly Metrics'!$C:$C,"Southwest",'Data - Monthly Metrics'!$D:$D,"Goal - Penetration %")&gt;0,F107&gt;=SUMIFS('Data - Monthly Metrics'!$E:$E,'Data - Monthly Metrics'!$A:$A,$B$4,'Data - Monthly Metrics'!$B:$B,F$8,'Data - Monthly Metrics'!$C:$C,"Southwest",'Data - Monthly Metrics'!$D:$D,"Goal - Penetration %")-0.05)</formula>
    </cfRule>
    <cfRule type="expression" rank="0" priority="309" equalAverage="0" aboveAverage="0" dxfId="1" stopIfTrue="1" text="" percent="0" bottom="0">
      <formula>AND(ISNUMBER(F107),COUNTIFS('Data - Monthly Metrics'!$A:$A,$B$4,'Data - Monthly Metrics'!$B:$B,F$8,'Data - Monthly Metrics'!$C:$C,"Southwest",'Data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Metrics'!$C:$C,"Southwest",'Data - Monthly Metrics'!$D:$D,"Goal - Penetration %")&gt;0,G107&gt;=SUMIFS('Data - Monthly Metrics'!$E:$E,'Data - Monthly Metrics'!$A:$A,$B$4,'Data - Monthly Metrics'!$B:$B,G$8,'Data - Monthly Metrics'!$C:$C,"Southwest",'Data - Monthly Metrics'!$D:$D,"Goal - Penetration %"))</formula>
    </cfRule>
    <cfRule type="expression" rank="0" priority="311" equalAverage="0" aboveAverage="0" dxfId="2" stopIfTrue="1" text="" percent="0" bottom="0">
      <formula>AND(ISNUMBER(G107),COUNTIFS('Data - Monthly Metrics'!$A:$A,$B$4,'Data - Monthly Metrics'!$B:$B,G$8,'Data - Monthly Metrics'!$C:$C,"Southwest",'Data - Monthly Metrics'!$D:$D,"Goal - Penetration %")&gt;0,G107&gt;=SUMIFS('Data - Monthly Metrics'!$E:$E,'Data - Monthly Metrics'!$A:$A,$B$4,'Data - Monthly Metrics'!$B:$B,G$8,'Data - Monthly Metrics'!$C:$C,"Southwest",'Data - Monthly Metrics'!$D:$D,"Goal - Penetration %")-0.05)</formula>
    </cfRule>
    <cfRule type="expression" rank="0" priority="312" equalAverage="0" aboveAverage="0" dxfId="1" stopIfTrue="1" text="" percent="0" bottom="0">
      <formula>AND(ISNUMBER(G107),COUNTIFS('Data - Monthly Metrics'!$A:$A,$B$4,'Data - Monthly Metrics'!$B:$B,G$8,'Data - Monthly Metrics'!$C:$C,"Southwest",'Data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Metrics'!$C:$C,"Southwest",'Data - Monthly Metrics'!$D:$D,"Goal - Penetration %")&gt;0,H107&gt;=SUMIFS('Data - Monthly Metrics'!$E:$E,'Data - Monthly Metrics'!$A:$A,$B$4,'Data - Monthly Metrics'!$B:$B,H$8,'Data - Monthly Metrics'!$C:$C,"Southwest",'Data - Monthly Metrics'!$D:$D,"Goal - Penetration %"))</formula>
    </cfRule>
    <cfRule type="expression" rank="0" priority="314" equalAverage="0" aboveAverage="0" dxfId="2" stopIfTrue="1" text="" percent="0" bottom="0">
      <formula>AND(ISNUMBER(H107),COUNTIFS('Data - Monthly Metrics'!$A:$A,$B$4,'Data - Monthly Metrics'!$B:$B,H$8,'Data - Monthly Metrics'!$C:$C,"Southwest",'Data - Monthly Metrics'!$D:$D,"Goal - Penetration %")&gt;0,H107&gt;=SUMIFS('Data - Monthly Metrics'!$E:$E,'Data - Monthly Metrics'!$A:$A,$B$4,'Data - Monthly Metrics'!$B:$B,H$8,'Data - Monthly Metrics'!$C:$C,"Southwest",'Data - Monthly Metrics'!$D:$D,"Goal - Penetration %")-0.05)</formula>
    </cfRule>
    <cfRule type="expression" rank="0" priority="315" equalAverage="0" aboveAverage="0" dxfId="1" stopIfTrue="1" text="" percent="0" bottom="0">
      <formula>AND(ISNUMBER(H107),COUNTIFS('Data - Monthly Metrics'!$A:$A,$B$4,'Data - Monthly Metrics'!$B:$B,H$8,'Data - Monthly Metrics'!$C:$C,"Southwest",'Data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Metrics'!$C:$C,"Southwest",'Data - Monthly Metrics'!$D:$D,"Goal - Penetration %")&gt;0,J107&gt;=SUMIFS('Data - Monthly Metrics'!$E:$E,'Data - Monthly Metrics'!$A:$A,$B$4,'Data - Monthly Metrics'!$B:$B,J$8,'Data - Monthly Metrics'!$C:$C,"Southwest",'Data - Monthly Metrics'!$D:$D,"Goal - Penetration %"))</formula>
    </cfRule>
    <cfRule type="expression" rank="0" priority="317" equalAverage="0" aboveAverage="0" dxfId="2" stopIfTrue="1" text="" percent="0" bottom="0">
      <formula>AND(ISNUMBER(J107),COUNTIFS('Data - Monthly Metrics'!$A:$A,$B$4,'Data - Monthly Metrics'!$B:$B,J$8,'Data - Monthly Metrics'!$C:$C,"Southwest",'Data - Monthly Metrics'!$D:$D,"Goal - Penetration %")&gt;0,J107&gt;=SUMIFS('Data - Monthly Metrics'!$E:$E,'Data - Monthly Metrics'!$A:$A,$B$4,'Data - Monthly Metrics'!$B:$B,J$8,'Data - Monthly Metrics'!$C:$C,"Southwest",'Data - Monthly Metrics'!$D:$D,"Goal - Penetration %")-0.05)</formula>
    </cfRule>
    <cfRule type="expression" rank="0" priority="318" equalAverage="0" aboveAverage="0" dxfId="1" stopIfTrue="1" text="" percent="0" bottom="0">
      <formula>AND(ISNUMBER(J107),COUNTIFS('Data - Monthly Metrics'!$A:$A,$B$4,'Data - Monthly Metrics'!$B:$B,J$8,'Data - Monthly Metrics'!$C:$C,"Southwest",'Data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Metrics'!$C:$C,"Southwest",'Data - Monthly Metrics'!$D:$D,"Goal - Penetration %")&gt;0,K107&gt;=SUMIFS('Data - Monthly Metrics'!$E:$E,'Data - Monthly Metrics'!$A:$A,$B$4,'Data - Monthly Metrics'!$B:$B,K$8,'Data - Monthly Metrics'!$C:$C,"Southwest",'Data - Monthly Metrics'!$D:$D,"Goal - Penetration %"))</formula>
    </cfRule>
    <cfRule type="expression" rank="0" priority="320" equalAverage="0" aboveAverage="0" dxfId="2" stopIfTrue="1" text="" percent="0" bottom="0">
      <formula>AND(ISNUMBER(K107),COUNTIFS('Data - Monthly Metrics'!$A:$A,$B$4,'Data - Monthly Metrics'!$B:$B,K$8,'Data - Monthly Metrics'!$C:$C,"Southwest",'Data - Monthly Metrics'!$D:$D,"Goal - Penetration %")&gt;0,K107&gt;=SUMIFS('Data - Monthly Metrics'!$E:$E,'Data - Monthly Metrics'!$A:$A,$B$4,'Data - Monthly Metrics'!$B:$B,K$8,'Data - Monthly Metrics'!$C:$C,"Southwest",'Data - Monthly Metrics'!$D:$D,"Goal - Penetration %")-0.05)</formula>
    </cfRule>
    <cfRule type="expression" rank="0" priority="321" equalAverage="0" aboveAverage="0" dxfId="1" stopIfTrue="1" text="" percent="0" bottom="0">
      <formula>AND(ISNUMBER(K107),COUNTIFS('Data - Monthly Metrics'!$A:$A,$B$4,'Data - Monthly Metrics'!$B:$B,K$8,'Data - Monthly Metrics'!$C:$C,"Southwest",'Data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Metrics'!$C:$C,"Southwest",'Data - Monthly Metrics'!$D:$D,"Goal - Penetration %")&gt;0,L107&gt;=SUMIFS('Data - Monthly Metrics'!$E:$E,'Data - Monthly Metrics'!$A:$A,$B$4,'Data - Monthly Metrics'!$B:$B,L$8,'Data - Monthly Metrics'!$C:$C,"Southwest",'Data - Monthly Metrics'!$D:$D,"Goal - Penetration %"))</formula>
    </cfRule>
    <cfRule type="expression" rank="0" priority="323" equalAverage="0" aboveAverage="0" dxfId="2" stopIfTrue="1" text="" percent="0" bottom="0">
      <formula>AND(ISNUMBER(L107),COUNTIFS('Data - Monthly Metrics'!$A:$A,$B$4,'Data - Monthly Metrics'!$B:$B,L$8,'Data - Monthly Metrics'!$C:$C,"Southwest",'Data - Monthly Metrics'!$D:$D,"Goal - Penetration %")&gt;0,L107&gt;=SUMIFS('Data - Monthly Metrics'!$E:$E,'Data - Monthly Metrics'!$A:$A,$B$4,'Data - Monthly Metrics'!$B:$B,L$8,'Data - Monthly Metrics'!$C:$C,"Southwest",'Data - Monthly Metrics'!$D:$D,"Goal - Penetration %")-0.05)</formula>
    </cfRule>
    <cfRule type="expression" rank="0" priority="324" equalAverage="0" aboveAverage="0" dxfId="1" stopIfTrue="1" text="" percent="0" bottom="0">
      <formula>AND(ISNUMBER(L107),COUNTIFS('Data - Monthly Metrics'!$A:$A,$B$4,'Data - Monthly Metrics'!$B:$B,L$8,'Data - Monthly Metrics'!$C:$C,"Southwest",'Data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Metrics'!$C:$C,"Southwest",'Data - Monthly Metrics'!$D:$D,"Goal - Penetration %")&gt;0,N107&gt;=SUMIFS('Data - Monthly Metrics'!$E:$E,'Data - Monthly Metrics'!$A:$A,$B$4,'Data - Monthly Metrics'!$B:$B,N$8,'Data - Monthly Metrics'!$C:$C,"Southwest",'Data - Monthly Metrics'!$D:$D,"Goal - Penetration %"))</formula>
    </cfRule>
    <cfRule type="expression" rank="0" priority="326" equalAverage="0" aboveAverage="0" dxfId="2" stopIfTrue="1" text="" percent="0" bottom="0">
      <formula>AND(ISNUMBER(N107),COUNTIFS('Data - Monthly Metrics'!$A:$A,$B$4,'Data - Monthly Metrics'!$B:$B,N$8,'Data - Monthly Metrics'!$C:$C,"Southwest",'Data - Monthly Metrics'!$D:$D,"Goal - Penetration %")&gt;0,N107&gt;=SUMIFS('Data - Monthly Metrics'!$E:$E,'Data - Monthly Metrics'!$A:$A,$B$4,'Data - Monthly Metrics'!$B:$B,N$8,'Data - Monthly Metrics'!$C:$C,"Southwest",'Data - Monthly Metrics'!$D:$D,"Goal - Penetration %")-0.05)</formula>
    </cfRule>
    <cfRule type="expression" rank="0" priority="327" equalAverage="0" aboveAverage="0" dxfId="1" stopIfTrue="1" text="" percent="0" bottom="0">
      <formula>AND(ISNUMBER(N107),COUNTIFS('Data - Monthly Metrics'!$A:$A,$B$4,'Data - Monthly Metrics'!$B:$B,N$8,'Data - Monthly Metrics'!$C:$C,"Southwest",'Data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Metrics'!$C:$C,"Southwest",'Data - Monthly Metrics'!$D:$D,"Goal - Penetration %")&gt;0,O107&gt;=SUMIFS('Data - Monthly Metrics'!$E:$E,'Data - Monthly Metrics'!$A:$A,$B$4,'Data - Monthly Metrics'!$B:$B,O$8,'Data - Monthly Metrics'!$C:$C,"Southwest",'Data - Monthly Metrics'!$D:$D,"Goal - Penetration %"))</formula>
    </cfRule>
    <cfRule type="expression" rank="0" priority="329" equalAverage="0" aboveAverage="0" dxfId="2" stopIfTrue="1" text="" percent="0" bottom="0">
      <formula>AND(ISNUMBER(O107),COUNTIFS('Data - Monthly Metrics'!$A:$A,$B$4,'Data - Monthly Metrics'!$B:$B,O$8,'Data - Monthly Metrics'!$C:$C,"Southwest",'Data - Monthly Metrics'!$D:$D,"Goal - Penetration %")&gt;0,O107&gt;=SUMIFS('Data - Monthly Metrics'!$E:$E,'Data - Monthly Metrics'!$A:$A,$B$4,'Data - Monthly Metrics'!$B:$B,O$8,'Data - Monthly Metrics'!$C:$C,"Southwest",'Data - Monthly Metrics'!$D:$D,"Goal - Penetration %")-0.05)</formula>
    </cfRule>
    <cfRule type="expression" rank="0" priority="330" equalAverage="0" aboveAverage="0" dxfId="1" stopIfTrue="1" text="" percent="0" bottom="0">
      <formula>AND(ISNUMBER(O107),COUNTIFS('Data - Monthly Metrics'!$A:$A,$B$4,'Data - Monthly Metrics'!$B:$B,O$8,'Data - Monthly Metrics'!$C:$C,"Southwest",'Data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Metrics'!$C:$C,"Southwest",'Data - Monthly Metrics'!$D:$D,"Goal - Penetration %")&gt;0,P107&gt;=SUMIFS('Data - Monthly Metrics'!$E:$E,'Data - Monthly Metrics'!$A:$A,$B$4,'Data - Monthly Metrics'!$B:$B,P$8,'Data - Monthly Metrics'!$C:$C,"Southwest",'Data - Monthly Metrics'!$D:$D,"Goal - Penetration %"))</formula>
    </cfRule>
    <cfRule type="expression" rank="0" priority="332" equalAverage="0" aboveAverage="0" dxfId="2" stopIfTrue="1" text="" percent="0" bottom="0">
      <formula>AND(ISNUMBER(P107),COUNTIFS('Data - Monthly Metrics'!$A:$A,$B$4,'Data - Monthly Metrics'!$B:$B,P$8,'Data - Monthly Metrics'!$C:$C,"Southwest",'Data - Monthly Metrics'!$D:$D,"Goal - Penetration %")&gt;0,P107&gt;=SUMIFS('Data - Monthly Metrics'!$E:$E,'Data - Monthly Metrics'!$A:$A,$B$4,'Data - Monthly Metrics'!$B:$B,P$8,'Data - Monthly Metrics'!$C:$C,"Southwest",'Data - Monthly Metrics'!$D:$D,"Goal - Penetration %")-0.05)</formula>
    </cfRule>
    <cfRule type="expression" rank="0" priority="333" equalAverage="0" aboveAverage="0" dxfId="1" stopIfTrue="1" text="" percent="0" bottom="0">
      <formula>AND(ISNUMBER(P107),COUNTIFS('Data - Monthly Metrics'!$A:$A,$B$4,'Data - Monthly Metrics'!$B:$B,P$8,'Data - Monthly Metrics'!$C:$C,"Southwest",'Data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Metrics'!$C:$C,"Southwest",'Data - Monthly Metrics'!$D:$D,"Goal - Retention %")&gt;0,B19&gt;=SUMIFS('Data - Monthly Metrics'!$E:$E,'Data - Monthly Metrics'!$A:$A,$B$4-1,'Data - Monthly Metrics'!$B:$B,B$8,'Data - Monthly Metrics'!$C:$C,"Southwest",'Data - Monthly Metrics'!$D:$D,"Goal - Retention %"))</formula>
    </cfRule>
    <cfRule type="expression" rank="0" priority="335" equalAverage="0" aboveAverage="0" dxfId="2" stopIfTrue="1" text="" percent="0" bottom="0">
      <formula>AND(ISNUMBER(B19),COUNTIFS('Data - Monthly Metrics'!$A:$A,$B$4-1,'Data - Monthly Metrics'!$B:$B,B$8,'Data - Monthly Metrics'!$C:$C,"Southwest",'Data - Monthly Metrics'!$D:$D,"Goal - Retention %")&gt;0,B19&gt;=SUMIFS('Data - Monthly Metrics'!$E:$E,'Data - Monthly Metrics'!$A:$A,$B$4-1,'Data - Monthly Metrics'!$B:$B,B$8,'Data - Monthly Metrics'!$C:$C,"Southwest",'Data - Monthly Metrics'!$D:$D,"Goal - Retention %")-0.05)</formula>
    </cfRule>
    <cfRule type="expression" rank="0" priority="336" equalAverage="0" aboveAverage="0" dxfId="1" stopIfTrue="1" text="" percent="0" bottom="0">
      <formula>AND(ISNUMBER(B19),COUNTIFS('Data - Monthly Metrics'!$A:$A,$B$4-1,'Data - Monthly Metrics'!$B:$B,B$8,'Data - Monthly Metrics'!$C:$C,"Southwest",'Data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Metrics'!$C:$C,"Southwest",'Data - Monthly Metrics'!$D:$D,"Goal - Retention %")&gt;0,C19&gt;=SUMIFS('Data - Monthly Metrics'!$E:$E,'Data - Monthly Metrics'!$A:$A,$B$4-1,'Data - Monthly Metrics'!$B:$B,C$8,'Data - Monthly Metrics'!$C:$C,"Southwest",'Data - Monthly Metrics'!$D:$D,"Goal - Retention %"))</formula>
    </cfRule>
    <cfRule type="expression" rank="0" priority="338" equalAverage="0" aboveAverage="0" dxfId="2" stopIfTrue="1" text="" percent="0" bottom="0">
      <formula>AND(ISNUMBER(C19),COUNTIFS('Data - Monthly Metrics'!$A:$A,$B$4-1,'Data - Monthly Metrics'!$B:$B,C$8,'Data - Monthly Metrics'!$C:$C,"Southwest",'Data - Monthly Metrics'!$D:$D,"Goal - Retention %")&gt;0,C19&gt;=SUMIFS('Data - Monthly Metrics'!$E:$E,'Data - Monthly Metrics'!$A:$A,$B$4-1,'Data - Monthly Metrics'!$B:$B,C$8,'Data - Monthly Metrics'!$C:$C,"Southwest",'Data - Monthly Metrics'!$D:$D,"Goal - Retention %")-0.05)</formula>
    </cfRule>
    <cfRule type="expression" rank="0" priority="339" equalAverage="0" aboveAverage="0" dxfId="1" stopIfTrue="1" text="" percent="0" bottom="0">
      <formula>AND(ISNUMBER(C19),COUNTIFS('Data - Monthly Metrics'!$A:$A,$B$4-1,'Data - Monthly Metrics'!$B:$B,C$8,'Data - Monthly Metrics'!$C:$C,"Southwest",'Data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Metrics'!$C:$C,"Southwest",'Data - Monthly Metrics'!$D:$D,"Goal - Retention %")&gt;0,D19&gt;=SUMIFS('Data - Monthly Metrics'!$E:$E,'Data - Monthly Metrics'!$A:$A,$B$4-1,'Data - Monthly Metrics'!$B:$B,D$8,'Data - Monthly Metrics'!$C:$C,"Southwest",'Data - Monthly Metrics'!$D:$D,"Goal - Retention %"))</formula>
    </cfRule>
    <cfRule type="expression" rank="0" priority="341" equalAverage="0" aboveAverage="0" dxfId="2" stopIfTrue="1" text="" percent="0" bottom="0">
      <formula>AND(ISNUMBER(D19),COUNTIFS('Data - Monthly Metrics'!$A:$A,$B$4-1,'Data - Monthly Metrics'!$B:$B,D$8,'Data - Monthly Metrics'!$C:$C,"Southwest",'Data - Monthly Metrics'!$D:$D,"Goal - Retention %")&gt;0,D19&gt;=SUMIFS('Data - Monthly Metrics'!$E:$E,'Data - Monthly Metrics'!$A:$A,$B$4-1,'Data - Monthly Metrics'!$B:$B,D$8,'Data - Monthly Metrics'!$C:$C,"Southwest",'Data - Monthly Metrics'!$D:$D,"Goal - Retention %")-0.05)</formula>
    </cfRule>
    <cfRule type="expression" rank="0" priority="342" equalAverage="0" aboveAverage="0" dxfId="1" stopIfTrue="1" text="" percent="0" bottom="0">
      <formula>AND(ISNUMBER(D19),COUNTIFS('Data - Monthly Metrics'!$A:$A,$B$4-1,'Data - Monthly Metrics'!$B:$B,D$8,'Data - Monthly Metrics'!$C:$C,"Southwest",'Data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Metrics'!$C:$C,"Southwest",'Data - Monthly Metrics'!$D:$D,"Goal - Retention %")&gt;0,F19&gt;=SUMIFS('Data - Monthly Metrics'!$E:$E,'Data - Monthly Metrics'!$A:$A,$B$4,'Data - Monthly Metrics'!$B:$B,F$8,'Data - Monthly Metrics'!$C:$C,"Southwest",'Data - Monthly Metrics'!$D:$D,"Goal - Retention %"))</formula>
    </cfRule>
    <cfRule type="expression" rank="0" priority="344" equalAverage="0" aboveAverage="0" dxfId="2" stopIfTrue="1" text="" percent="0" bottom="0">
      <formula>AND(ISNUMBER(F19),COUNTIFS('Data - Monthly Metrics'!$A:$A,$B$4,'Data - Monthly Metrics'!$B:$B,F$8,'Data - Monthly Metrics'!$C:$C,"Southwest",'Data - Monthly Metrics'!$D:$D,"Goal - Retention %")&gt;0,F19&gt;=SUMIFS('Data - Monthly Metrics'!$E:$E,'Data - Monthly Metrics'!$A:$A,$B$4,'Data - Monthly Metrics'!$B:$B,F$8,'Data - Monthly Metrics'!$C:$C,"Southwest",'Data - Monthly Metrics'!$D:$D,"Goal - Retention %")-0.05)</formula>
    </cfRule>
    <cfRule type="expression" rank="0" priority="345" equalAverage="0" aboveAverage="0" dxfId="1" stopIfTrue="1" text="" percent="0" bottom="0">
      <formula>AND(ISNUMBER(F19),COUNTIFS('Data - Monthly Metrics'!$A:$A,$B$4,'Data - Monthly Metrics'!$B:$B,F$8,'Data - Monthly Metrics'!$C:$C,"Southwest",'Data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Metrics'!$C:$C,"Southwest",'Data - Monthly Metrics'!$D:$D,"Goal - Retention %")&gt;0,G19&gt;=SUMIFS('Data - Monthly Metrics'!$E:$E,'Data - Monthly Metrics'!$A:$A,$B$4,'Data - Monthly Metrics'!$B:$B,G$8,'Data - Monthly Metrics'!$C:$C,"Southwest",'Data - Monthly Metrics'!$D:$D,"Goal - Retention %"))</formula>
    </cfRule>
    <cfRule type="expression" rank="0" priority="347" equalAverage="0" aboveAverage="0" dxfId="2" stopIfTrue="1" text="" percent="0" bottom="0">
      <formula>AND(ISNUMBER(G19),COUNTIFS('Data - Monthly Metrics'!$A:$A,$B$4,'Data - Monthly Metrics'!$B:$B,G$8,'Data - Monthly Metrics'!$C:$C,"Southwest",'Data - Monthly Metrics'!$D:$D,"Goal - Retention %")&gt;0,G19&gt;=SUMIFS('Data - Monthly Metrics'!$E:$E,'Data - Monthly Metrics'!$A:$A,$B$4,'Data - Monthly Metrics'!$B:$B,G$8,'Data - Monthly Metrics'!$C:$C,"Southwest",'Data - Monthly Metrics'!$D:$D,"Goal - Retention %")-0.05)</formula>
    </cfRule>
    <cfRule type="expression" rank="0" priority="348" equalAverage="0" aboveAverage="0" dxfId="1" stopIfTrue="1" text="" percent="0" bottom="0">
      <formula>AND(ISNUMBER(G19),COUNTIFS('Data - Monthly Metrics'!$A:$A,$B$4,'Data - Monthly Metrics'!$B:$B,G$8,'Data - Monthly Metrics'!$C:$C,"Southwest",'Data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Metrics'!$C:$C,"Southwest",'Data - Monthly Metrics'!$D:$D,"Goal - Retention %")&gt;0,H19&gt;=SUMIFS('Data - Monthly Metrics'!$E:$E,'Data - Monthly Metrics'!$A:$A,$B$4,'Data - Monthly Metrics'!$B:$B,H$8,'Data - Monthly Metrics'!$C:$C,"Southwest",'Data - Monthly Metrics'!$D:$D,"Goal - Retention %"))</formula>
    </cfRule>
    <cfRule type="expression" rank="0" priority="350" equalAverage="0" aboveAverage="0" dxfId="2" stopIfTrue="1" text="" percent="0" bottom="0">
      <formula>AND(ISNUMBER(H19),COUNTIFS('Data - Monthly Metrics'!$A:$A,$B$4,'Data - Monthly Metrics'!$B:$B,H$8,'Data - Monthly Metrics'!$C:$C,"Southwest",'Data - Monthly Metrics'!$D:$D,"Goal - Retention %")&gt;0,H19&gt;=SUMIFS('Data - Monthly Metrics'!$E:$E,'Data - Monthly Metrics'!$A:$A,$B$4,'Data - Monthly Metrics'!$B:$B,H$8,'Data - Monthly Metrics'!$C:$C,"Southwest",'Data - Monthly Metrics'!$D:$D,"Goal - Retention %")-0.05)</formula>
    </cfRule>
    <cfRule type="expression" rank="0" priority="351" equalAverage="0" aboveAverage="0" dxfId="1" stopIfTrue="1" text="" percent="0" bottom="0">
      <formula>AND(ISNUMBER(H19),COUNTIFS('Data - Monthly Metrics'!$A:$A,$B$4,'Data - Monthly Metrics'!$B:$B,H$8,'Data - Monthly Metrics'!$C:$C,"Southwest",'Data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Metrics'!$C:$C,"Southwest",'Data - Monthly Metrics'!$D:$D,"Goal - Retention %")&gt;0,J19&gt;=SUMIFS('Data - Monthly Metrics'!$E:$E,'Data - Monthly Metrics'!$A:$A,$B$4,'Data - Monthly Metrics'!$B:$B,J$8,'Data - Monthly Metrics'!$C:$C,"Southwest",'Data - Monthly Metrics'!$D:$D,"Goal - Retention %"))</formula>
    </cfRule>
    <cfRule type="expression" rank="0" priority="353" equalAverage="0" aboveAverage="0" dxfId="2" stopIfTrue="1" text="" percent="0" bottom="0">
      <formula>AND(ISNUMBER(J19),COUNTIFS('Data - Monthly Metrics'!$A:$A,$B$4,'Data - Monthly Metrics'!$B:$B,J$8,'Data - Monthly Metrics'!$C:$C,"Southwest",'Data - Monthly Metrics'!$D:$D,"Goal - Retention %")&gt;0,J19&gt;=SUMIFS('Data - Monthly Metrics'!$E:$E,'Data - Monthly Metrics'!$A:$A,$B$4,'Data - Monthly Metrics'!$B:$B,J$8,'Data - Monthly Metrics'!$C:$C,"Southwest",'Data - Monthly Metrics'!$D:$D,"Goal - Retention %")-0.05)</formula>
    </cfRule>
    <cfRule type="expression" rank="0" priority="354" equalAverage="0" aboveAverage="0" dxfId="1" stopIfTrue="1" text="" percent="0" bottom="0">
      <formula>AND(ISNUMBER(J19),COUNTIFS('Data - Monthly Metrics'!$A:$A,$B$4,'Data - Monthly Metrics'!$B:$B,J$8,'Data - Monthly Metrics'!$C:$C,"Southwest",'Data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Metrics'!$C:$C,"Southwest",'Data - Monthly Metrics'!$D:$D,"Goal - Retention %")&gt;0,K19&gt;=SUMIFS('Data - Monthly Metrics'!$E:$E,'Data - Monthly Metrics'!$A:$A,$B$4,'Data - Monthly Metrics'!$B:$B,K$8,'Data - Monthly Metrics'!$C:$C,"Southwest",'Data - Monthly Metrics'!$D:$D,"Goal - Retention %"))</formula>
    </cfRule>
    <cfRule type="expression" rank="0" priority="356" equalAverage="0" aboveAverage="0" dxfId="2" stopIfTrue="1" text="" percent="0" bottom="0">
      <formula>AND(ISNUMBER(K19),COUNTIFS('Data - Monthly Metrics'!$A:$A,$B$4,'Data - Monthly Metrics'!$B:$B,K$8,'Data - Monthly Metrics'!$C:$C,"Southwest",'Data - Monthly Metrics'!$D:$D,"Goal - Retention %")&gt;0,K19&gt;=SUMIFS('Data - Monthly Metrics'!$E:$E,'Data - Monthly Metrics'!$A:$A,$B$4,'Data - Monthly Metrics'!$B:$B,K$8,'Data - Monthly Metrics'!$C:$C,"Southwest",'Data - Monthly Metrics'!$D:$D,"Goal - Retention %")-0.05)</formula>
    </cfRule>
    <cfRule type="expression" rank="0" priority="357" equalAverage="0" aboveAverage="0" dxfId="1" stopIfTrue="1" text="" percent="0" bottom="0">
      <formula>AND(ISNUMBER(K19),COUNTIFS('Data - Monthly Metrics'!$A:$A,$B$4,'Data - Monthly Metrics'!$B:$B,K$8,'Data - Monthly Metrics'!$C:$C,"Southwest",'Data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Metrics'!$C:$C,"Southwest",'Data - Monthly Metrics'!$D:$D,"Goal - Retention %")&gt;0,L19&gt;=SUMIFS('Data - Monthly Metrics'!$E:$E,'Data - Monthly Metrics'!$A:$A,$B$4,'Data - Monthly Metrics'!$B:$B,L$8,'Data - Monthly Metrics'!$C:$C,"Southwest",'Data - Monthly Metrics'!$D:$D,"Goal - Retention %"))</formula>
    </cfRule>
    <cfRule type="expression" rank="0" priority="359" equalAverage="0" aboveAverage="0" dxfId="2" stopIfTrue="1" text="" percent="0" bottom="0">
      <formula>AND(ISNUMBER(L19),COUNTIFS('Data - Monthly Metrics'!$A:$A,$B$4,'Data - Monthly Metrics'!$B:$B,L$8,'Data - Monthly Metrics'!$C:$C,"Southwest",'Data - Monthly Metrics'!$D:$D,"Goal - Retention %")&gt;0,L19&gt;=SUMIFS('Data - Monthly Metrics'!$E:$E,'Data - Monthly Metrics'!$A:$A,$B$4,'Data - Monthly Metrics'!$B:$B,L$8,'Data - Monthly Metrics'!$C:$C,"Southwest",'Data - Monthly Metrics'!$D:$D,"Goal - Retention %")-0.05)</formula>
    </cfRule>
    <cfRule type="expression" rank="0" priority="360" equalAverage="0" aboveAverage="0" dxfId="1" stopIfTrue="1" text="" percent="0" bottom="0">
      <formula>AND(ISNUMBER(L19),COUNTIFS('Data - Monthly Metrics'!$A:$A,$B$4,'Data - Monthly Metrics'!$B:$B,L$8,'Data - Monthly Metrics'!$C:$C,"Southwest",'Data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Metrics'!$C:$C,"Southwest",'Data - Monthly Metrics'!$D:$D,"Goal - Retention %")&gt;0,N19&gt;=SUMIFS('Data - Monthly Metrics'!$E:$E,'Data - Monthly Metrics'!$A:$A,$B$4,'Data - Monthly Metrics'!$B:$B,N$8,'Data - Monthly Metrics'!$C:$C,"Southwest",'Data - Monthly Metrics'!$D:$D,"Goal - Retention %"))</formula>
    </cfRule>
    <cfRule type="expression" rank="0" priority="362" equalAverage="0" aboveAverage="0" dxfId="2" stopIfTrue="1" text="" percent="0" bottom="0">
      <formula>AND(ISNUMBER(N19),COUNTIFS('Data - Monthly Metrics'!$A:$A,$B$4,'Data - Monthly Metrics'!$B:$B,N$8,'Data - Monthly Metrics'!$C:$C,"Southwest",'Data - Monthly Metrics'!$D:$D,"Goal - Retention %")&gt;0,N19&gt;=SUMIFS('Data - Monthly Metrics'!$E:$E,'Data - Monthly Metrics'!$A:$A,$B$4,'Data - Monthly Metrics'!$B:$B,N$8,'Data - Monthly Metrics'!$C:$C,"Southwest",'Data - Monthly Metrics'!$D:$D,"Goal - Retention %")-0.05)</formula>
    </cfRule>
    <cfRule type="expression" rank="0" priority="363" equalAverage="0" aboveAverage="0" dxfId="1" stopIfTrue="1" text="" percent="0" bottom="0">
      <formula>AND(ISNUMBER(N19),COUNTIFS('Data - Monthly Metrics'!$A:$A,$B$4,'Data - Monthly Metrics'!$B:$B,N$8,'Data - Monthly Metrics'!$C:$C,"Southwest",'Data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Metrics'!$C:$C,"Southwest",'Data - Monthly Metrics'!$D:$D,"Goal - Retention %")&gt;0,O19&gt;=SUMIFS('Data - Monthly Metrics'!$E:$E,'Data - Monthly Metrics'!$A:$A,$B$4,'Data - Monthly Metrics'!$B:$B,O$8,'Data - Monthly Metrics'!$C:$C,"Southwest",'Data - Monthly Metrics'!$D:$D,"Goal - Retention %"))</formula>
    </cfRule>
    <cfRule type="expression" rank="0" priority="365" equalAverage="0" aboveAverage="0" dxfId="2" stopIfTrue="1" text="" percent="0" bottom="0">
      <formula>AND(ISNUMBER(O19),COUNTIFS('Data - Monthly Metrics'!$A:$A,$B$4,'Data - Monthly Metrics'!$B:$B,O$8,'Data - Monthly Metrics'!$C:$C,"Southwest",'Data - Monthly Metrics'!$D:$D,"Goal - Retention %")&gt;0,O19&gt;=SUMIFS('Data - Monthly Metrics'!$E:$E,'Data - Monthly Metrics'!$A:$A,$B$4,'Data - Monthly Metrics'!$B:$B,O$8,'Data - Monthly Metrics'!$C:$C,"Southwest",'Data - Monthly Metrics'!$D:$D,"Goal - Retention %")-0.05)</formula>
    </cfRule>
    <cfRule type="expression" rank="0" priority="366" equalAverage="0" aboveAverage="0" dxfId="1" stopIfTrue="1" text="" percent="0" bottom="0">
      <formula>AND(ISNUMBER(O19),COUNTIFS('Data - Monthly Metrics'!$A:$A,$B$4,'Data - Monthly Metrics'!$B:$B,O$8,'Data - Monthly Metrics'!$C:$C,"Southwest",'Data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Metrics'!$C:$C,"Southwest",'Data - Monthly Metrics'!$D:$D,"Goal - Retention %")&gt;0,P19&gt;=SUMIFS('Data - Monthly Metrics'!$E:$E,'Data - Monthly Metrics'!$A:$A,$B$4,'Data - Monthly Metrics'!$B:$B,P$8,'Data - Monthly Metrics'!$C:$C,"Southwest",'Data - Monthly Metrics'!$D:$D,"Goal - Retention %"))</formula>
    </cfRule>
    <cfRule type="expression" rank="0" priority="368" equalAverage="0" aboveAverage="0" dxfId="2" stopIfTrue="1" text="" percent="0" bottom="0">
      <formula>AND(ISNUMBER(P19),COUNTIFS('Data - Monthly Metrics'!$A:$A,$B$4,'Data - Monthly Metrics'!$B:$B,P$8,'Data - Monthly Metrics'!$C:$C,"Southwest",'Data - Monthly Metrics'!$D:$D,"Goal - Retention %")&gt;0,P19&gt;=SUMIFS('Data - Monthly Metrics'!$E:$E,'Data - Monthly Metrics'!$A:$A,$B$4,'Data - Monthly Metrics'!$B:$B,P$8,'Data - Monthly Metrics'!$C:$C,"Southwest",'Data - Monthly Metrics'!$D:$D,"Goal - Retention %")-0.05)</formula>
    </cfRule>
    <cfRule type="expression" rank="0" priority="369" equalAverage="0" aboveAverage="0" dxfId="1" stopIfTrue="1" text="" percent="0" bottom="0">
      <formula>AND(ISNUMBER(P19),COUNTIFS('Data - Monthly Metrics'!$A:$A,$B$4,'Data - Monthly Metrics'!$B:$B,P$8,'Data - Monthly Metrics'!$C:$C,"Southwest",'Data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Metrics'!$C:$C,"Southwest",'Data - Monthly Metrics'!$D:$D,"Goal - Retention %")&gt;0,B28&gt;=SUMIFS('Data - Monthly Metrics'!$E:$E,'Data - Monthly Metrics'!$A:$A,$B$4-1,'Data - Monthly Metrics'!$B:$B,B$8,'Data - Monthly Metrics'!$C:$C,"Southwest",'Data - Monthly Metrics'!$D:$D,"Goal - Retention %"))</formula>
    </cfRule>
    <cfRule type="expression" rank="0" priority="371" equalAverage="0" aboveAverage="0" dxfId="2" stopIfTrue="1" text="" percent="0" bottom="0">
      <formula>AND(ISNUMBER(B28),COUNTIFS('Data - Monthly Metrics'!$A:$A,$B$4-1,'Data - Monthly Metrics'!$B:$B,B$8,'Data - Monthly Metrics'!$C:$C,"Southwest",'Data - Monthly Metrics'!$D:$D,"Goal - Retention %")&gt;0,B28&gt;=SUMIFS('Data - Monthly Metrics'!$E:$E,'Data - Monthly Metrics'!$A:$A,$B$4-1,'Data - Monthly Metrics'!$B:$B,B$8,'Data - Monthly Metrics'!$C:$C,"Southwest",'Data - Monthly Metrics'!$D:$D,"Goal - Retention %")-0.05)</formula>
    </cfRule>
    <cfRule type="expression" rank="0" priority="372" equalAverage="0" aboveAverage="0" dxfId="1" stopIfTrue="1" text="" percent="0" bottom="0">
      <formula>AND(ISNUMBER(B28),COUNTIFS('Data - Monthly Metrics'!$A:$A,$B$4-1,'Data - Monthly Metrics'!$B:$B,B$8,'Data - Monthly Metrics'!$C:$C,"Southwest",'Data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Metrics'!$C:$C,"Southwest",'Data - Monthly Metrics'!$D:$D,"Goal - Retention %")&gt;0,C28&gt;=SUMIFS('Data - Monthly Metrics'!$E:$E,'Data - Monthly Metrics'!$A:$A,$B$4-1,'Data - Monthly Metrics'!$B:$B,C$8,'Data - Monthly Metrics'!$C:$C,"Southwest",'Data - Monthly Metrics'!$D:$D,"Goal - Retention %"))</formula>
    </cfRule>
    <cfRule type="expression" rank="0" priority="374" equalAverage="0" aboveAverage="0" dxfId="2" stopIfTrue="1" text="" percent="0" bottom="0">
      <formula>AND(ISNUMBER(C28),COUNTIFS('Data - Monthly Metrics'!$A:$A,$B$4-1,'Data - Monthly Metrics'!$B:$B,C$8,'Data - Monthly Metrics'!$C:$C,"Southwest",'Data - Monthly Metrics'!$D:$D,"Goal - Retention %")&gt;0,C28&gt;=SUMIFS('Data - Monthly Metrics'!$E:$E,'Data - Monthly Metrics'!$A:$A,$B$4-1,'Data - Monthly Metrics'!$B:$B,C$8,'Data - Monthly Metrics'!$C:$C,"Southwest",'Data - Monthly Metrics'!$D:$D,"Goal - Retention %")-0.05)</formula>
    </cfRule>
    <cfRule type="expression" rank="0" priority="375" equalAverage="0" aboveAverage="0" dxfId="1" stopIfTrue="1" text="" percent="0" bottom="0">
      <formula>AND(ISNUMBER(C28),COUNTIFS('Data - Monthly Metrics'!$A:$A,$B$4-1,'Data - Monthly Metrics'!$B:$B,C$8,'Data - Monthly Metrics'!$C:$C,"Southwest",'Data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Metrics'!$C:$C,"Southwest",'Data - Monthly Metrics'!$D:$D,"Goal - Retention %")&gt;0,D28&gt;=SUMIFS('Data - Monthly Metrics'!$E:$E,'Data - Monthly Metrics'!$A:$A,$B$4-1,'Data - Monthly Metrics'!$B:$B,D$8,'Data - Monthly Metrics'!$C:$C,"Southwest",'Data - Monthly Metrics'!$D:$D,"Goal - Retention %"))</formula>
    </cfRule>
    <cfRule type="expression" rank="0" priority="377" equalAverage="0" aboveAverage="0" dxfId="2" stopIfTrue="1" text="" percent="0" bottom="0">
      <formula>AND(ISNUMBER(D28),COUNTIFS('Data - Monthly Metrics'!$A:$A,$B$4-1,'Data - Monthly Metrics'!$B:$B,D$8,'Data - Monthly Metrics'!$C:$C,"Southwest",'Data - Monthly Metrics'!$D:$D,"Goal - Retention %")&gt;0,D28&gt;=SUMIFS('Data - Monthly Metrics'!$E:$E,'Data - Monthly Metrics'!$A:$A,$B$4-1,'Data - Monthly Metrics'!$B:$B,D$8,'Data - Monthly Metrics'!$C:$C,"Southwest",'Data - Monthly Metrics'!$D:$D,"Goal - Retention %")-0.05)</formula>
    </cfRule>
    <cfRule type="expression" rank="0" priority="378" equalAverage="0" aboveAverage="0" dxfId="1" stopIfTrue="1" text="" percent="0" bottom="0">
      <formula>AND(ISNUMBER(D28),COUNTIFS('Data - Monthly Metrics'!$A:$A,$B$4-1,'Data - Monthly Metrics'!$B:$B,D$8,'Data - Monthly Metrics'!$C:$C,"Southwest",'Data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Metrics'!$C:$C,"Southwest",'Data - Monthly Metrics'!$D:$D,"Goal - Retention %")&gt;0,F28&gt;=SUMIFS('Data - Monthly Metrics'!$E:$E,'Data - Monthly Metrics'!$A:$A,$B$4,'Data - Monthly Metrics'!$B:$B,F$8,'Data - Monthly Metrics'!$C:$C,"Southwest",'Data - Monthly Metrics'!$D:$D,"Goal - Retention %"))</formula>
    </cfRule>
    <cfRule type="expression" rank="0" priority="380" equalAverage="0" aboveAverage="0" dxfId="2" stopIfTrue="1" text="" percent="0" bottom="0">
      <formula>AND(ISNUMBER(F28),COUNTIFS('Data - Monthly Metrics'!$A:$A,$B$4,'Data - Monthly Metrics'!$B:$B,F$8,'Data - Monthly Metrics'!$C:$C,"Southwest",'Data - Monthly Metrics'!$D:$D,"Goal - Retention %")&gt;0,F28&gt;=SUMIFS('Data - Monthly Metrics'!$E:$E,'Data - Monthly Metrics'!$A:$A,$B$4,'Data - Monthly Metrics'!$B:$B,F$8,'Data - Monthly Metrics'!$C:$C,"Southwest",'Data - Monthly Metrics'!$D:$D,"Goal - Retention %")-0.05)</formula>
    </cfRule>
    <cfRule type="expression" rank="0" priority="381" equalAverage="0" aboveAverage="0" dxfId="1" stopIfTrue="1" text="" percent="0" bottom="0">
      <formula>AND(ISNUMBER(F28),COUNTIFS('Data - Monthly Metrics'!$A:$A,$B$4,'Data - Monthly Metrics'!$B:$B,F$8,'Data - Monthly Metrics'!$C:$C,"Southwest",'Data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Metrics'!$C:$C,"Southwest",'Data - Monthly Metrics'!$D:$D,"Goal - Retention %")&gt;0,G28&gt;=SUMIFS('Data - Monthly Metrics'!$E:$E,'Data - Monthly Metrics'!$A:$A,$B$4,'Data - Monthly Metrics'!$B:$B,G$8,'Data - Monthly Metrics'!$C:$C,"Southwest",'Data - Monthly Metrics'!$D:$D,"Goal - Retention %"))</formula>
    </cfRule>
    <cfRule type="expression" rank="0" priority="383" equalAverage="0" aboveAverage="0" dxfId="2" stopIfTrue="1" text="" percent="0" bottom="0">
      <formula>AND(ISNUMBER(G28),COUNTIFS('Data - Monthly Metrics'!$A:$A,$B$4,'Data - Monthly Metrics'!$B:$B,G$8,'Data - Monthly Metrics'!$C:$C,"Southwest",'Data - Monthly Metrics'!$D:$D,"Goal - Retention %")&gt;0,G28&gt;=SUMIFS('Data - Monthly Metrics'!$E:$E,'Data - Monthly Metrics'!$A:$A,$B$4,'Data - Monthly Metrics'!$B:$B,G$8,'Data - Monthly Metrics'!$C:$C,"Southwest",'Data - Monthly Metrics'!$D:$D,"Goal - Retention %")-0.05)</formula>
    </cfRule>
    <cfRule type="expression" rank="0" priority="384" equalAverage="0" aboveAverage="0" dxfId="1" stopIfTrue="1" text="" percent="0" bottom="0">
      <formula>AND(ISNUMBER(G28),COUNTIFS('Data - Monthly Metrics'!$A:$A,$B$4,'Data - Monthly Metrics'!$B:$B,G$8,'Data - Monthly Metrics'!$C:$C,"Southwest",'Data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Metrics'!$C:$C,"Southwest",'Data - Monthly Metrics'!$D:$D,"Goal - Retention %")&gt;0,H28&gt;=SUMIFS('Data - Monthly Metrics'!$E:$E,'Data - Monthly Metrics'!$A:$A,$B$4,'Data - Monthly Metrics'!$B:$B,H$8,'Data - Monthly Metrics'!$C:$C,"Southwest",'Data - Monthly Metrics'!$D:$D,"Goal - Retention %"))</formula>
    </cfRule>
    <cfRule type="expression" rank="0" priority="386" equalAverage="0" aboveAverage="0" dxfId="2" stopIfTrue="1" text="" percent="0" bottom="0">
      <formula>AND(ISNUMBER(H28),COUNTIFS('Data - Monthly Metrics'!$A:$A,$B$4,'Data - Monthly Metrics'!$B:$B,H$8,'Data - Monthly Metrics'!$C:$C,"Southwest",'Data - Monthly Metrics'!$D:$D,"Goal - Retention %")&gt;0,H28&gt;=SUMIFS('Data - Monthly Metrics'!$E:$E,'Data - Monthly Metrics'!$A:$A,$B$4,'Data - Monthly Metrics'!$B:$B,H$8,'Data - Monthly Metrics'!$C:$C,"Southwest",'Data - Monthly Metrics'!$D:$D,"Goal - Retention %")-0.05)</formula>
    </cfRule>
    <cfRule type="expression" rank="0" priority="387" equalAverage="0" aboveAverage="0" dxfId="1" stopIfTrue="1" text="" percent="0" bottom="0">
      <formula>AND(ISNUMBER(H28),COUNTIFS('Data - Monthly Metrics'!$A:$A,$B$4,'Data - Monthly Metrics'!$B:$B,H$8,'Data - Monthly Metrics'!$C:$C,"Southwest",'Data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Metrics'!$C:$C,"Southwest",'Data - Monthly Metrics'!$D:$D,"Goal - Retention %")&gt;0,J28&gt;=SUMIFS('Data - Monthly Metrics'!$E:$E,'Data - Monthly Metrics'!$A:$A,$B$4,'Data - Monthly Metrics'!$B:$B,J$8,'Data - Monthly Metrics'!$C:$C,"Southwest",'Data - Monthly Metrics'!$D:$D,"Goal - Retention %"))</formula>
    </cfRule>
    <cfRule type="expression" rank="0" priority="389" equalAverage="0" aboveAverage="0" dxfId="2" stopIfTrue="1" text="" percent="0" bottom="0">
      <formula>AND(ISNUMBER(J28),COUNTIFS('Data - Monthly Metrics'!$A:$A,$B$4,'Data - Monthly Metrics'!$B:$B,J$8,'Data - Monthly Metrics'!$C:$C,"Southwest",'Data - Monthly Metrics'!$D:$D,"Goal - Retention %")&gt;0,J28&gt;=SUMIFS('Data - Monthly Metrics'!$E:$E,'Data - Monthly Metrics'!$A:$A,$B$4,'Data - Monthly Metrics'!$B:$B,J$8,'Data - Monthly Metrics'!$C:$C,"Southwest",'Data - Monthly Metrics'!$D:$D,"Goal - Retention %")-0.05)</formula>
    </cfRule>
    <cfRule type="expression" rank="0" priority="390" equalAverage="0" aboveAverage="0" dxfId="1" stopIfTrue="1" text="" percent="0" bottom="0">
      <formula>AND(ISNUMBER(J28),COUNTIFS('Data - Monthly Metrics'!$A:$A,$B$4,'Data - Monthly Metrics'!$B:$B,J$8,'Data - Monthly Metrics'!$C:$C,"Southwest",'Data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Metrics'!$C:$C,"Southwest",'Data - Monthly Metrics'!$D:$D,"Goal - Retention %")&gt;0,K28&gt;=SUMIFS('Data - Monthly Metrics'!$E:$E,'Data - Monthly Metrics'!$A:$A,$B$4,'Data - Monthly Metrics'!$B:$B,K$8,'Data - Monthly Metrics'!$C:$C,"Southwest",'Data - Monthly Metrics'!$D:$D,"Goal - Retention %"))</formula>
    </cfRule>
    <cfRule type="expression" rank="0" priority="392" equalAverage="0" aboveAverage="0" dxfId="2" stopIfTrue="1" text="" percent="0" bottom="0">
      <formula>AND(ISNUMBER(K28),COUNTIFS('Data - Monthly Metrics'!$A:$A,$B$4,'Data - Monthly Metrics'!$B:$B,K$8,'Data - Monthly Metrics'!$C:$C,"Southwest",'Data - Monthly Metrics'!$D:$D,"Goal - Retention %")&gt;0,K28&gt;=SUMIFS('Data - Monthly Metrics'!$E:$E,'Data - Monthly Metrics'!$A:$A,$B$4,'Data - Monthly Metrics'!$B:$B,K$8,'Data - Monthly Metrics'!$C:$C,"Southwest",'Data - Monthly Metrics'!$D:$D,"Goal - Retention %")-0.05)</formula>
    </cfRule>
    <cfRule type="expression" rank="0" priority="393" equalAverage="0" aboveAverage="0" dxfId="1" stopIfTrue="1" text="" percent="0" bottom="0">
      <formula>AND(ISNUMBER(K28),COUNTIFS('Data - Monthly Metrics'!$A:$A,$B$4,'Data - Monthly Metrics'!$B:$B,K$8,'Data - Monthly Metrics'!$C:$C,"Southwest",'Data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Metrics'!$C:$C,"Southwest",'Data - Monthly Metrics'!$D:$D,"Goal - Retention %")&gt;0,L28&gt;=SUMIFS('Data - Monthly Metrics'!$E:$E,'Data - Monthly Metrics'!$A:$A,$B$4,'Data - Monthly Metrics'!$B:$B,L$8,'Data - Monthly Metrics'!$C:$C,"Southwest",'Data - Monthly Metrics'!$D:$D,"Goal - Retention %"))</formula>
    </cfRule>
    <cfRule type="expression" rank="0" priority="395" equalAverage="0" aboveAverage="0" dxfId="2" stopIfTrue="1" text="" percent="0" bottom="0">
      <formula>AND(ISNUMBER(L28),COUNTIFS('Data - Monthly Metrics'!$A:$A,$B$4,'Data - Monthly Metrics'!$B:$B,L$8,'Data - Monthly Metrics'!$C:$C,"Southwest",'Data - Monthly Metrics'!$D:$D,"Goal - Retention %")&gt;0,L28&gt;=SUMIFS('Data - Monthly Metrics'!$E:$E,'Data - Monthly Metrics'!$A:$A,$B$4,'Data - Monthly Metrics'!$B:$B,L$8,'Data - Monthly Metrics'!$C:$C,"Southwest",'Data - Monthly Metrics'!$D:$D,"Goal - Retention %")-0.05)</formula>
    </cfRule>
    <cfRule type="expression" rank="0" priority="396" equalAverage="0" aboveAverage="0" dxfId="1" stopIfTrue="1" text="" percent="0" bottom="0">
      <formula>AND(ISNUMBER(L28),COUNTIFS('Data - Monthly Metrics'!$A:$A,$B$4,'Data - Monthly Metrics'!$B:$B,L$8,'Data - Monthly Metrics'!$C:$C,"Southwest",'Data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Metrics'!$C:$C,"Southwest",'Data - Monthly Metrics'!$D:$D,"Goal - Retention %")&gt;0,N28&gt;=SUMIFS('Data - Monthly Metrics'!$E:$E,'Data - Monthly Metrics'!$A:$A,$B$4,'Data - Monthly Metrics'!$B:$B,N$8,'Data - Monthly Metrics'!$C:$C,"Southwest",'Data - Monthly Metrics'!$D:$D,"Goal - Retention %"))</formula>
    </cfRule>
    <cfRule type="expression" rank="0" priority="398" equalAverage="0" aboveAverage="0" dxfId="2" stopIfTrue="1" text="" percent="0" bottom="0">
      <formula>AND(ISNUMBER(N28),COUNTIFS('Data - Monthly Metrics'!$A:$A,$B$4,'Data - Monthly Metrics'!$B:$B,N$8,'Data - Monthly Metrics'!$C:$C,"Southwest",'Data - Monthly Metrics'!$D:$D,"Goal - Retention %")&gt;0,N28&gt;=SUMIFS('Data - Monthly Metrics'!$E:$E,'Data - Monthly Metrics'!$A:$A,$B$4,'Data - Monthly Metrics'!$B:$B,N$8,'Data - Monthly Metrics'!$C:$C,"Southwest",'Data - Monthly Metrics'!$D:$D,"Goal - Retention %")-0.05)</formula>
    </cfRule>
    <cfRule type="expression" rank="0" priority="399" equalAverage="0" aboveAverage="0" dxfId="1" stopIfTrue="1" text="" percent="0" bottom="0">
      <formula>AND(ISNUMBER(N28),COUNTIFS('Data - Monthly Metrics'!$A:$A,$B$4,'Data - Monthly Metrics'!$B:$B,N$8,'Data - Monthly Metrics'!$C:$C,"Southwest",'Data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Metrics'!$C:$C,"Southwest",'Data - Monthly Metrics'!$D:$D,"Goal - Retention %")&gt;0,O28&gt;=SUMIFS('Data - Monthly Metrics'!$E:$E,'Data - Monthly Metrics'!$A:$A,$B$4,'Data - Monthly Metrics'!$B:$B,O$8,'Data - Monthly Metrics'!$C:$C,"Southwest",'Data - Monthly Metrics'!$D:$D,"Goal - Retention %"))</formula>
    </cfRule>
    <cfRule type="expression" rank="0" priority="401" equalAverage="0" aboveAverage="0" dxfId="2" stopIfTrue="1" text="" percent="0" bottom="0">
      <formula>AND(ISNUMBER(O28),COUNTIFS('Data - Monthly Metrics'!$A:$A,$B$4,'Data - Monthly Metrics'!$B:$B,O$8,'Data - Monthly Metrics'!$C:$C,"Southwest",'Data - Monthly Metrics'!$D:$D,"Goal - Retention %")&gt;0,O28&gt;=SUMIFS('Data - Monthly Metrics'!$E:$E,'Data - Monthly Metrics'!$A:$A,$B$4,'Data - Monthly Metrics'!$B:$B,O$8,'Data - Monthly Metrics'!$C:$C,"Southwest",'Data - Monthly Metrics'!$D:$D,"Goal - Retention %")-0.05)</formula>
    </cfRule>
    <cfRule type="expression" rank="0" priority="402" equalAverage="0" aboveAverage="0" dxfId="1" stopIfTrue="1" text="" percent="0" bottom="0">
      <formula>AND(ISNUMBER(O28),COUNTIFS('Data - Monthly Metrics'!$A:$A,$B$4,'Data - Monthly Metrics'!$B:$B,O$8,'Data - Monthly Metrics'!$C:$C,"Southwest",'Data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Metrics'!$C:$C,"Southwest",'Data - Monthly Metrics'!$D:$D,"Goal - Retention %")&gt;0,P28&gt;=SUMIFS('Data - Monthly Metrics'!$E:$E,'Data - Monthly Metrics'!$A:$A,$B$4,'Data - Monthly Metrics'!$B:$B,P$8,'Data - Monthly Metrics'!$C:$C,"Southwest",'Data - Monthly Metrics'!$D:$D,"Goal - Retention %"))</formula>
    </cfRule>
    <cfRule type="expression" rank="0" priority="404" equalAverage="0" aboveAverage="0" dxfId="2" stopIfTrue="1" text="" percent="0" bottom="0">
      <formula>AND(ISNUMBER(P28),COUNTIFS('Data - Monthly Metrics'!$A:$A,$B$4,'Data - Monthly Metrics'!$B:$B,P$8,'Data - Monthly Metrics'!$C:$C,"Southwest",'Data - Monthly Metrics'!$D:$D,"Goal - Retention %")&gt;0,P28&gt;=SUMIFS('Data - Monthly Metrics'!$E:$E,'Data - Monthly Metrics'!$A:$A,$B$4,'Data - Monthly Metrics'!$B:$B,P$8,'Data - Monthly Metrics'!$C:$C,"Southwest",'Data - Monthly Metrics'!$D:$D,"Goal - Retention %")-0.05)</formula>
    </cfRule>
    <cfRule type="expression" rank="0" priority="405" equalAverage="0" aboveAverage="0" dxfId="1" stopIfTrue="1" text="" percent="0" bottom="0">
      <formula>AND(ISNUMBER(P28),COUNTIFS('Data - Monthly Metrics'!$A:$A,$B$4,'Data - Monthly Metrics'!$B:$B,P$8,'Data - Monthly Metrics'!$C:$C,"Southwest",'Data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Metrics'!$C:$C,"Southwest",'Data - Monthly Metrics'!$D:$D,"Goal - Penetration %")&gt;0,B29&gt;=SUMIFS('Data - Monthly Metrics'!$E:$E,'Data - Monthly Metrics'!$A:$A,$B$4-1,'Data - Monthly Metrics'!$B:$B,B$8,'Data - Monthly Metrics'!$C:$C,"Southwest",'Data - Monthly Metrics'!$D:$D,"Goal - Penetration %"))</formula>
    </cfRule>
    <cfRule type="expression" rank="0" priority="407" equalAverage="0" aboveAverage="0" dxfId="2" stopIfTrue="1" text="" percent="0" bottom="0">
      <formula>AND(ISNUMBER(B29),COUNTIFS('Data - Monthly Metrics'!$A:$A,$B$4-1,'Data - Monthly Metrics'!$B:$B,B$8,'Data - Monthly Metrics'!$C:$C,"Southwest",'Data - Monthly Metrics'!$D:$D,"Goal - Penetration %")&gt;0,B29&gt;=SUMIFS('Data - Monthly Metrics'!$E:$E,'Data - Monthly Metrics'!$A:$A,$B$4-1,'Data - Monthly Metrics'!$B:$B,B$8,'Data - Monthly Metrics'!$C:$C,"Southwest",'Data - Monthly Metrics'!$D:$D,"Goal - Penetration %")-0.05)</formula>
    </cfRule>
    <cfRule type="expression" rank="0" priority="408" equalAverage="0" aboveAverage="0" dxfId="1" stopIfTrue="1" text="" percent="0" bottom="0">
      <formula>AND(ISNUMBER(B29),COUNTIFS('Data - Monthly Metrics'!$A:$A,$B$4-1,'Data - Monthly Metrics'!$B:$B,B$8,'Data - Monthly Metrics'!$C:$C,"Southwest",'Data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Metrics'!$C:$C,"Southwest",'Data - Monthly Metrics'!$D:$D,"Goal - Penetration %")&gt;0,C29&gt;=SUMIFS('Data - Monthly Metrics'!$E:$E,'Data - Monthly Metrics'!$A:$A,$B$4-1,'Data - Monthly Metrics'!$B:$B,C$8,'Data - Monthly Metrics'!$C:$C,"Southwest",'Data - Monthly Metrics'!$D:$D,"Goal - Penetration %"))</formula>
    </cfRule>
    <cfRule type="expression" rank="0" priority="410" equalAverage="0" aboveAverage="0" dxfId="2" stopIfTrue="1" text="" percent="0" bottom="0">
      <formula>AND(ISNUMBER(C29),COUNTIFS('Data - Monthly Metrics'!$A:$A,$B$4-1,'Data - Monthly Metrics'!$B:$B,C$8,'Data - Monthly Metrics'!$C:$C,"Southwest",'Data - Monthly Metrics'!$D:$D,"Goal - Penetration %")&gt;0,C29&gt;=SUMIFS('Data - Monthly Metrics'!$E:$E,'Data - Monthly Metrics'!$A:$A,$B$4-1,'Data - Monthly Metrics'!$B:$B,C$8,'Data - Monthly Metrics'!$C:$C,"Southwest",'Data - Monthly Metrics'!$D:$D,"Goal - Penetration %")-0.05)</formula>
    </cfRule>
    <cfRule type="expression" rank="0" priority="411" equalAverage="0" aboveAverage="0" dxfId="1" stopIfTrue="1" text="" percent="0" bottom="0">
      <formula>AND(ISNUMBER(C29),COUNTIFS('Data - Monthly Metrics'!$A:$A,$B$4-1,'Data - Monthly Metrics'!$B:$B,C$8,'Data - Monthly Metrics'!$C:$C,"Southwest",'Data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Metrics'!$C:$C,"Southwest",'Data - Monthly Metrics'!$D:$D,"Goal - Penetration %")&gt;0,D29&gt;=SUMIFS('Data - Monthly Metrics'!$E:$E,'Data - Monthly Metrics'!$A:$A,$B$4-1,'Data - Monthly Metrics'!$B:$B,D$8,'Data - Monthly Metrics'!$C:$C,"Southwest",'Data - Monthly Metrics'!$D:$D,"Goal - Penetration %"))</formula>
    </cfRule>
    <cfRule type="expression" rank="0" priority="413" equalAverage="0" aboveAverage="0" dxfId="2" stopIfTrue="1" text="" percent="0" bottom="0">
      <formula>AND(ISNUMBER(D29),COUNTIFS('Data - Monthly Metrics'!$A:$A,$B$4-1,'Data - Monthly Metrics'!$B:$B,D$8,'Data - Monthly Metrics'!$C:$C,"Southwest",'Data - Monthly Metrics'!$D:$D,"Goal - Penetration %")&gt;0,D29&gt;=SUMIFS('Data - Monthly Metrics'!$E:$E,'Data - Monthly Metrics'!$A:$A,$B$4-1,'Data - Monthly Metrics'!$B:$B,D$8,'Data - Monthly Metrics'!$C:$C,"Southwest",'Data - Monthly Metrics'!$D:$D,"Goal - Penetration %")-0.05)</formula>
    </cfRule>
    <cfRule type="expression" rank="0" priority="414" equalAverage="0" aboveAverage="0" dxfId="1" stopIfTrue="1" text="" percent="0" bottom="0">
      <formula>AND(ISNUMBER(D29),COUNTIFS('Data - Monthly Metrics'!$A:$A,$B$4-1,'Data - Monthly Metrics'!$B:$B,D$8,'Data - Monthly Metrics'!$C:$C,"Southwest",'Data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Metrics'!$C:$C,"Southwest",'Data - Monthly Metrics'!$D:$D,"Goal - Penetration %")&gt;0,F29&gt;=SUMIFS('Data - Monthly Metrics'!$E:$E,'Data - Monthly Metrics'!$A:$A,$B$4,'Data - Monthly Metrics'!$B:$B,F$8,'Data - Monthly Metrics'!$C:$C,"Southwest",'Data - Monthly Metrics'!$D:$D,"Goal - Penetration %"))</formula>
    </cfRule>
    <cfRule type="expression" rank="0" priority="416" equalAverage="0" aboveAverage="0" dxfId="2" stopIfTrue="1" text="" percent="0" bottom="0">
      <formula>AND(ISNUMBER(F29),COUNTIFS('Data - Monthly Metrics'!$A:$A,$B$4,'Data - Monthly Metrics'!$B:$B,F$8,'Data - Monthly Metrics'!$C:$C,"Southwest",'Data - Monthly Metrics'!$D:$D,"Goal - Penetration %")&gt;0,F29&gt;=SUMIFS('Data - Monthly Metrics'!$E:$E,'Data - Monthly Metrics'!$A:$A,$B$4,'Data - Monthly Metrics'!$B:$B,F$8,'Data - Monthly Metrics'!$C:$C,"Southwest",'Data - Monthly Metrics'!$D:$D,"Goal - Penetration %")-0.05)</formula>
    </cfRule>
    <cfRule type="expression" rank="0" priority="417" equalAverage="0" aboveAverage="0" dxfId="1" stopIfTrue="1" text="" percent="0" bottom="0">
      <formula>AND(ISNUMBER(F29),COUNTIFS('Data - Monthly Metrics'!$A:$A,$B$4,'Data - Monthly Metrics'!$B:$B,F$8,'Data - Monthly Metrics'!$C:$C,"Southwest",'Data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Metrics'!$C:$C,"Southwest",'Data - Monthly Metrics'!$D:$D,"Goal - Penetration %")&gt;0,G29&gt;=SUMIFS('Data - Monthly Metrics'!$E:$E,'Data - Monthly Metrics'!$A:$A,$B$4,'Data - Monthly Metrics'!$B:$B,G$8,'Data - Monthly Metrics'!$C:$C,"Southwest",'Data - Monthly Metrics'!$D:$D,"Goal - Penetration %"))</formula>
    </cfRule>
    <cfRule type="expression" rank="0" priority="419" equalAverage="0" aboveAverage="0" dxfId="2" stopIfTrue="1" text="" percent="0" bottom="0">
      <formula>AND(ISNUMBER(G29),COUNTIFS('Data - Monthly Metrics'!$A:$A,$B$4,'Data - Monthly Metrics'!$B:$B,G$8,'Data - Monthly Metrics'!$C:$C,"Southwest",'Data - Monthly Metrics'!$D:$D,"Goal - Penetration %")&gt;0,G29&gt;=SUMIFS('Data - Monthly Metrics'!$E:$E,'Data - Monthly Metrics'!$A:$A,$B$4,'Data - Monthly Metrics'!$B:$B,G$8,'Data - Monthly Metrics'!$C:$C,"Southwest",'Data - Monthly Metrics'!$D:$D,"Goal - Penetration %")-0.05)</formula>
    </cfRule>
    <cfRule type="expression" rank="0" priority="420" equalAverage="0" aboveAverage="0" dxfId="1" stopIfTrue="1" text="" percent="0" bottom="0">
      <formula>AND(ISNUMBER(G29),COUNTIFS('Data - Monthly Metrics'!$A:$A,$B$4,'Data - Monthly Metrics'!$B:$B,G$8,'Data - Monthly Metrics'!$C:$C,"Southwest",'Data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Metrics'!$C:$C,"Southwest",'Data - Monthly Metrics'!$D:$D,"Goal - Penetration %")&gt;0,H29&gt;=SUMIFS('Data - Monthly Metrics'!$E:$E,'Data - Monthly Metrics'!$A:$A,$B$4,'Data - Monthly Metrics'!$B:$B,H$8,'Data - Monthly Metrics'!$C:$C,"Southwest",'Data - Monthly Metrics'!$D:$D,"Goal - Penetration %"))</formula>
    </cfRule>
    <cfRule type="expression" rank="0" priority="422" equalAverage="0" aboveAverage="0" dxfId="2" stopIfTrue="1" text="" percent="0" bottom="0">
      <formula>AND(ISNUMBER(H29),COUNTIFS('Data - Monthly Metrics'!$A:$A,$B$4,'Data - Monthly Metrics'!$B:$B,H$8,'Data - Monthly Metrics'!$C:$C,"Southwest",'Data - Monthly Metrics'!$D:$D,"Goal - Penetration %")&gt;0,H29&gt;=SUMIFS('Data - Monthly Metrics'!$E:$E,'Data - Monthly Metrics'!$A:$A,$B$4,'Data - Monthly Metrics'!$B:$B,H$8,'Data - Monthly Metrics'!$C:$C,"Southwest",'Data - Monthly Metrics'!$D:$D,"Goal - Penetration %")-0.05)</formula>
    </cfRule>
    <cfRule type="expression" rank="0" priority="423" equalAverage="0" aboveAverage="0" dxfId="1" stopIfTrue="1" text="" percent="0" bottom="0">
      <formula>AND(ISNUMBER(H29),COUNTIFS('Data - Monthly Metrics'!$A:$A,$B$4,'Data - Monthly Metrics'!$B:$B,H$8,'Data - Monthly Metrics'!$C:$C,"Southwest",'Data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Metrics'!$C:$C,"Southwest",'Data - Monthly Metrics'!$D:$D,"Goal - Penetration %")&gt;0,J29&gt;=SUMIFS('Data - Monthly Metrics'!$E:$E,'Data - Monthly Metrics'!$A:$A,$B$4,'Data - Monthly Metrics'!$B:$B,J$8,'Data - Monthly Metrics'!$C:$C,"Southwest",'Data - Monthly Metrics'!$D:$D,"Goal - Penetration %"))</formula>
    </cfRule>
    <cfRule type="expression" rank="0" priority="425" equalAverage="0" aboveAverage="0" dxfId="2" stopIfTrue="1" text="" percent="0" bottom="0">
      <formula>AND(ISNUMBER(J29),COUNTIFS('Data - Monthly Metrics'!$A:$A,$B$4,'Data - Monthly Metrics'!$B:$B,J$8,'Data - Monthly Metrics'!$C:$C,"Southwest",'Data - Monthly Metrics'!$D:$D,"Goal - Penetration %")&gt;0,J29&gt;=SUMIFS('Data - Monthly Metrics'!$E:$E,'Data - Monthly Metrics'!$A:$A,$B$4,'Data - Monthly Metrics'!$B:$B,J$8,'Data - Monthly Metrics'!$C:$C,"Southwest",'Data - Monthly Metrics'!$D:$D,"Goal - Penetration %")-0.05)</formula>
    </cfRule>
    <cfRule type="expression" rank="0" priority="426" equalAverage="0" aboveAverage="0" dxfId="1" stopIfTrue="1" text="" percent="0" bottom="0">
      <formula>AND(ISNUMBER(J29),COUNTIFS('Data - Monthly Metrics'!$A:$A,$B$4,'Data - Monthly Metrics'!$B:$B,J$8,'Data - Monthly Metrics'!$C:$C,"Southwest",'Data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Metrics'!$C:$C,"Southwest",'Data - Monthly Metrics'!$D:$D,"Goal - Penetration %")&gt;0,K29&gt;=SUMIFS('Data - Monthly Metrics'!$E:$E,'Data - Monthly Metrics'!$A:$A,$B$4,'Data - Monthly Metrics'!$B:$B,K$8,'Data - Monthly Metrics'!$C:$C,"Southwest",'Data - Monthly Metrics'!$D:$D,"Goal - Penetration %"))</formula>
    </cfRule>
    <cfRule type="expression" rank="0" priority="428" equalAverage="0" aboveAverage="0" dxfId="2" stopIfTrue="1" text="" percent="0" bottom="0">
      <formula>AND(ISNUMBER(K29),COUNTIFS('Data - Monthly Metrics'!$A:$A,$B$4,'Data - Monthly Metrics'!$B:$B,K$8,'Data - Monthly Metrics'!$C:$C,"Southwest",'Data - Monthly Metrics'!$D:$D,"Goal - Penetration %")&gt;0,K29&gt;=SUMIFS('Data - Monthly Metrics'!$E:$E,'Data - Monthly Metrics'!$A:$A,$B$4,'Data - Monthly Metrics'!$B:$B,K$8,'Data - Monthly Metrics'!$C:$C,"Southwest",'Data - Monthly Metrics'!$D:$D,"Goal - Penetration %")-0.05)</formula>
    </cfRule>
    <cfRule type="expression" rank="0" priority="429" equalAverage="0" aboveAverage="0" dxfId="1" stopIfTrue="1" text="" percent="0" bottom="0">
      <formula>AND(ISNUMBER(K29),COUNTIFS('Data - Monthly Metrics'!$A:$A,$B$4,'Data - Monthly Metrics'!$B:$B,K$8,'Data - Monthly Metrics'!$C:$C,"Southwest",'Data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Metrics'!$C:$C,"Southwest",'Data - Monthly Metrics'!$D:$D,"Goal - Penetration %")&gt;0,L29&gt;=SUMIFS('Data - Monthly Metrics'!$E:$E,'Data - Monthly Metrics'!$A:$A,$B$4,'Data - Monthly Metrics'!$B:$B,L$8,'Data - Monthly Metrics'!$C:$C,"Southwest",'Data - Monthly Metrics'!$D:$D,"Goal - Penetration %"))</formula>
    </cfRule>
    <cfRule type="expression" rank="0" priority="431" equalAverage="0" aboveAverage="0" dxfId="2" stopIfTrue="1" text="" percent="0" bottom="0">
      <formula>AND(ISNUMBER(L29),COUNTIFS('Data - Monthly Metrics'!$A:$A,$B$4,'Data - Monthly Metrics'!$B:$B,L$8,'Data - Monthly Metrics'!$C:$C,"Southwest",'Data - Monthly Metrics'!$D:$D,"Goal - Penetration %")&gt;0,L29&gt;=SUMIFS('Data - Monthly Metrics'!$E:$E,'Data - Monthly Metrics'!$A:$A,$B$4,'Data - Monthly Metrics'!$B:$B,L$8,'Data - Monthly Metrics'!$C:$C,"Southwest",'Data - Monthly Metrics'!$D:$D,"Goal - Penetration %")-0.05)</formula>
    </cfRule>
    <cfRule type="expression" rank="0" priority="432" equalAverage="0" aboveAverage="0" dxfId="1" stopIfTrue="1" text="" percent="0" bottom="0">
      <formula>AND(ISNUMBER(L29),COUNTIFS('Data - Monthly Metrics'!$A:$A,$B$4,'Data - Monthly Metrics'!$B:$B,L$8,'Data - Monthly Metrics'!$C:$C,"Southwest",'Data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Metrics'!$C:$C,"Southwest",'Data - Monthly Metrics'!$D:$D,"Goal - Penetration %")&gt;0,N29&gt;=SUMIFS('Data - Monthly Metrics'!$E:$E,'Data - Monthly Metrics'!$A:$A,$B$4,'Data - Monthly Metrics'!$B:$B,N$8,'Data - Monthly Metrics'!$C:$C,"Southwest",'Data - Monthly Metrics'!$D:$D,"Goal - Penetration %"))</formula>
    </cfRule>
    <cfRule type="expression" rank="0" priority="434" equalAverage="0" aboveAverage="0" dxfId="2" stopIfTrue="1" text="" percent="0" bottom="0">
      <formula>AND(ISNUMBER(N29),COUNTIFS('Data - Monthly Metrics'!$A:$A,$B$4,'Data - Monthly Metrics'!$B:$B,N$8,'Data - Monthly Metrics'!$C:$C,"Southwest",'Data - Monthly Metrics'!$D:$D,"Goal - Penetration %")&gt;0,N29&gt;=SUMIFS('Data - Monthly Metrics'!$E:$E,'Data - Monthly Metrics'!$A:$A,$B$4,'Data - Monthly Metrics'!$B:$B,N$8,'Data - Monthly Metrics'!$C:$C,"Southwest",'Data - Monthly Metrics'!$D:$D,"Goal - Penetration %")-0.05)</formula>
    </cfRule>
    <cfRule type="expression" rank="0" priority="435" equalAverage="0" aboveAverage="0" dxfId="1" stopIfTrue="1" text="" percent="0" bottom="0">
      <formula>AND(ISNUMBER(N29),COUNTIFS('Data - Monthly Metrics'!$A:$A,$B$4,'Data - Monthly Metrics'!$B:$B,N$8,'Data - Monthly Metrics'!$C:$C,"Southwest",'Data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Metrics'!$C:$C,"Southwest",'Data - Monthly Metrics'!$D:$D,"Goal - Penetration %")&gt;0,O29&gt;=SUMIFS('Data - Monthly Metrics'!$E:$E,'Data - Monthly Metrics'!$A:$A,$B$4,'Data - Monthly Metrics'!$B:$B,O$8,'Data - Monthly Metrics'!$C:$C,"Southwest",'Data - Monthly Metrics'!$D:$D,"Goal - Penetration %"))</formula>
    </cfRule>
    <cfRule type="expression" rank="0" priority="437" equalAverage="0" aboveAverage="0" dxfId="2" stopIfTrue="1" text="" percent="0" bottom="0">
      <formula>AND(ISNUMBER(O29),COUNTIFS('Data - Monthly Metrics'!$A:$A,$B$4,'Data - Monthly Metrics'!$B:$B,O$8,'Data - Monthly Metrics'!$C:$C,"Southwest",'Data - Monthly Metrics'!$D:$D,"Goal - Penetration %")&gt;0,O29&gt;=SUMIFS('Data - Monthly Metrics'!$E:$E,'Data - Monthly Metrics'!$A:$A,$B$4,'Data - Monthly Metrics'!$B:$B,O$8,'Data - Monthly Metrics'!$C:$C,"Southwest",'Data - Monthly Metrics'!$D:$D,"Goal - Penetration %")-0.05)</formula>
    </cfRule>
    <cfRule type="expression" rank="0" priority="438" equalAverage="0" aboveAverage="0" dxfId="1" stopIfTrue="1" text="" percent="0" bottom="0">
      <formula>AND(ISNUMBER(O29),COUNTIFS('Data - Monthly Metrics'!$A:$A,$B$4,'Data - Monthly Metrics'!$B:$B,O$8,'Data - Monthly Metrics'!$C:$C,"Southwest",'Data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Metrics'!$C:$C,"Southwest",'Data - Monthly Metrics'!$D:$D,"Goal - Penetration %")&gt;0,P29&gt;=SUMIFS('Data - Monthly Metrics'!$E:$E,'Data - Monthly Metrics'!$A:$A,$B$4,'Data - Monthly Metrics'!$B:$B,P$8,'Data - Monthly Metrics'!$C:$C,"Southwest",'Data - Monthly Metrics'!$D:$D,"Goal - Penetration %"))</formula>
    </cfRule>
    <cfRule type="expression" rank="0" priority="440" equalAverage="0" aboveAverage="0" dxfId="2" stopIfTrue="1" text="" percent="0" bottom="0">
      <formula>AND(ISNUMBER(P29),COUNTIFS('Data - Monthly Metrics'!$A:$A,$B$4,'Data - Monthly Metrics'!$B:$B,P$8,'Data - Monthly Metrics'!$C:$C,"Southwest",'Data - Monthly Metrics'!$D:$D,"Goal - Penetration %")&gt;0,P29&gt;=SUMIFS('Data - Monthly Metrics'!$E:$E,'Data - Monthly Metrics'!$A:$A,$B$4,'Data - Monthly Metrics'!$B:$B,P$8,'Data - Monthly Metrics'!$C:$C,"Southwest",'Data - Monthly Metrics'!$D:$D,"Goal - Penetration %")-0.05)</formula>
    </cfRule>
    <cfRule type="expression" rank="0" priority="441" equalAverage="0" aboveAverage="0" dxfId="1" stopIfTrue="1" text="" percent="0" bottom="0">
      <formula>AND(ISNUMBER(P29),COUNTIFS('Data - Monthly Metrics'!$A:$A,$B$4,'Data - Monthly Metrics'!$B:$B,P$8,'Data - Monthly Metrics'!$C:$C,"Southwest",'Data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Metrics'!$C:$C,"Southwest",'Data - Monthly Metrics'!$D:$D,"Goal - Penetration %")&gt;0,B30&gt;=SUMIFS('Data - Monthly Metrics'!$E:$E,'Data - Monthly Metrics'!$A:$A,$B$4-1,'Data - Monthly Metrics'!$B:$B,B$8,'Data - Monthly Metrics'!$C:$C,"Southwest",'Data - Monthly Metrics'!$D:$D,"Goal - Penetration %"))</formula>
    </cfRule>
    <cfRule type="expression" rank="0" priority="443" equalAverage="0" aboveAverage="0" dxfId="2" stopIfTrue="1" text="" percent="0" bottom="0">
      <formula>AND(ISNUMBER(B30),COUNTIFS('Data - Monthly Metrics'!$A:$A,$B$4-1,'Data - Monthly Metrics'!$B:$B,B$8,'Data - Monthly Metrics'!$C:$C,"Southwest",'Data - Monthly Metrics'!$D:$D,"Goal - Penetration %")&gt;0,B30&gt;=SUMIFS('Data - Monthly Metrics'!$E:$E,'Data - Monthly Metrics'!$A:$A,$B$4-1,'Data - Monthly Metrics'!$B:$B,B$8,'Data - Monthly Metrics'!$C:$C,"Southwest",'Data - Monthly Metrics'!$D:$D,"Goal - Penetration %")-0.05)</formula>
    </cfRule>
    <cfRule type="expression" rank="0" priority="444" equalAverage="0" aboveAverage="0" dxfId="1" stopIfTrue="1" text="" percent="0" bottom="0">
      <formula>AND(ISNUMBER(B30),COUNTIFS('Data - Monthly Metrics'!$A:$A,$B$4-1,'Data - Monthly Metrics'!$B:$B,B$8,'Data - Monthly Metrics'!$C:$C,"Southwest",'Data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Metrics'!$C:$C,"Southwest",'Data - Monthly Metrics'!$D:$D,"Goal - Penetration %")&gt;0,C30&gt;=SUMIFS('Data - Monthly Metrics'!$E:$E,'Data - Monthly Metrics'!$A:$A,$B$4-1,'Data - Monthly Metrics'!$B:$B,C$8,'Data - Monthly Metrics'!$C:$C,"Southwest",'Data - Monthly Metrics'!$D:$D,"Goal - Penetration %"))</formula>
    </cfRule>
    <cfRule type="expression" rank="0" priority="446" equalAverage="0" aboveAverage="0" dxfId="2" stopIfTrue="1" text="" percent="0" bottom="0">
      <formula>AND(ISNUMBER(C30),COUNTIFS('Data - Monthly Metrics'!$A:$A,$B$4-1,'Data - Monthly Metrics'!$B:$B,C$8,'Data - Monthly Metrics'!$C:$C,"Southwest",'Data - Monthly Metrics'!$D:$D,"Goal - Penetration %")&gt;0,C30&gt;=SUMIFS('Data - Monthly Metrics'!$E:$E,'Data - Monthly Metrics'!$A:$A,$B$4-1,'Data - Monthly Metrics'!$B:$B,C$8,'Data - Monthly Metrics'!$C:$C,"Southwest",'Data - Monthly Metrics'!$D:$D,"Goal - Penetration %")-0.05)</formula>
    </cfRule>
    <cfRule type="expression" rank="0" priority="447" equalAverage="0" aboveAverage="0" dxfId="1" stopIfTrue="1" text="" percent="0" bottom="0">
      <formula>AND(ISNUMBER(C30),COUNTIFS('Data - Monthly Metrics'!$A:$A,$B$4-1,'Data - Monthly Metrics'!$B:$B,C$8,'Data - Monthly Metrics'!$C:$C,"Southwest",'Data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Metrics'!$C:$C,"Southwest",'Data - Monthly Metrics'!$D:$D,"Goal - Penetration %")&gt;0,D30&gt;=SUMIFS('Data - Monthly Metrics'!$E:$E,'Data - Monthly Metrics'!$A:$A,$B$4-1,'Data - Monthly Metrics'!$B:$B,D$8,'Data - Monthly Metrics'!$C:$C,"Southwest",'Data - Monthly Metrics'!$D:$D,"Goal - Penetration %"))</formula>
    </cfRule>
    <cfRule type="expression" rank="0" priority="449" equalAverage="0" aboveAverage="0" dxfId="2" stopIfTrue="1" text="" percent="0" bottom="0">
      <formula>AND(ISNUMBER(D30),COUNTIFS('Data - Monthly Metrics'!$A:$A,$B$4-1,'Data - Monthly Metrics'!$B:$B,D$8,'Data - Monthly Metrics'!$C:$C,"Southwest",'Data - Monthly Metrics'!$D:$D,"Goal - Penetration %")&gt;0,D30&gt;=SUMIFS('Data - Monthly Metrics'!$E:$E,'Data - Monthly Metrics'!$A:$A,$B$4-1,'Data - Monthly Metrics'!$B:$B,D$8,'Data - Monthly Metrics'!$C:$C,"Southwest",'Data - Monthly Metrics'!$D:$D,"Goal - Penetration %")-0.05)</formula>
    </cfRule>
    <cfRule type="expression" rank="0" priority="450" equalAverage="0" aboveAverage="0" dxfId="1" stopIfTrue="1" text="" percent="0" bottom="0">
      <formula>AND(ISNUMBER(D30),COUNTIFS('Data - Monthly Metrics'!$A:$A,$B$4-1,'Data - Monthly Metrics'!$B:$B,D$8,'Data - Monthly Metrics'!$C:$C,"Southwest",'Data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Metrics'!$C:$C,"Southwest",'Data - Monthly Metrics'!$D:$D,"Goal - Penetration %")&gt;0,F30&gt;=SUMIFS('Data - Monthly Metrics'!$E:$E,'Data - Monthly Metrics'!$A:$A,$B$4,'Data - Monthly Metrics'!$B:$B,F$8,'Data - Monthly Metrics'!$C:$C,"Southwest",'Data - Monthly Metrics'!$D:$D,"Goal - Penetration %"))</formula>
    </cfRule>
    <cfRule type="expression" rank="0" priority="452" equalAverage="0" aboveAverage="0" dxfId="2" stopIfTrue="1" text="" percent="0" bottom="0">
      <formula>AND(ISNUMBER(F30),COUNTIFS('Data - Monthly Metrics'!$A:$A,$B$4,'Data - Monthly Metrics'!$B:$B,F$8,'Data - Monthly Metrics'!$C:$C,"Southwest",'Data - Monthly Metrics'!$D:$D,"Goal - Penetration %")&gt;0,F30&gt;=SUMIFS('Data - Monthly Metrics'!$E:$E,'Data - Monthly Metrics'!$A:$A,$B$4,'Data - Monthly Metrics'!$B:$B,F$8,'Data - Monthly Metrics'!$C:$C,"Southwest",'Data - Monthly Metrics'!$D:$D,"Goal - Penetration %")-0.05)</formula>
    </cfRule>
    <cfRule type="expression" rank="0" priority="453" equalAverage="0" aboveAverage="0" dxfId="1" stopIfTrue="1" text="" percent="0" bottom="0">
      <formula>AND(ISNUMBER(F30),COUNTIFS('Data - Monthly Metrics'!$A:$A,$B$4,'Data - Monthly Metrics'!$B:$B,F$8,'Data - Monthly Metrics'!$C:$C,"Southwest",'Data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Metrics'!$C:$C,"Southwest",'Data - Monthly Metrics'!$D:$D,"Goal - Penetration %")&gt;0,G30&gt;=SUMIFS('Data - Monthly Metrics'!$E:$E,'Data - Monthly Metrics'!$A:$A,$B$4,'Data - Monthly Metrics'!$B:$B,G$8,'Data - Monthly Metrics'!$C:$C,"Southwest",'Data - Monthly Metrics'!$D:$D,"Goal - Penetration %"))</formula>
    </cfRule>
    <cfRule type="expression" rank="0" priority="455" equalAverage="0" aboveAverage="0" dxfId="2" stopIfTrue="1" text="" percent="0" bottom="0">
      <formula>AND(ISNUMBER(G30),COUNTIFS('Data - Monthly Metrics'!$A:$A,$B$4,'Data - Monthly Metrics'!$B:$B,G$8,'Data - Monthly Metrics'!$C:$C,"Southwest",'Data - Monthly Metrics'!$D:$D,"Goal - Penetration %")&gt;0,G30&gt;=SUMIFS('Data - Monthly Metrics'!$E:$E,'Data - Monthly Metrics'!$A:$A,$B$4,'Data - Monthly Metrics'!$B:$B,G$8,'Data - Monthly Metrics'!$C:$C,"Southwest",'Data - Monthly Metrics'!$D:$D,"Goal - Penetration %")-0.05)</formula>
    </cfRule>
    <cfRule type="expression" rank="0" priority="456" equalAverage="0" aboveAverage="0" dxfId="1" stopIfTrue="1" text="" percent="0" bottom="0">
      <formula>AND(ISNUMBER(G30),COUNTIFS('Data - Monthly Metrics'!$A:$A,$B$4,'Data - Monthly Metrics'!$B:$B,G$8,'Data - Monthly Metrics'!$C:$C,"Southwest",'Data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Metrics'!$C:$C,"Southwest",'Data - Monthly Metrics'!$D:$D,"Goal - Penetration %")&gt;0,H30&gt;=SUMIFS('Data - Monthly Metrics'!$E:$E,'Data - Monthly Metrics'!$A:$A,$B$4,'Data - Monthly Metrics'!$B:$B,H$8,'Data - Monthly Metrics'!$C:$C,"Southwest",'Data - Monthly Metrics'!$D:$D,"Goal - Penetration %"))</formula>
    </cfRule>
    <cfRule type="expression" rank="0" priority="458" equalAverage="0" aboveAverage="0" dxfId="2" stopIfTrue="1" text="" percent="0" bottom="0">
      <formula>AND(ISNUMBER(H30),COUNTIFS('Data - Monthly Metrics'!$A:$A,$B$4,'Data - Monthly Metrics'!$B:$B,H$8,'Data - Monthly Metrics'!$C:$C,"Southwest",'Data - Monthly Metrics'!$D:$D,"Goal - Penetration %")&gt;0,H30&gt;=SUMIFS('Data - Monthly Metrics'!$E:$E,'Data - Monthly Metrics'!$A:$A,$B$4,'Data - Monthly Metrics'!$B:$B,H$8,'Data - Monthly Metrics'!$C:$C,"Southwest",'Data - Monthly Metrics'!$D:$D,"Goal - Penetration %")-0.05)</formula>
    </cfRule>
    <cfRule type="expression" rank="0" priority="459" equalAverage="0" aboveAverage="0" dxfId="1" stopIfTrue="1" text="" percent="0" bottom="0">
      <formula>AND(ISNUMBER(H30),COUNTIFS('Data - Monthly Metrics'!$A:$A,$B$4,'Data - Monthly Metrics'!$B:$B,H$8,'Data - Monthly Metrics'!$C:$C,"Southwest",'Data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Metrics'!$C:$C,"Southwest",'Data - Monthly Metrics'!$D:$D,"Goal - Penetration %")&gt;0,J30&gt;=SUMIFS('Data - Monthly Metrics'!$E:$E,'Data - Monthly Metrics'!$A:$A,$B$4,'Data - Monthly Metrics'!$B:$B,J$8,'Data - Monthly Metrics'!$C:$C,"Southwest",'Data - Monthly Metrics'!$D:$D,"Goal - Penetration %"))</formula>
    </cfRule>
    <cfRule type="expression" rank="0" priority="461" equalAverage="0" aboveAverage="0" dxfId="2" stopIfTrue="1" text="" percent="0" bottom="0">
      <formula>AND(ISNUMBER(J30),COUNTIFS('Data - Monthly Metrics'!$A:$A,$B$4,'Data - Monthly Metrics'!$B:$B,J$8,'Data - Monthly Metrics'!$C:$C,"Southwest",'Data - Monthly Metrics'!$D:$D,"Goal - Penetration %")&gt;0,J30&gt;=SUMIFS('Data - Monthly Metrics'!$E:$E,'Data - Monthly Metrics'!$A:$A,$B$4,'Data - Monthly Metrics'!$B:$B,J$8,'Data - Monthly Metrics'!$C:$C,"Southwest",'Data - Monthly Metrics'!$D:$D,"Goal - Penetration %")-0.05)</formula>
    </cfRule>
    <cfRule type="expression" rank="0" priority="462" equalAverage="0" aboveAverage="0" dxfId="1" stopIfTrue="1" text="" percent="0" bottom="0">
      <formula>AND(ISNUMBER(J30),COUNTIFS('Data - Monthly Metrics'!$A:$A,$B$4,'Data - Monthly Metrics'!$B:$B,J$8,'Data - Monthly Metrics'!$C:$C,"Southwest",'Data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Metrics'!$C:$C,"Southwest",'Data - Monthly Metrics'!$D:$D,"Goal - Penetration %")&gt;0,K30&gt;=SUMIFS('Data - Monthly Metrics'!$E:$E,'Data - Monthly Metrics'!$A:$A,$B$4,'Data - Monthly Metrics'!$B:$B,K$8,'Data - Monthly Metrics'!$C:$C,"Southwest",'Data - Monthly Metrics'!$D:$D,"Goal - Penetration %"))</formula>
    </cfRule>
    <cfRule type="expression" rank="0" priority="464" equalAverage="0" aboveAverage="0" dxfId="2" stopIfTrue="1" text="" percent="0" bottom="0">
      <formula>AND(ISNUMBER(K30),COUNTIFS('Data - Monthly Metrics'!$A:$A,$B$4,'Data - Monthly Metrics'!$B:$B,K$8,'Data - Monthly Metrics'!$C:$C,"Southwest",'Data - Monthly Metrics'!$D:$D,"Goal - Penetration %")&gt;0,K30&gt;=SUMIFS('Data - Monthly Metrics'!$E:$E,'Data - Monthly Metrics'!$A:$A,$B$4,'Data - Monthly Metrics'!$B:$B,K$8,'Data - Monthly Metrics'!$C:$C,"Southwest",'Data - Monthly Metrics'!$D:$D,"Goal - Penetration %")-0.05)</formula>
    </cfRule>
    <cfRule type="expression" rank="0" priority="465" equalAverage="0" aboveAverage="0" dxfId="1" stopIfTrue="1" text="" percent="0" bottom="0">
      <formula>AND(ISNUMBER(K30),COUNTIFS('Data - Monthly Metrics'!$A:$A,$B$4,'Data - Monthly Metrics'!$B:$B,K$8,'Data - Monthly Metrics'!$C:$C,"Southwest",'Data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Metrics'!$C:$C,"Southwest",'Data - Monthly Metrics'!$D:$D,"Goal - Penetration %")&gt;0,L30&gt;=SUMIFS('Data - Monthly Metrics'!$E:$E,'Data - Monthly Metrics'!$A:$A,$B$4,'Data - Monthly Metrics'!$B:$B,L$8,'Data - Monthly Metrics'!$C:$C,"Southwest",'Data - Monthly Metrics'!$D:$D,"Goal - Penetration %"))</formula>
    </cfRule>
    <cfRule type="expression" rank="0" priority="467" equalAverage="0" aboveAverage="0" dxfId="2" stopIfTrue="1" text="" percent="0" bottom="0">
      <formula>AND(ISNUMBER(L30),COUNTIFS('Data - Monthly Metrics'!$A:$A,$B$4,'Data - Monthly Metrics'!$B:$B,L$8,'Data - Monthly Metrics'!$C:$C,"Southwest",'Data - Monthly Metrics'!$D:$D,"Goal - Penetration %")&gt;0,L30&gt;=SUMIFS('Data - Monthly Metrics'!$E:$E,'Data - Monthly Metrics'!$A:$A,$B$4,'Data - Monthly Metrics'!$B:$B,L$8,'Data - Monthly Metrics'!$C:$C,"Southwest",'Data - Monthly Metrics'!$D:$D,"Goal - Penetration %")-0.05)</formula>
    </cfRule>
    <cfRule type="expression" rank="0" priority="468" equalAverage="0" aboveAverage="0" dxfId="1" stopIfTrue="1" text="" percent="0" bottom="0">
      <formula>AND(ISNUMBER(L30),COUNTIFS('Data - Monthly Metrics'!$A:$A,$B$4,'Data - Monthly Metrics'!$B:$B,L$8,'Data - Monthly Metrics'!$C:$C,"Southwest",'Data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Metrics'!$C:$C,"Southwest",'Data - Monthly Metrics'!$D:$D,"Goal - Penetration %")&gt;0,N30&gt;=SUMIFS('Data - Monthly Metrics'!$E:$E,'Data - Monthly Metrics'!$A:$A,$B$4,'Data - Monthly Metrics'!$B:$B,N$8,'Data - Monthly Metrics'!$C:$C,"Southwest",'Data - Monthly Metrics'!$D:$D,"Goal - Penetration %"))</formula>
    </cfRule>
    <cfRule type="expression" rank="0" priority="470" equalAverage="0" aboveAverage="0" dxfId="2" stopIfTrue="1" text="" percent="0" bottom="0">
      <formula>AND(ISNUMBER(N30),COUNTIFS('Data - Monthly Metrics'!$A:$A,$B$4,'Data - Monthly Metrics'!$B:$B,N$8,'Data - Monthly Metrics'!$C:$C,"Southwest",'Data - Monthly Metrics'!$D:$D,"Goal - Penetration %")&gt;0,N30&gt;=SUMIFS('Data - Monthly Metrics'!$E:$E,'Data - Monthly Metrics'!$A:$A,$B$4,'Data - Monthly Metrics'!$B:$B,N$8,'Data - Monthly Metrics'!$C:$C,"Southwest",'Data - Monthly Metrics'!$D:$D,"Goal - Penetration %")-0.05)</formula>
    </cfRule>
    <cfRule type="expression" rank="0" priority="471" equalAverage="0" aboveAverage="0" dxfId="1" stopIfTrue="1" text="" percent="0" bottom="0">
      <formula>AND(ISNUMBER(N30),COUNTIFS('Data - Monthly Metrics'!$A:$A,$B$4,'Data - Monthly Metrics'!$B:$B,N$8,'Data - Monthly Metrics'!$C:$C,"Southwest",'Data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Metrics'!$C:$C,"Southwest",'Data - Monthly Metrics'!$D:$D,"Goal - Penetration %")&gt;0,O30&gt;=SUMIFS('Data - Monthly Metrics'!$E:$E,'Data - Monthly Metrics'!$A:$A,$B$4,'Data - Monthly Metrics'!$B:$B,O$8,'Data - Monthly Metrics'!$C:$C,"Southwest",'Data - Monthly Metrics'!$D:$D,"Goal - Penetration %"))</formula>
    </cfRule>
    <cfRule type="expression" rank="0" priority="473" equalAverage="0" aboveAverage="0" dxfId="2" stopIfTrue="1" text="" percent="0" bottom="0">
      <formula>AND(ISNUMBER(O30),COUNTIFS('Data - Monthly Metrics'!$A:$A,$B$4,'Data - Monthly Metrics'!$B:$B,O$8,'Data - Monthly Metrics'!$C:$C,"Southwest",'Data - Monthly Metrics'!$D:$D,"Goal - Penetration %")&gt;0,O30&gt;=SUMIFS('Data - Monthly Metrics'!$E:$E,'Data - Monthly Metrics'!$A:$A,$B$4,'Data - Monthly Metrics'!$B:$B,O$8,'Data - Monthly Metrics'!$C:$C,"Southwest",'Data - Monthly Metrics'!$D:$D,"Goal - Penetration %")-0.05)</formula>
    </cfRule>
    <cfRule type="expression" rank="0" priority="474" equalAverage="0" aboveAverage="0" dxfId="1" stopIfTrue="1" text="" percent="0" bottom="0">
      <formula>AND(ISNUMBER(O30),COUNTIFS('Data - Monthly Metrics'!$A:$A,$B$4,'Data - Monthly Metrics'!$B:$B,O$8,'Data - Monthly Metrics'!$C:$C,"Southwest",'Data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Metrics'!$C:$C,"Southwest",'Data - Monthly Metrics'!$D:$D,"Goal - Penetration %")&gt;0,P30&gt;=SUMIFS('Data - Monthly Metrics'!$E:$E,'Data - Monthly Metrics'!$A:$A,$B$4,'Data - Monthly Metrics'!$B:$B,P$8,'Data - Monthly Metrics'!$C:$C,"Southwest",'Data - Monthly Metrics'!$D:$D,"Goal - Penetration %"))</formula>
    </cfRule>
    <cfRule type="expression" rank="0" priority="476" equalAverage="0" aboveAverage="0" dxfId="2" stopIfTrue="1" text="" percent="0" bottom="0">
      <formula>AND(ISNUMBER(P30),COUNTIFS('Data - Monthly Metrics'!$A:$A,$B$4,'Data - Monthly Metrics'!$B:$B,P$8,'Data - Monthly Metrics'!$C:$C,"Southwest",'Data - Monthly Metrics'!$D:$D,"Goal - Penetration %")&gt;0,P30&gt;=SUMIFS('Data - Monthly Metrics'!$E:$E,'Data - Monthly Metrics'!$A:$A,$B$4,'Data - Monthly Metrics'!$B:$B,P$8,'Data - Monthly Metrics'!$C:$C,"Southwest",'Data - Monthly Metrics'!$D:$D,"Goal - Penetration %")-0.05)</formula>
    </cfRule>
    <cfRule type="expression" rank="0" priority="477" equalAverage="0" aboveAverage="0" dxfId="1" stopIfTrue="1" text="" percent="0" bottom="0">
      <formula>AND(ISNUMBER(P30),COUNTIFS('Data - Monthly Metrics'!$A:$A,$B$4,'Data - Monthly Metrics'!$B:$B,P$8,'Data - Monthly Metrics'!$C:$C,"Southwest",'Data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Metrics'!$C:$C,"Southwest",'Data - Monthly Metrics'!$D:$D,"Goal - Penetration %")&gt;0,B31&gt;=SUMIFS('Data - Monthly Metrics'!$E:$E,'Data - Monthly Metrics'!$A:$A,$B$4-1,'Data - Monthly Metrics'!$B:$B,B$8,'Data - Monthly Metrics'!$C:$C,"Southwest",'Data - Monthly Metrics'!$D:$D,"Goal - Penetration %"))</formula>
    </cfRule>
    <cfRule type="expression" rank="0" priority="479" equalAverage="0" aboveAverage="0" dxfId="2" stopIfTrue="1" text="" percent="0" bottom="0">
      <formula>AND(ISNUMBER(B31),COUNTIFS('Data - Monthly Metrics'!$A:$A,$B$4-1,'Data - Monthly Metrics'!$B:$B,B$8,'Data - Monthly Metrics'!$C:$C,"Southwest",'Data - Monthly Metrics'!$D:$D,"Goal - Penetration %")&gt;0,B31&gt;=SUMIFS('Data - Monthly Metrics'!$E:$E,'Data - Monthly Metrics'!$A:$A,$B$4-1,'Data - Monthly Metrics'!$B:$B,B$8,'Data - Monthly Metrics'!$C:$C,"Southwest",'Data - Monthly Metrics'!$D:$D,"Goal - Penetration %")-0.05)</formula>
    </cfRule>
    <cfRule type="expression" rank="0" priority="480" equalAverage="0" aboveAverage="0" dxfId="1" stopIfTrue="1" text="" percent="0" bottom="0">
      <formula>AND(ISNUMBER(B31),COUNTIFS('Data - Monthly Metrics'!$A:$A,$B$4-1,'Data - Monthly Metrics'!$B:$B,B$8,'Data - Monthly Metrics'!$C:$C,"Southwest",'Data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Metrics'!$C:$C,"Southwest",'Data - Monthly Metrics'!$D:$D,"Goal - Penetration %")&gt;0,C31&gt;=SUMIFS('Data - Monthly Metrics'!$E:$E,'Data - Monthly Metrics'!$A:$A,$B$4-1,'Data - Monthly Metrics'!$B:$B,C$8,'Data - Monthly Metrics'!$C:$C,"Southwest",'Data - Monthly Metrics'!$D:$D,"Goal - Penetration %"))</formula>
    </cfRule>
    <cfRule type="expression" rank="0" priority="482" equalAverage="0" aboveAverage="0" dxfId="2" stopIfTrue="1" text="" percent="0" bottom="0">
      <formula>AND(ISNUMBER(C31),COUNTIFS('Data - Monthly Metrics'!$A:$A,$B$4-1,'Data - Monthly Metrics'!$B:$B,C$8,'Data - Monthly Metrics'!$C:$C,"Southwest",'Data - Monthly Metrics'!$D:$D,"Goal - Penetration %")&gt;0,C31&gt;=SUMIFS('Data - Monthly Metrics'!$E:$E,'Data - Monthly Metrics'!$A:$A,$B$4-1,'Data - Monthly Metrics'!$B:$B,C$8,'Data - Monthly Metrics'!$C:$C,"Southwest",'Data - Monthly Metrics'!$D:$D,"Goal - Penetration %")-0.05)</formula>
    </cfRule>
    <cfRule type="expression" rank="0" priority="483" equalAverage="0" aboveAverage="0" dxfId="1" stopIfTrue="1" text="" percent="0" bottom="0">
      <formula>AND(ISNUMBER(C31),COUNTIFS('Data - Monthly Metrics'!$A:$A,$B$4-1,'Data - Monthly Metrics'!$B:$B,C$8,'Data - Monthly Metrics'!$C:$C,"Southwest",'Data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Metrics'!$C:$C,"Southwest",'Data - Monthly Metrics'!$D:$D,"Goal - Penetration %")&gt;0,D31&gt;=SUMIFS('Data - Monthly Metrics'!$E:$E,'Data - Monthly Metrics'!$A:$A,$B$4-1,'Data - Monthly Metrics'!$B:$B,D$8,'Data - Monthly Metrics'!$C:$C,"Southwest",'Data - Monthly Metrics'!$D:$D,"Goal - Penetration %"))</formula>
    </cfRule>
    <cfRule type="expression" rank="0" priority="485" equalAverage="0" aboveAverage="0" dxfId="2" stopIfTrue="1" text="" percent="0" bottom="0">
      <formula>AND(ISNUMBER(D31),COUNTIFS('Data - Monthly Metrics'!$A:$A,$B$4-1,'Data - Monthly Metrics'!$B:$B,D$8,'Data - Monthly Metrics'!$C:$C,"Southwest",'Data - Monthly Metrics'!$D:$D,"Goal - Penetration %")&gt;0,D31&gt;=SUMIFS('Data - Monthly Metrics'!$E:$E,'Data - Monthly Metrics'!$A:$A,$B$4-1,'Data - Monthly Metrics'!$B:$B,D$8,'Data - Monthly Metrics'!$C:$C,"Southwest",'Data - Monthly Metrics'!$D:$D,"Goal - Penetration %")-0.05)</formula>
    </cfRule>
    <cfRule type="expression" rank="0" priority="486" equalAverage="0" aboveAverage="0" dxfId="1" stopIfTrue="1" text="" percent="0" bottom="0">
      <formula>AND(ISNUMBER(D31),COUNTIFS('Data - Monthly Metrics'!$A:$A,$B$4-1,'Data - Monthly Metrics'!$B:$B,D$8,'Data - Monthly Metrics'!$C:$C,"Southwest",'Data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Metrics'!$C:$C,"Southwest",'Data - Monthly Metrics'!$D:$D,"Goal - Penetration %")&gt;0,F31&gt;=SUMIFS('Data - Monthly Metrics'!$E:$E,'Data - Monthly Metrics'!$A:$A,$B$4,'Data - Monthly Metrics'!$B:$B,F$8,'Data - Monthly Metrics'!$C:$C,"Southwest",'Data - Monthly Metrics'!$D:$D,"Goal - Penetration %"))</formula>
    </cfRule>
    <cfRule type="expression" rank="0" priority="488" equalAverage="0" aboveAverage="0" dxfId="2" stopIfTrue="1" text="" percent="0" bottom="0">
      <formula>AND(ISNUMBER(F31),COUNTIFS('Data - Monthly Metrics'!$A:$A,$B$4,'Data - Monthly Metrics'!$B:$B,F$8,'Data - Monthly Metrics'!$C:$C,"Southwest",'Data - Monthly Metrics'!$D:$D,"Goal - Penetration %")&gt;0,F31&gt;=SUMIFS('Data - Monthly Metrics'!$E:$E,'Data - Monthly Metrics'!$A:$A,$B$4,'Data - Monthly Metrics'!$B:$B,F$8,'Data - Monthly Metrics'!$C:$C,"Southwest",'Data - Monthly Metrics'!$D:$D,"Goal - Penetration %")-0.05)</formula>
    </cfRule>
    <cfRule type="expression" rank="0" priority="489" equalAverage="0" aboveAverage="0" dxfId="1" stopIfTrue="1" text="" percent="0" bottom="0">
      <formula>AND(ISNUMBER(F31),COUNTIFS('Data - Monthly Metrics'!$A:$A,$B$4,'Data - Monthly Metrics'!$B:$B,F$8,'Data - Monthly Metrics'!$C:$C,"Southwest",'Data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Metrics'!$C:$C,"Southwest",'Data - Monthly Metrics'!$D:$D,"Goal - Penetration %")&gt;0,G31&gt;=SUMIFS('Data - Monthly Metrics'!$E:$E,'Data - Monthly Metrics'!$A:$A,$B$4,'Data - Monthly Metrics'!$B:$B,G$8,'Data - Monthly Metrics'!$C:$C,"Southwest",'Data - Monthly Metrics'!$D:$D,"Goal - Penetration %"))</formula>
    </cfRule>
    <cfRule type="expression" rank="0" priority="491" equalAverage="0" aboveAverage="0" dxfId="2" stopIfTrue="1" text="" percent="0" bottom="0">
      <formula>AND(ISNUMBER(G31),COUNTIFS('Data - Monthly Metrics'!$A:$A,$B$4,'Data - Monthly Metrics'!$B:$B,G$8,'Data - Monthly Metrics'!$C:$C,"Southwest",'Data - Monthly Metrics'!$D:$D,"Goal - Penetration %")&gt;0,G31&gt;=SUMIFS('Data - Monthly Metrics'!$E:$E,'Data - Monthly Metrics'!$A:$A,$B$4,'Data - Monthly Metrics'!$B:$B,G$8,'Data - Monthly Metrics'!$C:$C,"Southwest",'Data - Monthly Metrics'!$D:$D,"Goal - Penetration %")-0.05)</formula>
    </cfRule>
    <cfRule type="expression" rank="0" priority="492" equalAverage="0" aboveAverage="0" dxfId="1" stopIfTrue="1" text="" percent="0" bottom="0">
      <formula>AND(ISNUMBER(G31),COUNTIFS('Data - Monthly Metrics'!$A:$A,$B$4,'Data - Monthly Metrics'!$B:$B,G$8,'Data - Monthly Metrics'!$C:$C,"Southwest",'Data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Metrics'!$C:$C,"Southwest",'Data - Monthly Metrics'!$D:$D,"Goal - Penetration %")&gt;0,H31&gt;=SUMIFS('Data - Monthly Metrics'!$E:$E,'Data - Monthly Metrics'!$A:$A,$B$4,'Data - Monthly Metrics'!$B:$B,H$8,'Data - Monthly Metrics'!$C:$C,"Southwest",'Data - Monthly Metrics'!$D:$D,"Goal - Penetration %"))</formula>
    </cfRule>
    <cfRule type="expression" rank="0" priority="494" equalAverage="0" aboveAverage="0" dxfId="2" stopIfTrue="1" text="" percent="0" bottom="0">
      <formula>AND(ISNUMBER(H31),COUNTIFS('Data - Monthly Metrics'!$A:$A,$B$4,'Data - Monthly Metrics'!$B:$B,H$8,'Data - Monthly Metrics'!$C:$C,"Southwest",'Data - Monthly Metrics'!$D:$D,"Goal - Penetration %")&gt;0,H31&gt;=SUMIFS('Data - Monthly Metrics'!$E:$E,'Data - Monthly Metrics'!$A:$A,$B$4,'Data - Monthly Metrics'!$B:$B,H$8,'Data - Monthly Metrics'!$C:$C,"Southwest",'Data - Monthly Metrics'!$D:$D,"Goal - Penetration %")-0.05)</formula>
    </cfRule>
    <cfRule type="expression" rank="0" priority="495" equalAverage="0" aboveAverage="0" dxfId="1" stopIfTrue="1" text="" percent="0" bottom="0">
      <formula>AND(ISNUMBER(H31),COUNTIFS('Data - Monthly Metrics'!$A:$A,$B$4,'Data - Monthly Metrics'!$B:$B,H$8,'Data - Monthly Metrics'!$C:$C,"Southwest",'Data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Metrics'!$C:$C,"Southwest",'Data - Monthly Metrics'!$D:$D,"Goal - Penetration %")&gt;0,J31&gt;=SUMIFS('Data - Monthly Metrics'!$E:$E,'Data - Monthly Metrics'!$A:$A,$B$4,'Data - Monthly Metrics'!$B:$B,J$8,'Data - Monthly Metrics'!$C:$C,"Southwest",'Data - Monthly Metrics'!$D:$D,"Goal - Penetration %"))</formula>
    </cfRule>
    <cfRule type="expression" rank="0" priority="497" equalAverage="0" aboveAverage="0" dxfId="2" stopIfTrue="1" text="" percent="0" bottom="0">
      <formula>AND(ISNUMBER(J31),COUNTIFS('Data - Monthly Metrics'!$A:$A,$B$4,'Data - Monthly Metrics'!$B:$B,J$8,'Data - Monthly Metrics'!$C:$C,"Southwest",'Data - Monthly Metrics'!$D:$D,"Goal - Penetration %")&gt;0,J31&gt;=SUMIFS('Data - Monthly Metrics'!$E:$E,'Data - Monthly Metrics'!$A:$A,$B$4,'Data - Monthly Metrics'!$B:$B,J$8,'Data - Monthly Metrics'!$C:$C,"Southwest",'Data - Monthly Metrics'!$D:$D,"Goal - Penetration %")-0.05)</formula>
    </cfRule>
    <cfRule type="expression" rank="0" priority="498" equalAverage="0" aboveAverage="0" dxfId="1" stopIfTrue="1" text="" percent="0" bottom="0">
      <formula>AND(ISNUMBER(J31),COUNTIFS('Data - Monthly Metrics'!$A:$A,$B$4,'Data - Monthly Metrics'!$B:$B,J$8,'Data - Monthly Metrics'!$C:$C,"Southwest",'Data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Metrics'!$C:$C,"Southwest",'Data - Monthly Metrics'!$D:$D,"Goal - Penetration %")&gt;0,K31&gt;=SUMIFS('Data - Monthly Metrics'!$E:$E,'Data - Monthly Metrics'!$A:$A,$B$4,'Data - Monthly Metrics'!$B:$B,K$8,'Data - Monthly Metrics'!$C:$C,"Southwest",'Data - Monthly Metrics'!$D:$D,"Goal - Penetration %"))</formula>
    </cfRule>
    <cfRule type="expression" rank="0" priority="500" equalAverage="0" aboveAverage="0" dxfId="2" stopIfTrue="1" text="" percent="0" bottom="0">
      <formula>AND(ISNUMBER(K31),COUNTIFS('Data - Monthly Metrics'!$A:$A,$B$4,'Data - Monthly Metrics'!$B:$B,K$8,'Data - Monthly Metrics'!$C:$C,"Southwest",'Data - Monthly Metrics'!$D:$D,"Goal - Penetration %")&gt;0,K31&gt;=SUMIFS('Data - Monthly Metrics'!$E:$E,'Data - Monthly Metrics'!$A:$A,$B$4,'Data - Monthly Metrics'!$B:$B,K$8,'Data - Monthly Metrics'!$C:$C,"Southwest",'Data - Monthly Metrics'!$D:$D,"Goal - Penetration %")-0.05)</formula>
    </cfRule>
    <cfRule type="expression" rank="0" priority="501" equalAverage="0" aboveAverage="0" dxfId="1" stopIfTrue="1" text="" percent="0" bottom="0">
      <formula>AND(ISNUMBER(K31),COUNTIFS('Data - Monthly Metrics'!$A:$A,$B$4,'Data - Monthly Metrics'!$B:$B,K$8,'Data - Monthly Metrics'!$C:$C,"Southwest",'Data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Metrics'!$C:$C,"Southwest",'Data - Monthly Metrics'!$D:$D,"Goal - Penetration %")&gt;0,L31&gt;=SUMIFS('Data - Monthly Metrics'!$E:$E,'Data - Monthly Metrics'!$A:$A,$B$4,'Data - Monthly Metrics'!$B:$B,L$8,'Data - Monthly Metrics'!$C:$C,"Southwest",'Data - Monthly Metrics'!$D:$D,"Goal - Penetration %"))</formula>
    </cfRule>
    <cfRule type="expression" rank="0" priority="503" equalAverage="0" aboveAverage="0" dxfId="2" stopIfTrue="1" text="" percent="0" bottom="0">
      <formula>AND(ISNUMBER(L31),COUNTIFS('Data - Monthly Metrics'!$A:$A,$B$4,'Data - Monthly Metrics'!$B:$B,L$8,'Data - Monthly Metrics'!$C:$C,"Southwest",'Data - Monthly Metrics'!$D:$D,"Goal - Penetration %")&gt;0,L31&gt;=SUMIFS('Data - Monthly Metrics'!$E:$E,'Data - Monthly Metrics'!$A:$A,$B$4,'Data - Monthly Metrics'!$B:$B,L$8,'Data - Monthly Metrics'!$C:$C,"Southwest",'Data - Monthly Metrics'!$D:$D,"Goal - Penetration %")-0.05)</formula>
    </cfRule>
    <cfRule type="expression" rank="0" priority="504" equalAverage="0" aboveAverage="0" dxfId="1" stopIfTrue="1" text="" percent="0" bottom="0">
      <formula>AND(ISNUMBER(L31),COUNTIFS('Data - Monthly Metrics'!$A:$A,$B$4,'Data - Monthly Metrics'!$B:$B,L$8,'Data - Monthly Metrics'!$C:$C,"Southwest",'Data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Metrics'!$C:$C,"Southwest",'Data - Monthly Metrics'!$D:$D,"Goal - Penetration %")&gt;0,N31&gt;=SUMIFS('Data - Monthly Metrics'!$E:$E,'Data - Monthly Metrics'!$A:$A,$B$4,'Data - Monthly Metrics'!$B:$B,N$8,'Data - Monthly Metrics'!$C:$C,"Southwest",'Data - Monthly Metrics'!$D:$D,"Goal - Penetration %"))</formula>
    </cfRule>
    <cfRule type="expression" rank="0" priority="506" equalAverage="0" aboveAverage="0" dxfId="2" stopIfTrue="1" text="" percent="0" bottom="0">
      <formula>AND(ISNUMBER(N31),COUNTIFS('Data - Monthly Metrics'!$A:$A,$B$4,'Data - Monthly Metrics'!$B:$B,N$8,'Data - Monthly Metrics'!$C:$C,"Southwest",'Data - Monthly Metrics'!$D:$D,"Goal - Penetration %")&gt;0,N31&gt;=SUMIFS('Data - Monthly Metrics'!$E:$E,'Data - Monthly Metrics'!$A:$A,$B$4,'Data - Monthly Metrics'!$B:$B,N$8,'Data - Monthly Metrics'!$C:$C,"Southwest",'Data - Monthly Metrics'!$D:$D,"Goal - Penetration %")-0.05)</formula>
    </cfRule>
    <cfRule type="expression" rank="0" priority="507" equalAverage="0" aboveAverage="0" dxfId="1" stopIfTrue="1" text="" percent="0" bottom="0">
      <formula>AND(ISNUMBER(N31),COUNTIFS('Data - Monthly Metrics'!$A:$A,$B$4,'Data - Monthly Metrics'!$B:$B,N$8,'Data - Monthly Metrics'!$C:$C,"Southwest",'Data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Metrics'!$C:$C,"Southwest",'Data - Monthly Metrics'!$D:$D,"Goal - Penetration %")&gt;0,O31&gt;=SUMIFS('Data - Monthly Metrics'!$E:$E,'Data - Monthly Metrics'!$A:$A,$B$4,'Data - Monthly Metrics'!$B:$B,O$8,'Data - Monthly Metrics'!$C:$C,"Southwest",'Data - Monthly Metrics'!$D:$D,"Goal - Penetration %"))</formula>
    </cfRule>
    <cfRule type="expression" rank="0" priority="509" equalAverage="0" aboveAverage="0" dxfId="2" stopIfTrue="1" text="" percent="0" bottom="0">
      <formula>AND(ISNUMBER(O31),COUNTIFS('Data - Monthly Metrics'!$A:$A,$B$4,'Data - Monthly Metrics'!$B:$B,O$8,'Data - Monthly Metrics'!$C:$C,"Southwest",'Data - Monthly Metrics'!$D:$D,"Goal - Penetration %")&gt;0,O31&gt;=SUMIFS('Data - Monthly Metrics'!$E:$E,'Data - Monthly Metrics'!$A:$A,$B$4,'Data - Monthly Metrics'!$B:$B,O$8,'Data - Monthly Metrics'!$C:$C,"Southwest",'Data - Monthly Metrics'!$D:$D,"Goal - Penetration %")-0.05)</formula>
    </cfRule>
    <cfRule type="expression" rank="0" priority="510" equalAverage="0" aboveAverage="0" dxfId="1" stopIfTrue="1" text="" percent="0" bottom="0">
      <formula>AND(ISNUMBER(O31),COUNTIFS('Data - Monthly Metrics'!$A:$A,$B$4,'Data - Monthly Metrics'!$B:$B,O$8,'Data - Monthly Metrics'!$C:$C,"Southwest",'Data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Metrics'!$C:$C,"Southwest",'Data - Monthly Metrics'!$D:$D,"Goal - Penetration %")&gt;0,P31&gt;=SUMIFS('Data - Monthly Metrics'!$E:$E,'Data - Monthly Metrics'!$A:$A,$B$4,'Data - Monthly Metrics'!$B:$B,P$8,'Data - Monthly Metrics'!$C:$C,"Southwest",'Data - Monthly Metrics'!$D:$D,"Goal - Penetration %"))</formula>
    </cfRule>
    <cfRule type="expression" rank="0" priority="512" equalAverage="0" aboveAverage="0" dxfId="2" stopIfTrue="1" text="" percent="0" bottom="0">
      <formula>AND(ISNUMBER(P31),COUNTIFS('Data - Monthly Metrics'!$A:$A,$B$4,'Data - Monthly Metrics'!$B:$B,P$8,'Data - Monthly Metrics'!$C:$C,"Southwest",'Data - Monthly Metrics'!$D:$D,"Goal - Penetration %")&gt;0,P31&gt;=SUMIFS('Data - Monthly Metrics'!$E:$E,'Data - Monthly Metrics'!$A:$A,$B$4,'Data - Monthly Metrics'!$B:$B,P$8,'Data - Monthly Metrics'!$C:$C,"Southwest",'Data - Monthly Metrics'!$D:$D,"Goal - Penetration %")-0.05)</formula>
    </cfRule>
    <cfRule type="expression" rank="0" priority="513" equalAverage="0" aboveAverage="0" dxfId="1" stopIfTrue="1" text="" percent="0" bottom="0">
      <formula>AND(ISNUMBER(P31),COUNTIFS('Data - Monthly Metrics'!$A:$A,$B$4,'Data - Monthly Metrics'!$B:$B,P$8,'Data - Monthly Metrics'!$C:$C,"Southwest",'Data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TKP</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Metrics'!C:C,"TKP",'Data - Monthly Metrics'!D:D,"New Sales Revenue - BOB/Promo ($)")=0,"-",SUMIFS('Data - Monthly Metrics'!E:E,'Data - Monthly Metrics'!A:A,$B$4-1,'Data - Monthly Metrics'!B:B,"Oct",'Data - Monthly Metrics'!C:C,"TKP",'Data - Monthly Metrics'!D:D,"New Sales Revenue - BOB/Promo ($)"))</f>
        <v/>
      </c>
      <c r="C10" s="91">
        <f>IF(COUNTIFS('Data - Monthly Metrics'!A:A,$B$4-1,'Data - Monthly Metrics'!B:B,"Nov",'Data - Monthly Metrics'!C:C,"TKP",'Data - Monthly Metrics'!D:D,"New Sales Revenue - BOB/Promo ($)")=0,"-",SUMIFS('Data - Monthly Metrics'!E:E,'Data - Monthly Metrics'!A:A,$B$4-1,'Data - Monthly Metrics'!B:B,"Nov",'Data - Monthly Metrics'!C:C,"TKP",'Data - Monthly Metrics'!D:D,"New Sales Revenue - BOB/Promo ($)"))</f>
        <v/>
      </c>
      <c r="D10" s="91">
        <f>IF(COUNTIFS('Data - Monthly Metrics'!A:A,$B$4-1,'Data - Monthly Metrics'!B:B,"Dec",'Data - Monthly Metrics'!C:C,"TKP",'Data - Monthly Metrics'!D:D,"New Sales Revenue - BOB/Promo ($)")=0,"-",SUMIFS('Data - Monthly Metrics'!E:E,'Data - Monthly Metrics'!A:A,$B$4-1,'Data - Monthly Metrics'!B:B,"Dec",'Data - Monthly Metrics'!C:C,"TKP",'Data - Monthly Metrics'!D:D,"New Sales Revenue - BOB/Promo ($)"))</f>
        <v/>
      </c>
      <c r="E10" s="101">
        <f>SUM(B10,C10,D10)</f>
        <v/>
      </c>
      <c r="F10" s="91">
        <f>IF(COUNTIFS('Data - Monthly Metrics'!A:A,$B$4,'Data - Monthly Metrics'!B:B,"Jan",'Data - Monthly Metrics'!C:C,"TKP",'Data - Monthly Metrics'!D:D,"New Sales Revenue - BOB/Promo ($)")=0,"-",SUMIFS('Data - Monthly Metrics'!E:E,'Data - Monthly Metrics'!A:A,$B$4,'Data - Monthly Metrics'!B:B,"Jan",'Data - Monthly Metrics'!C:C,"TKP",'Data - Monthly Metrics'!D:D,"New Sales Revenue - BOB/Promo ($)"))</f>
        <v/>
      </c>
      <c r="G10" s="91">
        <f>IF(COUNTIFS('Data - Monthly Metrics'!A:A,$B$4,'Data - Monthly Metrics'!B:B,"Feb",'Data - Monthly Metrics'!C:C,"TKP",'Data - Monthly Metrics'!D:D,"New Sales Revenue - BOB/Promo ($)")=0,"-",SUMIFS('Data - Monthly Metrics'!E:E,'Data - Monthly Metrics'!A:A,$B$4,'Data - Monthly Metrics'!B:B,"Feb",'Data - Monthly Metrics'!C:C,"TKP",'Data - Monthly Metrics'!D:D,"New Sales Revenue - BOB/Promo ($)"))</f>
        <v/>
      </c>
      <c r="H10" s="91">
        <f>IF(COUNTIFS('Data - Monthly Metrics'!A:A,$B$4,'Data - Monthly Metrics'!B:B,"Mar",'Data - Monthly Metrics'!C:C,"TKP",'Data - Monthly Metrics'!D:D,"New Sales Revenue - BOB/Promo ($)")=0,"-",SUMIFS('Data - Monthly Metrics'!E:E,'Data - Monthly Metrics'!A:A,$B$4,'Data - Monthly Metrics'!B:B,"Mar",'Data - Monthly Metrics'!C:C,"TKP",'Data - Monthly Metrics'!D:D,"New Sales Revenue - BOB/Promo ($)"))</f>
        <v/>
      </c>
      <c r="I10" s="101">
        <f>SUM(F10,G10,H10)</f>
        <v/>
      </c>
      <c r="J10" s="91">
        <f>IF(COUNTIFS('Data - Monthly Metrics'!A:A,$B$4,'Data - Monthly Metrics'!B:B,"Apr",'Data - Monthly Metrics'!C:C,"TKP",'Data - Monthly Metrics'!D:D,"New Sales Revenue - BOB/Promo ($)")=0,"-",SUMIFS('Data - Monthly Metrics'!E:E,'Data - Monthly Metrics'!A:A,$B$4,'Data - Monthly Metrics'!B:B,"Apr",'Data - Monthly Metrics'!C:C,"TKP",'Data - Monthly Metrics'!D:D,"New Sales Revenue - BOB/Promo ($)"))</f>
        <v/>
      </c>
      <c r="K10" s="91">
        <f>IF(COUNTIFS('Data - Monthly Metrics'!A:A,$B$4,'Data - Monthly Metrics'!B:B,"May",'Data - Monthly Metrics'!C:C,"TKP",'Data - Monthly Metrics'!D:D,"New Sales Revenue - BOB/Promo ($)")=0,"-",SUMIFS('Data - Monthly Metrics'!E:E,'Data - Monthly Metrics'!A:A,$B$4,'Data - Monthly Metrics'!B:B,"May",'Data - Monthly Metrics'!C:C,"TKP",'Data - Monthly Metrics'!D:D,"New Sales Revenue - BOB/Promo ($)"))</f>
        <v/>
      </c>
      <c r="L10" s="91">
        <f>IF(COUNTIFS('Data - Monthly Metrics'!A:A,$B$4,'Data - Monthly Metrics'!B:B,"Jun",'Data - Monthly Metrics'!C:C,"TKP",'Data - Monthly Metrics'!D:D,"New Sales Revenue - BOB/Promo ($)")=0,"-",SUMIFS('Data - Monthly Metrics'!E:E,'Data - Monthly Metrics'!A:A,$B$4,'Data - Monthly Metrics'!B:B,"Jun",'Data - Monthly Metrics'!C:C,"TKP",'Data - Monthly Metrics'!D:D,"New Sales Revenue - BOB/Promo ($)"))</f>
        <v/>
      </c>
      <c r="M10" s="101">
        <f>SUM(J10,K10,L10)</f>
        <v/>
      </c>
      <c r="N10" s="91">
        <f>IF(COUNTIFS('Data - Monthly Metrics'!A:A,$B$4,'Data - Monthly Metrics'!B:B,"Jul",'Data - Monthly Metrics'!C:C,"TKP",'Data - Monthly Metrics'!D:D,"New Sales Revenue - BOB/Promo ($)")=0,"-",SUMIFS('Data - Monthly Metrics'!E:E,'Data - Monthly Metrics'!A:A,$B$4,'Data - Monthly Metrics'!B:B,"Jul",'Data - Monthly Metrics'!C:C,"TKP",'Data - Monthly Metrics'!D:D,"New Sales Revenue - BOB/Promo ($)"))</f>
        <v/>
      </c>
      <c r="O10" s="91">
        <f>IF(COUNTIFS('Data - Monthly Metrics'!A:A,$B$4,'Data - Monthly Metrics'!B:B,"Aug",'Data - Monthly Metrics'!C:C,"TKP",'Data - Monthly Metrics'!D:D,"New Sales Revenue - BOB/Promo ($)")=0,"-",SUMIFS('Data - Monthly Metrics'!E:E,'Data - Monthly Metrics'!A:A,$B$4,'Data - Monthly Metrics'!B:B,"Aug",'Data - Monthly Metrics'!C:C,"TKP",'Data - Monthly Metrics'!D:D,"New Sales Revenue - BOB/Promo ($)"))</f>
        <v/>
      </c>
      <c r="P10" s="91">
        <f>IF(COUNTIFS('Data - Monthly Metrics'!A:A,$B$4,'Data - Monthly Metrics'!B:B,"Sep",'Data - Monthly Metrics'!C:C,"TKP",'Data - Monthly Metrics'!D:D,"New Sales Revenue - BOB/Promo ($)")=0,"-",SUMIFS('Data - Monthly Metrics'!E:E,'Data - Monthly Metrics'!A:A,$B$4,'Data - Monthly Metrics'!B:B,"Sep",'Data - Monthly Metrics'!C:C,"TKP",'Data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Metrics'!C:C,"TKP",'Data - Monthly Metrics'!D:D,"New Members - BOB (#)")=0,"-",SUMIFS('Data - Monthly Metrics'!E:E,'Data - Monthly Metrics'!A:A,$B$4-1,'Data - Monthly Metrics'!B:B,"Oct",'Data - Monthly Metrics'!C:C,"TKP",'Data - Monthly Metrics'!D:D,"New Members - BOB (#)"))</f>
        <v/>
      </c>
      <c r="C11" s="93">
        <f>IF(COUNTIFS('Data - Monthly Metrics'!A:A,$B$4-1,'Data - Monthly Metrics'!B:B,"Nov",'Data - Monthly Metrics'!C:C,"TKP",'Data - Monthly Metrics'!D:D,"New Members - BOB (#)")=0,"-",SUMIFS('Data - Monthly Metrics'!E:E,'Data - Monthly Metrics'!A:A,$B$4-1,'Data - Monthly Metrics'!B:B,"Nov",'Data - Monthly Metrics'!C:C,"TKP",'Data - Monthly Metrics'!D:D,"New Members - BOB (#)"))</f>
        <v/>
      </c>
      <c r="D11" s="93">
        <f>IF(COUNTIFS('Data - Monthly Metrics'!A:A,$B$4-1,'Data - Monthly Metrics'!B:B,"Dec",'Data - Monthly Metrics'!C:C,"TKP",'Data - Monthly Metrics'!D:D,"New Members - BOB (#)")=0,"-",SUMIFS('Data - Monthly Metrics'!E:E,'Data - Monthly Metrics'!A:A,$B$4-1,'Data - Monthly Metrics'!B:B,"Dec",'Data - Monthly Metrics'!C:C,"TKP",'Data - Monthly Metrics'!D:D,"New Members - BOB (#)"))</f>
        <v/>
      </c>
      <c r="E11" s="103">
        <f>SUM(B11,C11,D11)</f>
        <v/>
      </c>
      <c r="F11" s="93">
        <f>IF(COUNTIFS('Data - Monthly Metrics'!A:A,$B$4,'Data - Monthly Metrics'!B:B,"Jan",'Data - Monthly Metrics'!C:C,"TKP",'Data - Monthly Metrics'!D:D,"New Members - BOB (#)")=0,"-",SUMIFS('Data - Monthly Metrics'!E:E,'Data - Monthly Metrics'!A:A,$B$4,'Data - Monthly Metrics'!B:B,"Jan",'Data - Monthly Metrics'!C:C,"TKP",'Data - Monthly Metrics'!D:D,"New Members - BOB (#)"))</f>
        <v/>
      </c>
      <c r="G11" s="93">
        <f>IF(COUNTIFS('Data - Monthly Metrics'!A:A,$B$4,'Data - Monthly Metrics'!B:B,"Feb",'Data - Monthly Metrics'!C:C,"TKP",'Data - Monthly Metrics'!D:D,"New Members - BOB (#)")=0,"-",SUMIFS('Data - Monthly Metrics'!E:E,'Data - Monthly Metrics'!A:A,$B$4,'Data - Monthly Metrics'!B:B,"Feb",'Data - Monthly Metrics'!C:C,"TKP",'Data - Monthly Metrics'!D:D,"New Members - BOB (#)"))</f>
        <v/>
      </c>
      <c r="H11" s="93">
        <f>IF(COUNTIFS('Data - Monthly Metrics'!A:A,$B$4,'Data - Monthly Metrics'!B:B,"Mar",'Data - Monthly Metrics'!C:C,"TKP",'Data - Monthly Metrics'!D:D,"New Members - BOB (#)")=0,"-",SUMIFS('Data - Monthly Metrics'!E:E,'Data - Monthly Metrics'!A:A,$B$4,'Data - Monthly Metrics'!B:B,"Mar",'Data - Monthly Metrics'!C:C,"TKP",'Data - Monthly Metrics'!D:D,"New Members - BOB (#)"))</f>
        <v/>
      </c>
      <c r="I11" s="103">
        <f>SUM(F11,G11,H11)</f>
        <v/>
      </c>
      <c r="J11" s="93">
        <f>IF(COUNTIFS('Data - Monthly Metrics'!A:A,$B$4,'Data - Monthly Metrics'!B:B,"Apr",'Data - Monthly Metrics'!C:C,"TKP",'Data - Monthly Metrics'!D:D,"New Members - BOB (#)")=0,"-",SUMIFS('Data - Monthly Metrics'!E:E,'Data - Monthly Metrics'!A:A,$B$4,'Data - Monthly Metrics'!B:B,"Apr",'Data - Monthly Metrics'!C:C,"TKP",'Data - Monthly Metrics'!D:D,"New Members - BOB (#)"))</f>
        <v/>
      </c>
      <c r="K11" s="93">
        <f>IF(COUNTIFS('Data - Monthly Metrics'!A:A,$B$4,'Data - Monthly Metrics'!B:B,"May",'Data - Monthly Metrics'!C:C,"TKP",'Data - Monthly Metrics'!D:D,"New Members - BOB (#)")=0,"-",SUMIFS('Data - Monthly Metrics'!E:E,'Data - Monthly Metrics'!A:A,$B$4,'Data - Monthly Metrics'!B:B,"May",'Data - Monthly Metrics'!C:C,"TKP",'Data - Monthly Metrics'!D:D,"New Members - BOB (#)"))</f>
        <v/>
      </c>
      <c r="L11" s="93">
        <f>IF(COUNTIFS('Data - Monthly Metrics'!A:A,$B$4,'Data - Monthly Metrics'!B:B,"Jun",'Data - Monthly Metrics'!C:C,"TKP",'Data - Monthly Metrics'!D:D,"New Members - BOB (#)")=0,"-",SUMIFS('Data - Monthly Metrics'!E:E,'Data - Monthly Metrics'!A:A,$B$4,'Data - Monthly Metrics'!B:B,"Jun",'Data - Monthly Metrics'!C:C,"TKP",'Data - Monthly Metrics'!D:D,"New Members - BOB (#)"))</f>
        <v/>
      </c>
      <c r="M11" s="103">
        <f>SUM(J11,K11,L11)</f>
        <v/>
      </c>
      <c r="N11" s="93">
        <f>IF(COUNTIFS('Data - Monthly Metrics'!A:A,$B$4,'Data - Monthly Metrics'!B:B,"Jul",'Data - Monthly Metrics'!C:C,"TKP",'Data - Monthly Metrics'!D:D,"New Members - BOB (#)")=0,"-",SUMIFS('Data - Monthly Metrics'!E:E,'Data - Monthly Metrics'!A:A,$B$4,'Data - Monthly Metrics'!B:B,"Jul",'Data - Monthly Metrics'!C:C,"TKP",'Data - Monthly Metrics'!D:D,"New Members - BOB (#)"))</f>
        <v/>
      </c>
      <c r="O11" s="93">
        <f>IF(COUNTIFS('Data - Monthly Metrics'!A:A,$B$4,'Data - Monthly Metrics'!B:B,"Aug",'Data - Monthly Metrics'!C:C,"TKP",'Data - Monthly Metrics'!D:D,"New Members - BOB (#)")=0,"-",SUMIFS('Data - Monthly Metrics'!E:E,'Data - Monthly Metrics'!A:A,$B$4,'Data - Monthly Metrics'!B:B,"Aug",'Data - Monthly Metrics'!C:C,"TKP",'Data - Monthly Metrics'!D:D,"New Members - BOB (#)"))</f>
        <v/>
      </c>
      <c r="P11" s="93">
        <f>IF(COUNTIFS('Data - Monthly Metrics'!A:A,$B$4,'Data - Monthly Metrics'!B:B,"Sep",'Data - Monthly Metrics'!C:C,"TKP",'Data - Monthly Metrics'!D:D,"New Members - BOB (#)")=0,"-",SUMIFS('Data - Monthly Metrics'!E:E,'Data - Monthly Metrics'!A:A,$B$4,'Data - Monthly Metrics'!B:B,"Sep",'Data - Monthly Metrics'!C:C,"TKP",'Data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Metrics'!C:C,"TKP",'Data - Monthly Metrics'!D:D,"New Sales - Comped ($)")=0,"-",SUMIFS('Data - Monthly Metrics'!E:E,'Data - Monthly Metrics'!A:A,$B$4-1,'Data - Monthly Metrics'!B:B,"Oct",'Data - Monthly Metrics'!C:C,"TKP",'Data - Monthly Metrics'!D:D,"New Sales - Comped ($)"))</f>
        <v/>
      </c>
      <c r="C12" s="91">
        <f>IF(COUNTIFS('Data - Monthly Metrics'!A:A,$B$4-1,'Data - Monthly Metrics'!B:B,"Nov",'Data - Monthly Metrics'!C:C,"TKP",'Data - Monthly Metrics'!D:D,"New Sales - Comped ($)")=0,"-",SUMIFS('Data - Monthly Metrics'!E:E,'Data - Monthly Metrics'!A:A,$B$4-1,'Data - Monthly Metrics'!B:B,"Nov",'Data - Monthly Metrics'!C:C,"TKP",'Data - Monthly Metrics'!D:D,"New Sales - Comped ($)"))</f>
        <v/>
      </c>
      <c r="D12" s="91">
        <f>IF(COUNTIFS('Data - Monthly Metrics'!A:A,$B$4-1,'Data - Monthly Metrics'!B:B,"Dec",'Data - Monthly Metrics'!C:C,"TKP",'Data - Monthly Metrics'!D:D,"New Sales - Comped ($)")=0,"-",SUMIFS('Data - Monthly Metrics'!E:E,'Data - Monthly Metrics'!A:A,$B$4-1,'Data - Monthly Metrics'!B:B,"Dec",'Data - Monthly Metrics'!C:C,"TKP",'Data - Monthly Metrics'!D:D,"New Sales - Comped ($)"))</f>
        <v/>
      </c>
      <c r="E12" s="101">
        <f>SUM(B12,C12,D12)</f>
        <v/>
      </c>
      <c r="F12" s="91">
        <f>IF(COUNTIFS('Data - Monthly Metrics'!A:A,$B$4,'Data - Monthly Metrics'!B:B,"Jan",'Data - Monthly Metrics'!C:C,"TKP",'Data - Monthly Metrics'!D:D,"New Sales - Comped ($)")=0,"-",SUMIFS('Data - Monthly Metrics'!E:E,'Data - Monthly Metrics'!A:A,$B$4,'Data - Monthly Metrics'!B:B,"Jan",'Data - Monthly Metrics'!C:C,"TKP",'Data - Monthly Metrics'!D:D,"New Sales - Comped ($)"))</f>
        <v/>
      </c>
      <c r="G12" s="91">
        <f>IF(COUNTIFS('Data - Monthly Metrics'!A:A,$B$4,'Data - Monthly Metrics'!B:B,"Feb",'Data - Monthly Metrics'!C:C,"TKP",'Data - Monthly Metrics'!D:D,"New Sales - Comped ($)")=0,"-",SUMIFS('Data - Monthly Metrics'!E:E,'Data - Monthly Metrics'!A:A,$B$4,'Data - Monthly Metrics'!B:B,"Feb",'Data - Monthly Metrics'!C:C,"TKP",'Data - Monthly Metrics'!D:D,"New Sales - Comped ($)"))</f>
        <v/>
      </c>
      <c r="H12" s="91">
        <f>IF(COUNTIFS('Data - Monthly Metrics'!A:A,$B$4,'Data - Monthly Metrics'!B:B,"Mar",'Data - Monthly Metrics'!C:C,"TKP",'Data - Monthly Metrics'!D:D,"New Sales - Comped ($)")=0,"-",SUMIFS('Data - Monthly Metrics'!E:E,'Data - Monthly Metrics'!A:A,$B$4,'Data - Monthly Metrics'!B:B,"Mar",'Data - Monthly Metrics'!C:C,"TKP",'Data - Monthly Metrics'!D:D,"New Sales - Comped ($)"))</f>
        <v/>
      </c>
      <c r="I12" s="101">
        <f>SUM(F12,G12,H12)</f>
        <v/>
      </c>
      <c r="J12" s="91">
        <f>IF(COUNTIFS('Data - Monthly Metrics'!A:A,$B$4,'Data - Monthly Metrics'!B:B,"Apr",'Data - Monthly Metrics'!C:C,"TKP",'Data - Monthly Metrics'!D:D,"New Sales - Comped ($)")=0,"-",SUMIFS('Data - Monthly Metrics'!E:E,'Data - Monthly Metrics'!A:A,$B$4,'Data - Monthly Metrics'!B:B,"Apr",'Data - Monthly Metrics'!C:C,"TKP",'Data - Monthly Metrics'!D:D,"New Sales - Comped ($)"))</f>
        <v/>
      </c>
      <c r="K12" s="91">
        <f>IF(COUNTIFS('Data - Monthly Metrics'!A:A,$B$4,'Data - Monthly Metrics'!B:B,"May",'Data - Monthly Metrics'!C:C,"TKP",'Data - Monthly Metrics'!D:D,"New Sales - Comped ($)")=0,"-",SUMIFS('Data - Monthly Metrics'!E:E,'Data - Monthly Metrics'!A:A,$B$4,'Data - Monthly Metrics'!B:B,"May",'Data - Monthly Metrics'!C:C,"TKP",'Data - Monthly Metrics'!D:D,"New Sales - Comped ($)"))</f>
        <v/>
      </c>
      <c r="L12" s="91">
        <f>IF(COUNTIFS('Data - Monthly Metrics'!A:A,$B$4,'Data - Monthly Metrics'!B:B,"Jun",'Data - Monthly Metrics'!C:C,"TKP",'Data - Monthly Metrics'!D:D,"New Sales - Comped ($)")=0,"-",SUMIFS('Data - Monthly Metrics'!E:E,'Data - Monthly Metrics'!A:A,$B$4,'Data - Monthly Metrics'!B:B,"Jun",'Data - Monthly Metrics'!C:C,"TKP",'Data - Monthly Metrics'!D:D,"New Sales - Comped ($)"))</f>
        <v/>
      </c>
      <c r="M12" s="101">
        <f>SUM(J12,K12,L12)</f>
        <v/>
      </c>
      <c r="N12" s="91">
        <f>IF(COUNTIFS('Data - Monthly Metrics'!A:A,$B$4,'Data - Monthly Metrics'!B:B,"Jul",'Data - Monthly Metrics'!C:C,"TKP",'Data - Monthly Metrics'!D:D,"New Sales - Comped ($)")=0,"-",SUMIFS('Data - Monthly Metrics'!E:E,'Data - Monthly Metrics'!A:A,$B$4,'Data - Monthly Metrics'!B:B,"Jul",'Data - Monthly Metrics'!C:C,"TKP",'Data - Monthly Metrics'!D:D,"New Sales - Comped ($)"))</f>
        <v/>
      </c>
      <c r="O12" s="91">
        <f>IF(COUNTIFS('Data - Monthly Metrics'!A:A,$B$4,'Data - Monthly Metrics'!B:B,"Aug",'Data - Monthly Metrics'!C:C,"TKP",'Data - Monthly Metrics'!D:D,"New Sales - Comped ($)")=0,"-",SUMIFS('Data - Monthly Metrics'!E:E,'Data - Monthly Metrics'!A:A,$B$4,'Data - Monthly Metrics'!B:B,"Aug",'Data - Monthly Metrics'!C:C,"TKP",'Data - Monthly Metrics'!D:D,"New Sales - Comped ($)"))</f>
        <v/>
      </c>
      <c r="P12" s="91">
        <f>IF(COUNTIFS('Data - Monthly Metrics'!A:A,$B$4,'Data - Monthly Metrics'!B:B,"Sep",'Data - Monthly Metrics'!C:C,"TKP",'Data - Monthly Metrics'!D:D,"New Sales - Comped ($)")=0,"-",SUMIFS('Data - Monthly Metrics'!E:E,'Data - Monthly Metrics'!A:A,$B$4,'Data - Monthly Metrics'!B:B,"Sep",'Data - Monthly Metrics'!C:C,"TKP",'Data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Metrics'!C:C,"TKP",'Data - Monthly Metrics'!D:D,"Revenue Up for Renewal - Target ($)")+SUMIFS('Data - Monthly Metrics'!E:E,'Data - Monthly Metrics'!A:A,$B$4-1,'Data - Monthly Metrics'!B:B,"Oct",'Data - Monthly Metrics'!C:C,"TKP",'Data - Monthly Metrics'!D:D,"Revenue Up for Renewal - Non-Target ($)")</f>
        <v/>
      </c>
      <c r="C22" s="110">
        <f>SUMIFS('Data - Monthly Metrics'!E:E,'Data - Monthly Metrics'!A:A,$B$4-1,'Data - Monthly Metrics'!B:B,"Nov",'Data - Monthly Metrics'!C:C,"TKP",'Data - Monthly Metrics'!D:D,"Revenue Up for Renewal - Target ($)")+SUMIFS('Data - Monthly Metrics'!E:E,'Data - Monthly Metrics'!A:A,$B$4-1,'Data - Monthly Metrics'!B:B,"Nov",'Data - Monthly Metrics'!C:C,"TKP",'Data - Monthly Metrics'!D:D,"Revenue Up for Renewal - Non-Target ($)")</f>
        <v/>
      </c>
      <c r="D22" s="110">
        <f>SUMIFS('Data - Monthly Metrics'!E:E,'Data - Monthly Metrics'!A:A,$B$4-1,'Data - Monthly Metrics'!B:B,"Dec",'Data - Monthly Metrics'!C:C,"TKP",'Data - Monthly Metrics'!D:D,"Revenue Up for Renewal - Target ($)")+SUMIFS('Data - Monthly Metrics'!E:E,'Data - Monthly Metrics'!A:A,$B$4-1,'Data - Monthly Metrics'!B:B,"Dec",'Data - Monthly Metrics'!C:C,"TKP",'Data - Monthly Metrics'!D:D,"Revenue Up for Renewal - Non-Target ($)")</f>
        <v/>
      </c>
      <c r="E22" s="111">
        <f>SUM(B22,C22,D22)</f>
        <v/>
      </c>
      <c r="F22" s="110">
        <f>SUMIFS('Data - Monthly Metrics'!E:E,'Data - Monthly Metrics'!A:A,$B$4,'Data - Monthly Metrics'!B:B,"Jan",'Data - Monthly Metrics'!C:C,"TKP",'Data - Monthly Metrics'!D:D,"Revenue Up for Renewal - Target ($)")+SUMIFS('Data - Monthly Metrics'!E:E,'Data - Monthly Metrics'!A:A,$B$4,'Data - Monthly Metrics'!B:B,"Jan",'Data - Monthly Metrics'!C:C,"TKP",'Data - Monthly Metrics'!D:D,"Revenue Up for Renewal - Non-Target ($)")</f>
        <v/>
      </c>
      <c r="G22" s="110">
        <f>SUMIFS('Data - Monthly Metrics'!E:E,'Data - Monthly Metrics'!A:A,$B$4,'Data - Monthly Metrics'!B:B,"Feb",'Data - Monthly Metrics'!C:C,"TKP",'Data - Monthly Metrics'!D:D,"Revenue Up for Renewal - Target ($)")+SUMIFS('Data - Monthly Metrics'!E:E,'Data - Monthly Metrics'!A:A,$B$4,'Data - Monthly Metrics'!B:B,"Feb",'Data - Monthly Metrics'!C:C,"TKP",'Data - Monthly Metrics'!D:D,"Revenue Up for Renewal - Non-Target ($)")</f>
        <v/>
      </c>
      <c r="H22" s="110">
        <f>SUMIFS('Data - Monthly Metrics'!E:E,'Data - Monthly Metrics'!A:A,$B$4,'Data - Monthly Metrics'!B:B,"Mar",'Data - Monthly Metrics'!C:C,"TKP",'Data - Monthly Metrics'!D:D,"Revenue Up for Renewal - Target ($)")+SUMIFS('Data - Monthly Metrics'!E:E,'Data - Monthly Metrics'!A:A,$B$4,'Data - Monthly Metrics'!B:B,"Mar",'Data - Monthly Metrics'!C:C,"TKP",'Data - Monthly Metrics'!D:D,"Revenue Up for Renewal - Non-Target ($)")</f>
        <v/>
      </c>
      <c r="I22" s="111">
        <f>SUM(F22,G22,H22)</f>
        <v/>
      </c>
      <c r="J22" s="110">
        <f>SUMIFS('Data - Monthly Metrics'!E:E,'Data - Monthly Metrics'!A:A,$B$4,'Data - Monthly Metrics'!B:B,"Apr",'Data - Monthly Metrics'!C:C,"TKP",'Data - Monthly Metrics'!D:D,"Revenue Up for Renewal - Target ($)")+SUMIFS('Data - Monthly Metrics'!E:E,'Data - Monthly Metrics'!A:A,$B$4,'Data - Monthly Metrics'!B:B,"Apr",'Data - Monthly Metrics'!C:C,"TKP",'Data - Monthly Metrics'!D:D,"Revenue Up for Renewal - Non-Target ($)")</f>
        <v/>
      </c>
      <c r="K22" s="110">
        <f>SUMIFS('Data - Monthly Metrics'!E:E,'Data - Monthly Metrics'!A:A,$B$4,'Data - Monthly Metrics'!B:B,"May",'Data - Monthly Metrics'!C:C,"TKP",'Data - Monthly Metrics'!D:D,"Revenue Up for Renewal - Target ($)")+SUMIFS('Data - Monthly Metrics'!E:E,'Data - Monthly Metrics'!A:A,$B$4,'Data - Monthly Metrics'!B:B,"May",'Data - Monthly Metrics'!C:C,"TKP",'Data - Monthly Metrics'!D:D,"Revenue Up for Renewal - Non-Target ($)")</f>
        <v/>
      </c>
      <c r="L22" s="110">
        <f>SUMIFS('Data - Monthly Metrics'!E:E,'Data - Monthly Metrics'!A:A,$B$4,'Data - Monthly Metrics'!B:B,"Jun",'Data - Monthly Metrics'!C:C,"TKP",'Data - Monthly Metrics'!D:D,"Revenue Up for Renewal - Target ($)")+SUMIFS('Data - Monthly Metrics'!E:E,'Data - Monthly Metrics'!A:A,$B$4,'Data - Monthly Metrics'!B:B,"Jun",'Data - Monthly Metrics'!C:C,"TKP",'Data - Monthly Metrics'!D:D,"Revenue Up for Renewal - Non-Target ($)")</f>
        <v/>
      </c>
      <c r="M22" s="111">
        <f>SUM(J22,K22,L22)</f>
        <v/>
      </c>
      <c r="N22" s="110">
        <f>SUMIFS('Data - Monthly Metrics'!E:E,'Data - Monthly Metrics'!A:A,$B$4,'Data - Monthly Metrics'!B:B,"Jul",'Data - Monthly Metrics'!C:C,"TKP",'Data - Monthly Metrics'!D:D,"Revenue Up for Renewal - Target ($)")+SUMIFS('Data - Monthly Metrics'!E:E,'Data - Monthly Metrics'!A:A,$B$4,'Data - Monthly Metrics'!B:B,"Jul",'Data - Monthly Metrics'!C:C,"TKP",'Data - Monthly Metrics'!D:D,"Revenue Up for Renewal - Non-Target ($)")</f>
        <v/>
      </c>
      <c r="O22" s="110">
        <f>SUMIFS('Data - Monthly Metrics'!E:E,'Data - Monthly Metrics'!A:A,$B$4,'Data - Monthly Metrics'!B:B,"Aug",'Data - Monthly Metrics'!C:C,"TKP",'Data - Monthly Metrics'!D:D,"Revenue Up for Renewal - Target ($)")+SUMIFS('Data - Monthly Metrics'!E:E,'Data - Monthly Metrics'!A:A,$B$4,'Data - Monthly Metrics'!B:B,"Aug",'Data - Monthly Metrics'!C:C,"TKP",'Data - Monthly Metrics'!D:D,"Revenue Up for Renewal - Non-Target ($)")</f>
        <v/>
      </c>
      <c r="P22" s="110">
        <f>SUMIFS('Data - Monthly Metrics'!E:E,'Data - Monthly Metrics'!A:A,$B$4,'Data - Monthly Metrics'!B:B,"Sep",'Data - Monthly Metrics'!C:C,"TKP",'Data - Monthly Metrics'!D:D,"Revenue Up for Renewal - Target ($)")+SUMIFS('Data - Monthly Metrics'!E:E,'Data - Monthly Metrics'!A:A,$B$4,'Data - Monthly Metrics'!B:B,"Sep",'Data - Monthly Metrics'!C:C,"TKP",'Data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Metrics'!C:C,"TKP",'Data - Monthly Metrics'!D:D,"Revenue Retained - Target ($)")+SUMIFS('Data - Monthly Metrics'!E:E,'Data - Monthly Metrics'!A:A,$B$4-1,'Data - Monthly Metrics'!B:B,"Oct",'Data - Monthly Metrics'!C:C,"TKP",'Data - Monthly Metrics'!D:D,"Revenue Retained - Non-Target ($)")</f>
        <v/>
      </c>
      <c r="C23" s="112">
        <f>SUMIFS('Data - Monthly Metrics'!E:E,'Data - Monthly Metrics'!A:A,$B$4-1,'Data - Monthly Metrics'!B:B,"Nov",'Data - Monthly Metrics'!C:C,"TKP",'Data - Monthly Metrics'!D:D,"Revenue Retained - Target ($)")+SUMIFS('Data - Monthly Metrics'!E:E,'Data - Monthly Metrics'!A:A,$B$4-1,'Data - Monthly Metrics'!B:B,"Nov",'Data - Monthly Metrics'!C:C,"TKP",'Data - Monthly Metrics'!D:D,"Revenue Retained - Non-Target ($)")</f>
        <v/>
      </c>
      <c r="D23" s="112">
        <f>SUMIFS('Data - Monthly Metrics'!E:E,'Data - Monthly Metrics'!A:A,$B$4-1,'Data - Monthly Metrics'!B:B,"Dec",'Data - Monthly Metrics'!C:C,"TKP",'Data - Monthly Metrics'!D:D,"Revenue Retained - Target ($)")+SUMIFS('Data - Monthly Metrics'!E:E,'Data - Monthly Metrics'!A:A,$B$4-1,'Data - Monthly Metrics'!B:B,"Dec",'Data - Monthly Metrics'!C:C,"TKP",'Data - Monthly Metrics'!D:D,"Revenue Retained - Non-Target ($)")</f>
        <v/>
      </c>
      <c r="E23" s="111">
        <f>SUM(B23,C23,D23)</f>
        <v/>
      </c>
      <c r="F23" s="112">
        <f>SUMIFS('Data - Monthly Metrics'!E:E,'Data - Monthly Metrics'!A:A,$B$4,'Data - Monthly Metrics'!B:B,"Jan",'Data - Monthly Metrics'!C:C,"TKP",'Data - Monthly Metrics'!D:D,"Revenue Retained - Target ($)")+SUMIFS('Data - Monthly Metrics'!E:E,'Data - Monthly Metrics'!A:A,$B$4,'Data - Monthly Metrics'!B:B,"Jan",'Data - Monthly Metrics'!C:C,"TKP",'Data - Monthly Metrics'!D:D,"Revenue Retained - Non-Target ($)")</f>
        <v/>
      </c>
      <c r="G23" s="112">
        <f>SUMIFS('Data - Monthly Metrics'!E:E,'Data - Monthly Metrics'!A:A,$B$4,'Data - Monthly Metrics'!B:B,"Feb",'Data - Monthly Metrics'!C:C,"TKP",'Data - Monthly Metrics'!D:D,"Revenue Retained - Target ($)")+SUMIFS('Data - Monthly Metrics'!E:E,'Data - Monthly Metrics'!A:A,$B$4,'Data - Monthly Metrics'!B:B,"Feb",'Data - Monthly Metrics'!C:C,"TKP",'Data - Monthly Metrics'!D:D,"Revenue Retained - Non-Target ($)")</f>
        <v/>
      </c>
      <c r="H23" s="112">
        <f>SUMIFS('Data - Monthly Metrics'!E:E,'Data - Monthly Metrics'!A:A,$B$4,'Data - Monthly Metrics'!B:B,"Mar",'Data - Monthly Metrics'!C:C,"TKP",'Data - Monthly Metrics'!D:D,"Revenue Retained - Target ($)")+SUMIFS('Data - Monthly Metrics'!E:E,'Data - Monthly Metrics'!A:A,$B$4,'Data - Monthly Metrics'!B:B,"Mar",'Data - Monthly Metrics'!C:C,"TKP",'Data - Monthly Metrics'!D:D,"Revenue Retained - Non-Target ($)")</f>
        <v/>
      </c>
      <c r="I23" s="111">
        <f>SUM(F23,G23,H23)</f>
        <v/>
      </c>
      <c r="J23" s="112">
        <f>SUMIFS('Data - Monthly Metrics'!E:E,'Data - Monthly Metrics'!A:A,$B$4,'Data - Monthly Metrics'!B:B,"Apr",'Data - Monthly Metrics'!C:C,"TKP",'Data - Monthly Metrics'!D:D,"Revenue Retained - Target ($)")+SUMIFS('Data - Monthly Metrics'!E:E,'Data - Monthly Metrics'!A:A,$B$4,'Data - Monthly Metrics'!B:B,"Apr",'Data - Monthly Metrics'!C:C,"TKP",'Data - Monthly Metrics'!D:D,"Revenue Retained - Non-Target ($)")</f>
        <v/>
      </c>
      <c r="K23" s="112">
        <f>SUMIFS('Data - Monthly Metrics'!E:E,'Data - Monthly Metrics'!A:A,$B$4,'Data - Monthly Metrics'!B:B,"May",'Data - Monthly Metrics'!C:C,"TKP",'Data - Monthly Metrics'!D:D,"Revenue Retained - Target ($)")+SUMIFS('Data - Monthly Metrics'!E:E,'Data - Monthly Metrics'!A:A,$B$4,'Data - Monthly Metrics'!B:B,"May",'Data - Monthly Metrics'!C:C,"TKP",'Data - Monthly Metrics'!D:D,"Revenue Retained - Non-Target ($)")</f>
        <v/>
      </c>
      <c r="L23" s="112">
        <f>SUMIFS('Data - Monthly Metrics'!E:E,'Data - Monthly Metrics'!A:A,$B$4,'Data - Monthly Metrics'!B:B,"Jun",'Data - Monthly Metrics'!C:C,"TKP",'Data - Monthly Metrics'!D:D,"Revenue Retained - Target ($)")+SUMIFS('Data - Monthly Metrics'!E:E,'Data - Monthly Metrics'!A:A,$B$4,'Data - Monthly Metrics'!B:B,"Jun",'Data - Monthly Metrics'!C:C,"TKP",'Data - Monthly Metrics'!D:D,"Revenue Retained - Non-Target ($)")</f>
        <v/>
      </c>
      <c r="M23" s="111">
        <f>SUM(J23,K23,L23)</f>
        <v/>
      </c>
      <c r="N23" s="112">
        <f>SUMIFS('Data - Monthly Metrics'!E:E,'Data - Monthly Metrics'!A:A,$B$4,'Data - Monthly Metrics'!B:B,"Jul",'Data - Monthly Metrics'!C:C,"TKP",'Data - Monthly Metrics'!D:D,"Revenue Retained - Target ($)")+SUMIFS('Data - Monthly Metrics'!E:E,'Data - Monthly Metrics'!A:A,$B$4,'Data - Monthly Metrics'!B:B,"Jul",'Data - Monthly Metrics'!C:C,"TKP",'Data - Monthly Metrics'!D:D,"Revenue Retained - Non-Target ($)")</f>
        <v/>
      </c>
      <c r="O23" s="112">
        <f>SUMIFS('Data - Monthly Metrics'!E:E,'Data - Monthly Metrics'!A:A,$B$4,'Data - Monthly Metrics'!B:B,"Aug",'Data - Monthly Metrics'!C:C,"TKP",'Data - Monthly Metrics'!D:D,"Revenue Retained - Target ($)")+SUMIFS('Data - Monthly Metrics'!E:E,'Data - Monthly Metrics'!A:A,$B$4,'Data - Monthly Metrics'!B:B,"Aug",'Data - Monthly Metrics'!C:C,"TKP",'Data - Monthly Metrics'!D:D,"Revenue Retained - Non-Target ($)")</f>
        <v/>
      </c>
      <c r="P23" s="112">
        <f>SUMIFS('Data - Monthly Metrics'!E:E,'Data - Monthly Metrics'!A:A,$B$4,'Data - Monthly Metrics'!B:B,"Sep",'Data - Monthly Metrics'!C:C,"TKP",'Data - Monthly Metrics'!D:D,"Revenue Retained - Target ($)")+SUMIFS('Data - Monthly Metrics'!E:E,'Data - Monthly Metrics'!A:A,$B$4,'Data - Monthly Metrics'!B:B,"Sep",'Data - Monthly Metrics'!C:C,"TKP",'Data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Metrics'!C:C,"TKP",'Data - Monthly Metrics'!D:D,"Retention - Comped ($)")</f>
        <v/>
      </c>
      <c r="C24" s="112">
        <f>SUMIFS('Data - Monthly Metrics'!E:E,'Data - Monthly Metrics'!A:A,$B$4-1,'Data - Monthly Metrics'!B:B,"Nov",'Data - Monthly Metrics'!C:C,"TKP",'Data - Monthly Metrics'!D:D,"Retention - Comped ($)")</f>
        <v/>
      </c>
      <c r="D24" s="112">
        <f>SUMIFS('Data - Monthly Metrics'!E:E,'Data - Monthly Metrics'!A:A,$B$4-1,'Data - Monthly Metrics'!B:B,"Dec",'Data - Monthly Metrics'!C:C,"TKP",'Data - Monthly Metrics'!D:D,"Retention - Comped ($)")</f>
        <v/>
      </c>
      <c r="E24" s="111">
        <f>SUM(B24,C24,D24)</f>
        <v/>
      </c>
      <c r="F24" s="112">
        <f>SUMIFS('Data - Monthly Metrics'!E:E,'Data - Monthly Metrics'!A:A,$B$4,'Data - Monthly Metrics'!B:B,"Jan",'Data - Monthly Metrics'!C:C,"TKP",'Data - Monthly Metrics'!D:D,"Retention - Comped ($)")</f>
        <v/>
      </c>
      <c r="G24" s="112">
        <f>SUMIFS('Data - Monthly Metrics'!E:E,'Data - Monthly Metrics'!A:A,$B$4,'Data - Monthly Metrics'!B:B,"Feb",'Data - Monthly Metrics'!C:C,"TKP",'Data - Monthly Metrics'!D:D,"Retention - Comped ($)")</f>
        <v/>
      </c>
      <c r="H24" s="112">
        <f>SUMIFS('Data - Monthly Metrics'!E:E,'Data - Monthly Metrics'!A:A,$B$4,'Data - Monthly Metrics'!B:B,"Mar",'Data - Monthly Metrics'!C:C,"TKP",'Data - Monthly Metrics'!D:D,"Retention - Comped ($)")</f>
        <v/>
      </c>
      <c r="I24" s="111">
        <f>SUM(F24,G24,H24)</f>
        <v/>
      </c>
      <c r="J24" s="112">
        <f>SUMIFS('Data - Monthly Metrics'!E:E,'Data - Monthly Metrics'!A:A,$B$4,'Data - Monthly Metrics'!B:B,"Apr",'Data - Monthly Metrics'!C:C,"TKP",'Data - Monthly Metrics'!D:D,"Retention - Comped ($)")</f>
        <v/>
      </c>
      <c r="K24" s="112">
        <f>SUMIFS('Data - Monthly Metrics'!E:E,'Data - Monthly Metrics'!A:A,$B$4,'Data - Monthly Metrics'!B:B,"May",'Data - Monthly Metrics'!C:C,"TKP",'Data - Monthly Metrics'!D:D,"Retention - Comped ($)")</f>
        <v/>
      </c>
      <c r="L24" s="112">
        <f>SUMIFS('Data - Monthly Metrics'!E:E,'Data - Monthly Metrics'!A:A,$B$4,'Data - Monthly Metrics'!B:B,"Jun",'Data - Monthly Metrics'!C:C,"TKP",'Data - Monthly Metrics'!D:D,"Retention - Comped ($)")</f>
        <v/>
      </c>
      <c r="M24" s="111">
        <f>SUM(J24,K24,L24)</f>
        <v/>
      </c>
      <c r="N24" s="112">
        <f>SUMIFS('Data - Monthly Metrics'!E:E,'Data - Monthly Metrics'!A:A,$B$4,'Data - Monthly Metrics'!B:B,"Jul",'Data - Monthly Metrics'!C:C,"TKP",'Data - Monthly Metrics'!D:D,"Retention - Comped ($)")</f>
        <v/>
      </c>
      <c r="O24" s="112">
        <f>SUMIFS('Data - Monthly Metrics'!E:E,'Data - Monthly Metrics'!A:A,$B$4,'Data - Monthly Metrics'!B:B,"Aug",'Data - Monthly Metrics'!C:C,"TKP",'Data - Monthly Metrics'!D:D,"Retention - Comped ($)")</f>
        <v/>
      </c>
      <c r="P24" s="112">
        <f>SUMIFS('Data - Monthly Metrics'!E:E,'Data - Monthly Metrics'!A:A,$B$4,'Data - Monthly Metrics'!B:B,"Sep",'Data - Monthly Metrics'!C:C,"TKP",'Data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Metrics'!C:C,"TKP",'Data - Monthly Metrics'!D:D,"Retention - Comped (#)")</f>
        <v/>
      </c>
      <c r="C25" s="113">
        <f>SUMIFS('Data - Monthly Metrics'!E:E,'Data - Monthly Metrics'!A:A,$B$4-1,'Data - Monthly Metrics'!B:B,"Nov",'Data - Monthly Metrics'!C:C,"TKP",'Data - Monthly Metrics'!D:D,"Retention - Comped (#)")</f>
        <v/>
      </c>
      <c r="D25" s="113">
        <f>SUMIFS('Data - Monthly Metrics'!E:E,'Data - Monthly Metrics'!A:A,$B$4-1,'Data - Monthly Metrics'!B:B,"Dec",'Data - Monthly Metrics'!C:C,"TKP",'Data - Monthly Metrics'!D:D,"Retention - Comped (#)")</f>
        <v/>
      </c>
      <c r="E25" s="114">
        <f>SUM(B25,C25,D25)</f>
        <v/>
      </c>
      <c r="F25" s="113">
        <f>SUMIFS('Data - Monthly Metrics'!E:E,'Data - Monthly Metrics'!A:A,$B$4,'Data - Monthly Metrics'!B:B,"Jan",'Data - Monthly Metrics'!C:C,"TKP",'Data - Monthly Metrics'!D:D,"Retention - Comped (#)")</f>
        <v/>
      </c>
      <c r="G25" s="113">
        <f>SUMIFS('Data - Monthly Metrics'!E:E,'Data - Monthly Metrics'!A:A,$B$4,'Data - Monthly Metrics'!B:B,"Feb",'Data - Monthly Metrics'!C:C,"TKP",'Data - Monthly Metrics'!D:D,"Retention - Comped (#)")</f>
        <v/>
      </c>
      <c r="H25" s="113">
        <f>SUMIFS('Data - Monthly Metrics'!E:E,'Data - Monthly Metrics'!A:A,$B$4,'Data - Monthly Metrics'!B:B,"Mar",'Data - Monthly Metrics'!C:C,"TKP",'Data - Monthly Metrics'!D:D,"Retention - Comped (#)")</f>
        <v/>
      </c>
      <c r="I25" s="114">
        <f>SUM(F25,G25,H25)</f>
        <v/>
      </c>
      <c r="J25" s="113">
        <f>SUMIFS('Data - Monthly Metrics'!E:E,'Data - Monthly Metrics'!A:A,$B$4,'Data - Monthly Metrics'!B:B,"Apr",'Data - Monthly Metrics'!C:C,"TKP",'Data - Monthly Metrics'!D:D,"Retention - Comped (#)")</f>
        <v/>
      </c>
      <c r="K25" s="113">
        <f>SUMIFS('Data - Monthly Metrics'!E:E,'Data - Monthly Metrics'!A:A,$B$4,'Data - Monthly Metrics'!B:B,"May",'Data - Monthly Metrics'!C:C,"TKP",'Data - Monthly Metrics'!D:D,"Retention - Comped (#)")</f>
        <v/>
      </c>
      <c r="L25" s="113">
        <f>SUMIFS('Data - Monthly Metrics'!E:E,'Data - Monthly Metrics'!A:A,$B$4,'Data - Monthly Metrics'!B:B,"Jun",'Data - Monthly Metrics'!C:C,"TKP",'Data - Monthly Metrics'!D:D,"Retention - Comped (#)")</f>
        <v/>
      </c>
      <c r="M25" s="114">
        <f>SUM(J25,K25,L25)</f>
        <v/>
      </c>
      <c r="N25" s="113">
        <f>SUMIFS('Data - Monthly Metrics'!E:E,'Data - Monthly Metrics'!A:A,$B$4,'Data - Monthly Metrics'!B:B,"Jul",'Data - Monthly Metrics'!C:C,"TKP",'Data - Monthly Metrics'!D:D,"Retention - Comped (#)")</f>
        <v/>
      </c>
      <c r="O25" s="113">
        <f>SUMIFS('Data - Monthly Metrics'!E:E,'Data - Monthly Metrics'!A:A,$B$4,'Data - Monthly Metrics'!B:B,"Aug",'Data - Monthly Metrics'!C:C,"TKP",'Data - Monthly Metrics'!D:D,"Retention - Comped (#)")</f>
        <v/>
      </c>
      <c r="P25" s="113">
        <f>SUMIFS('Data - Monthly Metrics'!E:E,'Data - Monthly Metrics'!A:A,$B$4,'Data - Monthly Metrics'!B:B,"Sep",'Data - Monthly Metrics'!C:C,"TKP",'Data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Metrics'!C:C,"TKP",'Data - Monthly Metrics'!D:D,"Retention - BOB ($)")</f>
        <v/>
      </c>
      <c r="C26" s="112">
        <f>SUMIFS('Data - Monthly Metrics'!E:E,'Data - Monthly Metrics'!A:A,$B$4-1,'Data - Monthly Metrics'!B:B,"Nov",'Data - Monthly Metrics'!C:C,"TKP",'Data - Monthly Metrics'!D:D,"Retention - BOB ($)")</f>
        <v/>
      </c>
      <c r="D26" s="112">
        <f>SUMIFS('Data - Monthly Metrics'!E:E,'Data - Monthly Metrics'!A:A,$B$4-1,'Data - Monthly Metrics'!B:B,"Dec",'Data - Monthly Metrics'!C:C,"TKP",'Data - Monthly Metrics'!D:D,"Retention - BOB ($)")</f>
        <v/>
      </c>
      <c r="E26" s="111">
        <f>SUM(B26,C26,D26)</f>
        <v/>
      </c>
      <c r="F26" s="112">
        <f>SUMIFS('Data - Monthly Metrics'!E:E,'Data - Monthly Metrics'!A:A,$B$4,'Data - Monthly Metrics'!B:B,"Jan",'Data - Monthly Metrics'!C:C,"TKP",'Data - Monthly Metrics'!D:D,"Retention - BOB ($)")</f>
        <v/>
      </c>
      <c r="G26" s="112">
        <f>SUMIFS('Data - Monthly Metrics'!E:E,'Data - Monthly Metrics'!A:A,$B$4,'Data - Monthly Metrics'!B:B,"Feb",'Data - Monthly Metrics'!C:C,"TKP",'Data - Monthly Metrics'!D:D,"Retention - BOB ($)")</f>
        <v/>
      </c>
      <c r="H26" s="112">
        <f>SUMIFS('Data - Monthly Metrics'!E:E,'Data - Monthly Metrics'!A:A,$B$4,'Data - Monthly Metrics'!B:B,"Mar",'Data - Monthly Metrics'!C:C,"TKP",'Data - Monthly Metrics'!D:D,"Retention - BOB ($)")</f>
        <v/>
      </c>
      <c r="I26" s="111">
        <f>SUM(F26,G26,H26)</f>
        <v/>
      </c>
      <c r="J26" s="112">
        <f>SUMIFS('Data - Monthly Metrics'!E:E,'Data - Monthly Metrics'!A:A,$B$4,'Data - Monthly Metrics'!B:B,"Apr",'Data - Monthly Metrics'!C:C,"TKP",'Data - Monthly Metrics'!D:D,"Retention - BOB ($)")</f>
        <v/>
      </c>
      <c r="K26" s="112">
        <f>SUMIFS('Data - Monthly Metrics'!E:E,'Data - Monthly Metrics'!A:A,$B$4,'Data - Monthly Metrics'!B:B,"May",'Data - Monthly Metrics'!C:C,"TKP",'Data - Monthly Metrics'!D:D,"Retention - BOB ($)")</f>
        <v/>
      </c>
      <c r="L26" s="112">
        <f>SUMIFS('Data - Monthly Metrics'!E:E,'Data - Monthly Metrics'!A:A,$B$4,'Data - Monthly Metrics'!B:B,"Jun",'Data - Monthly Metrics'!C:C,"TKP",'Data - Monthly Metrics'!D:D,"Retention - BOB ($)")</f>
        <v/>
      </c>
      <c r="M26" s="111">
        <f>SUM(J26,K26,L26)</f>
        <v/>
      </c>
      <c r="N26" s="112">
        <f>SUMIFS('Data - Monthly Metrics'!E:E,'Data - Monthly Metrics'!A:A,$B$4,'Data - Monthly Metrics'!B:B,"Jul",'Data - Monthly Metrics'!C:C,"TKP",'Data - Monthly Metrics'!D:D,"Retention - BOB ($)")</f>
        <v/>
      </c>
      <c r="O26" s="112">
        <f>SUMIFS('Data - Monthly Metrics'!E:E,'Data - Monthly Metrics'!A:A,$B$4,'Data - Monthly Metrics'!B:B,"Aug",'Data - Monthly Metrics'!C:C,"TKP",'Data - Monthly Metrics'!D:D,"Retention - BOB ($)")</f>
        <v/>
      </c>
      <c r="P26" s="112">
        <f>SUMIFS('Data - Monthly Metrics'!E:E,'Data - Monthly Metrics'!A:A,$B$4,'Data - Monthly Metrics'!B:B,"Sep",'Data - Monthly Metrics'!C:C,"TKP",'Data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Metrics'!C:C,"TKP",'Data - Monthly Metrics'!D:D,"Retention - BOB (#)")</f>
        <v/>
      </c>
      <c r="C27" s="113">
        <f>SUMIFS('Data - Monthly Metrics'!E:E,'Data - Monthly Metrics'!A:A,$B$4-1,'Data - Monthly Metrics'!B:B,"Nov",'Data - Monthly Metrics'!C:C,"TKP",'Data - Monthly Metrics'!D:D,"Retention - BOB (#)")</f>
        <v/>
      </c>
      <c r="D27" s="113">
        <f>SUMIFS('Data - Monthly Metrics'!E:E,'Data - Monthly Metrics'!A:A,$B$4-1,'Data - Monthly Metrics'!B:B,"Dec",'Data - Monthly Metrics'!C:C,"TKP",'Data - Monthly Metrics'!D:D,"Retention - BOB (#)")</f>
        <v/>
      </c>
      <c r="E27" s="114">
        <f>SUM(B27,C27,D27)</f>
        <v/>
      </c>
      <c r="F27" s="113">
        <f>SUMIFS('Data - Monthly Metrics'!E:E,'Data - Monthly Metrics'!A:A,$B$4,'Data - Monthly Metrics'!B:B,"Jan",'Data - Monthly Metrics'!C:C,"TKP",'Data - Monthly Metrics'!D:D,"Retention - BOB (#)")</f>
        <v/>
      </c>
      <c r="G27" s="113">
        <f>SUMIFS('Data - Monthly Metrics'!E:E,'Data - Monthly Metrics'!A:A,$B$4,'Data - Monthly Metrics'!B:B,"Feb",'Data - Monthly Metrics'!C:C,"TKP",'Data - Monthly Metrics'!D:D,"Retention - BOB (#)")</f>
        <v/>
      </c>
      <c r="H27" s="113">
        <f>SUMIFS('Data - Monthly Metrics'!E:E,'Data - Monthly Metrics'!A:A,$B$4,'Data - Monthly Metrics'!B:B,"Mar",'Data - Monthly Metrics'!C:C,"TKP",'Data - Monthly Metrics'!D:D,"Retention - BOB (#)")</f>
        <v/>
      </c>
      <c r="I27" s="114">
        <f>SUM(F27,G27,H27)</f>
        <v/>
      </c>
      <c r="J27" s="113">
        <f>SUMIFS('Data - Monthly Metrics'!E:E,'Data - Monthly Metrics'!A:A,$B$4,'Data - Monthly Metrics'!B:B,"Apr",'Data - Monthly Metrics'!C:C,"TKP",'Data - Monthly Metrics'!D:D,"Retention - BOB (#)")</f>
        <v/>
      </c>
      <c r="K27" s="113">
        <f>SUMIFS('Data - Monthly Metrics'!E:E,'Data - Monthly Metrics'!A:A,$B$4,'Data - Monthly Metrics'!B:B,"May",'Data - Monthly Metrics'!C:C,"TKP",'Data - Monthly Metrics'!D:D,"Retention - BOB (#)")</f>
        <v/>
      </c>
      <c r="L27" s="113">
        <f>SUMIFS('Data - Monthly Metrics'!E:E,'Data - Monthly Metrics'!A:A,$B$4,'Data - Monthly Metrics'!B:B,"Jun",'Data - Monthly Metrics'!C:C,"TKP",'Data - Monthly Metrics'!D:D,"Retention - BOB (#)")</f>
        <v/>
      </c>
      <c r="M27" s="114">
        <f>SUM(J27,K27,L27)</f>
        <v/>
      </c>
      <c r="N27" s="113">
        <f>SUMIFS('Data - Monthly Metrics'!E:E,'Data - Monthly Metrics'!A:A,$B$4,'Data - Monthly Metrics'!B:B,"Jul",'Data - Monthly Metrics'!C:C,"TKP",'Data - Monthly Metrics'!D:D,"Retention - BOB (#)")</f>
        <v/>
      </c>
      <c r="O27" s="113">
        <f>SUMIFS('Data - Monthly Metrics'!E:E,'Data - Monthly Metrics'!A:A,$B$4,'Data - Monthly Metrics'!B:B,"Aug",'Data - Monthly Metrics'!C:C,"TKP",'Data - Monthly Metrics'!D:D,"Retention - BOB (#)")</f>
        <v/>
      </c>
      <c r="P27" s="113">
        <f>SUMIFS('Data - Monthly Metrics'!E:E,'Data - Monthly Metrics'!A:A,$B$4,'Data - Monthly Metrics'!B:B,"Sep",'Data - Monthly Metrics'!C:C,"TKP",'Data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Metrics'!C:C,"TKP",'Data - Monthly Metrics'!D:D,"Revenue Up for Renewal - Target ($)")+SUMIFS('Data - Monthly Metrics'!E:E,'Data - Monthly Metrics'!A:A,$B$4-1,'Data - Monthly Metrics'!B:B,"Oct",'Data - Monthly Metrics'!C:C,"TKP",'Data - Monthly Metrics'!D:D,"Revenue Up for Renewal - Non-Target ($)"))=0,"-",(SUMIFS('Data - Monthly Metrics'!E:E,'Data - Monthly Metrics'!A:A,$B$4-1,'Data - Monthly Metrics'!B:B,"Oct",'Data - Monthly Metrics'!C:C,"TKP",'Data - Monthly Metrics'!D:D,"Revenue Retained - Target ($)")+SUMIFS('Data - Monthly Metrics'!E:E,'Data - Monthly Metrics'!A:A,$B$4-1,'Data - Monthly Metrics'!B:B,"Oct",'Data - Monthly Metrics'!C:C,"TKP",'Data - Monthly Metrics'!D:D,"Revenue Retained - Non-Target ($)"))/(SUMIFS('Data - Monthly Metrics'!E:E,'Data - Monthly Metrics'!A:A,$B$4-1,'Data - Monthly Metrics'!B:B,"Oct",'Data - Monthly Metrics'!C:C,"TKP",'Data - Monthly Metrics'!D:D,"Revenue Up for Renewal - Target ($)")+SUMIFS('Data - Monthly Metrics'!E:E,'Data - Monthly Metrics'!A:A,$B$4-1,'Data - Monthly Metrics'!B:B,"Oct",'Data - Monthly Metrics'!C:C,"TKP",'Data - Monthly Metrics'!D:D,"Revenue Up for Renewal - Non-Target ($)")))</f>
        <v/>
      </c>
      <c r="C28" s="115">
        <f>IF((SUMIFS('Data - Monthly Metrics'!E:E,'Data - Monthly Metrics'!A:A,$B$4-1,'Data - Monthly Metrics'!B:B,"Nov",'Data - Monthly Metrics'!C:C,"TKP",'Data - Monthly Metrics'!D:D,"Revenue Up for Renewal - Target ($)")+SUMIFS('Data - Monthly Metrics'!E:E,'Data - Monthly Metrics'!A:A,$B$4-1,'Data - Monthly Metrics'!B:B,"Nov",'Data - Monthly Metrics'!C:C,"TKP",'Data - Monthly Metrics'!D:D,"Revenue Up for Renewal - Non-Target ($)"))=0,"-",(SUMIFS('Data - Monthly Metrics'!E:E,'Data - Monthly Metrics'!A:A,$B$4-1,'Data - Monthly Metrics'!B:B,"Nov",'Data - Monthly Metrics'!C:C,"TKP",'Data - Monthly Metrics'!D:D,"Revenue Retained - Target ($)")+SUMIFS('Data - Monthly Metrics'!E:E,'Data - Monthly Metrics'!A:A,$B$4-1,'Data - Monthly Metrics'!B:B,"Nov",'Data - Monthly Metrics'!C:C,"TKP",'Data - Monthly Metrics'!D:D,"Revenue Retained - Non-Target ($)"))/(SUMIFS('Data - Monthly Metrics'!E:E,'Data - Monthly Metrics'!A:A,$B$4-1,'Data - Monthly Metrics'!B:B,"Nov",'Data - Monthly Metrics'!C:C,"TKP",'Data - Monthly Metrics'!D:D,"Revenue Up for Renewal - Target ($)")+SUMIFS('Data - Monthly Metrics'!E:E,'Data - Monthly Metrics'!A:A,$B$4-1,'Data - Monthly Metrics'!B:B,"Nov",'Data - Monthly Metrics'!C:C,"TKP",'Data - Monthly Metrics'!D:D,"Revenue Up for Renewal - Non-Target ($)")))</f>
        <v/>
      </c>
      <c r="D28" s="115">
        <f>IF((SUMIFS('Data - Monthly Metrics'!E:E,'Data - Monthly Metrics'!A:A,$B$4-1,'Data - Monthly Metrics'!B:B,"Dec",'Data - Monthly Metrics'!C:C,"TKP",'Data - Monthly Metrics'!D:D,"Revenue Up for Renewal - Target ($)")+SUMIFS('Data - Monthly Metrics'!E:E,'Data - Monthly Metrics'!A:A,$B$4-1,'Data - Monthly Metrics'!B:B,"Dec",'Data - Monthly Metrics'!C:C,"TKP",'Data - Monthly Metrics'!D:D,"Revenue Up for Renewal - Non-Target ($)"))=0,"-",(SUMIFS('Data - Monthly Metrics'!E:E,'Data - Monthly Metrics'!A:A,$B$4-1,'Data - Monthly Metrics'!B:B,"Dec",'Data - Monthly Metrics'!C:C,"TKP",'Data - Monthly Metrics'!D:D,"Revenue Retained - Target ($)")+SUMIFS('Data - Monthly Metrics'!E:E,'Data - Monthly Metrics'!A:A,$B$4-1,'Data - Monthly Metrics'!B:B,"Dec",'Data - Monthly Metrics'!C:C,"TKP",'Data - Monthly Metrics'!D:D,"Revenue Retained - Non-Target ($)"))/(SUMIFS('Data - Monthly Metrics'!E:E,'Data - Monthly Metrics'!A:A,$B$4-1,'Data - Monthly Metrics'!B:B,"Dec",'Data - Monthly Metrics'!C:C,"TKP",'Data - Monthly Metrics'!D:D,"Revenue Up for Renewal - Target ($)")+SUMIFS('Data - Monthly Metrics'!E:E,'Data - Monthly Metrics'!A:A,$B$4-1,'Data - Monthly Metrics'!B:B,"Dec",'Data - Monthly Metrics'!C:C,"TKP",'Data - Monthly Metrics'!D:D,"Revenue Up for Renewal - Non-Target ($)")))</f>
        <v/>
      </c>
      <c r="E28" s="116">
        <f>IF(E22=0,0,E23/E22)</f>
        <v/>
      </c>
      <c r="F28" s="115">
        <f>IF((SUMIFS('Data - Monthly Metrics'!E:E,'Data - Monthly Metrics'!A:A,$B$4,'Data - Monthly Metrics'!B:B,"Jan",'Data - Monthly Metrics'!C:C,"TKP",'Data - Monthly Metrics'!D:D,"Revenue Up for Renewal - Target ($)")+SUMIFS('Data - Monthly Metrics'!E:E,'Data - Monthly Metrics'!A:A,$B$4,'Data - Monthly Metrics'!B:B,"Jan",'Data - Monthly Metrics'!C:C,"TKP",'Data - Monthly Metrics'!D:D,"Revenue Up for Renewal - Non-Target ($)"))=0,"-",(SUMIFS('Data - Monthly Metrics'!E:E,'Data - Monthly Metrics'!A:A,$B$4,'Data - Monthly Metrics'!B:B,"Jan",'Data - Monthly Metrics'!C:C,"TKP",'Data - Monthly Metrics'!D:D,"Revenue Retained - Target ($)")+SUMIFS('Data - Monthly Metrics'!E:E,'Data - Monthly Metrics'!A:A,$B$4,'Data - Monthly Metrics'!B:B,"Jan",'Data - Monthly Metrics'!C:C,"TKP",'Data - Monthly Metrics'!D:D,"Revenue Retained - Non-Target ($)"))/(SUMIFS('Data - Monthly Metrics'!E:E,'Data - Monthly Metrics'!A:A,$B$4,'Data - Monthly Metrics'!B:B,"Jan",'Data - Monthly Metrics'!C:C,"TKP",'Data - Monthly Metrics'!D:D,"Revenue Up for Renewal - Target ($)")+SUMIFS('Data - Monthly Metrics'!E:E,'Data - Monthly Metrics'!A:A,$B$4,'Data - Monthly Metrics'!B:B,"Jan",'Data - Monthly Metrics'!C:C,"TKP",'Data - Monthly Metrics'!D:D,"Revenue Up for Renewal - Non-Target ($)")))</f>
        <v/>
      </c>
      <c r="G28" s="115">
        <f>IF((SUMIFS('Data - Monthly Metrics'!E:E,'Data - Monthly Metrics'!A:A,$B$4,'Data - Monthly Metrics'!B:B,"Feb",'Data - Monthly Metrics'!C:C,"TKP",'Data - Monthly Metrics'!D:D,"Revenue Up for Renewal - Target ($)")+SUMIFS('Data - Monthly Metrics'!E:E,'Data - Monthly Metrics'!A:A,$B$4,'Data - Monthly Metrics'!B:B,"Feb",'Data - Monthly Metrics'!C:C,"TKP",'Data - Monthly Metrics'!D:D,"Revenue Up for Renewal - Non-Target ($)"))=0,"-",(SUMIFS('Data - Monthly Metrics'!E:E,'Data - Monthly Metrics'!A:A,$B$4,'Data - Monthly Metrics'!B:B,"Feb",'Data - Monthly Metrics'!C:C,"TKP",'Data - Monthly Metrics'!D:D,"Revenue Retained - Target ($)")+SUMIFS('Data - Monthly Metrics'!E:E,'Data - Monthly Metrics'!A:A,$B$4,'Data - Monthly Metrics'!B:B,"Feb",'Data - Monthly Metrics'!C:C,"TKP",'Data - Monthly Metrics'!D:D,"Revenue Retained - Non-Target ($)"))/(SUMIFS('Data - Monthly Metrics'!E:E,'Data - Monthly Metrics'!A:A,$B$4,'Data - Monthly Metrics'!B:B,"Feb",'Data - Monthly Metrics'!C:C,"TKP",'Data - Monthly Metrics'!D:D,"Revenue Up for Renewal - Target ($)")+SUMIFS('Data - Monthly Metrics'!E:E,'Data - Monthly Metrics'!A:A,$B$4,'Data - Monthly Metrics'!B:B,"Feb",'Data - Monthly Metrics'!C:C,"TKP",'Data - Monthly Metrics'!D:D,"Revenue Up for Renewal - Non-Target ($)")))</f>
        <v/>
      </c>
      <c r="H28" s="115">
        <f>IF((SUMIFS('Data - Monthly Metrics'!E:E,'Data - Monthly Metrics'!A:A,$B$4,'Data - Monthly Metrics'!B:B,"Mar",'Data - Monthly Metrics'!C:C,"TKP",'Data - Monthly Metrics'!D:D,"Revenue Up for Renewal - Target ($)")+SUMIFS('Data - Monthly Metrics'!E:E,'Data - Monthly Metrics'!A:A,$B$4,'Data - Monthly Metrics'!B:B,"Mar",'Data - Monthly Metrics'!C:C,"TKP",'Data - Monthly Metrics'!D:D,"Revenue Up for Renewal - Non-Target ($)"))=0,"-",(SUMIFS('Data - Monthly Metrics'!E:E,'Data - Monthly Metrics'!A:A,$B$4,'Data - Monthly Metrics'!B:B,"Mar",'Data - Monthly Metrics'!C:C,"TKP",'Data - Monthly Metrics'!D:D,"Revenue Retained - Target ($)")+SUMIFS('Data - Monthly Metrics'!E:E,'Data - Monthly Metrics'!A:A,$B$4,'Data - Monthly Metrics'!B:B,"Mar",'Data - Monthly Metrics'!C:C,"TKP",'Data - Monthly Metrics'!D:D,"Revenue Retained - Non-Target ($)"))/(SUMIFS('Data - Monthly Metrics'!E:E,'Data - Monthly Metrics'!A:A,$B$4,'Data - Monthly Metrics'!B:B,"Mar",'Data - Monthly Metrics'!C:C,"TKP",'Data - Monthly Metrics'!D:D,"Revenue Up for Renewal - Target ($)")+SUMIFS('Data - Monthly Metrics'!E:E,'Data - Monthly Metrics'!A:A,$B$4,'Data - Monthly Metrics'!B:B,"Mar",'Data - Monthly Metrics'!C:C,"TKP",'Data - Monthly Metrics'!D:D,"Revenue Up for Renewal - Non-Target ($)")))</f>
        <v/>
      </c>
      <c r="I28" s="116">
        <f>IF(I22=0,0,I23/I22)</f>
        <v/>
      </c>
      <c r="J28" s="115">
        <f>IF((SUMIFS('Data - Monthly Metrics'!E:E,'Data - Monthly Metrics'!A:A,$B$4,'Data - Monthly Metrics'!B:B,"Apr",'Data - Monthly Metrics'!C:C,"TKP",'Data - Monthly Metrics'!D:D,"Revenue Up for Renewal - Target ($)")+SUMIFS('Data - Monthly Metrics'!E:E,'Data - Monthly Metrics'!A:A,$B$4,'Data - Monthly Metrics'!B:B,"Apr",'Data - Monthly Metrics'!C:C,"TKP",'Data - Monthly Metrics'!D:D,"Revenue Up for Renewal - Non-Target ($)"))=0,"-",(SUMIFS('Data - Monthly Metrics'!E:E,'Data - Monthly Metrics'!A:A,$B$4,'Data - Monthly Metrics'!B:B,"Apr",'Data - Monthly Metrics'!C:C,"TKP",'Data - Monthly Metrics'!D:D,"Revenue Retained - Target ($)")+SUMIFS('Data - Monthly Metrics'!E:E,'Data - Monthly Metrics'!A:A,$B$4,'Data - Monthly Metrics'!B:B,"Apr",'Data - Monthly Metrics'!C:C,"TKP",'Data - Monthly Metrics'!D:D,"Revenue Retained - Non-Target ($)"))/(SUMIFS('Data - Monthly Metrics'!E:E,'Data - Monthly Metrics'!A:A,$B$4,'Data - Monthly Metrics'!B:B,"Apr",'Data - Monthly Metrics'!C:C,"TKP",'Data - Monthly Metrics'!D:D,"Revenue Up for Renewal - Target ($)")+SUMIFS('Data - Monthly Metrics'!E:E,'Data - Monthly Metrics'!A:A,$B$4,'Data - Monthly Metrics'!B:B,"Apr",'Data - Monthly Metrics'!C:C,"TKP",'Data - Monthly Metrics'!D:D,"Revenue Up for Renewal - Non-Target ($)")))</f>
        <v/>
      </c>
      <c r="K28" s="115">
        <f>IF((SUMIFS('Data - Monthly Metrics'!E:E,'Data - Monthly Metrics'!A:A,$B$4,'Data - Monthly Metrics'!B:B,"May",'Data - Monthly Metrics'!C:C,"TKP",'Data - Monthly Metrics'!D:D,"Revenue Up for Renewal - Target ($)")+SUMIFS('Data - Monthly Metrics'!E:E,'Data - Monthly Metrics'!A:A,$B$4,'Data - Monthly Metrics'!B:B,"May",'Data - Monthly Metrics'!C:C,"TKP",'Data - Monthly Metrics'!D:D,"Revenue Up for Renewal - Non-Target ($)"))=0,"-",(SUMIFS('Data - Monthly Metrics'!E:E,'Data - Monthly Metrics'!A:A,$B$4,'Data - Monthly Metrics'!B:B,"May",'Data - Monthly Metrics'!C:C,"TKP",'Data - Monthly Metrics'!D:D,"Revenue Retained - Target ($)")+SUMIFS('Data - Monthly Metrics'!E:E,'Data - Monthly Metrics'!A:A,$B$4,'Data - Monthly Metrics'!B:B,"May",'Data - Monthly Metrics'!C:C,"TKP",'Data - Monthly Metrics'!D:D,"Revenue Retained - Non-Target ($)"))/(SUMIFS('Data - Monthly Metrics'!E:E,'Data - Monthly Metrics'!A:A,$B$4,'Data - Monthly Metrics'!B:B,"May",'Data - Monthly Metrics'!C:C,"TKP",'Data - Monthly Metrics'!D:D,"Revenue Up for Renewal - Target ($)")+SUMIFS('Data - Monthly Metrics'!E:E,'Data - Monthly Metrics'!A:A,$B$4,'Data - Monthly Metrics'!B:B,"May",'Data - Monthly Metrics'!C:C,"TKP",'Data - Monthly Metrics'!D:D,"Revenue Up for Renewal - Non-Target ($)")))</f>
        <v/>
      </c>
      <c r="L28" s="115">
        <f>IF((SUMIFS('Data - Monthly Metrics'!E:E,'Data - Monthly Metrics'!A:A,$B$4,'Data - Monthly Metrics'!B:B,"Jun",'Data - Monthly Metrics'!C:C,"TKP",'Data - Monthly Metrics'!D:D,"Revenue Up for Renewal - Target ($)")+SUMIFS('Data - Monthly Metrics'!E:E,'Data - Monthly Metrics'!A:A,$B$4,'Data - Monthly Metrics'!B:B,"Jun",'Data - Monthly Metrics'!C:C,"TKP",'Data - Monthly Metrics'!D:D,"Revenue Up for Renewal - Non-Target ($)"))=0,"-",(SUMIFS('Data - Monthly Metrics'!E:E,'Data - Monthly Metrics'!A:A,$B$4,'Data - Monthly Metrics'!B:B,"Jun",'Data - Monthly Metrics'!C:C,"TKP",'Data - Monthly Metrics'!D:D,"Revenue Retained - Target ($)")+SUMIFS('Data - Monthly Metrics'!E:E,'Data - Monthly Metrics'!A:A,$B$4,'Data - Monthly Metrics'!B:B,"Jun",'Data - Monthly Metrics'!C:C,"TKP",'Data - Monthly Metrics'!D:D,"Revenue Retained - Non-Target ($)"))/(SUMIFS('Data - Monthly Metrics'!E:E,'Data - Monthly Metrics'!A:A,$B$4,'Data - Monthly Metrics'!B:B,"Jun",'Data - Monthly Metrics'!C:C,"TKP",'Data - Monthly Metrics'!D:D,"Revenue Up for Renewal - Target ($)")+SUMIFS('Data - Monthly Metrics'!E:E,'Data - Monthly Metrics'!A:A,$B$4,'Data - Monthly Metrics'!B:B,"Jun",'Data - Monthly Metrics'!C:C,"TKP",'Data - Monthly Metrics'!D:D,"Revenue Up for Renewal - Non-Target ($)")))</f>
        <v/>
      </c>
      <c r="M28" s="116">
        <f>IF(M22=0,0,M23/M22)</f>
        <v/>
      </c>
      <c r="N28" s="115">
        <f>IF((SUMIFS('Data - Monthly Metrics'!E:E,'Data - Monthly Metrics'!A:A,$B$4,'Data - Monthly Metrics'!B:B,"Jul",'Data - Monthly Metrics'!C:C,"TKP",'Data - Monthly Metrics'!D:D,"Revenue Up for Renewal - Target ($)")+SUMIFS('Data - Monthly Metrics'!E:E,'Data - Monthly Metrics'!A:A,$B$4,'Data - Monthly Metrics'!B:B,"Jul",'Data - Monthly Metrics'!C:C,"TKP",'Data - Monthly Metrics'!D:D,"Revenue Up for Renewal - Non-Target ($)"))=0,"-",(SUMIFS('Data - Monthly Metrics'!E:E,'Data - Monthly Metrics'!A:A,$B$4,'Data - Monthly Metrics'!B:B,"Jul",'Data - Monthly Metrics'!C:C,"TKP",'Data - Monthly Metrics'!D:D,"Revenue Retained - Target ($)")+SUMIFS('Data - Monthly Metrics'!E:E,'Data - Monthly Metrics'!A:A,$B$4,'Data - Monthly Metrics'!B:B,"Jul",'Data - Monthly Metrics'!C:C,"TKP",'Data - Monthly Metrics'!D:D,"Revenue Retained - Non-Target ($)"))/(SUMIFS('Data - Monthly Metrics'!E:E,'Data - Monthly Metrics'!A:A,$B$4,'Data - Monthly Metrics'!B:B,"Jul",'Data - Monthly Metrics'!C:C,"TKP",'Data - Monthly Metrics'!D:D,"Revenue Up for Renewal - Target ($)")+SUMIFS('Data - Monthly Metrics'!E:E,'Data - Monthly Metrics'!A:A,$B$4,'Data - Monthly Metrics'!B:B,"Jul",'Data - Monthly Metrics'!C:C,"TKP",'Data - Monthly Metrics'!D:D,"Revenue Up for Renewal - Non-Target ($)")))</f>
        <v/>
      </c>
      <c r="O28" s="115">
        <f>IF((SUMIFS('Data - Monthly Metrics'!E:E,'Data - Monthly Metrics'!A:A,$B$4,'Data - Monthly Metrics'!B:B,"Aug",'Data - Monthly Metrics'!C:C,"TKP",'Data - Monthly Metrics'!D:D,"Revenue Up for Renewal - Target ($)")+SUMIFS('Data - Monthly Metrics'!E:E,'Data - Monthly Metrics'!A:A,$B$4,'Data - Monthly Metrics'!B:B,"Aug",'Data - Monthly Metrics'!C:C,"TKP",'Data - Monthly Metrics'!D:D,"Revenue Up for Renewal - Non-Target ($)"))=0,"-",(SUMIFS('Data - Monthly Metrics'!E:E,'Data - Monthly Metrics'!A:A,$B$4,'Data - Monthly Metrics'!B:B,"Aug",'Data - Monthly Metrics'!C:C,"TKP",'Data - Monthly Metrics'!D:D,"Revenue Retained - Target ($)")+SUMIFS('Data - Monthly Metrics'!E:E,'Data - Monthly Metrics'!A:A,$B$4,'Data - Monthly Metrics'!B:B,"Aug",'Data - Monthly Metrics'!C:C,"TKP",'Data - Monthly Metrics'!D:D,"Revenue Retained - Non-Target ($)"))/(SUMIFS('Data - Monthly Metrics'!E:E,'Data - Monthly Metrics'!A:A,$B$4,'Data - Monthly Metrics'!B:B,"Aug",'Data - Monthly Metrics'!C:C,"TKP",'Data - Monthly Metrics'!D:D,"Revenue Up for Renewal - Target ($)")+SUMIFS('Data - Monthly Metrics'!E:E,'Data - Monthly Metrics'!A:A,$B$4,'Data - Monthly Metrics'!B:B,"Aug",'Data - Monthly Metrics'!C:C,"TKP",'Data - Monthly Metrics'!D:D,"Revenue Up for Renewal - Non-Target ($)")))</f>
        <v/>
      </c>
      <c r="P28" s="115">
        <f>IF((SUMIFS('Data - Monthly Metrics'!E:E,'Data - Monthly Metrics'!A:A,$B$4,'Data - Monthly Metrics'!B:B,"Sep",'Data - Monthly Metrics'!C:C,"TKP",'Data - Monthly Metrics'!D:D,"Revenue Up for Renewal - Target ($)")+SUMIFS('Data - Monthly Metrics'!E:E,'Data - Monthly Metrics'!A:A,$B$4,'Data - Monthly Metrics'!B:B,"Sep",'Data - Monthly Metrics'!C:C,"TKP",'Data - Monthly Metrics'!D:D,"Revenue Up for Renewal - Non-Target ($)"))=0,"-",(SUMIFS('Data - Monthly Metrics'!E:E,'Data - Monthly Metrics'!A:A,$B$4,'Data - Monthly Metrics'!B:B,"Sep",'Data - Monthly Metrics'!C:C,"TKP",'Data - Monthly Metrics'!D:D,"Revenue Retained - Target ($)")+SUMIFS('Data - Monthly Metrics'!E:E,'Data - Monthly Metrics'!A:A,$B$4,'Data - Monthly Metrics'!B:B,"Sep",'Data - Monthly Metrics'!C:C,"TKP",'Data - Monthly Metrics'!D:D,"Revenue Retained - Non-Target ($)"))/(SUMIFS('Data - Monthly Metrics'!E:E,'Data - Monthly Metrics'!A:A,$B$4,'Data - Monthly Metrics'!B:B,"Sep",'Data - Monthly Metrics'!C:C,"TKP",'Data - Monthly Metrics'!D:D,"Revenue Up for Renewal - Target ($)")+SUMIFS('Data - Monthly Metrics'!E:E,'Data - Monthly Metrics'!A:A,$B$4,'Data - Monthly Metrics'!B:B,"Sep",'Data - Monthly Metrics'!C:C,"TKP",'Data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Metrics'!C:C,"TKP",'Data - Monthly Metrics'!D:D,"Total Target Locations - Restaurant (#)")+SUMIFS('Data - Monthly Metrics'!E:E,'Data - Monthly Metrics'!A:A,$B$4-1,'Data - Monthly Metrics'!B:B,"Oct",'Data - Monthly Metrics'!C:C,"TKP",'Data - Monthly Metrics'!D:D,"Non-Target Locations - Restaurant (#)"))=0,"-",(SUMIFS('Data - Monthly Metrics'!E:E,'Data - Monthly Metrics'!A:A,$B$4-1,'Data - Monthly Metrics'!B:B,"Oct",'Data - Monthly Metrics'!C:C,"TKP",'Data - Monthly Metrics'!D:D,"Target Members - Restaurant (#)")+SUMIFS('Data - Monthly Metrics'!E:E,'Data - Monthly Metrics'!A:A,$B$4-1,'Data - Monthly Metrics'!B:B,"Oct",'Data - Monthly Metrics'!C:C,"TKP",'Data - Monthly Metrics'!D:D,"Non-Target Members - Restaurant (#)"))/(SUMIFS('Data - Monthly Metrics'!E:E,'Data - Monthly Metrics'!A:A,$B$4-1,'Data - Monthly Metrics'!B:B,"Oct",'Data - Monthly Metrics'!C:C,"TKP",'Data - Monthly Metrics'!D:D,"Total Target Locations - Restaurant (#)")+SUMIFS('Data - Monthly Metrics'!E:E,'Data - Monthly Metrics'!A:A,$B$4-1,'Data - Monthly Metrics'!B:B,"Oct",'Data - Monthly Metrics'!C:C,"TKP",'Data - Monthly Metrics'!D:D,"Non-Target Locations - Restaurant (#)")))</f>
        <v/>
      </c>
      <c r="C29" s="115">
        <f>IF((SUMIFS('Data - Monthly Metrics'!E:E,'Data - Monthly Metrics'!A:A,$B$4-1,'Data - Monthly Metrics'!B:B,"Nov",'Data - Monthly Metrics'!C:C,"TKP",'Data - Monthly Metrics'!D:D,"Total Target Locations - Restaurant (#)")+SUMIFS('Data - Monthly Metrics'!E:E,'Data - Monthly Metrics'!A:A,$B$4-1,'Data - Monthly Metrics'!B:B,"Nov",'Data - Monthly Metrics'!C:C,"TKP",'Data - Monthly Metrics'!D:D,"Non-Target Locations - Restaurant (#)"))=0,"-",(SUMIFS('Data - Monthly Metrics'!E:E,'Data - Monthly Metrics'!A:A,$B$4-1,'Data - Monthly Metrics'!B:B,"Nov",'Data - Monthly Metrics'!C:C,"TKP",'Data - Monthly Metrics'!D:D,"Target Members - Restaurant (#)")+SUMIFS('Data - Monthly Metrics'!E:E,'Data - Monthly Metrics'!A:A,$B$4-1,'Data - Monthly Metrics'!B:B,"Nov",'Data - Monthly Metrics'!C:C,"TKP",'Data - Monthly Metrics'!D:D,"Non-Target Members - Restaurant (#)"))/(SUMIFS('Data - Monthly Metrics'!E:E,'Data - Monthly Metrics'!A:A,$B$4-1,'Data - Monthly Metrics'!B:B,"Nov",'Data - Monthly Metrics'!C:C,"TKP",'Data - Monthly Metrics'!D:D,"Total Target Locations - Restaurant (#)")+SUMIFS('Data - Monthly Metrics'!E:E,'Data - Monthly Metrics'!A:A,$B$4-1,'Data - Monthly Metrics'!B:B,"Nov",'Data - Monthly Metrics'!C:C,"TKP",'Data - Monthly Metrics'!D:D,"Non-Target Locations - Restaurant (#)")))</f>
        <v/>
      </c>
      <c r="D29" s="115">
        <f>IF((SUMIFS('Data - Monthly Metrics'!E:E,'Data - Monthly Metrics'!A:A,$B$4-1,'Data - Monthly Metrics'!B:B,"Dec",'Data - Monthly Metrics'!C:C,"TKP",'Data - Monthly Metrics'!D:D,"Total Target Locations - Restaurant (#)")+SUMIFS('Data - Monthly Metrics'!E:E,'Data - Monthly Metrics'!A:A,$B$4-1,'Data - Monthly Metrics'!B:B,"Dec",'Data - Monthly Metrics'!C:C,"TKP",'Data - Monthly Metrics'!D:D,"Non-Target Locations - Restaurant (#)"))=0,"-",(SUMIFS('Data - Monthly Metrics'!E:E,'Data - Monthly Metrics'!A:A,$B$4-1,'Data - Monthly Metrics'!B:B,"Dec",'Data - Monthly Metrics'!C:C,"TKP",'Data - Monthly Metrics'!D:D,"Target Members - Restaurant (#)")+SUMIFS('Data - Monthly Metrics'!E:E,'Data - Monthly Metrics'!A:A,$B$4-1,'Data - Monthly Metrics'!B:B,"Dec",'Data - Monthly Metrics'!C:C,"TKP",'Data - Monthly Metrics'!D:D,"Non-Target Members - Restaurant (#)"))/(SUMIFS('Data - Monthly Metrics'!E:E,'Data - Monthly Metrics'!A:A,$B$4-1,'Data - Monthly Metrics'!B:B,"Dec",'Data - Monthly Metrics'!C:C,"TKP",'Data - Monthly Metrics'!D:D,"Total Target Locations - Restaurant (#)")+SUMIFS('Data - Monthly Metrics'!E:E,'Data - Monthly Metrics'!A:A,$B$4-1,'Data - Monthly Metrics'!B:B,"Dec",'Data - Monthly Metrics'!C:C,"TKP",'Data - Monthly Metrics'!D:D,"Non-Target Locations - Restaurant (#)")))</f>
        <v/>
      </c>
      <c r="E29" s="116">
        <f>IF(ISNUMBER(D29),D29,IF(ISNUMBER(C29),C29,IF(ISNUMBER(B29),B29,"-")))</f>
        <v/>
      </c>
      <c r="F29" s="115">
        <f>IF((SUMIFS('Data - Monthly Metrics'!E:E,'Data - Monthly Metrics'!A:A,$B$4,'Data - Monthly Metrics'!B:B,"Jan",'Data - Monthly Metrics'!C:C,"TKP",'Data - Monthly Metrics'!D:D,"Total Target Locations - Restaurant (#)")+SUMIFS('Data - Monthly Metrics'!E:E,'Data - Monthly Metrics'!A:A,$B$4,'Data - Monthly Metrics'!B:B,"Jan",'Data - Monthly Metrics'!C:C,"TKP",'Data - Monthly Metrics'!D:D,"Non-Target Locations - Restaurant (#)"))=0,"-",(SUMIFS('Data - Monthly Metrics'!E:E,'Data - Monthly Metrics'!A:A,$B$4,'Data - Monthly Metrics'!B:B,"Jan",'Data - Monthly Metrics'!C:C,"TKP",'Data - Monthly Metrics'!D:D,"Target Members - Restaurant (#)")+SUMIFS('Data - Monthly Metrics'!E:E,'Data - Monthly Metrics'!A:A,$B$4,'Data - Monthly Metrics'!B:B,"Jan",'Data - Monthly Metrics'!C:C,"TKP",'Data - Monthly Metrics'!D:D,"Non-Target Members - Restaurant (#)"))/(SUMIFS('Data - Monthly Metrics'!E:E,'Data - Monthly Metrics'!A:A,$B$4,'Data - Monthly Metrics'!B:B,"Jan",'Data - Monthly Metrics'!C:C,"TKP",'Data - Monthly Metrics'!D:D,"Total Target Locations - Restaurant (#)")+SUMIFS('Data - Monthly Metrics'!E:E,'Data - Monthly Metrics'!A:A,$B$4,'Data - Monthly Metrics'!B:B,"Jan",'Data - Monthly Metrics'!C:C,"TKP",'Data - Monthly Metrics'!D:D,"Non-Target Locations - Restaurant (#)")))</f>
        <v/>
      </c>
      <c r="G29" s="115">
        <f>IF((SUMIFS('Data - Monthly Metrics'!E:E,'Data - Monthly Metrics'!A:A,$B$4,'Data - Monthly Metrics'!B:B,"Feb",'Data - Monthly Metrics'!C:C,"TKP",'Data - Monthly Metrics'!D:D,"Total Target Locations - Restaurant (#)")+SUMIFS('Data - Monthly Metrics'!E:E,'Data - Monthly Metrics'!A:A,$B$4,'Data - Monthly Metrics'!B:B,"Feb",'Data - Monthly Metrics'!C:C,"TKP",'Data - Monthly Metrics'!D:D,"Non-Target Locations - Restaurant (#)"))=0,"-",(SUMIFS('Data - Monthly Metrics'!E:E,'Data - Monthly Metrics'!A:A,$B$4,'Data - Monthly Metrics'!B:B,"Feb",'Data - Monthly Metrics'!C:C,"TKP",'Data - Monthly Metrics'!D:D,"Target Members - Restaurant (#)")+SUMIFS('Data - Monthly Metrics'!E:E,'Data - Monthly Metrics'!A:A,$B$4,'Data - Monthly Metrics'!B:B,"Feb",'Data - Monthly Metrics'!C:C,"TKP",'Data - Monthly Metrics'!D:D,"Non-Target Members - Restaurant (#)"))/(SUMIFS('Data - Monthly Metrics'!E:E,'Data - Monthly Metrics'!A:A,$B$4,'Data - Monthly Metrics'!B:B,"Feb",'Data - Monthly Metrics'!C:C,"TKP",'Data - Monthly Metrics'!D:D,"Total Target Locations - Restaurant (#)")+SUMIFS('Data - Monthly Metrics'!E:E,'Data - Monthly Metrics'!A:A,$B$4,'Data - Monthly Metrics'!B:B,"Feb",'Data - Monthly Metrics'!C:C,"TKP",'Data - Monthly Metrics'!D:D,"Non-Target Locations - Restaurant (#)")))</f>
        <v/>
      </c>
      <c r="H29" s="115">
        <f>IF((SUMIFS('Data - Monthly Metrics'!E:E,'Data - Monthly Metrics'!A:A,$B$4,'Data - Monthly Metrics'!B:B,"Mar",'Data - Monthly Metrics'!C:C,"TKP",'Data - Monthly Metrics'!D:D,"Total Target Locations - Restaurant (#)")+SUMIFS('Data - Monthly Metrics'!E:E,'Data - Monthly Metrics'!A:A,$B$4,'Data - Monthly Metrics'!B:B,"Mar",'Data - Monthly Metrics'!C:C,"TKP",'Data - Monthly Metrics'!D:D,"Non-Target Locations - Restaurant (#)"))=0,"-",(SUMIFS('Data - Monthly Metrics'!E:E,'Data - Monthly Metrics'!A:A,$B$4,'Data - Monthly Metrics'!B:B,"Mar",'Data - Monthly Metrics'!C:C,"TKP",'Data - Monthly Metrics'!D:D,"Target Members - Restaurant (#)")+SUMIFS('Data - Monthly Metrics'!E:E,'Data - Monthly Metrics'!A:A,$B$4,'Data - Monthly Metrics'!B:B,"Mar",'Data - Monthly Metrics'!C:C,"TKP",'Data - Monthly Metrics'!D:D,"Non-Target Members - Restaurant (#)"))/(SUMIFS('Data - Monthly Metrics'!E:E,'Data - Monthly Metrics'!A:A,$B$4,'Data - Monthly Metrics'!B:B,"Mar",'Data - Monthly Metrics'!C:C,"TKP",'Data - Monthly Metrics'!D:D,"Total Target Locations - Restaurant (#)")+SUMIFS('Data - Monthly Metrics'!E:E,'Data - Monthly Metrics'!A:A,$B$4,'Data - Monthly Metrics'!B:B,"Mar",'Data - Monthly Metrics'!C:C,"TKP",'Data - Monthly Metrics'!D:D,"Non-Target Locations - Restaurant (#)")))</f>
        <v/>
      </c>
      <c r="I29" s="116">
        <f>IF(ISNUMBER(H29),H29,IF(ISNUMBER(G29),G29,IF(ISNUMBER(F29),F29,"-")))</f>
        <v/>
      </c>
      <c r="J29" s="115">
        <f>IF((SUMIFS('Data - Monthly Metrics'!E:E,'Data - Monthly Metrics'!A:A,$B$4,'Data - Monthly Metrics'!B:B,"Apr",'Data - Monthly Metrics'!C:C,"TKP",'Data - Monthly Metrics'!D:D,"Total Target Locations - Restaurant (#)")+SUMIFS('Data - Monthly Metrics'!E:E,'Data - Monthly Metrics'!A:A,$B$4,'Data - Monthly Metrics'!B:B,"Apr",'Data - Monthly Metrics'!C:C,"TKP",'Data - Monthly Metrics'!D:D,"Non-Target Locations - Restaurant (#)"))=0,"-",(SUMIFS('Data - Monthly Metrics'!E:E,'Data - Monthly Metrics'!A:A,$B$4,'Data - Monthly Metrics'!B:B,"Apr",'Data - Monthly Metrics'!C:C,"TKP",'Data - Monthly Metrics'!D:D,"Target Members - Restaurant (#)")+SUMIFS('Data - Monthly Metrics'!E:E,'Data - Monthly Metrics'!A:A,$B$4,'Data - Monthly Metrics'!B:B,"Apr",'Data - Monthly Metrics'!C:C,"TKP",'Data - Monthly Metrics'!D:D,"Non-Target Members - Restaurant (#)"))/(SUMIFS('Data - Monthly Metrics'!E:E,'Data - Monthly Metrics'!A:A,$B$4,'Data - Monthly Metrics'!B:B,"Apr",'Data - Monthly Metrics'!C:C,"TKP",'Data - Monthly Metrics'!D:D,"Total Target Locations - Restaurant (#)")+SUMIFS('Data - Monthly Metrics'!E:E,'Data - Monthly Metrics'!A:A,$B$4,'Data - Monthly Metrics'!B:B,"Apr",'Data - Monthly Metrics'!C:C,"TKP",'Data - Monthly Metrics'!D:D,"Non-Target Locations - Restaurant (#)")))</f>
        <v/>
      </c>
      <c r="K29" s="115">
        <f>IF((SUMIFS('Data - Monthly Metrics'!E:E,'Data - Monthly Metrics'!A:A,$B$4,'Data - Monthly Metrics'!B:B,"May",'Data - Monthly Metrics'!C:C,"TKP",'Data - Monthly Metrics'!D:D,"Total Target Locations - Restaurant (#)")+SUMIFS('Data - Monthly Metrics'!E:E,'Data - Monthly Metrics'!A:A,$B$4,'Data - Monthly Metrics'!B:B,"May",'Data - Monthly Metrics'!C:C,"TKP",'Data - Monthly Metrics'!D:D,"Non-Target Locations - Restaurant (#)"))=0,"-",(SUMIFS('Data - Monthly Metrics'!E:E,'Data - Monthly Metrics'!A:A,$B$4,'Data - Monthly Metrics'!B:B,"May",'Data - Monthly Metrics'!C:C,"TKP",'Data - Monthly Metrics'!D:D,"Target Members - Restaurant (#)")+SUMIFS('Data - Monthly Metrics'!E:E,'Data - Monthly Metrics'!A:A,$B$4,'Data - Monthly Metrics'!B:B,"May",'Data - Monthly Metrics'!C:C,"TKP",'Data - Monthly Metrics'!D:D,"Non-Target Members - Restaurant (#)"))/(SUMIFS('Data - Monthly Metrics'!E:E,'Data - Monthly Metrics'!A:A,$B$4,'Data - Monthly Metrics'!B:B,"May",'Data - Monthly Metrics'!C:C,"TKP",'Data - Monthly Metrics'!D:D,"Total Target Locations - Restaurant (#)")+SUMIFS('Data - Monthly Metrics'!E:E,'Data - Monthly Metrics'!A:A,$B$4,'Data - Monthly Metrics'!B:B,"May",'Data - Monthly Metrics'!C:C,"TKP",'Data - Monthly Metrics'!D:D,"Non-Target Locations - Restaurant (#)")))</f>
        <v/>
      </c>
      <c r="L29" s="115">
        <f>IF((SUMIFS('Data - Monthly Metrics'!E:E,'Data - Monthly Metrics'!A:A,$B$4,'Data - Monthly Metrics'!B:B,"Jun",'Data - Monthly Metrics'!C:C,"TKP",'Data - Monthly Metrics'!D:D,"Total Target Locations - Restaurant (#)")+SUMIFS('Data - Monthly Metrics'!E:E,'Data - Monthly Metrics'!A:A,$B$4,'Data - Monthly Metrics'!B:B,"Jun",'Data - Monthly Metrics'!C:C,"TKP",'Data - Monthly Metrics'!D:D,"Non-Target Locations - Restaurant (#)"))=0,"-",(SUMIFS('Data - Monthly Metrics'!E:E,'Data - Monthly Metrics'!A:A,$B$4,'Data - Monthly Metrics'!B:B,"Jun",'Data - Monthly Metrics'!C:C,"TKP",'Data - Monthly Metrics'!D:D,"Target Members - Restaurant (#)")+SUMIFS('Data - Monthly Metrics'!E:E,'Data - Monthly Metrics'!A:A,$B$4,'Data - Monthly Metrics'!B:B,"Jun",'Data - Monthly Metrics'!C:C,"TKP",'Data - Monthly Metrics'!D:D,"Non-Target Members - Restaurant (#)"))/(SUMIFS('Data - Monthly Metrics'!E:E,'Data - Monthly Metrics'!A:A,$B$4,'Data - Monthly Metrics'!B:B,"Jun",'Data - Monthly Metrics'!C:C,"TKP",'Data - Monthly Metrics'!D:D,"Total Target Locations - Restaurant (#)")+SUMIFS('Data - Monthly Metrics'!E:E,'Data - Monthly Metrics'!A:A,$B$4,'Data - Monthly Metrics'!B:B,"Jun",'Data - Monthly Metrics'!C:C,"TKP",'Data - Monthly Metrics'!D:D,"Non-Target Locations - Restaurant (#)")))</f>
        <v/>
      </c>
      <c r="M29" s="116">
        <f>IF(ISNUMBER(L29),L29,IF(ISNUMBER(K29),K29,IF(ISNUMBER(J29),J29,"-")))</f>
        <v/>
      </c>
      <c r="N29" s="115">
        <f>IF((SUMIFS('Data - Monthly Metrics'!E:E,'Data - Monthly Metrics'!A:A,$B$4,'Data - Monthly Metrics'!B:B,"Jul",'Data - Monthly Metrics'!C:C,"TKP",'Data - Monthly Metrics'!D:D,"Total Target Locations - Restaurant (#)")+SUMIFS('Data - Monthly Metrics'!E:E,'Data - Monthly Metrics'!A:A,$B$4,'Data - Monthly Metrics'!B:B,"Jul",'Data - Monthly Metrics'!C:C,"TKP",'Data - Monthly Metrics'!D:D,"Non-Target Locations - Restaurant (#)"))=0,"-",(SUMIFS('Data - Monthly Metrics'!E:E,'Data - Monthly Metrics'!A:A,$B$4,'Data - Monthly Metrics'!B:B,"Jul",'Data - Monthly Metrics'!C:C,"TKP",'Data - Monthly Metrics'!D:D,"Target Members - Restaurant (#)")+SUMIFS('Data - Monthly Metrics'!E:E,'Data - Monthly Metrics'!A:A,$B$4,'Data - Monthly Metrics'!B:B,"Jul",'Data - Monthly Metrics'!C:C,"TKP",'Data - Monthly Metrics'!D:D,"Non-Target Members - Restaurant (#)"))/(SUMIFS('Data - Monthly Metrics'!E:E,'Data - Monthly Metrics'!A:A,$B$4,'Data - Monthly Metrics'!B:B,"Jul",'Data - Monthly Metrics'!C:C,"TKP",'Data - Monthly Metrics'!D:D,"Total Target Locations - Restaurant (#)")+SUMIFS('Data - Monthly Metrics'!E:E,'Data - Monthly Metrics'!A:A,$B$4,'Data - Monthly Metrics'!B:B,"Jul",'Data - Monthly Metrics'!C:C,"TKP",'Data - Monthly Metrics'!D:D,"Non-Target Locations - Restaurant (#)")))</f>
        <v/>
      </c>
      <c r="O29" s="115">
        <f>IF((SUMIFS('Data - Monthly Metrics'!E:E,'Data - Monthly Metrics'!A:A,$B$4,'Data - Monthly Metrics'!B:B,"Aug",'Data - Monthly Metrics'!C:C,"TKP",'Data - Monthly Metrics'!D:D,"Total Target Locations - Restaurant (#)")+SUMIFS('Data - Monthly Metrics'!E:E,'Data - Monthly Metrics'!A:A,$B$4,'Data - Monthly Metrics'!B:B,"Aug",'Data - Monthly Metrics'!C:C,"TKP",'Data - Monthly Metrics'!D:D,"Non-Target Locations - Restaurant (#)"))=0,"-",(SUMIFS('Data - Monthly Metrics'!E:E,'Data - Monthly Metrics'!A:A,$B$4,'Data - Monthly Metrics'!B:B,"Aug",'Data - Monthly Metrics'!C:C,"TKP",'Data - Monthly Metrics'!D:D,"Target Members - Restaurant (#)")+SUMIFS('Data - Monthly Metrics'!E:E,'Data - Monthly Metrics'!A:A,$B$4,'Data - Monthly Metrics'!B:B,"Aug",'Data - Monthly Metrics'!C:C,"TKP",'Data - Monthly Metrics'!D:D,"Non-Target Members - Restaurant (#)"))/(SUMIFS('Data - Monthly Metrics'!E:E,'Data - Monthly Metrics'!A:A,$B$4,'Data - Monthly Metrics'!B:B,"Aug",'Data - Monthly Metrics'!C:C,"TKP",'Data - Monthly Metrics'!D:D,"Total Target Locations - Restaurant (#)")+SUMIFS('Data - Monthly Metrics'!E:E,'Data - Monthly Metrics'!A:A,$B$4,'Data - Monthly Metrics'!B:B,"Aug",'Data - Monthly Metrics'!C:C,"TKP",'Data - Monthly Metrics'!D:D,"Non-Target Locations - Restaurant (#)")))</f>
        <v/>
      </c>
      <c r="P29" s="115">
        <f>IF((SUMIFS('Data - Monthly Metrics'!E:E,'Data - Monthly Metrics'!A:A,$B$4,'Data - Monthly Metrics'!B:B,"Sep",'Data - Monthly Metrics'!C:C,"TKP",'Data - Monthly Metrics'!D:D,"Total Target Locations - Restaurant (#)")+SUMIFS('Data - Monthly Metrics'!E:E,'Data - Monthly Metrics'!A:A,$B$4,'Data - Monthly Metrics'!B:B,"Sep",'Data - Monthly Metrics'!C:C,"TKP",'Data - Monthly Metrics'!D:D,"Non-Target Locations - Restaurant (#)"))=0,"-",(SUMIFS('Data - Monthly Metrics'!E:E,'Data - Monthly Metrics'!A:A,$B$4,'Data - Monthly Metrics'!B:B,"Sep",'Data - Monthly Metrics'!C:C,"TKP",'Data - Monthly Metrics'!D:D,"Target Members - Restaurant (#)")+SUMIFS('Data - Monthly Metrics'!E:E,'Data - Monthly Metrics'!A:A,$B$4,'Data - Monthly Metrics'!B:B,"Sep",'Data - Monthly Metrics'!C:C,"TKP",'Data - Monthly Metrics'!D:D,"Non-Target Members - Restaurant (#)"))/(SUMIFS('Data - Monthly Metrics'!E:E,'Data - Monthly Metrics'!A:A,$B$4,'Data - Monthly Metrics'!B:B,"Sep",'Data - Monthly Metrics'!C:C,"TKP",'Data - Monthly Metrics'!D:D,"Total Target Locations - Restaurant (#)")+SUMIFS('Data - Monthly Metrics'!E:E,'Data - Monthly Metrics'!A:A,$B$4,'Data - Monthly Metrics'!B:B,"Sep",'Data - Monthly Metrics'!C:C,"TKP",'Data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Metrics'!C:C,"TKP",'Data - Monthly Metrics'!D:D,"Total Target Locations - Lodging (#)")+SUMIFS('Data - Monthly Metrics'!E:E,'Data - Monthly Metrics'!A:A,$B$4-1,'Data - Monthly Metrics'!B:B,"Oct",'Data - Monthly Metrics'!C:C,"TKP",'Data - Monthly Metrics'!D:D,"Non-Target Locations - Lodging (#)"))=0,"-",(SUMIFS('Data - Monthly Metrics'!E:E,'Data - Monthly Metrics'!A:A,$B$4-1,'Data - Monthly Metrics'!B:B,"Oct",'Data - Monthly Metrics'!C:C,"TKP",'Data - Monthly Metrics'!D:D,"Target Members - Lodging (#)")+SUMIFS('Data - Monthly Metrics'!E:E,'Data - Monthly Metrics'!A:A,$B$4-1,'Data - Monthly Metrics'!B:B,"Oct",'Data - Monthly Metrics'!C:C,"TKP",'Data - Monthly Metrics'!D:D,"Non-Target Members - Lodging (#)"))/(SUMIFS('Data - Monthly Metrics'!E:E,'Data - Monthly Metrics'!A:A,$B$4-1,'Data - Monthly Metrics'!B:B,"Oct",'Data - Monthly Metrics'!C:C,"TKP",'Data - Monthly Metrics'!D:D,"Total Target Locations - Lodging (#)")+SUMIFS('Data - Monthly Metrics'!E:E,'Data - Monthly Metrics'!A:A,$B$4-1,'Data - Monthly Metrics'!B:B,"Oct",'Data - Monthly Metrics'!C:C,"TKP",'Data - Monthly Metrics'!D:D,"Non-Target Locations - Lodging (#)")))</f>
        <v/>
      </c>
      <c r="C30" s="118">
        <f>IF((SUMIFS('Data - Monthly Metrics'!E:E,'Data - Monthly Metrics'!A:A,$B$4-1,'Data - Monthly Metrics'!B:B,"Nov",'Data - Monthly Metrics'!C:C,"TKP",'Data - Monthly Metrics'!D:D,"Total Target Locations - Lodging (#)")+SUMIFS('Data - Monthly Metrics'!E:E,'Data - Monthly Metrics'!A:A,$B$4-1,'Data - Monthly Metrics'!B:B,"Nov",'Data - Monthly Metrics'!C:C,"TKP",'Data - Monthly Metrics'!D:D,"Non-Target Locations - Lodging (#)"))=0,"-",(SUMIFS('Data - Monthly Metrics'!E:E,'Data - Monthly Metrics'!A:A,$B$4-1,'Data - Monthly Metrics'!B:B,"Nov",'Data - Monthly Metrics'!C:C,"TKP",'Data - Monthly Metrics'!D:D,"Target Members - Lodging (#)")+SUMIFS('Data - Monthly Metrics'!E:E,'Data - Monthly Metrics'!A:A,$B$4-1,'Data - Monthly Metrics'!B:B,"Nov",'Data - Monthly Metrics'!C:C,"TKP",'Data - Monthly Metrics'!D:D,"Non-Target Members - Lodging (#)"))/(SUMIFS('Data - Monthly Metrics'!E:E,'Data - Monthly Metrics'!A:A,$B$4-1,'Data - Monthly Metrics'!B:B,"Nov",'Data - Monthly Metrics'!C:C,"TKP",'Data - Monthly Metrics'!D:D,"Total Target Locations - Lodging (#)")+SUMIFS('Data - Monthly Metrics'!E:E,'Data - Monthly Metrics'!A:A,$B$4-1,'Data - Monthly Metrics'!B:B,"Nov",'Data - Monthly Metrics'!C:C,"TKP",'Data - Monthly Metrics'!D:D,"Non-Target Locations - Lodging (#)")))</f>
        <v/>
      </c>
      <c r="D30" s="118">
        <f>IF((SUMIFS('Data - Monthly Metrics'!E:E,'Data - Monthly Metrics'!A:A,$B$4-1,'Data - Monthly Metrics'!B:B,"Dec",'Data - Monthly Metrics'!C:C,"TKP",'Data - Monthly Metrics'!D:D,"Total Target Locations - Lodging (#)")+SUMIFS('Data - Monthly Metrics'!E:E,'Data - Monthly Metrics'!A:A,$B$4-1,'Data - Monthly Metrics'!B:B,"Dec",'Data - Monthly Metrics'!C:C,"TKP",'Data - Monthly Metrics'!D:D,"Non-Target Locations - Lodging (#)"))=0,"-",(SUMIFS('Data - Monthly Metrics'!E:E,'Data - Monthly Metrics'!A:A,$B$4-1,'Data - Monthly Metrics'!B:B,"Dec",'Data - Monthly Metrics'!C:C,"TKP",'Data - Monthly Metrics'!D:D,"Target Members - Lodging (#)")+SUMIFS('Data - Monthly Metrics'!E:E,'Data - Monthly Metrics'!A:A,$B$4-1,'Data - Monthly Metrics'!B:B,"Dec",'Data - Monthly Metrics'!C:C,"TKP",'Data - Monthly Metrics'!D:D,"Non-Target Members - Lodging (#)"))/(SUMIFS('Data - Monthly Metrics'!E:E,'Data - Monthly Metrics'!A:A,$B$4-1,'Data - Monthly Metrics'!B:B,"Dec",'Data - Monthly Metrics'!C:C,"TKP",'Data - Monthly Metrics'!D:D,"Total Target Locations - Lodging (#)")+SUMIFS('Data - Monthly Metrics'!E:E,'Data - Monthly Metrics'!A:A,$B$4-1,'Data - Monthly Metrics'!B:B,"Dec",'Data - Monthly Metrics'!C:C,"TKP",'Data - Monthly Metrics'!D:D,"Non-Target Locations - Lodging (#)")))</f>
        <v/>
      </c>
      <c r="E30" s="116">
        <f>IF(ISNUMBER(D30),D30,IF(ISNUMBER(C30),C30,IF(ISNUMBER(B30),B30,"-")))</f>
        <v/>
      </c>
      <c r="F30" s="118">
        <f>IF((SUMIFS('Data - Monthly Metrics'!E:E,'Data - Monthly Metrics'!A:A,$B$4,'Data - Monthly Metrics'!B:B,"Jan",'Data - Monthly Metrics'!C:C,"TKP",'Data - Monthly Metrics'!D:D,"Total Target Locations - Lodging (#)")+SUMIFS('Data - Monthly Metrics'!E:E,'Data - Monthly Metrics'!A:A,$B$4,'Data - Monthly Metrics'!B:B,"Jan",'Data - Monthly Metrics'!C:C,"TKP",'Data - Monthly Metrics'!D:D,"Non-Target Locations - Lodging (#)"))=0,"-",(SUMIFS('Data - Monthly Metrics'!E:E,'Data - Monthly Metrics'!A:A,$B$4,'Data - Monthly Metrics'!B:B,"Jan",'Data - Monthly Metrics'!C:C,"TKP",'Data - Monthly Metrics'!D:D,"Target Members - Lodging (#)")+SUMIFS('Data - Monthly Metrics'!E:E,'Data - Monthly Metrics'!A:A,$B$4,'Data - Monthly Metrics'!B:B,"Jan",'Data - Monthly Metrics'!C:C,"TKP",'Data - Monthly Metrics'!D:D,"Non-Target Members - Lodging (#)"))/(SUMIFS('Data - Monthly Metrics'!E:E,'Data - Monthly Metrics'!A:A,$B$4,'Data - Monthly Metrics'!B:B,"Jan",'Data - Monthly Metrics'!C:C,"TKP",'Data - Monthly Metrics'!D:D,"Total Target Locations - Lodging (#)")+SUMIFS('Data - Monthly Metrics'!E:E,'Data - Monthly Metrics'!A:A,$B$4,'Data - Monthly Metrics'!B:B,"Jan",'Data - Monthly Metrics'!C:C,"TKP",'Data - Monthly Metrics'!D:D,"Non-Target Locations - Lodging (#)")))</f>
        <v/>
      </c>
      <c r="G30" s="118">
        <f>IF((SUMIFS('Data - Monthly Metrics'!E:E,'Data - Monthly Metrics'!A:A,$B$4,'Data - Monthly Metrics'!B:B,"Feb",'Data - Monthly Metrics'!C:C,"TKP",'Data - Monthly Metrics'!D:D,"Total Target Locations - Lodging (#)")+SUMIFS('Data - Monthly Metrics'!E:E,'Data - Monthly Metrics'!A:A,$B$4,'Data - Monthly Metrics'!B:B,"Feb",'Data - Monthly Metrics'!C:C,"TKP",'Data - Monthly Metrics'!D:D,"Non-Target Locations - Lodging (#)"))=0,"-",(SUMIFS('Data - Monthly Metrics'!E:E,'Data - Monthly Metrics'!A:A,$B$4,'Data - Monthly Metrics'!B:B,"Feb",'Data - Monthly Metrics'!C:C,"TKP",'Data - Monthly Metrics'!D:D,"Target Members - Lodging (#)")+SUMIFS('Data - Monthly Metrics'!E:E,'Data - Monthly Metrics'!A:A,$B$4,'Data - Monthly Metrics'!B:B,"Feb",'Data - Monthly Metrics'!C:C,"TKP",'Data - Monthly Metrics'!D:D,"Non-Target Members - Lodging (#)"))/(SUMIFS('Data - Monthly Metrics'!E:E,'Data - Monthly Metrics'!A:A,$B$4,'Data - Monthly Metrics'!B:B,"Feb",'Data - Monthly Metrics'!C:C,"TKP",'Data - Monthly Metrics'!D:D,"Total Target Locations - Lodging (#)")+SUMIFS('Data - Monthly Metrics'!E:E,'Data - Monthly Metrics'!A:A,$B$4,'Data - Monthly Metrics'!B:B,"Feb",'Data - Monthly Metrics'!C:C,"TKP",'Data - Monthly Metrics'!D:D,"Non-Target Locations - Lodging (#)")))</f>
        <v/>
      </c>
      <c r="H30" s="118">
        <f>IF((SUMIFS('Data - Monthly Metrics'!E:E,'Data - Monthly Metrics'!A:A,$B$4,'Data - Monthly Metrics'!B:B,"Mar",'Data - Monthly Metrics'!C:C,"TKP",'Data - Monthly Metrics'!D:D,"Total Target Locations - Lodging (#)")+SUMIFS('Data - Monthly Metrics'!E:E,'Data - Monthly Metrics'!A:A,$B$4,'Data - Monthly Metrics'!B:B,"Mar",'Data - Monthly Metrics'!C:C,"TKP",'Data - Monthly Metrics'!D:D,"Non-Target Locations - Lodging (#)"))=0,"-",(SUMIFS('Data - Monthly Metrics'!E:E,'Data - Monthly Metrics'!A:A,$B$4,'Data - Monthly Metrics'!B:B,"Mar",'Data - Monthly Metrics'!C:C,"TKP",'Data - Monthly Metrics'!D:D,"Target Members - Lodging (#)")+SUMIFS('Data - Monthly Metrics'!E:E,'Data - Monthly Metrics'!A:A,$B$4,'Data - Monthly Metrics'!B:B,"Mar",'Data - Monthly Metrics'!C:C,"TKP",'Data - Monthly Metrics'!D:D,"Non-Target Members - Lodging (#)"))/(SUMIFS('Data - Monthly Metrics'!E:E,'Data - Monthly Metrics'!A:A,$B$4,'Data - Monthly Metrics'!B:B,"Mar",'Data - Monthly Metrics'!C:C,"TKP",'Data - Monthly Metrics'!D:D,"Total Target Locations - Lodging (#)")+SUMIFS('Data - Monthly Metrics'!E:E,'Data - Monthly Metrics'!A:A,$B$4,'Data - Monthly Metrics'!B:B,"Mar",'Data - Monthly Metrics'!C:C,"TKP",'Data - Monthly Metrics'!D:D,"Non-Target Locations - Lodging (#)")))</f>
        <v/>
      </c>
      <c r="I30" s="116">
        <f>IF(ISNUMBER(H30),H30,IF(ISNUMBER(G30),G30,IF(ISNUMBER(F30),F30,"-")))</f>
        <v/>
      </c>
      <c r="J30" s="118">
        <f>IF((SUMIFS('Data - Monthly Metrics'!E:E,'Data - Monthly Metrics'!A:A,$B$4,'Data - Monthly Metrics'!B:B,"Apr",'Data - Monthly Metrics'!C:C,"TKP",'Data - Monthly Metrics'!D:D,"Total Target Locations - Lodging (#)")+SUMIFS('Data - Monthly Metrics'!E:E,'Data - Monthly Metrics'!A:A,$B$4,'Data - Monthly Metrics'!B:B,"Apr",'Data - Monthly Metrics'!C:C,"TKP",'Data - Monthly Metrics'!D:D,"Non-Target Locations - Lodging (#)"))=0,"-",(SUMIFS('Data - Monthly Metrics'!E:E,'Data - Monthly Metrics'!A:A,$B$4,'Data - Monthly Metrics'!B:B,"Apr",'Data - Monthly Metrics'!C:C,"TKP",'Data - Monthly Metrics'!D:D,"Target Members - Lodging (#)")+SUMIFS('Data - Monthly Metrics'!E:E,'Data - Monthly Metrics'!A:A,$B$4,'Data - Monthly Metrics'!B:B,"Apr",'Data - Monthly Metrics'!C:C,"TKP",'Data - Monthly Metrics'!D:D,"Non-Target Members - Lodging (#)"))/(SUMIFS('Data - Monthly Metrics'!E:E,'Data - Monthly Metrics'!A:A,$B$4,'Data - Monthly Metrics'!B:B,"Apr",'Data - Monthly Metrics'!C:C,"TKP",'Data - Monthly Metrics'!D:D,"Total Target Locations - Lodging (#)")+SUMIFS('Data - Monthly Metrics'!E:E,'Data - Monthly Metrics'!A:A,$B$4,'Data - Monthly Metrics'!B:B,"Apr",'Data - Monthly Metrics'!C:C,"TKP",'Data - Monthly Metrics'!D:D,"Non-Target Locations - Lodging (#)")))</f>
        <v/>
      </c>
      <c r="K30" s="118">
        <f>IF((SUMIFS('Data - Monthly Metrics'!E:E,'Data - Monthly Metrics'!A:A,$B$4,'Data - Monthly Metrics'!B:B,"May",'Data - Monthly Metrics'!C:C,"TKP",'Data - Monthly Metrics'!D:D,"Total Target Locations - Lodging (#)")+SUMIFS('Data - Monthly Metrics'!E:E,'Data - Monthly Metrics'!A:A,$B$4,'Data - Monthly Metrics'!B:B,"May",'Data - Monthly Metrics'!C:C,"TKP",'Data - Monthly Metrics'!D:D,"Non-Target Locations - Lodging (#)"))=0,"-",(SUMIFS('Data - Monthly Metrics'!E:E,'Data - Monthly Metrics'!A:A,$B$4,'Data - Monthly Metrics'!B:B,"May",'Data - Monthly Metrics'!C:C,"TKP",'Data - Monthly Metrics'!D:D,"Target Members - Lodging (#)")+SUMIFS('Data - Monthly Metrics'!E:E,'Data - Monthly Metrics'!A:A,$B$4,'Data - Monthly Metrics'!B:B,"May",'Data - Monthly Metrics'!C:C,"TKP",'Data - Monthly Metrics'!D:D,"Non-Target Members - Lodging (#)"))/(SUMIFS('Data - Monthly Metrics'!E:E,'Data - Monthly Metrics'!A:A,$B$4,'Data - Monthly Metrics'!B:B,"May",'Data - Monthly Metrics'!C:C,"TKP",'Data - Monthly Metrics'!D:D,"Total Target Locations - Lodging (#)")+SUMIFS('Data - Monthly Metrics'!E:E,'Data - Monthly Metrics'!A:A,$B$4,'Data - Monthly Metrics'!B:B,"May",'Data - Monthly Metrics'!C:C,"TKP",'Data - Monthly Metrics'!D:D,"Non-Target Locations - Lodging (#)")))</f>
        <v/>
      </c>
      <c r="L30" s="118">
        <f>IF((SUMIFS('Data - Monthly Metrics'!E:E,'Data - Monthly Metrics'!A:A,$B$4,'Data - Monthly Metrics'!B:B,"Jun",'Data - Monthly Metrics'!C:C,"TKP",'Data - Monthly Metrics'!D:D,"Total Target Locations - Lodging (#)")+SUMIFS('Data - Monthly Metrics'!E:E,'Data - Monthly Metrics'!A:A,$B$4,'Data - Monthly Metrics'!B:B,"Jun",'Data - Monthly Metrics'!C:C,"TKP",'Data - Monthly Metrics'!D:D,"Non-Target Locations - Lodging (#)"))=0,"-",(SUMIFS('Data - Monthly Metrics'!E:E,'Data - Monthly Metrics'!A:A,$B$4,'Data - Monthly Metrics'!B:B,"Jun",'Data - Monthly Metrics'!C:C,"TKP",'Data - Monthly Metrics'!D:D,"Target Members - Lodging (#)")+SUMIFS('Data - Monthly Metrics'!E:E,'Data - Monthly Metrics'!A:A,$B$4,'Data - Monthly Metrics'!B:B,"Jun",'Data - Monthly Metrics'!C:C,"TKP",'Data - Monthly Metrics'!D:D,"Non-Target Members - Lodging (#)"))/(SUMIFS('Data - Monthly Metrics'!E:E,'Data - Monthly Metrics'!A:A,$B$4,'Data - Monthly Metrics'!B:B,"Jun",'Data - Monthly Metrics'!C:C,"TKP",'Data - Monthly Metrics'!D:D,"Total Target Locations - Lodging (#)")+SUMIFS('Data - Monthly Metrics'!E:E,'Data - Monthly Metrics'!A:A,$B$4,'Data - Monthly Metrics'!B:B,"Jun",'Data - Monthly Metrics'!C:C,"TKP",'Data - Monthly Metrics'!D:D,"Non-Target Locations - Lodging (#)")))</f>
        <v/>
      </c>
      <c r="M30" s="116">
        <f>IF(ISNUMBER(L30),L30,IF(ISNUMBER(K30),K30,IF(ISNUMBER(J30),J30,"-")))</f>
        <v/>
      </c>
      <c r="N30" s="118">
        <f>IF((SUMIFS('Data - Monthly Metrics'!E:E,'Data - Monthly Metrics'!A:A,$B$4,'Data - Monthly Metrics'!B:B,"Jul",'Data - Monthly Metrics'!C:C,"TKP",'Data - Monthly Metrics'!D:D,"Total Target Locations - Lodging (#)")+SUMIFS('Data - Monthly Metrics'!E:E,'Data - Monthly Metrics'!A:A,$B$4,'Data - Monthly Metrics'!B:B,"Jul",'Data - Monthly Metrics'!C:C,"TKP",'Data - Monthly Metrics'!D:D,"Non-Target Locations - Lodging (#)"))=0,"-",(SUMIFS('Data - Monthly Metrics'!E:E,'Data - Monthly Metrics'!A:A,$B$4,'Data - Monthly Metrics'!B:B,"Jul",'Data - Monthly Metrics'!C:C,"TKP",'Data - Monthly Metrics'!D:D,"Target Members - Lodging (#)")+SUMIFS('Data - Monthly Metrics'!E:E,'Data - Monthly Metrics'!A:A,$B$4,'Data - Monthly Metrics'!B:B,"Jul",'Data - Monthly Metrics'!C:C,"TKP",'Data - Monthly Metrics'!D:D,"Non-Target Members - Lodging (#)"))/(SUMIFS('Data - Monthly Metrics'!E:E,'Data - Monthly Metrics'!A:A,$B$4,'Data - Monthly Metrics'!B:B,"Jul",'Data - Monthly Metrics'!C:C,"TKP",'Data - Monthly Metrics'!D:D,"Total Target Locations - Lodging (#)")+SUMIFS('Data - Monthly Metrics'!E:E,'Data - Monthly Metrics'!A:A,$B$4,'Data - Monthly Metrics'!B:B,"Jul",'Data - Monthly Metrics'!C:C,"TKP",'Data - Monthly Metrics'!D:D,"Non-Target Locations - Lodging (#)")))</f>
        <v/>
      </c>
      <c r="O30" s="118">
        <f>IF((SUMIFS('Data - Monthly Metrics'!E:E,'Data - Monthly Metrics'!A:A,$B$4,'Data - Monthly Metrics'!B:B,"Aug",'Data - Monthly Metrics'!C:C,"TKP",'Data - Monthly Metrics'!D:D,"Total Target Locations - Lodging (#)")+SUMIFS('Data - Monthly Metrics'!E:E,'Data - Monthly Metrics'!A:A,$B$4,'Data - Monthly Metrics'!B:B,"Aug",'Data - Monthly Metrics'!C:C,"TKP",'Data - Monthly Metrics'!D:D,"Non-Target Locations - Lodging (#)"))=0,"-",(SUMIFS('Data - Monthly Metrics'!E:E,'Data - Monthly Metrics'!A:A,$B$4,'Data - Monthly Metrics'!B:B,"Aug",'Data - Monthly Metrics'!C:C,"TKP",'Data - Monthly Metrics'!D:D,"Target Members - Lodging (#)")+SUMIFS('Data - Monthly Metrics'!E:E,'Data - Monthly Metrics'!A:A,$B$4,'Data - Monthly Metrics'!B:B,"Aug",'Data - Monthly Metrics'!C:C,"TKP",'Data - Monthly Metrics'!D:D,"Non-Target Members - Lodging (#)"))/(SUMIFS('Data - Monthly Metrics'!E:E,'Data - Monthly Metrics'!A:A,$B$4,'Data - Monthly Metrics'!B:B,"Aug",'Data - Monthly Metrics'!C:C,"TKP",'Data - Monthly Metrics'!D:D,"Total Target Locations - Lodging (#)")+SUMIFS('Data - Monthly Metrics'!E:E,'Data - Monthly Metrics'!A:A,$B$4,'Data - Monthly Metrics'!B:B,"Aug",'Data - Monthly Metrics'!C:C,"TKP",'Data - Monthly Metrics'!D:D,"Non-Target Locations - Lodging (#)")))</f>
        <v/>
      </c>
      <c r="P30" s="118">
        <f>IF((SUMIFS('Data - Monthly Metrics'!E:E,'Data - Monthly Metrics'!A:A,$B$4,'Data - Monthly Metrics'!B:B,"Sep",'Data - Monthly Metrics'!C:C,"TKP",'Data - Monthly Metrics'!D:D,"Total Target Locations - Lodging (#)")+SUMIFS('Data - Monthly Metrics'!E:E,'Data - Monthly Metrics'!A:A,$B$4,'Data - Monthly Metrics'!B:B,"Sep",'Data - Monthly Metrics'!C:C,"TKP",'Data - Monthly Metrics'!D:D,"Non-Target Locations - Lodging (#)"))=0,"-",(SUMIFS('Data - Monthly Metrics'!E:E,'Data - Monthly Metrics'!A:A,$B$4,'Data - Monthly Metrics'!B:B,"Sep",'Data - Monthly Metrics'!C:C,"TKP",'Data - Monthly Metrics'!D:D,"Target Members - Lodging (#)")+SUMIFS('Data - Monthly Metrics'!E:E,'Data - Monthly Metrics'!A:A,$B$4,'Data - Monthly Metrics'!B:B,"Sep",'Data - Monthly Metrics'!C:C,"TKP",'Data - Monthly Metrics'!D:D,"Non-Target Members - Lodging (#)"))/(SUMIFS('Data - Monthly Metrics'!E:E,'Data - Monthly Metrics'!A:A,$B$4,'Data - Monthly Metrics'!B:B,"Sep",'Data - Monthly Metrics'!C:C,"TKP",'Data - Monthly Metrics'!D:D,"Total Target Locations - Lodging (#)")+SUMIFS('Data - Monthly Metrics'!E:E,'Data - Monthly Metrics'!A:A,$B$4,'Data - Monthly Metrics'!B:B,"Sep",'Data - Monthly Metrics'!C:C,"TKP",'Data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Metrics'!C:C,"TKP",'Data - Monthly Metrics'!D:D,"Total Target Locations - Restaurant (#)")+SUMIFS('Data - Monthly Metrics'!E:E,'Data - Monthly Metrics'!A:A,$B$4-1,'Data - Monthly Metrics'!B:B,"Oct",'Data - Monthly Metrics'!C:C,"TKP",'Data - Monthly Metrics'!D:D,"Total Target Locations - Lodging (#)")+SUMIFS('Data - Monthly Metrics'!E:E,'Data - Monthly Metrics'!A:A,$B$4-1,'Data - Monthly Metrics'!B:B,"Oct",'Data - Monthly Metrics'!C:C,"TKP",'Data - Monthly Metrics'!D:D,"Non-Target Locations - Restaurant (#)")+SUMIFS('Data - Monthly Metrics'!E:E,'Data - Monthly Metrics'!A:A,$B$4-1,'Data - Monthly Metrics'!B:B,"Oct",'Data - Monthly Metrics'!C:C,"TKP",'Data - Monthly Metrics'!D:D,"Non-Target Locations - Lodging (#)"))=0,"-",(SUMIFS('Data - Monthly Metrics'!E:E,'Data - Monthly Metrics'!A:A,$B$4-1,'Data - Monthly Metrics'!B:B,"Oct",'Data - Monthly Metrics'!C:C,"TKP",'Data - Monthly Metrics'!D:D,"Target Members - Restaurant (#)")+SUMIFS('Data - Monthly Metrics'!E:E,'Data - Monthly Metrics'!A:A,$B$4-1,'Data - Monthly Metrics'!B:B,"Oct",'Data - Monthly Metrics'!C:C,"TKP",'Data - Monthly Metrics'!D:D,"Target Members - Lodging (#)")+SUMIFS('Data - Monthly Metrics'!E:E,'Data - Monthly Metrics'!A:A,$B$4-1,'Data - Monthly Metrics'!B:B,"Oct",'Data - Monthly Metrics'!C:C,"TKP",'Data - Monthly Metrics'!D:D,"Non-Target Members - Restaurant (#)")+SUMIFS('Data - Monthly Metrics'!E:E,'Data - Monthly Metrics'!A:A,$B$4-1,'Data - Monthly Metrics'!B:B,"Oct",'Data - Monthly Metrics'!C:C,"TKP",'Data - Monthly Metrics'!D:D,"Non-Target Members - Lodging (#)"))/(SUMIFS('Data - Monthly Metrics'!E:E,'Data - Monthly Metrics'!A:A,$B$4-1,'Data - Monthly Metrics'!B:B,"Oct",'Data - Monthly Metrics'!C:C,"TKP",'Data - Monthly Metrics'!D:D,"Total Target Locations - Restaurant (#)")+SUMIFS('Data - Monthly Metrics'!E:E,'Data - Monthly Metrics'!A:A,$B$4-1,'Data - Monthly Metrics'!B:B,"Oct",'Data - Monthly Metrics'!C:C,"TKP",'Data - Monthly Metrics'!D:D,"Total Target Locations - Lodging (#)")+SUMIFS('Data - Monthly Metrics'!E:E,'Data - Monthly Metrics'!A:A,$B$4-1,'Data - Monthly Metrics'!B:B,"Oct",'Data - Monthly Metrics'!C:C,"TKP",'Data - Monthly Metrics'!D:D,"Non-Target Locations - Restaurant (#)")+SUMIFS('Data - Monthly Metrics'!E:E,'Data - Monthly Metrics'!A:A,$B$4-1,'Data - Monthly Metrics'!B:B,"Oct",'Data - Monthly Metrics'!C:C,"TKP",'Data - Monthly Metrics'!D:D,"Non-Target Locations - Lodging (#)")))</f>
        <v/>
      </c>
      <c r="C31" s="115">
        <f>IF((SUMIFS('Data - Monthly Metrics'!E:E,'Data - Monthly Metrics'!A:A,$B$4-1,'Data - Monthly Metrics'!B:B,"Nov",'Data - Monthly Metrics'!C:C,"TKP",'Data - Monthly Metrics'!D:D,"Total Target Locations - Restaurant (#)")+SUMIFS('Data - Monthly Metrics'!E:E,'Data - Monthly Metrics'!A:A,$B$4-1,'Data - Monthly Metrics'!B:B,"Nov",'Data - Monthly Metrics'!C:C,"TKP",'Data - Monthly Metrics'!D:D,"Total Target Locations - Lodging (#)")+SUMIFS('Data - Monthly Metrics'!E:E,'Data - Monthly Metrics'!A:A,$B$4-1,'Data - Monthly Metrics'!B:B,"Nov",'Data - Monthly Metrics'!C:C,"TKP",'Data - Monthly Metrics'!D:D,"Non-Target Locations - Restaurant (#)")+SUMIFS('Data - Monthly Metrics'!E:E,'Data - Monthly Metrics'!A:A,$B$4-1,'Data - Monthly Metrics'!B:B,"Nov",'Data - Monthly Metrics'!C:C,"TKP",'Data - Monthly Metrics'!D:D,"Non-Target Locations - Lodging (#)"))=0,"-",(SUMIFS('Data - Monthly Metrics'!E:E,'Data - Monthly Metrics'!A:A,$B$4-1,'Data - Monthly Metrics'!B:B,"Nov",'Data - Monthly Metrics'!C:C,"TKP",'Data - Monthly Metrics'!D:D,"Target Members - Restaurant (#)")+SUMIFS('Data - Monthly Metrics'!E:E,'Data - Monthly Metrics'!A:A,$B$4-1,'Data - Monthly Metrics'!B:B,"Nov",'Data - Monthly Metrics'!C:C,"TKP",'Data - Monthly Metrics'!D:D,"Target Members - Lodging (#)")+SUMIFS('Data - Monthly Metrics'!E:E,'Data - Monthly Metrics'!A:A,$B$4-1,'Data - Monthly Metrics'!B:B,"Nov",'Data - Monthly Metrics'!C:C,"TKP",'Data - Monthly Metrics'!D:D,"Non-Target Members - Restaurant (#)")+SUMIFS('Data - Monthly Metrics'!E:E,'Data - Monthly Metrics'!A:A,$B$4-1,'Data - Monthly Metrics'!B:B,"Nov",'Data - Monthly Metrics'!C:C,"TKP",'Data - Monthly Metrics'!D:D,"Non-Target Members - Lodging (#)"))/(SUMIFS('Data - Monthly Metrics'!E:E,'Data - Monthly Metrics'!A:A,$B$4-1,'Data - Monthly Metrics'!B:B,"Nov",'Data - Monthly Metrics'!C:C,"TKP",'Data - Monthly Metrics'!D:D,"Total Target Locations - Restaurant (#)")+SUMIFS('Data - Monthly Metrics'!E:E,'Data - Monthly Metrics'!A:A,$B$4-1,'Data - Monthly Metrics'!B:B,"Nov",'Data - Monthly Metrics'!C:C,"TKP",'Data - Monthly Metrics'!D:D,"Total Target Locations - Lodging (#)")+SUMIFS('Data - Monthly Metrics'!E:E,'Data - Monthly Metrics'!A:A,$B$4-1,'Data - Monthly Metrics'!B:B,"Nov",'Data - Monthly Metrics'!C:C,"TKP",'Data - Monthly Metrics'!D:D,"Non-Target Locations - Restaurant (#)")+SUMIFS('Data - Monthly Metrics'!E:E,'Data - Monthly Metrics'!A:A,$B$4-1,'Data - Monthly Metrics'!B:B,"Nov",'Data - Monthly Metrics'!C:C,"TKP",'Data - Monthly Metrics'!D:D,"Non-Target Locations - Lodging (#)")))</f>
        <v/>
      </c>
      <c r="D31" s="115">
        <f>IF((SUMIFS('Data - Monthly Metrics'!E:E,'Data - Monthly Metrics'!A:A,$B$4-1,'Data - Monthly Metrics'!B:B,"Dec",'Data - Monthly Metrics'!C:C,"TKP",'Data - Monthly Metrics'!D:D,"Total Target Locations - Restaurant (#)")+SUMIFS('Data - Monthly Metrics'!E:E,'Data - Monthly Metrics'!A:A,$B$4-1,'Data - Monthly Metrics'!B:B,"Dec",'Data - Monthly Metrics'!C:C,"TKP",'Data - Monthly Metrics'!D:D,"Total Target Locations - Lodging (#)")+SUMIFS('Data - Monthly Metrics'!E:E,'Data - Monthly Metrics'!A:A,$B$4-1,'Data - Monthly Metrics'!B:B,"Dec",'Data - Monthly Metrics'!C:C,"TKP",'Data - Monthly Metrics'!D:D,"Non-Target Locations - Restaurant (#)")+SUMIFS('Data - Monthly Metrics'!E:E,'Data - Monthly Metrics'!A:A,$B$4-1,'Data - Monthly Metrics'!B:B,"Dec",'Data - Monthly Metrics'!C:C,"TKP",'Data - Monthly Metrics'!D:D,"Non-Target Locations - Lodging (#)"))=0,"-",(SUMIFS('Data - Monthly Metrics'!E:E,'Data - Monthly Metrics'!A:A,$B$4-1,'Data - Monthly Metrics'!B:B,"Dec",'Data - Monthly Metrics'!C:C,"TKP",'Data - Monthly Metrics'!D:D,"Target Members - Restaurant (#)")+SUMIFS('Data - Monthly Metrics'!E:E,'Data - Monthly Metrics'!A:A,$B$4-1,'Data - Monthly Metrics'!B:B,"Dec",'Data - Monthly Metrics'!C:C,"TKP",'Data - Monthly Metrics'!D:D,"Target Members - Lodging (#)")+SUMIFS('Data - Monthly Metrics'!E:E,'Data - Monthly Metrics'!A:A,$B$4-1,'Data - Monthly Metrics'!B:B,"Dec",'Data - Monthly Metrics'!C:C,"TKP",'Data - Monthly Metrics'!D:D,"Non-Target Members - Restaurant (#)")+SUMIFS('Data - Monthly Metrics'!E:E,'Data - Monthly Metrics'!A:A,$B$4-1,'Data - Monthly Metrics'!B:B,"Dec",'Data - Monthly Metrics'!C:C,"TKP",'Data - Monthly Metrics'!D:D,"Non-Target Members - Lodging (#)"))/(SUMIFS('Data - Monthly Metrics'!E:E,'Data - Monthly Metrics'!A:A,$B$4-1,'Data - Monthly Metrics'!B:B,"Dec",'Data - Monthly Metrics'!C:C,"TKP",'Data - Monthly Metrics'!D:D,"Total Target Locations - Restaurant (#)")+SUMIFS('Data - Monthly Metrics'!E:E,'Data - Monthly Metrics'!A:A,$B$4-1,'Data - Monthly Metrics'!B:B,"Dec",'Data - Monthly Metrics'!C:C,"TKP",'Data - Monthly Metrics'!D:D,"Total Target Locations - Lodging (#)")+SUMIFS('Data - Monthly Metrics'!E:E,'Data - Monthly Metrics'!A:A,$B$4-1,'Data - Monthly Metrics'!B:B,"Dec",'Data - Monthly Metrics'!C:C,"TKP",'Data - Monthly Metrics'!D:D,"Non-Target Locations - Restaurant (#)")+SUMIFS('Data - Monthly Metrics'!E:E,'Data - Monthly Metrics'!A:A,$B$4-1,'Data - Monthly Metrics'!B:B,"Dec",'Data - Monthly Metrics'!C:C,"TKP",'Data - Monthly Metrics'!D:D,"Non-Target Locations - Lodging (#)")))</f>
        <v/>
      </c>
      <c r="E31" s="116">
        <f>IF(ISNUMBER(D31),D31,IF(ISNUMBER(C31),C31,IF(ISNUMBER(B31),B31,"-")))</f>
        <v/>
      </c>
      <c r="F31" s="115">
        <f>IF((SUMIFS('Data - Monthly Metrics'!E:E,'Data - Monthly Metrics'!A:A,$B$4,'Data - Monthly Metrics'!B:B,"Jan",'Data - Monthly Metrics'!C:C,"TKP",'Data - Monthly Metrics'!D:D,"Total Target Locations - Restaurant (#)")+SUMIFS('Data - Monthly Metrics'!E:E,'Data - Monthly Metrics'!A:A,$B$4,'Data - Monthly Metrics'!B:B,"Jan",'Data - Monthly Metrics'!C:C,"TKP",'Data - Monthly Metrics'!D:D,"Total Target Locations - Lodging (#)")+SUMIFS('Data - Monthly Metrics'!E:E,'Data - Monthly Metrics'!A:A,$B$4,'Data - Monthly Metrics'!B:B,"Jan",'Data - Monthly Metrics'!C:C,"TKP",'Data - Monthly Metrics'!D:D,"Non-Target Locations - Restaurant (#)")+SUMIFS('Data - Monthly Metrics'!E:E,'Data - Monthly Metrics'!A:A,$B$4,'Data - Monthly Metrics'!B:B,"Jan",'Data - Monthly Metrics'!C:C,"TKP",'Data - Monthly Metrics'!D:D,"Non-Target Locations - Lodging (#)"))=0,"-",(SUMIFS('Data - Monthly Metrics'!E:E,'Data - Monthly Metrics'!A:A,$B$4,'Data - Monthly Metrics'!B:B,"Jan",'Data - Monthly Metrics'!C:C,"TKP",'Data - Monthly Metrics'!D:D,"Target Members - Restaurant (#)")+SUMIFS('Data - Monthly Metrics'!E:E,'Data - Monthly Metrics'!A:A,$B$4,'Data - Monthly Metrics'!B:B,"Jan",'Data - Monthly Metrics'!C:C,"TKP",'Data - Monthly Metrics'!D:D,"Target Members - Lodging (#)")+SUMIFS('Data - Monthly Metrics'!E:E,'Data - Monthly Metrics'!A:A,$B$4,'Data - Monthly Metrics'!B:B,"Jan",'Data - Monthly Metrics'!C:C,"TKP",'Data - Monthly Metrics'!D:D,"Non-Target Members - Restaurant (#)")+SUMIFS('Data - Monthly Metrics'!E:E,'Data - Monthly Metrics'!A:A,$B$4,'Data - Monthly Metrics'!B:B,"Jan",'Data - Monthly Metrics'!C:C,"TKP",'Data - Monthly Metrics'!D:D,"Non-Target Members - Lodging (#)"))/(SUMIFS('Data - Monthly Metrics'!E:E,'Data - Monthly Metrics'!A:A,$B$4,'Data - Monthly Metrics'!B:B,"Jan",'Data - Monthly Metrics'!C:C,"TKP",'Data - Monthly Metrics'!D:D,"Total Target Locations - Restaurant (#)")+SUMIFS('Data - Monthly Metrics'!E:E,'Data - Monthly Metrics'!A:A,$B$4,'Data - Monthly Metrics'!B:B,"Jan",'Data - Monthly Metrics'!C:C,"TKP",'Data - Monthly Metrics'!D:D,"Total Target Locations - Lodging (#)")+SUMIFS('Data - Monthly Metrics'!E:E,'Data - Monthly Metrics'!A:A,$B$4,'Data - Monthly Metrics'!B:B,"Jan",'Data - Monthly Metrics'!C:C,"TKP",'Data - Monthly Metrics'!D:D,"Non-Target Locations - Restaurant (#)")+SUMIFS('Data - Monthly Metrics'!E:E,'Data - Monthly Metrics'!A:A,$B$4,'Data - Monthly Metrics'!B:B,"Jan",'Data - Monthly Metrics'!C:C,"TKP",'Data - Monthly Metrics'!D:D,"Non-Target Locations - Lodging (#)")))</f>
        <v/>
      </c>
      <c r="G31" s="115">
        <f>IF((SUMIFS('Data - Monthly Metrics'!E:E,'Data - Monthly Metrics'!A:A,$B$4,'Data - Monthly Metrics'!B:B,"Feb",'Data - Monthly Metrics'!C:C,"TKP",'Data - Monthly Metrics'!D:D,"Total Target Locations - Restaurant (#)")+SUMIFS('Data - Monthly Metrics'!E:E,'Data - Monthly Metrics'!A:A,$B$4,'Data - Monthly Metrics'!B:B,"Feb",'Data - Monthly Metrics'!C:C,"TKP",'Data - Monthly Metrics'!D:D,"Total Target Locations - Lodging (#)")+SUMIFS('Data - Monthly Metrics'!E:E,'Data - Monthly Metrics'!A:A,$B$4,'Data - Monthly Metrics'!B:B,"Feb",'Data - Monthly Metrics'!C:C,"TKP",'Data - Monthly Metrics'!D:D,"Non-Target Locations - Restaurant (#)")+SUMIFS('Data - Monthly Metrics'!E:E,'Data - Monthly Metrics'!A:A,$B$4,'Data - Monthly Metrics'!B:B,"Feb",'Data - Monthly Metrics'!C:C,"TKP",'Data - Monthly Metrics'!D:D,"Non-Target Locations - Lodging (#)"))=0,"-",(SUMIFS('Data - Monthly Metrics'!E:E,'Data - Monthly Metrics'!A:A,$B$4,'Data - Monthly Metrics'!B:B,"Feb",'Data - Monthly Metrics'!C:C,"TKP",'Data - Monthly Metrics'!D:D,"Target Members - Restaurant (#)")+SUMIFS('Data - Monthly Metrics'!E:E,'Data - Monthly Metrics'!A:A,$B$4,'Data - Monthly Metrics'!B:B,"Feb",'Data - Monthly Metrics'!C:C,"TKP",'Data - Monthly Metrics'!D:D,"Target Members - Lodging (#)")+SUMIFS('Data - Monthly Metrics'!E:E,'Data - Monthly Metrics'!A:A,$B$4,'Data - Monthly Metrics'!B:B,"Feb",'Data - Monthly Metrics'!C:C,"TKP",'Data - Monthly Metrics'!D:D,"Non-Target Members - Restaurant (#)")+SUMIFS('Data - Monthly Metrics'!E:E,'Data - Monthly Metrics'!A:A,$B$4,'Data - Monthly Metrics'!B:B,"Feb",'Data - Monthly Metrics'!C:C,"TKP",'Data - Monthly Metrics'!D:D,"Non-Target Members - Lodging (#)"))/(SUMIFS('Data - Monthly Metrics'!E:E,'Data - Monthly Metrics'!A:A,$B$4,'Data - Monthly Metrics'!B:B,"Feb",'Data - Monthly Metrics'!C:C,"TKP",'Data - Monthly Metrics'!D:D,"Total Target Locations - Restaurant (#)")+SUMIFS('Data - Monthly Metrics'!E:E,'Data - Monthly Metrics'!A:A,$B$4,'Data - Monthly Metrics'!B:B,"Feb",'Data - Monthly Metrics'!C:C,"TKP",'Data - Monthly Metrics'!D:D,"Total Target Locations - Lodging (#)")+SUMIFS('Data - Monthly Metrics'!E:E,'Data - Monthly Metrics'!A:A,$B$4,'Data - Monthly Metrics'!B:B,"Feb",'Data - Monthly Metrics'!C:C,"TKP",'Data - Monthly Metrics'!D:D,"Non-Target Locations - Restaurant (#)")+SUMIFS('Data - Monthly Metrics'!E:E,'Data - Monthly Metrics'!A:A,$B$4,'Data - Monthly Metrics'!B:B,"Feb",'Data - Monthly Metrics'!C:C,"TKP",'Data - Monthly Metrics'!D:D,"Non-Target Locations - Lodging (#)")))</f>
        <v/>
      </c>
      <c r="H31" s="115">
        <f>IF((SUMIFS('Data - Monthly Metrics'!E:E,'Data - Monthly Metrics'!A:A,$B$4,'Data - Monthly Metrics'!B:B,"Mar",'Data - Monthly Metrics'!C:C,"TKP",'Data - Monthly Metrics'!D:D,"Total Target Locations - Restaurant (#)")+SUMIFS('Data - Monthly Metrics'!E:E,'Data - Monthly Metrics'!A:A,$B$4,'Data - Monthly Metrics'!B:B,"Mar",'Data - Monthly Metrics'!C:C,"TKP",'Data - Monthly Metrics'!D:D,"Total Target Locations - Lodging (#)")+SUMIFS('Data - Monthly Metrics'!E:E,'Data - Monthly Metrics'!A:A,$B$4,'Data - Monthly Metrics'!B:B,"Mar",'Data - Monthly Metrics'!C:C,"TKP",'Data - Monthly Metrics'!D:D,"Non-Target Locations - Restaurant (#)")+SUMIFS('Data - Monthly Metrics'!E:E,'Data - Monthly Metrics'!A:A,$B$4,'Data - Monthly Metrics'!B:B,"Mar",'Data - Monthly Metrics'!C:C,"TKP",'Data - Monthly Metrics'!D:D,"Non-Target Locations - Lodging (#)"))=0,"-",(SUMIFS('Data - Monthly Metrics'!E:E,'Data - Monthly Metrics'!A:A,$B$4,'Data - Monthly Metrics'!B:B,"Mar",'Data - Monthly Metrics'!C:C,"TKP",'Data - Monthly Metrics'!D:D,"Target Members - Restaurant (#)")+SUMIFS('Data - Monthly Metrics'!E:E,'Data - Monthly Metrics'!A:A,$B$4,'Data - Monthly Metrics'!B:B,"Mar",'Data - Monthly Metrics'!C:C,"TKP",'Data - Monthly Metrics'!D:D,"Target Members - Lodging (#)")+SUMIFS('Data - Monthly Metrics'!E:E,'Data - Monthly Metrics'!A:A,$B$4,'Data - Monthly Metrics'!B:B,"Mar",'Data - Monthly Metrics'!C:C,"TKP",'Data - Monthly Metrics'!D:D,"Non-Target Members - Restaurant (#)")+SUMIFS('Data - Monthly Metrics'!E:E,'Data - Monthly Metrics'!A:A,$B$4,'Data - Monthly Metrics'!B:B,"Mar",'Data - Monthly Metrics'!C:C,"TKP",'Data - Monthly Metrics'!D:D,"Non-Target Members - Lodging (#)"))/(SUMIFS('Data - Monthly Metrics'!E:E,'Data - Monthly Metrics'!A:A,$B$4,'Data - Monthly Metrics'!B:B,"Mar",'Data - Monthly Metrics'!C:C,"TKP",'Data - Monthly Metrics'!D:D,"Total Target Locations - Restaurant (#)")+SUMIFS('Data - Monthly Metrics'!E:E,'Data - Monthly Metrics'!A:A,$B$4,'Data - Monthly Metrics'!B:B,"Mar",'Data - Monthly Metrics'!C:C,"TKP",'Data - Monthly Metrics'!D:D,"Total Target Locations - Lodging (#)")+SUMIFS('Data - Monthly Metrics'!E:E,'Data - Monthly Metrics'!A:A,$B$4,'Data - Monthly Metrics'!B:B,"Mar",'Data - Monthly Metrics'!C:C,"TKP",'Data - Monthly Metrics'!D:D,"Non-Target Locations - Restaurant (#)")+SUMIFS('Data - Monthly Metrics'!E:E,'Data - Monthly Metrics'!A:A,$B$4,'Data - Monthly Metrics'!B:B,"Mar",'Data - Monthly Metrics'!C:C,"TKP",'Data - Monthly Metrics'!D:D,"Non-Target Locations - Lodging (#)")))</f>
        <v/>
      </c>
      <c r="I31" s="116">
        <f>IF(ISNUMBER(H31),H31,IF(ISNUMBER(G31),G31,IF(ISNUMBER(F31),F31,"-")))</f>
        <v/>
      </c>
      <c r="J31" s="115">
        <f>IF((SUMIFS('Data - Monthly Metrics'!E:E,'Data - Monthly Metrics'!A:A,$B$4,'Data - Monthly Metrics'!B:B,"Apr",'Data - Monthly Metrics'!C:C,"TKP",'Data - Monthly Metrics'!D:D,"Total Target Locations - Restaurant (#)")+SUMIFS('Data - Monthly Metrics'!E:E,'Data - Monthly Metrics'!A:A,$B$4,'Data - Monthly Metrics'!B:B,"Apr",'Data - Monthly Metrics'!C:C,"TKP",'Data - Monthly Metrics'!D:D,"Total Target Locations - Lodging (#)")+SUMIFS('Data - Monthly Metrics'!E:E,'Data - Monthly Metrics'!A:A,$B$4,'Data - Monthly Metrics'!B:B,"Apr",'Data - Monthly Metrics'!C:C,"TKP",'Data - Monthly Metrics'!D:D,"Non-Target Locations - Restaurant (#)")+SUMIFS('Data - Monthly Metrics'!E:E,'Data - Monthly Metrics'!A:A,$B$4,'Data - Monthly Metrics'!B:B,"Apr",'Data - Monthly Metrics'!C:C,"TKP",'Data - Monthly Metrics'!D:D,"Non-Target Locations - Lodging (#)"))=0,"-",(SUMIFS('Data - Monthly Metrics'!E:E,'Data - Monthly Metrics'!A:A,$B$4,'Data - Monthly Metrics'!B:B,"Apr",'Data - Monthly Metrics'!C:C,"TKP",'Data - Monthly Metrics'!D:D,"Target Members - Restaurant (#)")+SUMIFS('Data - Monthly Metrics'!E:E,'Data - Monthly Metrics'!A:A,$B$4,'Data - Monthly Metrics'!B:B,"Apr",'Data - Monthly Metrics'!C:C,"TKP",'Data - Monthly Metrics'!D:D,"Target Members - Lodging (#)")+SUMIFS('Data - Monthly Metrics'!E:E,'Data - Monthly Metrics'!A:A,$B$4,'Data - Monthly Metrics'!B:B,"Apr",'Data - Monthly Metrics'!C:C,"TKP",'Data - Monthly Metrics'!D:D,"Non-Target Members - Restaurant (#)")+SUMIFS('Data - Monthly Metrics'!E:E,'Data - Monthly Metrics'!A:A,$B$4,'Data - Monthly Metrics'!B:B,"Apr",'Data - Monthly Metrics'!C:C,"TKP",'Data - Monthly Metrics'!D:D,"Non-Target Members - Lodging (#)"))/(SUMIFS('Data - Monthly Metrics'!E:E,'Data - Monthly Metrics'!A:A,$B$4,'Data - Monthly Metrics'!B:B,"Apr",'Data - Monthly Metrics'!C:C,"TKP",'Data - Monthly Metrics'!D:D,"Total Target Locations - Restaurant (#)")+SUMIFS('Data - Monthly Metrics'!E:E,'Data - Monthly Metrics'!A:A,$B$4,'Data - Monthly Metrics'!B:B,"Apr",'Data - Monthly Metrics'!C:C,"TKP",'Data - Monthly Metrics'!D:D,"Total Target Locations - Lodging (#)")+SUMIFS('Data - Monthly Metrics'!E:E,'Data - Monthly Metrics'!A:A,$B$4,'Data - Monthly Metrics'!B:B,"Apr",'Data - Monthly Metrics'!C:C,"TKP",'Data - Monthly Metrics'!D:D,"Non-Target Locations - Restaurant (#)")+SUMIFS('Data - Monthly Metrics'!E:E,'Data - Monthly Metrics'!A:A,$B$4,'Data - Monthly Metrics'!B:B,"Apr",'Data - Monthly Metrics'!C:C,"TKP",'Data - Monthly Metrics'!D:D,"Non-Target Locations - Lodging (#)")))</f>
        <v/>
      </c>
      <c r="K31" s="115">
        <f>IF((SUMIFS('Data - Monthly Metrics'!E:E,'Data - Monthly Metrics'!A:A,$B$4,'Data - Monthly Metrics'!B:B,"May",'Data - Monthly Metrics'!C:C,"TKP",'Data - Monthly Metrics'!D:D,"Total Target Locations - Restaurant (#)")+SUMIFS('Data - Monthly Metrics'!E:E,'Data - Monthly Metrics'!A:A,$B$4,'Data - Monthly Metrics'!B:B,"May",'Data - Monthly Metrics'!C:C,"TKP",'Data - Monthly Metrics'!D:D,"Total Target Locations - Lodging (#)")+SUMIFS('Data - Monthly Metrics'!E:E,'Data - Monthly Metrics'!A:A,$B$4,'Data - Monthly Metrics'!B:B,"May",'Data - Monthly Metrics'!C:C,"TKP",'Data - Monthly Metrics'!D:D,"Non-Target Locations - Restaurant (#)")+SUMIFS('Data - Monthly Metrics'!E:E,'Data - Monthly Metrics'!A:A,$B$4,'Data - Monthly Metrics'!B:B,"May",'Data - Monthly Metrics'!C:C,"TKP",'Data - Monthly Metrics'!D:D,"Non-Target Locations - Lodging (#)"))=0,"-",(SUMIFS('Data - Monthly Metrics'!E:E,'Data - Monthly Metrics'!A:A,$B$4,'Data - Monthly Metrics'!B:B,"May",'Data - Monthly Metrics'!C:C,"TKP",'Data - Monthly Metrics'!D:D,"Target Members - Restaurant (#)")+SUMIFS('Data - Monthly Metrics'!E:E,'Data - Monthly Metrics'!A:A,$B$4,'Data - Monthly Metrics'!B:B,"May",'Data - Monthly Metrics'!C:C,"TKP",'Data - Monthly Metrics'!D:D,"Target Members - Lodging (#)")+SUMIFS('Data - Monthly Metrics'!E:E,'Data - Monthly Metrics'!A:A,$B$4,'Data - Monthly Metrics'!B:B,"May",'Data - Monthly Metrics'!C:C,"TKP",'Data - Monthly Metrics'!D:D,"Non-Target Members - Restaurant (#)")+SUMIFS('Data - Monthly Metrics'!E:E,'Data - Monthly Metrics'!A:A,$B$4,'Data - Monthly Metrics'!B:B,"May",'Data - Monthly Metrics'!C:C,"TKP",'Data - Monthly Metrics'!D:D,"Non-Target Members - Lodging (#)"))/(SUMIFS('Data - Monthly Metrics'!E:E,'Data - Monthly Metrics'!A:A,$B$4,'Data - Monthly Metrics'!B:B,"May",'Data - Monthly Metrics'!C:C,"TKP",'Data - Monthly Metrics'!D:D,"Total Target Locations - Restaurant (#)")+SUMIFS('Data - Monthly Metrics'!E:E,'Data - Monthly Metrics'!A:A,$B$4,'Data - Monthly Metrics'!B:B,"May",'Data - Monthly Metrics'!C:C,"TKP",'Data - Monthly Metrics'!D:D,"Total Target Locations - Lodging (#)")+SUMIFS('Data - Monthly Metrics'!E:E,'Data - Monthly Metrics'!A:A,$B$4,'Data - Monthly Metrics'!B:B,"May",'Data - Monthly Metrics'!C:C,"TKP",'Data - Monthly Metrics'!D:D,"Non-Target Locations - Restaurant (#)")+SUMIFS('Data - Monthly Metrics'!E:E,'Data - Monthly Metrics'!A:A,$B$4,'Data - Monthly Metrics'!B:B,"May",'Data - Monthly Metrics'!C:C,"TKP",'Data - Monthly Metrics'!D:D,"Non-Target Locations - Lodging (#)")))</f>
        <v/>
      </c>
      <c r="L31" s="115">
        <f>IF((SUMIFS('Data - Monthly Metrics'!E:E,'Data - Monthly Metrics'!A:A,$B$4,'Data - Monthly Metrics'!B:B,"Jun",'Data - Monthly Metrics'!C:C,"TKP",'Data - Monthly Metrics'!D:D,"Total Target Locations - Restaurant (#)")+SUMIFS('Data - Monthly Metrics'!E:E,'Data - Monthly Metrics'!A:A,$B$4,'Data - Monthly Metrics'!B:B,"Jun",'Data - Monthly Metrics'!C:C,"TKP",'Data - Monthly Metrics'!D:D,"Total Target Locations - Lodging (#)")+SUMIFS('Data - Monthly Metrics'!E:E,'Data - Monthly Metrics'!A:A,$B$4,'Data - Monthly Metrics'!B:B,"Jun",'Data - Monthly Metrics'!C:C,"TKP",'Data - Monthly Metrics'!D:D,"Non-Target Locations - Restaurant (#)")+SUMIFS('Data - Monthly Metrics'!E:E,'Data - Monthly Metrics'!A:A,$B$4,'Data - Monthly Metrics'!B:B,"Jun",'Data - Monthly Metrics'!C:C,"TKP",'Data - Monthly Metrics'!D:D,"Non-Target Locations - Lodging (#)"))=0,"-",(SUMIFS('Data - Monthly Metrics'!E:E,'Data - Monthly Metrics'!A:A,$B$4,'Data - Monthly Metrics'!B:B,"Jun",'Data - Monthly Metrics'!C:C,"TKP",'Data - Monthly Metrics'!D:D,"Target Members - Restaurant (#)")+SUMIFS('Data - Monthly Metrics'!E:E,'Data - Monthly Metrics'!A:A,$B$4,'Data - Monthly Metrics'!B:B,"Jun",'Data - Monthly Metrics'!C:C,"TKP",'Data - Monthly Metrics'!D:D,"Target Members - Lodging (#)")+SUMIFS('Data - Monthly Metrics'!E:E,'Data - Monthly Metrics'!A:A,$B$4,'Data - Monthly Metrics'!B:B,"Jun",'Data - Monthly Metrics'!C:C,"TKP",'Data - Monthly Metrics'!D:D,"Non-Target Members - Restaurant (#)")+SUMIFS('Data - Monthly Metrics'!E:E,'Data - Monthly Metrics'!A:A,$B$4,'Data - Monthly Metrics'!B:B,"Jun",'Data - Monthly Metrics'!C:C,"TKP",'Data - Monthly Metrics'!D:D,"Non-Target Members - Lodging (#)"))/(SUMIFS('Data - Monthly Metrics'!E:E,'Data - Monthly Metrics'!A:A,$B$4,'Data - Monthly Metrics'!B:B,"Jun",'Data - Monthly Metrics'!C:C,"TKP",'Data - Monthly Metrics'!D:D,"Total Target Locations - Restaurant (#)")+SUMIFS('Data - Monthly Metrics'!E:E,'Data - Monthly Metrics'!A:A,$B$4,'Data - Monthly Metrics'!B:B,"Jun",'Data - Monthly Metrics'!C:C,"TKP",'Data - Monthly Metrics'!D:D,"Total Target Locations - Lodging (#)")+SUMIFS('Data - Monthly Metrics'!E:E,'Data - Monthly Metrics'!A:A,$B$4,'Data - Monthly Metrics'!B:B,"Jun",'Data - Monthly Metrics'!C:C,"TKP",'Data - Monthly Metrics'!D:D,"Non-Target Locations - Restaurant (#)")+SUMIFS('Data - Monthly Metrics'!E:E,'Data - Monthly Metrics'!A:A,$B$4,'Data - Monthly Metrics'!B:B,"Jun",'Data - Monthly Metrics'!C:C,"TKP",'Data - Monthly Metrics'!D:D,"Non-Target Locations - Lodging (#)")))</f>
        <v/>
      </c>
      <c r="M31" s="116">
        <f>IF(ISNUMBER(L31),L31,IF(ISNUMBER(K31),K31,IF(ISNUMBER(J31),J31,"-")))</f>
        <v/>
      </c>
      <c r="N31" s="115">
        <f>IF((SUMIFS('Data - Monthly Metrics'!E:E,'Data - Monthly Metrics'!A:A,$B$4,'Data - Monthly Metrics'!B:B,"Jul",'Data - Monthly Metrics'!C:C,"TKP",'Data - Monthly Metrics'!D:D,"Total Target Locations - Restaurant (#)")+SUMIFS('Data - Monthly Metrics'!E:E,'Data - Monthly Metrics'!A:A,$B$4,'Data - Monthly Metrics'!B:B,"Jul",'Data - Monthly Metrics'!C:C,"TKP",'Data - Monthly Metrics'!D:D,"Total Target Locations - Lodging (#)")+SUMIFS('Data - Monthly Metrics'!E:E,'Data - Monthly Metrics'!A:A,$B$4,'Data - Monthly Metrics'!B:B,"Jul",'Data - Monthly Metrics'!C:C,"TKP",'Data - Monthly Metrics'!D:D,"Non-Target Locations - Restaurant (#)")+SUMIFS('Data - Monthly Metrics'!E:E,'Data - Monthly Metrics'!A:A,$B$4,'Data - Monthly Metrics'!B:B,"Jul",'Data - Monthly Metrics'!C:C,"TKP",'Data - Monthly Metrics'!D:D,"Non-Target Locations - Lodging (#)"))=0,"-",(SUMIFS('Data - Monthly Metrics'!E:E,'Data - Monthly Metrics'!A:A,$B$4,'Data - Monthly Metrics'!B:B,"Jul",'Data - Monthly Metrics'!C:C,"TKP",'Data - Monthly Metrics'!D:D,"Target Members - Restaurant (#)")+SUMIFS('Data - Monthly Metrics'!E:E,'Data - Monthly Metrics'!A:A,$B$4,'Data - Monthly Metrics'!B:B,"Jul",'Data - Monthly Metrics'!C:C,"TKP",'Data - Monthly Metrics'!D:D,"Target Members - Lodging (#)")+SUMIFS('Data - Monthly Metrics'!E:E,'Data - Monthly Metrics'!A:A,$B$4,'Data - Monthly Metrics'!B:B,"Jul",'Data - Monthly Metrics'!C:C,"TKP",'Data - Monthly Metrics'!D:D,"Non-Target Members - Restaurant (#)")+SUMIFS('Data - Monthly Metrics'!E:E,'Data - Monthly Metrics'!A:A,$B$4,'Data - Monthly Metrics'!B:B,"Jul",'Data - Monthly Metrics'!C:C,"TKP",'Data - Monthly Metrics'!D:D,"Non-Target Members - Lodging (#)"))/(SUMIFS('Data - Monthly Metrics'!E:E,'Data - Monthly Metrics'!A:A,$B$4,'Data - Monthly Metrics'!B:B,"Jul",'Data - Monthly Metrics'!C:C,"TKP",'Data - Monthly Metrics'!D:D,"Total Target Locations - Restaurant (#)")+SUMIFS('Data - Monthly Metrics'!E:E,'Data - Monthly Metrics'!A:A,$B$4,'Data - Monthly Metrics'!B:B,"Jul",'Data - Monthly Metrics'!C:C,"TKP",'Data - Monthly Metrics'!D:D,"Total Target Locations - Lodging (#)")+SUMIFS('Data - Monthly Metrics'!E:E,'Data - Monthly Metrics'!A:A,$B$4,'Data - Monthly Metrics'!B:B,"Jul",'Data - Monthly Metrics'!C:C,"TKP",'Data - Monthly Metrics'!D:D,"Non-Target Locations - Restaurant (#)")+SUMIFS('Data - Monthly Metrics'!E:E,'Data - Monthly Metrics'!A:A,$B$4,'Data - Monthly Metrics'!B:B,"Jul",'Data - Monthly Metrics'!C:C,"TKP",'Data - Monthly Metrics'!D:D,"Non-Target Locations - Lodging (#)")))</f>
        <v/>
      </c>
      <c r="O31" s="115">
        <f>IF((SUMIFS('Data - Monthly Metrics'!E:E,'Data - Monthly Metrics'!A:A,$B$4,'Data - Monthly Metrics'!B:B,"Aug",'Data - Monthly Metrics'!C:C,"TKP",'Data - Monthly Metrics'!D:D,"Total Target Locations - Restaurant (#)")+SUMIFS('Data - Monthly Metrics'!E:E,'Data - Monthly Metrics'!A:A,$B$4,'Data - Monthly Metrics'!B:B,"Aug",'Data - Monthly Metrics'!C:C,"TKP",'Data - Monthly Metrics'!D:D,"Total Target Locations - Lodging (#)")+SUMIFS('Data - Monthly Metrics'!E:E,'Data - Monthly Metrics'!A:A,$B$4,'Data - Monthly Metrics'!B:B,"Aug",'Data - Monthly Metrics'!C:C,"TKP",'Data - Monthly Metrics'!D:D,"Non-Target Locations - Restaurant (#)")+SUMIFS('Data - Monthly Metrics'!E:E,'Data - Monthly Metrics'!A:A,$B$4,'Data - Monthly Metrics'!B:B,"Aug",'Data - Monthly Metrics'!C:C,"TKP",'Data - Monthly Metrics'!D:D,"Non-Target Locations - Lodging (#)"))=0,"-",(SUMIFS('Data - Monthly Metrics'!E:E,'Data - Monthly Metrics'!A:A,$B$4,'Data - Monthly Metrics'!B:B,"Aug",'Data - Monthly Metrics'!C:C,"TKP",'Data - Monthly Metrics'!D:D,"Target Members - Restaurant (#)")+SUMIFS('Data - Monthly Metrics'!E:E,'Data - Monthly Metrics'!A:A,$B$4,'Data - Monthly Metrics'!B:B,"Aug",'Data - Monthly Metrics'!C:C,"TKP",'Data - Monthly Metrics'!D:D,"Target Members - Lodging (#)")+SUMIFS('Data - Monthly Metrics'!E:E,'Data - Monthly Metrics'!A:A,$B$4,'Data - Monthly Metrics'!B:B,"Aug",'Data - Monthly Metrics'!C:C,"TKP",'Data - Monthly Metrics'!D:D,"Non-Target Members - Restaurant (#)")+SUMIFS('Data - Monthly Metrics'!E:E,'Data - Monthly Metrics'!A:A,$B$4,'Data - Monthly Metrics'!B:B,"Aug",'Data - Monthly Metrics'!C:C,"TKP",'Data - Monthly Metrics'!D:D,"Non-Target Members - Lodging (#)"))/(SUMIFS('Data - Monthly Metrics'!E:E,'Data - Monthly Metrics'!A:A,$B$4,'Data - Monthly Metrics'!B:B,"Aug",'Data - Monthly Metrics'!C:C,"TKP",'Data - Monthly Metrics'!D:D,"Total Target Locations - Restaurant (#)")+SUMIFS('Data - Monthly Metrics'!E:E,'Data - Monthly Metrics'!A:A,$B$4,'Data - Monthly Metrics'!B:B,"Aug",'Data - Monthly Metrics'!C:C,"TKP",'Data - Monthly Metrics'!D:D,"Total Target Locations - Lodging (#)")+SUMIFS('Data - Monthly Metrics'!E:E,'Data - Monthly Metrics'!A:A,$B$4,'Data - Monthly Metrics'!B:B,"Aug",'Data - Monthly Metrics'!C:C,"TKP",'Data - Monthly Metrics'!D:D,"Non-Target Locations - Restaurant (#)")+SUMIFS('Data - Monthly Metrics'!E:E,'Data - Monthly Metrics'!A:A,$B$4,'Data - Monthly Metrics'!B:B,"Aug",'Data - Monthly Metrics'!C:C,"TKP",'Data - Monthly Metrics'!D:D,"Non-Target Locations - Lodging (#)")))</f>
        <v/>
      </c>
      <c r="P31" s="115">
        <f>IF((SUMIFS('Data - Monthly Metrics'!E:E,'Data - Monthly Metrics'!A:A,$B$4,'Data - Monthly Metrics'!B:B,"Sep",'Data - Monthly Metrics'!C:C,"TKP",'Data - Monthly Metrics'!D:D,"Total Target Locations - Restaurant (#)")+SUMIFS('Data - Monthly Metrics'!E:E,'Data - Monthly Metrics'!A:A,$B$4,'Data - Monthly Metrics'!B:B,"Sep",'Data - Monthly Metrics'!C:C,"TKP",'Data - Monthly Metrics'!D:D,"Total Target Locations - Lodging (#)")+SUMIFS('Data - Monthly Metrics'!E:E,'Data - Monthly Metrics'!A:A,$B$4,'Data - Monthly Metrics'!B:B,"Sep",'Data - Monthly Metrics'!C:C,"TKP",'Data - Monthly Metrics'!D:D,"Non-Target Locations - Restaurant (#)")+SUMIFS('Data - Monthly Metrics'!E:E,'Data - Monthly Metrics'!A:A,$B$4,'Data - Monthly Metrics'!B:B,"Sep",'Data - Monthly Metrics'!C:C,"TKP",'Data - Monthly Metrics'!D:D,"Non-Target Locations - Lodging (#)"))=0,"-",(SUMIFS('Data - Monthly Metrics'!E:E,'Data - Monthly Metrics'!A:A,$B$4,'Data - Monthly Metrics'!B:B,"Sep",'Data - Monthly Metrics'!C:C,"TKP",'Data - Monthly Metrics'!D:D,"Target Members - Restaurant (#)")+SUMIFS('Data - Monthly Metrics'!E:E,'Data - Monthly Metrics'!A:A,$B$4,'Data - Monthly Metrics'!B:B,"Sep",'Data - Monthly Metrics'!C:C,"TKP",'Data - Monthly Metrics'!D:D,"Target Members - Lodging (#)")+SUMIFS('Data - Monthly Metrics'!E:E,'Data - Monthly Metrics'!A:A,$B$4,'Data - Monthly Metrics'!B:B,"Sep",'Data - Monthly Metrics'!C:C,"TKP",'Data - Monthly Metrics'!D:D,"Non-Target Members - Restaurant (#)")+SUMIFS('Data - Monthly Metrics'!E:E,'Data - Monthly Metrics'!A:A,$B$4,'Data - Monthly Metrics'!B:B,"Sep",'Data - Monthly Metrics'!C:C,"TKP",'Data - Monthly Metrics'!D:D,"Non-Target Members - Lodging (#)"))/(SUMIFS('Data - Monthly Metrics'!E:E,'Data - Monthly Metrics'!A:A,$B$4,'Data - Monthly Metrics'!B:B,"Sep",'Data - Monthly Metrics'!C:C,"TKP",'Data - Monthly Metrics'!D:D,"Total Target Locations - Restaurant (#)")+SUMIFS('Data - Monthly Metrics'!E:E,'Data - Monthly Metrics'!A:A,$B$4,'Data - Monthly Metrics'!B:B,"Sep",'Data - Monthly Metrics'!C:C,"TKP",'Data - Monthly Metrics'!D:D,"Total Target Locations - Lodging (#)")+SUMIFS('Data - Monthly Metrics'!E:E,'Data - Monthly Metrics'!A:A,$B$4,'Data - Monthly Metrics'!B:B,"Sep",'Data - Monthly Metrics'!C:C,"TKP",'Data - Monthly Metrics'!D:D,"Non-Target Locations - Restaurant (#)")+SUMIFS('Data - Monthly Metrics'!E:E,'Data - Monthly Metrics'!A:A,$B$4,'Data - Monthly Metrics'!B:B,"Sep",'Data - Monthly Metrics'!C:C,"TKP",'Data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Metrics'!C:C,"TKP",'Data - Monthly Metrics'!D:D,"Goal - New Sales Revenue ($)")=0,"-",SUMIFS('Data - Monthly Metrics'!E:E,'Data - Monthly Metrics'!A:A,$B$4-1,'Data - Monthly Metrics'!B:B,"Oct",'Data - Monthly Metrics'!C:C,"TKP",'Data - Monthly Metrics'!D:D,"Goal - New Sales Revenue ($)"))</f>
        <v/>
      </c>
      <c r="C37" s="91">
        <f>IF(COUNTIFS('Data - Monthly Metrics'!A:A,$B$4-1,'Data - Monthly Metrics'!B:B,"Nov",'Data - Monthly Metrics'!C:C,"TKP",'Data - Monthly Metrics'!D:D,"Goal - New Sales Revenue ($)")=0,"-",SUMIFS('Data - Monthly Metrics'!E:E,'Data - Monthly Metrics'!A:A,$B$4-1,'Data - Monthly Metrics'!B:B,"Nov",'Data - Monthly Metrics'!C:C,"TKP",'Data - Monthly Metrics'!D:D,"Goal - New Sales Revenue ($)"))</f>
        <v/>
      </c>
      <c r="D37" s="91">
        <f>IF(COUNTIFS('Data - Monthly Metrics'!A:A,$B$4-1,'Data - Monthly Metrics'!B:B,"Dec",'Data - Monthly Metrics'!C:C,"TKP",'Data - Monthly Metrics'!D:D,"Goal - New Sales Revenue ($)")=0,"-",SUMIFS('Data - Monthly Metrics'!E:E,'Data - Monthly Metrics'!A:A,$B$4-1,'Data - Monthly Metrics'!B:B,"Dec",'Data - Monthly Metrics'!C:C,"TKP",'Data - Monthly Metrics'!D:D,"Goal - New Sales Revenue ($)"))</f>
        <v/>
      </c>
      <c r="E37" s="101">
        <f>SUM(B37,C37,D37)</f>
        <v/>
      </c>
      <c r="F37" s="91">
        <f>IF(COUNTIFS('Data - Monthly Metrics'!A:A,$B$4,'Data - Monthly Metrics'!B:B,"Jan",'Data - Monthly Metrics'!C:C,"TKP",'Data - Monthly Metrics'!D:D,"Goal - New Sales Revenue ($)")=0,"-",SUMIFS('Data - Monthly Metrics'!E:E,'Data - Monthly Metrics'!A:A,$B$4,'Data - Monthly Metrics'!B:B,"Jan",'Data - Monthly Metrics'!C:C,"TKP",'Data - Monthly Metrics'!D:D,"Goal - New Sales Revenue ($)"))</f>
        <v/>
      </c>
      <c r="G37" s="91">
        <f>IF(COUNTIFS('Data - Monthly Metrics'!A:A,$B$4,'Data - Monthly Metrics'!B:B,"Feb",'Data - Monthly Metrics'!C:C,"TKP",'Data - Monthly Metrics'!D:D,"Goal - New Sales Revenue ($)")=0,"-",SUMIFS('Data - Monthly Metrics'!E:E,'Data - Monthly Metrics'!A:A,$B$4,'Data - Monthly Metrics'!B:B,"Feb",'Data - Monthly Metrics'!C:C,"TKP",'Data - Monthly Metrics'!D:D,"Goal - New Sales Revenue ($)"))</f>
        <v/>
      </c>
      <c r="H37" s="91">
        <f>IF(COUNTIFS('Data - Monthly Metrics'!A:A,$B$4,'Data - Monthly Metrics'!B:B,"Mar",'Data - Monthly Metrics'!C:C,"TKP",'Data - Monthly Metrics'!D:D,"Goal - New Sales Revenue ($)")=0,"-",SUMIFS('Data - Monthly Metrics'!E:E,'Data - Monthly Metrics'!A:A,$B$4,'Data - Monthly Metrics'!B:B,"Mar",'Data - Monthly Metrics'!C:C,"TKP",'Data - Monthly Metrics'!D:D,"Goal - New Sales Revenue ($)"))</f>
        <v/>
      </c>
      <c r="I37" s="101">
        <f>SUM(F37,G37,H37)</f>
        <v/>
      </c>
      <c r="J37" s="91">
        <f>IF(COUNTIFS('Data - Monthly Metrics'!A:A,$B$4,'Data - Monthly Metrics'!B:B,"Apr",'Data - Monthly Metrics'!C:C,"TKP",'Data - Monthly Metrics'!D:D,"Goal - New Sales Revenue ($)")=0,"-",SUMIFS('Data - Monthly Metrics'!E:E,'Data - Monthly Metrics'!A:A,$B$4,'Data - Monthly Metrics'!B:B,"Apr",'Data - Monthly Metrics'!C:C,"TKP",'Data - Monthly Metrics'!D:D,"Goal - New Sales Revenue ($)"))</f>
        <v/>
      </c>
      <c r="K37" s="91">
        <f>IF(COUNTIFS('Data - Monthly Metrics'!A:A,$B$4,'Data - Monthly Metrics'!B:B,"May",'Data - Monthly Metrics'!C:C,"TKP",'Data - Monthly Metrics'!D:D,"Goal - New Sales Revenue ($)")=0,"-",SUMIFS('Data - Monthly Metrics'!E:E,'Data - Monthly Metrics'!A:A,$B$4,'Data - Monthly Metrics'!B:B,"May",'Data - Monthly Metrics'!C:C,"TKP",'Data - Monthly Metrics'!D:D,"Goal - New Sales Revenue ($)"))</f>
        <v/>
      </c>
      <c r="L37" s="91">
        <f>IF(COUNTIFS('Data - Monthly Metrics'!A:A,$B$4,'Data - Monthly Metrics'!B:B,"Jun",'Data - Monthly Metrics'!C:C,"TKP",'Data - Monthly Metrics'!D:D,"Goal - New Sales Revenue ($)")=0,"-",SUMIFS('Data - Monthly Metrics'!E:E,'Data - Monthly Metrics'!A:A,$B$4,'Data - Monthly Metrics'!B:B,"Jun",'Data - Monthly Metrics'!C:C,"TKP",'Data - Monthly Metrics'!D:D,"Goal - New Sales Revenue ($)"))</f>
        <v/>
      </c>
      <c r="M37" s="101">
        <f>SUM(J37,K37,L37)</f>
        <v/>
      </c>
      <c r="N37" s="91">
        <f>IF(COUNTIFS('Data - Monthly Metrics'!A:A,$B$4,'Data - Monthly Metrics'!B:B,"Jul",'Data - Monthly Metrics'!C:C,"TKP",'Data - Monthly Metrics'!D:D,"Goal - New Sales Revenue ($)")=0,"-",SUMIFS('Data - Monthly Metrics'!E:E,'Data - Monthly Metrics'!A:A,$B$4,'Data - Monthly Metrics'!B:B,"Jul",'Data - Monthly Metrics'!C:C,"TKP",'Data - Monthly Metrics'!D:D,"Goal - New Sales Revenue ($)"))</f>
        <v/>
      </c>
      <c r="O37" s="91">
        <f>IF(COUNTIFS('Data - Monthly Metrics'!A:A,$B$4,'Data - Monthly Metrics'!B:B,"Aug",'Data - Monthly Metrics'!C:C,"TKP",'Data - Monthly Metrics'!D:D,"Goal - New Sales Revenue ($)")=0,"-",SUMIFS('Data - Monthly Metrics'!E:E,'Data - Monthly Metrics'!A:A,$B$4,'Data - Monthly Metrics'!B:B,"Aug",'Data - Monthly Metrics'!C:C,"TKP",'Data - Monthly Metrics'!D:D,"Goal - New Sales Revenue ($)"))</f>
        <v/>
      </c>
      <c r="P37" s="91">
        <f>IF(COUNTIFS('Data - Monthly Metrics'!A:A,$B$4,'Data - Monthly Metrics'!B:B,"Sep",'Data - Monthly Metrics'!C:C,"TKP",'Data - Monthly Metrics'!D:D,"Goal - New Sales Revenue ($)")=0,"-",SUMIFS('Data - Monthly Metrics'!E:E,'Data - Monthly Metrics'!A:A,$B$4,'Data - Monthly Metrics'!B:B,"Sep",'Data - Monthly Metrics'!C:C,"TKP",'Data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Metrics'!C:C,"TKP",'Data - Monthly Metrics'!D:D,"New Sales Revenue - Target ($)")=0,"-",SUMIFS('Data - Monthly Metrics'!E:E,'Data - Monthly Metrics'!A:A,$B$4-1,'Data - Monthly Metrics'!B:B,"Oct",'Data - Monthly Metrics'!C:C,"TKP",'Data - Monthly Metrics'!D:D,"New Sales Revenue - Target ($)"))</f>
        <v/>
      </c>
      <c r="C38" s="96">
        <f>IF(COUNTIFS('Data - Monthly Metrics'!A:A,$B$4-1,'Data - Monthly Metrics'!B:B,"Nov",'Data - Monthly Metrics'!C:C,"TKP",'Data - Monthly Metrics'!D:D,"New Sales Revenue - Target ($)")=0,"-",SUMIFS('Data - Monthly Metrics'!E:E,'Data - Monthly Metrics'!A:A,$B$4-1,'Data - Monthly Metrics'!B:B,"Nov",'Data - Monthly Metrics'!C:C,"TKP",'Data - Monthly Metrics'!D:D,"New Sales Revenue - Target ($)"))</f>
        <v/>
      </c>
      <c r="D38" s="96">
        <f>IF(COUNTIFS('Data - Monthly Metrics'!A:A,$B$4-1,'Data - Monthly Metrics'!B:B,"Dec",'Data - Monthly Metrics'!C:C,"TKP",'Data - Monthly Metrics'!D:D,"New Sales Revenue - Target ($)")=0,"-",SUMIFS('Data - Monthly Metrics'!E:E,'Data - Monthly Metrics'!A:A,$B$4-1,'Data - Monthly Metrics'!B:B,"Dec",'Data - Monthly Metrics'!C:C,"TKP",'Data - Monthly Metrics'!D:D,"New Sales Revenue - Target ($)"))</f>
        <v/>
      </c>
      <c r="E38" s="101">
        <f>SUM(B38,C38,D38)</f>
        <v/>
      </c>
      <c r="F38" s="96">
        <f>IF(COUNTIFS('Data - Monthly Metrics'!A:A,$B$4,'Data - Monthly Metrics'!B:B,"Jan",'Data - Monthly Metrics'!C:C,"TKP",'Data - Monthly Metrics'!D:D,"New Sales Revenue - Target ($)")=0,"-",SUMIFS('Data - Monthly Metrics'!E:E,'Data - Monthly Metrics'!A:A,$B$4,'Data - Monthly Metrics'!B:B,"Jan",'Data - Monthly Metrics'!C:C,"TKP",'Data - Monthly Metrics'!D:D,"New Sales Revenue - Target ($)"))</f>
        <v/>
      </c>
      <c r="G38" s="96">
        <f>IF(COUNTIFS('Data - Monthly Metrics'!A:A,$B$4,'Data - Monthly Metrics'!B:B,"Feb",'Data - Monthly Metrics'!C:C,"TKP",'Data - Monthly Metrics'!D:D,"New Sales Revenue - Target ($)")=0,"-",SUMIFS('Data - Monthly Metrics'!E:E,'Data - Monthly Metrics'!A:A,$B$4,'Data - Monthly Metrics'!B:B,"Feb",'Data - Monthly Metrics'!C:C,"TKP",'Data - Monthly Metrics'!D:D,"New Sales Revenue - Target ($)"))</f>
        <v/>
      </c>
      <c r="H38" s="96">
        <f>IF(COUNTIFS('Data - Monthly Metrics'!A:A,$B$4,'Data - Monthly Metrics'!B:B,"Mar",'Data - Monthly Metrics'!C:C,"TKP",'Data - Monthly Metrics'!D:D,"New Sales Revenue - Target ($)")=0,"-",SUMIFS('Data - Monthly Metrics'!E:E,'Data - Monthly Metrics'!A:A,$B$4,'Data - Monthly Metrics'!B:B,"Mar",'Data - Monthly Metrics'!C:C,"TKP",'Data - Monthly Metrics'!D:D,"New Sales Revenue - Target ($)"))</f>
        <v/>
      </c>
      <c r="I38" s="101">
        <f>SUM(F38,G38,H38)</f>
        <v/>
      </c>
      <c r="J38" s="96">
        <f>IF(COUNTIFS('Data - Monthly Metrics'!A:A,$B$4,'Data - Monthly Metrics'!B:B,"Apr",'Data - Monthly Metrics'!C:C,"TKP",'Data - Monthly Metrics'!D:D,"New Sales Revenue - Target ($)")=0,"-",SUMIFS('Data - Monthly Metrics'!E:E,'Data - Monthly Metrics'!A:A,$B$4,'Data - Monthly Metrics'!B:B,"Apr",'Data - Monthly Metrics'!C:C,"TKP",'Data - Monthly Metrics'!D:D,"New Sales Revenue - Target ($)"))</f>
        <v/>
      </c>
      <c r="K38" s="96">
        <f>IF(COUNTIFS('Data - Monthly Metrics'!A:A,$B$4,'Data - Monthly Metrics'!B:B,"May",'Data - Monthly Metrics'!C:C,"TKP",'Data - Monthly Metrics'!D:D,"New Sales Revenue - Target ($)")=0,"-",SUMIFS('Data - Monthly Metrics'!E:E,'Data - Monthly Metrics'!A:A,$B$4,'Data - Monthly Metrics'!B:B,"May",'Data - Monthly Metrics'!C:C,"TKP",'Data - Monthly Metrics'!D:D,"New Sales Revenue - Target ($)"))</f>
        <v/>
      </c>
      <c r="L38" s="96">
        <f>IF(COUNTIFS('Data - Monthly Metrics'!A:A,$B$4,'Data - Monthly Metrics'!B:B,"Jun",'Data - Monthly Metrics'!C:C,"TKP",'Data - Monthly Metrics'!D:D,"New Sales Revenue - Target ($)")=0,"-",SUMIFS('Data - Monthly Metrics'!E:E,'Data - Monthly Metrics'!A:A,$B$4,'Data - Monthly Metrics'!B:B,"Jun",'Data - Monthly Metrics'!C:C,"TKP",'Data - Monthly Metrics'!D:D,"New Sales Revenue - Target ($)"))</f>
        <v/>
      </c>
      <c r="M38" s="101">
        <f>SUM(J38,K38,L38)</f>
        <v/>
      </c>
      <c r="N38" s="96">
        <f>IF(COUNTIFS('Data - Monthly Metrics'!A:A,$B$4,'Data - Monthly Metrics'!B:B,"Jul",'Data - Monthly Metrics'!C:C,"TKP",'Data - Monthly Metrics'!D:D,"New Sales Revenue - Target ($)")=0,"-",SUMIFS('Data - Monthly Metrics'!E:E,'Data - Monthly Metrics'!A:A,$B$4,'Data - Monthly Metrics'!B:B,"Jul",'Data - Monthly Metrics'!C:C,"TKP",'Data - Monthly Metrics'!D:D,"New Sales Revenue - Target ($)"))</f>
        <v/>
      </c>
      <c r="O38" s="96">
        <f>IF(COUNTIFS('Data - Monthly Metrics'!A:A,$B$4,'Data - Monthly Metrics'!B:B,"Aug",'Data - Monthly Metrics'!C:C,"TKP",'Data - Monthly Metrics'!D:D,"New Sales Revenue - Target ($)")=0,"-",SUMIFS('Data - Monthly Metrics'!E:E,'Data - Monthly Metrics'!A:A,$B$4,'Data - Monthly Metrics'!B:B,"Aug",'Data - Monthly Metrics'!C:C,"TKP",'Data - Monthly Metrics'!D:D,"New Sales Revenue - Target ($)"))</f>
        <v/>
      </c>
      <c r="P38" s="96">
        <f>IF(COUNTIFS('Data - Monthly Metrics'!A:A,$B$4,'Data - Monthly Metrics'!B:B,"Sep",'Data - Monthly Metrics'!C:C,"TKP",'Data - Monthly Metrics'!D:D,"New Sales Revenue - Target ($)")=0,"-",SUMIFS('Data - Monthly Metrics'!E:E,'Data - Monthly Metrics'!A:A,$B$4,'Data - Monthly Metrics'!B:B,"Sep",'Data - Monthly Metrics'!C:C,"TKP",'Data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Metrics'!C:C,"TKP",'Data - Monthly Metrics'!D:D,"Goal - New Members (#)")=0,"-",SUMIFS('Data - Monthly Metrics'!E:E,'Data - Monthly Metrics'!A:A,$B$4-1,'Data - Monthly Metrics'!B:B,"Oct",'Data - Monthly Metrics'!C:C,"TKP",'Data - Monthly Metrics'!D:D,"Goal - New Members (#)"))</f>
        <v/>
      </c>
      <c r="C41" s="93">
        <f>IF(COUNTIFS('Data - Monthly Metrics'!A:A,$B$4-1,'Data - Monthly Metrics'!B:B,"Nov",'Data - Monthly Metrics'!C:C,"TKP",'Data - Monthly Metrics'!D:D,"Goal - New Members (#)")=0,"-",SUMIFS('Data - Monthly Metrics'!E:E,'Data - Monthly Metrics'!A:A,$B$4-1,'Data - Monthly Metrics'!B:B,"Nov",'Data - Monthly Metrics'!C:C,"TKP",'Data - Monthly Metrics'!D:D,"Goal - New Members (#)"))</f>
        <v/>
      </c>
      <c r="D41" s="93">
        <f>IF(COUNTIFS('Data - Monthly Metrics'!A:A,$B$4-1,'Data - Monthly Metrics'!B:B,"Dec",'Data - Monthly Metrics'!C:C,"TKP",'Data - Monthly Metrics'!D:D,"Goal - New Members (#)")=0,"-",SUMIFS('Data - Monthly Metrics'!E:E,'Data - Monthly Metrics'!A:A,$B$4-1,'Data - Monthly Metrics'!B:B,"Dec",'Data - Monthly Metrics'!C:C,"TKP",'Data - Monthly Metrics'!D:D,"Goal - New Members (#)"))</f>
        <v/>
      </c>
      <c r="E41" s="103">
        <f>SUM(B41,C41,D41)</f>
        <v/>
      </c>
      <c r="F41" s="93">
        <f>IF(COUNTIFS('Data - Monthly Metrics'!A:A,$B$4,'Data - Monthly Metrics'!B:B,"Jan",'Data - Monthly Metrics'!C:C,"TKP",'Data - Monthly Metrics'!D:D,"Goal - New Members (#)")=0,"-",SUMIFS('Data - Monthly Metrics'!E:E,'Data - Monthly Metrics'!A:A,$B$4,'Data - Monthly Metrics'!B:B,"Jan",'Data - Monthly Metrics'!C:C,"TKP",'Data - Monthly Metrics'!D:D,"Goal - New Members (#)"))</f>
        <v/>
      </c>
      <c r="G41" s="93">
        <f>IF(COUNTIFS('Data - Monthly Metrics'!A:A,$B$4,'Data - Monthly Metrics'!B:B,"Feb",'Data - Monthly Metrics'!C:C,"TKP",'Data - Monthly Metrics'!D:D,"Goal - New Members (#)")=0,"-",SUMIFS('Data - Monthly Metrics'!E:E,'Data - Monthly Metrics'!A:A,$B$4,'Data - Monthly Metrics'!B:B,"Feb",'Data - Monthly Metrics'!C:C,"TKP",'Data - Monthly Metrics'!D:D,"Goal - New Members (#)"))</f>
        <v/>
      </c>
      <c r="H41" s="93">
        <f>IF(COUNTIFS('Data - Monthly Metrics'!A:A,$B$4,'Data - Monthly Metrics'!B:B,"Mar",'Data - Monthly Metrics'!C:C,"TKP",'Data - Monthly Metrics'!D:D,"Goal - New Members (#)")=0,"-",SUMIFS('Data - Monthly Metrics'!E:E,'Data - Monthly Metrics'!A:A,$B$4,'Data - Monthly Metrics'!B:B,"Mar",'Data - Monthly Metrics'!C:C,"TKP",'Data - Monthly Metrics'!D:D,"Goal - New Members (#)"))</f>
        <v/>
      </c>
      <c r="I41" s="103">
        <f>SUM(F41,G41,H41)</f>
        <v/>
      </c>
      <c r="J41" s="93">
        <f>IF(COUNTIFS('Data - Monthly Metrics'!A:A,$B$4,'Data - Monthly Metrics'!B:B,"Apr",'Data - Monthly Metrics'!C:C,"TKP",'Data - Monthly Metrics'!D:D,"Goal - New Members (#)")=0,"-",SUMIFS('Data - Monthly Metrics'!E:E,'Data - Monthly Metrics'!A:A,$B$4,'Data - Monthly Metrics'!B:B,"Apr",'Data - Monthly Metrics'!C:C,"TKP",'Data - Monthly Metrics'!D:D,"Goal - New Members (#)"))</f>
        <v/>
      </c>
      <c r="K41" s="93">
        <f>IF(COUNTIFS('Data - Monthly Metrics'!A:A,$B$4,'Data - Monthly Metrics'!B:B,"May",'Data - Monthly Metrics'!C:C,"TKP",'Data - Monthly Metrics'!D:D,"Goal - New Members (#)")=0,"-",SUMIFS('Data - Monthly Metrics'!E:E,'Data - Monthly Metrics'!A:A,$B$4,'Data - Monthly Metrics'!B:B,"May",'Data - Monthly Metrics'!C:C,"TKP",'Data - Monthly Metrics'!D:D,"Goal - New Members (#)"))</f>
        <v/>
      </c>
      <c r="L41" s="93">
        <f>IF(COUNTIFS('Data - Monthly Metrics'!A:A,$B$4,'Data - Monthly Metrics'!B:B,"Jun",'Data - Monthly Metrics'!C:C,"TKP",'Data - Monthly Metrics'!D:D,"Goal - New Members (#)")=0,"-",SUMIFS('Data - Monthly Metrics'!E:E,'Data - Monthly Metrics'!A:A,$B$4,'Data - Monthly Metrics'!B:B,"Jun",'Data - Monthly Metrics'!C:C,"TKP",'Data - Monthly Metrics'!D:D,"Goal - New Members (#)"))</f>
        <v/>
      </c>
      <c r="M41" s="103">
        <f>SUM(J41,K41,L41)</f>
        <v/>
      </c>
      <c r="N41" s="93">
        <f>IF(COUNTIFS('Data - Monthly Metrics'!A:A,$B$4,'Data - Monthly Metrics'!B:B,"Jul",'Data - Monthly Metrics'!C:C,"TKP",'Data - Monthly Metrics'!D:D,"Goal - New Members (#)")=0,"-",SUMIFS('Data - Monthly Metrics'!E:E,'Data - Monthly Metrics'!A:A,$B$4,'Data - Monthly Metrics'!B:B,"Jul",'Data - Monthly Metrics'!C:C,"TKP",'Data - Monthly Metrics'!D:D,"Goal - New Members (#)"))</f>
        <v/>
      </c>
      <c r="O41" s="93">
        <f>IF(COUNTIFS('Data - Monthly Metrics'!A:A,$B$4,'Data - Monthly Metrics'!B:B,"Aug",'Data - Monthly Metrics'!C:C,"TKP",'Data - Monthly Metrics'!D:D,"Goal - New Members (#)")=0,"-",SUMIFS('Data - Monthly Metrics'!E:E,'Data - Monthly Metrics'!A:A,$B$4,'Data - Monthly Metrics'!B:B,"Aug",'Data - Monthly Metrics'!C:C,"TKP",'Data - Monthly Metrics'!D:D,"Goal - New Members (#)"))</f>
        <v/>
      </c>
      <c r="P41" s="93">
        <f>IF(COUNTIFS('Data - Monthly Metrics'!A:A,$B$4,'Data - Monthly Metrics'!B:B,"Sep",'Data - Monthly Metrics'!C:C,"TKP",'Data - Monthly Metrics'!D:D,"Goal - New Members (#)")=0,"-",SUMIFS('Data - Monthly Metrics'!E:E,'Data - Monthly Metrics'!A:A,$B$4,'Data - Monthly Metrics'!B:B,"Sep",'Data - Monthly Metrics'!C:C,"TKP",'Data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Metrics'!C:C,"TKP",'Data - Monthly Metrics'!D:D,"New Members - Target (#)")=0,"-",SUMIFS('Data - Monthly Metrics'!E:E,'Data - Monthly Metrics'!A:A,$B$4-1,'Data - Monthly Metrics'!B:B,"Oct",'Data - Monthly Metrics'!C:C,"TKP",'Data - Monthly Metrics'!D:D,"New Members - Target (#)"))</f>
        <v/>
      </c>
      <c r="C42" s="98">
        <f>IF(COUNTIFS('Data - Monthly Metrics'!A:A,$B$4-1,'Data - Monthly Metrics'!B:B,"Nov",'Data - Monthly Metrics'!C:C,"TKP",'Data - Monthly Metrics'!D:D,"New Members - Target (#)")=0,"-",SUMIFS('Data - Monthly Metrics'!E:E,'Data - Monthly Metrics'!A:A,$B$4-1,'Data - Monthly Metrics'!B:B,"Nov",'Data - Monthly Metrics'!C:C,"TKP",'Data - Monthly Metrics'!D:D,"New Members - Target (#)"))</f>
        <v/>
      </c>
      <c r="D42" s="98">
        <f>IF(COUNTIFS('Data - Monthly Metrics'!A:A,$B$4-1,'Data - Monthly Metrics'!B:B,"Dec",'Data - Monthly Metrics'!C:C,"TKP",'Data - Monthly Metrics'!D:D,"New Members - Target (#)")=0,"-",SUMIFS('Data - Monthly Metrics'!E:E,'Data - Monthly Metrics'!A:A,$B$4-1,'Data - Monthly Metrics'!B:B,"Dec",'Data - Monthly Metrics'!C:C,"TKP",'Data - Monthly Metrics'!D:D,"New Members - Target (#)"))</f>
        <v/>
      </c>
      <c r="E42" s="103">
        <f>SUM(B42,C42,D42)</f>
        <v/>
      </c>
      <c r="F42" s="98">
        <f>IF(COUNTIFS('Data - Monthly Metrics'!A:A,$B$4,'Data - Monthly Metrics'!B:B,"Jan",'Data - Monthly Metrics'!C:C,"TKP",'Data - Monthly Metrics'!D:D,"New Members - Target (#)")=0,"-",SUMIFS('Data - Monthly Metrics'!E:E,'Data - Monthly Metrics'!A:A,$B$4,'Data - Monthly Metrics'!B:B,"Jan",'Data - Monthly Metrics'!C:C,"TKP",'Data - Monthly Metrics'!D:D,"New Members - Target (#)"))</f>
        <v/>
      </c>
      <c r="G42" s="98">
        <f>IF(COUNTIFS('Data - Monthly Metrics'!A:A,$B$4,'Data - Monthly Metrics'!B:B,"Feb",'Data - Monthly Metrics'!C:C,"TKP",'Data - Monthly Metrics'!D:D,"New Members - Target (#)")=0,"-",SUMIFS('Data - Monthly Metrics'!E:E,'Data - Monthly Metrics'!A:A,$B$4,'Data - Monthly Metrics'!B:B,"Feb",'Data - Monthly Metrics'!C:C,"TKP",'Data - Monthly Metrics'!D:D,"New Members - Target (#)"))</f>
        <v/>
      </c>
      <c r="H42" s="98">
        <f>IF(COUNTIFS('Data - Monthly Metrics'!A:A,$B$4,'Data - Monthly Metrics'!B:B,"Mar",'Data - Monthly Metrics'!C:C,"TKP",'Data - Monthly Metrics'!D:D,"New Members - Target (#)")=0,"-",SUMIFS('Data - Monthly Metrics'!E:E,'Data - Monthly Metrics'!A:A,$B$4,'Data - Monthly Metrics'!B:B,"Mar",'Data - Monthly Metrics'!C:C,"TKP",'Data - Monthly Metrics'!D:D,"New Members - Target (#)"))</f>
        <v/>
      </c>
      <c r="I42" s="103">
        <f>SUM(F42,G42,H42)</f>
        <v/>
      </c>
      <c r="J42" s="98">
        <f>IF(COUNTIFS('Data - Monthly Metrics'!A:A,$B$4,'Data - Monthly Metrics'!B:B,"Apr",'Data - Monthly Metrics'!C:C,"TKP",'Data - Monthly Metrics'!D:D,"New Members - Target (#)")=0,"-",SUMIFS('Data - Monthly Metrics'!E:E,'Data - Monthly Metrics'!A:A,$B$4,'Data - Monthly Metrics'!B:B,"Apr",'Data - Monthly Metrics'!C:C,"TKP",'Data - Monthly Metrics'!D:D,"New Members - Target (#)"))</f>
        <v/>
      </c>
      <c r="K42" s="98">
        <f>IF(COUNTIFS('Data - Monthly Metrics'!A:A,$B$4,'Data - Monthly Metrics'!B:B,"May",'Data - Monthly Metrics'!C:C,"TKP",'Data - Monthly Metrics'!D:D,"New Members - Target (#)")=0,"-",SUMIFS('Data - Monthly Metrics'!E:E,'Data - Monthly Metrics'!A:A,$B$4,'Data - Monthly Metrics'!B:B,"May",'Data - Monthly Metrics'!C:C,"TKP",'Data - Monthly Metrics'!D:D,"New Members - Target (#)"))</f>
        <v/>
      </c>
      <c r="L42" s="98">
        <f>IF(COUNTIFS('Data - Monthly Metrics'!A:A,$B$4,'Data - Monthly Metrics'!B:B,"Jun",'Data - Monthly Metrics'!C:C,"TKP",'Data - Monthly Metrics'!D:D,"New Members - Target (#)")=0,"-",SUMIFS('Data - Monthly Metrics'!E:E,'Data - Monthly Metrics'!A:A,$B$4,'Data - Monthly Metrics'!B:B,"Jun",'Data - Monthly Metrics'!C:C,"TKP",'Data - Monthly Metrics'!D:D,"New Members - Target (#)"))</f>
        <v/>
      </c>
      <c r="M42" s="103">
        <f>SUM(J42,K42,L42)</f>
        <v/>
      </c>
      <c r="N42" s="98">
        <f>IF(COUNTIFS('Data - Monthly Metrics'!A:A,$B$4,'Data - Monthly Metrics'!B:B,"Jul",'Data - Monthly Metrics'!C:C,"TKP",'Data - Monthly Metrics'!D:D,"New Members - Target (#)")=0,"-",SUMIFS('Data - Monthly Metrics'!E:E,'Data - Monthly Metrics'!A:A,$B$4,'Data - Monthly Metrics'!B:B,"Jul",'Data - Monthly Metrics'!C:C,"TKP",'Data - Monthly Metrics'!D:D,"New Members - Target (#)"))</f>
        <v/>
      </c>
      <c r="O42" s="98">
        <f>IF(COUNTIFS('Data - Monthly Metrics'!A:A,$B$4,'Data - Monthly Metrics'!B:B,"Aug",'Data - Monthly Metrics'!C:C,"TKP",'Data - Monthly Metrics'!D:D,"New Members - Target (#)")=0,"-",SUMIFS('Data - Monthly Metrics'!E:E,'Data - Monthly Metrics'!A:A,$B$4,'Data - Monthly Metrics'!B:B,"Aug",'Data - Monthly Metrics'!C:C,"TKP",'Data - Monthly Metrics'!D:D,"New Members - Target (#)"))</f>
        <v/>
      </c>
      <c r="P42" s="98">
        <f>IF(COUNTIFS('Data - Monthly Metrics'!A:A,$B$4,'Data - Monthly Metrics'!B:B,"Sep",'Data - Monthly Metrics'!C:C,"TKP",'Data - Monthly Metrics'!D:D,"New Members - Target (#)")=0,"-",SUMIFS('Data - Monthly Metrics'!E:E,'Data - Monthly Metrics'!A:A,$B$4,'Data - Monthly Metrics'!B:B,"Sep",'Data - Monthly Metrics'!C:C,"TKP",'Data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Metrics'!C:C,"TKP",'Data - Monthly Metrics'!D:D,"Billables - Hospitality Target (#)")=0,"-",SUMIFS('Data - Monthly Metrics'!E:E,'Data - Monthly Metrics'!A:A,$B$4-1,'Data - Monthly Metrics'!B:B,"Oct",'Data - Monthly Metrics'!C:C,"TKP",'Data - Monthly Metrics'!D:D,"Billables - Hospitality Target (#)"))</f>
        <v/>
      </c>
      <c r="C46" s="93">
        <f>IF(COUNTIFS('Data - Monthly Metrics'!A:A,$B$4-1,'Data - Monthly Metrics'!B:B,"Nov",'Data - Monthly Metrics'!C:C,"TKP",'Data - Monthly Metrics'!D:D,"Billables - Hospitality Target (#)")=0,"-",SUMIFS('Data - Monthly Metrics'!E:E,'Data - Monthly Metrics'!A:A,$B$4-1,'Data - Monthly Metrics'!B:B,"Nov",'Data - Monthly Metrics'!C:C,"TKP",'Data - Monthly Metrics'!D:D,"Billables - Hospitality Target (#)"))</f>
        <v/>
      </c>
      <c r="D46" s="93">
        <f>IF(COUNTIFS('Data - Monthly Metrics'!A:A,$B$4-1,'Data - Monthly Metrics'!B:B,"Dec",'Data - Monthly Metrics'!C:C,"TKP",'Data - Monthly Metrics'!D:D,"Billables - Hospitality Target (#)")=0,"-",SUMIFS('Data - Monthly Metrics'!E:E,'Data - Monthly Metrics'!A:A,$B$4-1,'Data - Monthly Metrics'!B:B,"Dec",'Data - Monthly Metrics'!C:C,"TKP",'Data - Monthly Metrics'!D:D,"Billables - Hospitality Target (#)"))</f>
        <v/>
      </c>
      <c r="E46" s="103">
        <f>IF(ISNUMBER(D46),D46,IF(ISNUMBER(C46),C46,IF(ISNUMBER(B46),B46,"-")))</f>
        <v/>
      </c>
      <c r="F46" s="93">
        <f>IF(COUNTIFS('Data - Monthly Metrics'!A:A,$B$4,'Data - Monthly Metrics'!B:B,"Jan",'Data - Monthly Metrics'!C:C,"TKP",'Data - Monthly Metrics'!D:D,"Billables - Hospitality Target (#)")=0,"-",SUMIFS('Data - Monthly Metrics'!E:E,'Data - Monthly Metrics'!A:A,$B$4,'Data - Monthly Metrics'!B:B,"Jan",'Data - Monthly Metrics'!C:C,"TKP",'Data - Monthly Metrics'!D:D,"Billables - Hospitality Target (#)"))</f>
        <v/>
      </c>
      <c r="G46" s="93">
        <f>IF(COUNTIFS('Data - Monthly Metrics'!A:A,$B$4,'Data - Monthly Metrics'!B:B,"Feb",'Data - Monthly Metrics'!C:C,"TKP",'Data - Monthly Metrics'!D:D,"Billables - Hospitality Target (#)")=0,"-",SUMIFS('Data - Monthly Metrics'!E:E,'Data - Monthly Metrics'!A:A,$B$4,'Data - Monthly Metrics'!B:B,"Feb",'Data - Monthly Metrics'!C:C,"TKP",'Data - Monthly Metrics'!D:D,"Billables - Hospitality Target (#)"))</f>
        <v/>
      </c>
      <c r="H46" s="93">
        <f>IF(COUNTIFS('Data - Monthly Metrics'!A:A,$B$4,'Data - Monthly Metrics'!B:B,"Mar",'Data - Monthly Metrics'!C:C,"TKP",'Data - Monthly Metrics'!D:D,"Billables - Hospitality Target (#)")=0,"-",SUMIFS('Data - Monthly Metrics'!E:E,'Data - Monthly Metrics'!A:A,$B$4,'Data - Monthly Metrics'!B:B,"Mar",'Data - Monthly Metrics'!C:C,"TKP",'Data - Monthly Metrics'!D:D,"Billables - Hospitality Target (#)"))</f>
        <v/>
      </c>
      <c r="I46" s="103">
        <f>IF(ISNUMBER(H46),H46,IF(ISNUMBER(G46),G46,IF(ISNUMBER(F46),F46,"-")))</f>
        <v/>
      </c>
      <c r="J46" s="93">
        <f>IF(COUNTIFS('Data - Monthly Metrics'!A:A,$B$4,'Data - Monthly Metrics'!B:B,"Apr",'Data - Monthly Metrics'!C:C,"TKP",'Data - Monthly Metrics'!D:D,"Billables - Hospitality Target (#)")=0,"-",SUMIFS('Data - Monthly Metrics'!E:E,'Data - Monthly Metrics'!A:A,$B$4,'Data - Monthly Metrics'!B:B,"Apr",'Data - Monthly Metrics'!C:C,"TKP",'Data - Monthly Metrics'!D:D,"Billables - Hospitality Target (#)"))</f>
        <v/>
      </c>
      <c r="K46" s="93">
        <f>IF(COUNTIFS('Data - Monthly Metrics'!A:A,$B$4,'Data - Monthly Metrics'!B:B,"May",'Data - Monthly Metrics'!C:C,"TKP",'Data - Monthly Metrics'!D:D,"Billables - Hospitality Target (#)")=0,"-",SUMIFS('Data - Monthly Metrics'!E:E,'Data - Monthly Metrics'!A:A,$B$4,'Data - Monthly Metrics'!B:B,"May",'Data - Monthly Metrics'!C:C,"TKP",'Data - Monthly Metrics'!D:D,"Billables - Hospitality Target (#)"))</f>
        <v/>
      </c>
      <c r="L46" s="93">
        <f>IF(COUNTIFS('Data - Monthly Metrics'!A:A,$B$4,'Data - Monthly Metrics'!B:B,"Jun",'Data - Monthly Metrics'!C:C,"TKP",'Data - Monthly Metrics'!D:D,"Billables - Hospitality Target (#)")=0,"-",SUMIFS('Data - Monthly Metrics'!E:E,'Data - Monthly Metrics'!A:A,$B$4,'Data - Monthly Metrics'!B:B,"Jun",'Data - Monthly Metrics'!C:C,"TKP",'Data - Monthly Metrics'!D:D,"Billables - Hospitality Target (#)"))</f>
        <v/>
      </c>
      <c r="M46" s="103">
        <f>IF(ISNUMBER(L46),L46,IF(ISNUMBER(K46),K46,IF(ISNUMBER(J46),J46,"-")))</f>
        <v/>
      </c>
      <c r="N46" s="93">
        <f>IF(COUNTIFS('Data - Monthly Metrics'!A:A,$B$4,'Data - Monthly Metrics'!B:B,"Jul",'Data - Monthly Metrics'!C:C,"TKP",'Data - Monthly Metrics'!D:D,"Billables - Hospitality Target (#)")=0,"-",SUMIFS('Data - Monthly Metrics'!E:E,'Data - Monthly Metrics'!A:A,$B$4,'Data - Monthly Metrics'!B:B,"Jul",'Data - Monthly Metrics'!C:C,"TKP",'Data - Monthly Metrics'!D:D,"Billables - Hospitality Target (#)"))</f>
        <v/>
      </c>
      <c r="O46" s="93">
        <f>IF(COUNTIFS('Data - Monthly Metrics'!A:A,$B$4,'Data - Monthly Metrics'!B:B,"Aug",'Data - Monthly Metrics'!C:C,"TKP",'Data - Monthly Metrics'!D:D,"Billables - Hospitality Target (#)")=0,"-",SUMIFS('Data - Monthly Metrics'!E:E,'Data - Monthly Metrics'!A:A,$B$4,'Data - Monthly Metrics'!B:B,"Aug",'Data - Monthly Metrics'!C:C,"TKP",'Data - Monthly Metrics'!D:D,"Billables - Hospitality Target (#)"))</f>
        <v/>
      </c>
      <c r="P46" s="93">
        <f>IF(COUNTIFS('Data - Monthly Metrics'!A:A,$B$4,'Data - Monthly Metrics'!B:B,"Sep",'Data - Monthly Metrics'!C:C,"TKP",'Data - Monthly Metrics'!D:D,"Billables - Hospitality Target (#)")=0,"-",SUMIFS('Data - Monthly Metrics'!E:E,'Data - Monthly Metrics'!A:A,$B$4,'Data - Monthly Metrics'!B:B,"Sep",'Data - Monthly Metrics'!C:C,"TKP",'Data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Metrics'!C:C,"TKP",'Data - Monthly Metrics'!D:D,"Member Locations - Target (#)")=0,"-",SUMIFS('Data - Monthly Metrics'!E:E,'Data - Monthly Metrics'!A:A,$B$4-1,'Data - Monthly Metrics'!B:B,"Oct",'Data - Monthly Metrics'!C:C,"TKP",'Data - Monthly Metrics'!D:D,"Member Locations - Target (#)"))</f>
        <v/>
      </c>
      <c r="C47" s="93">
        <f>IF(COUNTIFS('Data - Monthly Metrics'!A:A,$B$4-1,'Data - Monthly Metrics'!B:B,"Nov",'Data - Monthly Metrics'!C:C,"TKP",'Data - Monthly Metrics'!D:D,"Member Locations - Target (#)")=0,"-",SUMIFS('Data - Monthly Metrics'!E:E,'Data - Monthly Metrics'!A:A,$B$4-1,'Data - Monthly Metrics'!B:B,"Nov",'Data - Monthly Metrics'!C:C,"TKP",'Data - Monthly Metrics'!D:D,"Member Locations - Target (#)"))</f>
        <v/>
      </c>
      <c r="D47" s="93">
        <f>IF(COUNTIFS('Data - Monthly Metrics'!A:A,$B$4-1,'Data - Monthly Metrics'!B:B,"Dec",'Data - Monthly Metrics'!C:C,"TKP",'Data - Monthly Metrics'!D:D,"Member Locations - Target (#)")=0,"-",SUMIFS('Data - Monthly Metrics'!E:E,'Data - Monthly Metrics'!A:A,$B$4-1,'Data - Monthly Metrics'!B:B,"Dec",'Data - Monthly Metrics'!C:C,"TKP",'Data - Monthly Metrics'!D:D,"Member Locations - Target (#)"))</f>
        <v/>
      </c>
      <c r="E47" s="103">
        <f>IF(ISNUMBER(D47),D47,IF(ISNUMBER(C47),C47,IF(ISNUMBER(B47),B47,"-")))</f>
        <v/>
      </c>
      <c r="F47" s="93">
        <f>IF(COUNTIFS('Data - Monthly Metrics'!A:A,$B$4,'Data - Monthly Metrics'!B:B,"Jan",'Data - Monthly Metrics'!C:C,"TKP",'Data - Monthly Metrics'!D:D,"Member Locations - Target (#)")=0,"-",SUMIFS('Data - Monthly Metrics'!E:E,'Data - Monthly Metrics'!A:A,$B$4,'Data - Monthly Metrics'!B:B,"Jan",'Data - Monthly Metrics'!C:C,"TKP",'Data - Monthly Metrics'!D:D,"Member Locations - Target (#)"))</f>
        <v/>
      </c>
      <c r="G47" s="93">
        <f>IF(COUNTIFS('Data - Monthly Metrics'!A:A,$B$4,'Data - Monthly Metrics'!B:B,"Feb",'Data - Monthly Metrics'!C:C,"TKP",'Data - Monthly Metrics'!D:D,"Member Locations - Target (#)")=0,"-",SUMIFS('Data - Monthly Metrics'!E:E,'Data - Monthly Metrics'!A:A,$B$4,'Data - Monthly Metrics'!B:B,"Feb",'Data - Monthly Metrics'!C:C,"TKP",'Data - Monthly Metrics'!D:D,"Member Locations - Target (#)"))</f>
        <v/>
      </c>
      <c r="H47" s="93">
        <f>IF(COUNTIFS('Data - Monthly Metrics'!A:A,$B$4,'Data - Monthly Metrics'!B:B,"Mar",'Data - Monthly Metrics'!C:C,"TKP",'Data - Monthly Metrics'!D:D,"Member Locations - Target (#)")=0,"-",SUMIFS('Data - Monthly Metrics'!E:E,'Data - Monthly Metrics'!A:A,$B$4,'Data - Monthly Metrics'!B:B,"Mar",'Data - Monthly Metrics'!C:C,"TKP",'Data - Monthly Metrics'!D:D,"Member Locations - Target (#)"))</f>
        <v/>
      </c>
      <c r="I47" s="103">
        <f>IF(ISNUMBER(H47),H47,IF(ISNUMBER(G47),G47,IF(ISNUMBER(F47),F47,"-")))</f>
        <v/>
      </c>
      <c r="J47" s="93">
        <f>IF(COUNTIFS('Data - Monthly Metrics'!A:A,$B$4,'Data - Monthly Metrics'!B:B,"Apr",'Data - Monthly Metrics'!C:C,"TKP",'Data - Monthly Metrics'!D:D,"Member Locations - Target (#)")=0,"-",SUMIFS('Data - Monthly Metrics'!E:E,'Data - Monthly Metrics'!A:A,$B$4,'Data - Monthly Metrics'!B:B,"Apr",'Data - Monthly Metrics'!C:C,"TKP",'Data - Monthly Metrics'!D:D,"Member Locations - Target (#)"))</f>
        <v/>
      </c>
      <c r="K47" s="93">
        <f>IF(COUNTIFS('Data - Monthly Metrics'!A:A,$B$4,'Data - Monthly Metrics'!B:B,"May",'Data - Monthly Metrics'!C:C,"TKP",'Data - Monthly Metrics'!D:D,"Member Locations - Target (#)")=0,"-",SUMIFS('Data - Monthly Metrics'!E:E,'Data - Monthly Metrics'!A:A,$B$4,'Data - Monthly Metrics'!B:B,"May",'Data - Monthly Metrics'!C:C,"TKP",'Data - Monthly Metrics'!D:D,"Member Locations - Target (#)"))</f>
        <v/>
      </c>
      <c r="L47" s="93">
        <f>IF(COUNTIFS('Data - Monthly Metrics'!A:A,$B$4,'Data - Monthly Metrics'!B:B,"Jun",'Data - Monthly Metrics'!C:C,"TKP",'Data - Monthly Metrics'!D:D,"Member Locations - Target (#)")=0,"-",SUMIFS('Data - Monthly Metrics'!E:E,'Data - Monthly Metrics'!A:A,$B$4,'Data - Monthly Metrics'!B:B,"Jun",'Data - Monthly Metrics'!C:C,"TKP",'Data - Monthly Metrics'!D:D,"Member Locations - Target (#)"))</f>
        <v/>
      </c>
      <c r="M47" s="103">
        <f>IF(ISNUMBER(L47),L47,IF(ISNUMBER(K47),K47,IF(ISNUMBER(J47),J47,"-")))</f>
        <v/>
      </c>
      <c r="N47" s="93">
        <f>IF(COUNTIFS('Data - Monthly Metrics'!A:A,$B$4,'Data - Monthly Metrics'!B:B,"Jul",'Data - Monthly Metrics'!C:C,"TKP",'Data - Monthly Metrics'!D:D,"Member Locations - Target (#)")=0,"-",SUMIFS('Data - Monthly Metrics'!E:E,'Data - Monthly Metrics'!A:A,$B$4,'Data - Monthly Metrics'!B:B,"Jul",'Data - Monthly Metrics'!C:C,"TKP",'Data - Monthly Metrics'!D:D,"Member Locations - Target (#)"))</f>
        <v/>
      </c>
      <c r="O47" s="93">
        <f>IF(COUNTIFS('Data - Monthly Metrics'!A:A,$B$4,'Data - Monthly Metrics'!B:B,"Aug",'Data - Monthly Metrics'!C:C,"TKP",'Data - Monthly Metrics'!D:D,"Member Locations - Target (#)")=0,"-",SUMIFS('Data - Monthly Metrics'!E:E,'Data - Monthly Metrics'!A:A,$B$4,'Data - Monthly Metrics'!B:B,"Aug",'Data - Monthly Metrics'!C:C,"TKP",'Data - Monthly Metrics'!D:D,"Member Locations - Target (#)"))</f>
        <v/>
      </c>
      <c r="P47" s="93">
        <f>IF(COUNTIFS('Data - Monthly Metrics'!A:A,$B$4,'Data - Monthly Metrics'!B:B,"Sep",'Data - Monthly Metrics'!C:C,"TKP",'Data - Monthly Metrics'!D:D,"Member Locations - Target (#)")=0,"-",SUMIFS('Data - Monthly Metrics'!E:E,'Data - Monthly Metrics'!A:A,$B$4,'Data - Monthly Metrics'!B:B,"Sep",'Data - Monthly Metrics'!C:C,"TKP",'Data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Metrics'!C:C,"TKP",'Data - Monthly Metrics'!D:D,"Members Up for Renewal - Target (#)")=0,"-",SUMIFS('Data - Monthly Metrics'!E:E,'Data - Monthly Metrics'!A:A,$B$4-1,'Data - Monthly Metrics'!B:B,"Oct",'Data - Monthly Metrics'!C:C,"TKP",'Data - Monthly Metrics'!D:D,"Members Up for Renewal - Target (#)"))</f>
        <v/>
      </c>
      <c r="C51" s="93">
        <f>IF(COUNTIFS('Data - Monthly Metrics'!A:A,$B$4-1,'Data - Monthly Metrics'!B:B,"Nov",'Data - Monthly Metrics'!C:C,"TKP",'Data - Monthly Metrics'!D:D,"Members Up for Renewal - Target (#)")=0,"-",SUMIFS('Data - Monthly Metrics'!E:E,'Data - Monthly Metrics'!A:A,$B$4-1,'Data - Monthly Metrics'!B:B,"Nov",'Data - Monthly Metrics'!C:C,"TKP",'Data - Monthly Metrics'!D:D,"Members Up for Renewal - Target (#)"))</f>
        <v/>
      </c>
      <c r="D51" s="93">
        <f>IF(COUNTIFS('Data - Monthly Metrics'!A:A,$B$4-1,'Data - Monthly Metrics'!B:B,"Dec",'Data - Monthly Metrics'!C:C,"TKP",'Data - Monthly Metrics'!D:D,"Members Up for Renewal - Target (#)")=0,"-",SUMIFS('Data - Monthly Metrics'!E:E,'Data - Monthly Metrics'!A:A,$B$4-1,'Data - Monthly Metrics'!B:B,"Dec",'Data - Monthly Metrics'!C:C,"TKP",'Data - Monthly Metrics'!D:D,"Members Up for Renewal - Target (#)"))</f>
        <v/>
      </c>
      <c r="E51" s="103">
        <f>SUM(B51,C51,D51)</f>
        <v/>
      </c>
      <c r="F51" s="93">
        <f>IF(COUNTIFS('Data - Monthly Metrics'!A:A,$B$4,'Data - Monthly Metrics'!B:B,"Jan",'Data - Monthly Metrics'!C:C,"TKP",'Data - Monthly Metrics'!D:D,"Members Up for Renewal - Target (#)")=0,"-",SUMIFS('Data - Monthly Metrics'!E:E,'Data - Monthly Metrics'!A:A,$B$4,'Data - Monthly Metrics'!B:B,"Jan",'Data - Monthly Metrics'!C:C,"TKP",'Data - Monthly Metrics'!D:D,"Members Up for Renewal - Target (#)"))</f>
        <v/>
      </c>
      <c r="G51" s="93">
        <f>IF(COUNTIFS('Data - Monthly Metrics'!A:A,$B$4,'Data - Monthly Metrics'!B:B,"Feb",'Data - Monthly Metrics'!C:C,"TKP",'Data - Monthly Metrics'!D:D,"Members Up for Renewal - Target (#)")=0,"-",SUMIFS('Data - Monthly Metrics'!E:E,'Data - Monthly Metrics'!A:A,$B$4,'Data - Monthly Metrics'!B:B,"Feb",'Data - Monthly Metrics'!C:C,"TKP",'Data - Monthly Metrics'!D:D,"Members Up for Renewal - Target (#)"))</f>
        <v/>
      </c>
      <c r="H51" s="93">
        <f>IF(COUNTIFS('Data - Monthly Metrics'!A:A,$B$4,'Data - Monthly Metrics'!B:B,"Mar",'Data - Monthly Metrics'!C:C,"TKP",'Data - Monthly Metrics'!D:D,"Members Up for Renewal - Target (#)")=0,"-",SUMIFS('Data - Monthly Metrics'!E:E,'Data - Monthly Metrics'!A:A,$B$4,'Data - Monthly Metrics'!B:B,"Mar",'Data - Monthly Metrics'!C:C,"TKP",'Data - Monthly Metrics'!D:D,"Members Up for Renewal - Target (#)"))</f>
        <v/>
      </c>
      <c r="I51" s="103">
        <f>SUM(F51,G51,H51)</f>
        <v/>
      </c>
      <c r="J51" s="93">
        <f>IF(COUNTIFS('Data - Monthly Metrics'!A:A,$B$4,'Data - Monthly Metrics'!B:B,"Apr",'Data - Monthly Metrics'!C:C,"TKP",'Data - Monthly Metrics'!D:D,"Members Up for Renewal - Target (#)")=0,"-",SUMIFS('Data - Monthly Metrics'!E:E,'Data - Monthly Metrics'!A:A,$B$4,'Data - Monthly Metrics'!B:B,"Apr",'Data - Monthly Metrics'!C:C,"TKP",'Data - Monthly Metrics'!D:D,"Members Up for Renewal - Target (#)"))</f>
        <v/>
      </c>
      <c r="K51" s="93">
        <f>IF(COUNTIFS('Data - Monthly Metrics'!A:A,$B$4,'Data - Monthly Metrics'!B:B,"May",'Data - Monthly Metrics'!C:C,"TKP",'Data - Monthly Metrics'!D:D,"Members Up for Renewal - Target (#)")=0,"-",SUMIFS('Data - Monthly Metrics'!E:E,'Data - Monthly Metrics'!A:A,$B$4,'Data - Monthly Metrics'!B:B,"May",'Data - Monthly Metrics'!C:C,"TKP",'Data - Monthly Metrics'!D:D,"Members Up for Renewal - Target (#)"))</f>
        <v/>
      </c>
      <c r="L51" s="93">
        <f>IF(COUNTIFS('Data - Monthly Metrics'!A:A,$B$4,'Data - Monthly Metrics'!B:B,"Jun",'Data - Monthly Metrics'!C:C,"TKP",'Data - Monthly Metrics'!D:D,"Members Up for Renewal - Target (#)")=0,"-",SUMIFS('Data - Monthly Metrics'!E:E,'Data - Monthly Metrics'!A:A,$B$4,'Data - Monthly Metrics'!B:B,"Jun",'Data - Monthly Metrics'!C:C,"TKP",'Data - Monthly Metrics'!D:D,"Members Up for Renewal - Target (#)"))</f>
        <v/>
      </c>
      <c r="M51" s="103">
        <f>SUM(J51,K51,L51)</f>
        <v/>
      </c>
      <c r="N51" s="93">
        <f>IF(COUNTIFS('Data - Monthly Metrics'!A:A,$B$4,'Data - Monthly Metrics'!B:B,"Jul",'Data - Monthly Metrics'!C:C,"TKP",'Data - Monthly Metrics'!D:D,"Members Up for Renewal - Target (#)")=0,"-",SUMIFS('Data - Monthly Metrics'!E:E,'Data - Monthly Metrics'!A:A,$B$4,'Data - Monthly Metrics'!B:B,"Jul",'Data - Monthly Metrics'!C:C,"TKP",'Data - Monthly Metrics'!D:D,"Members Up for Renewal - Target (#)"))</f>
        <v/>
      </c>
      <c r="O51" s="93">
        <f>IF(COUNTIFS('Data - Monthly Metrics'!A:A,$B$4,'Data - Monthly Metrics'!B:B,"Aug",'Data - Monthly Metrics'!C:C,"TKP",'Data - Monthly Metrics'!D:D,"Members Up for Renewal - Target (#)")=0,"-",SUMIFS('Data - Monthly Metrics'!E:E,'Data - Monthly Metrics'!A:A,$B$4,'Data - Monthly Metrics'!B:B,"Aug",'Data - Monthly Metrics'!C:C,"TKP",'Data - Monthly Metrics'!D:D,"Members Up for Renewal - Target (#)"))</f>
        <v/>
      </c>
      <c r="P51" s="93">
        <f>IF(COUNTIFS('Data - Monthly Metrics'!A:A,$B$4,'Data - Monthly Metrics'!B:B,"Sep",'Data - Monthly Metrics'!C:C,"TKP",'Data - Monthly Metrics'!D:D,"Members Up for Renewal - Target (#)")=0,"-",SUMIFS('Data - Monthly Metrics'!E:E,'Data - Monthly Metrics'!A:A,$B$4,'Data - Monthly Metrics'!B:B,"Sep",'Data - Monthly Metrics'!C:C,"TKP",'Data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Metrics'!C:C,"TKP",'Data - Monthly Metrics'!D:D,"Members Retained - Target (#)")=0,"-",SUMIFS('Data - Monthly Metrics'!E:E,'Data - Monthly Metrics'!A:A,$B$4-1,'Data - Monthly Metrics'!B:B,"Oct",'Data - Monthly Metrics'!C:C,"TKP",'Data - Monthly Metrics'!D:D,"Members Retained - Target (#)"))</f>
        <v/>
      </c>
      <c r="C52" s="98">
        <f>IF(COUNTIFS('Data - Monthly Metrics'!A:A,$B$4-1,'Data - Monthly Metrics'!B:B,"Nov",'Data - Monthly Metrics'!C:C,"TKP",'Data - Monthly Metrics'!D:D,"Members Retained - Target (#)")=0,"-",SUMIFS('Data - Monthly Metrics'!E:E,'Data - Monthly Metrics'!A:A,$B$4-1,'Data - Monthly Metrics'!B:B,"Nov",'Data - Monthly Metrics'!C:C,"TKP",'Data - Monthly Metrics'!D:D,"Members Retained - Target (#)"))</f>
        <v/>
      </c>
      <c r="D52" s="98">
        <f>IF(COUNTIFS('Data - Monthly Metrics'!A:A,$B$4-1,'Data - Monthly Metrics'!B:B,"Dec",'Data - Monthly Metrics'!C:C,"TKP",'Data - Monthly Metrics'!D:D,"Members Retained - Target (#)")=0,"-",SUMIFS('Data - Monthly Metrics'!E:E,'Data - Monthly Metrics'!A:A,$B$4-1,'Data - Monthly Metrics'!B:B,"Dec",'Data - Monthly Metrics'!C:C,"TKP",'Data - Monthly Metrics'!D:D,"Members Retained - Target (#)"))</f>
        <v/>
      </c>
      <c r="E52" s="103">
        <f>SUM(B52,C52,D52)</f>
        <v/>
      </c>
      <c r="F52" s="98">
        <f>IF(COUNTIFS('Data - Monthly Metrics'!A:A,$B$4,'Data - Monthly Metrics'!B:B,"Jan",'Data - Monthly Metrics'!C:C,"TKP",'Data - Monthly Metrics'!D:D,"Members Retained - Target (#)")=0,"-",SUMIFS('Data - Monthly Metrics'!E:E,'Data - Monthly Metrics'!A:A,$B$4,'Data - Monthly Metrics'!B:B,"Jan",'Data - Monthly Metrics'!C:C,"TKP",'Data - Monthly Metrics'!D:D,"Members Retained - Target (#)"))</f>
        <v/>
      </c>
      <c r="G52" s="98">
        <f>IF(COUNTIFS('Data - Monthly Metrics'!A:A,$B$4,'Data - Monthly Metrics'!B:B,"Feb",'Data - Monthly Metrics'!C:C,"TKP",'Data - Monthly Metrics'!D:D,"Members Retained - Target (#)")=0,"-",SUMIFS('Data - Monthly Metrics'!E:E,'Data - Monthly Metrics'!A:A,$B$4,'Data - Monthly Metrics'!B:B,"Feb",'Data - Monthly Metrics'!C:C,"TKP",'Data - Monthly Metrics'!D:D,"Members Retained - Target (#)"))</f>
        <v/>
      </c>
      <c r="H52" s="98">
        <f>IF(COUNTIFS('Data - Monthly Metrics'!A:A,$B$4,'Data - Monthly Metrics'!B:B,"Mar",'Data - Monthly Metrics'!C:C,"TKP",'Data - Monthly Metrics'!D:D,"Members Retained - Target (#)")=0,"-",SUMIFS('Data - Monthly Metrics'!E:E,'Data - Monthly Metrics'!A:A,$B$4,'Data - Monthly Metrics'!B:B,"Mar",'Data - Monthly Metrics'!C:C,"TKP",'Data - Monthly Metrics'!D:D,"Members Retained - Target (#)"))</f>
        <v/>
      </c>
      <c r="I52" s="103">
        <f>SUM(F52,G52,H52)</f>
        <v/>
      </c>
      <c r="J52" s="98">
        <f>IF(COUNTIFS('Data - Monthly Metrics'!A:A,$B$4,'Data - Monthly Metrics'!B:B,"Apr",'Data - Monthly Metrics'!C:C,"TKP",'Data - Monthly Metrics'!D:D,"Members Retained - Target (#)")=0,"-",SUMIFS('Data - Monthly Metrics'!E:E,'Data - Monthly Metrics'!A:A,$B$4,'Data - Monthly Metrics'!B:B,"Apr",'Data - Monthly Metrics'!C:C,"TKP",'Data - Monthly Metrics'!D:D,"Members Retained - Target (#)"))</f>
        <v/>
      </c>
      <c r="K52" s="98">
        <f>IF(COUNTIFS('Data - Monthly Metrics'!A:A,$B$4,'Data - Monthly Metrics'!B:B,"May",'Data - Monthly Metrics'!C:C,"TKP",'Data - Monthly Metrics'!D:D,"Members Retained - Target (#)")=0,"-",SUMIFS('Data - Monthly Metrics'!E:E,'Data - Monthly Metrics'!A:A,$B$4,'Data - Monthly Metrics'!B:B,"May",'Data - Monthly Metrics'!C:C,"TKP",'Data - Monthly Metrics'!D:D,"Members Retained - Target (#)"))</f>
        <v/>
      </c>
      <c r="L52" s="98">
        <f>IF(COUNTIFS('Data - Monthly Metrics'!A:A,$B$4,'Data - Monthly Metrics'!B:B,"Jun",'Data - Monthly Metrics'!C:C,"TKP",'Data - Monthly Metrics'!D:D,"Members Retained - Target (#)")=0,"-",SUMIFS('Data - Monthly Metrics'!E:E,'Data - Monthly Metrics'!A:A,$B$4,'Data - Monthly Metrics'!B:B,"Jun",'Data - Monthly Metrics'!C:C,"TKP",'Data - Monthly Metrics'!D:D,"Members Retained - Target (#)"))</f>
        <v/>
      </c>
      <c r="M52" s="103">
        <f>SUM(J52,K52,L52)</f>
        <v/>
      </c>
      <c r="N52" s="98">
        <f>IF(COUNTIFS('Data - Monthly Metrics'!A:A,$B$4,'Data - Monthly Metrics'!B:B,"Jul",'Data - Monthly Metrics'!C:C,"TKP",'Data - Monthly Metrics'!D:D,"Members Retained - Target (#)")=0,"-",SUMIFS('Data - Monthly Metrics'!E:E,'Data - Monthly Metrics'!A:A,$B$4,'Data - Monthly Metrics'!B:B,"Jul",'Data - Monthly Metrics'!C:C,"TKP",'Data - Monthly Metrics'!D:D,"Members Retained - Target (#)"))</f>
        <v/>
      </c>
      <c r="O52" s="98">
        <f>IF(COUNTIFS('Data - Monthly Metrics'!A:A,$B$4,'Data - Monthly Metrics'!B:B,"Aug",'Data - Monthly Metrics'!C:C,"TKP",'Data - Monthly Metrics'!D:D,"Members Retained - Target (#)")=0,"-",SUMIFS('Data - Monthly Metrics'!E:E,'Data - Monthly Metrics'!A:A,$B$4,'Data - Monthly Metrics'!B:B,"Aug",'Data - Monthly Metrics'!C:C,"TKP",'Data - Monthly Metrics'!D:D,"Members Retained - Target (#)"))</f>
        <v/>
      </c>
      <c r="P52" s="98">
        <f>IF(COUNTIFS('Data - Monthly Metrics'!A:A,$B$4,'Data - Monthly Metrics'!B:B,"Sep",'Data - Monthly Metrics'!C:C,"TKP",'Data - Monthly Metrics'!D:D,"Members Retained - Target (#)")=0,"-",SUMIFS('Data - Monthly Metrics'!E:E,'Data - Monthly Metrics'!A:A,$B$4,'Data - Monthly Metrics'!B:B,"Sep",'Data - Monthly Metrics'!C:C,"TKP",'Data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Metrics'!$C:$C,"TKP",'Data - Monthly Metrics'!$D:$D,"Goal - Retention %")=0),"—",IF(B53&gt;=SUMIFS('Data - Monthly Metrics'!$E:$E,'Data - Monthly Metrics'!$A:$A,$B$4-1,'Data - Monthly Metrics'!$B:$B,B$8,'Data - Monthly Metrics'!$C:$C,"TKP",'Data - Monthly Metrics'!$D:$D,"Goal - Retention %"),"On Track",IF(B53&gt;=SUMIFS('Data - Monthly Metrics'!$E:$E,'Data - Monthly Metrics'!$A:$A,$B$4-1,'Data - Monthly Metrics'!$B:$B,B$8,'Data - Monthly Metrics'!$C:$C,"TKP",'Data - Monthly Metrics'!$D:$D,"Goal - Retention %")-0.05,"Watch","At Risk")))</f>
        <v/>
      </c>
      <c r="C54" s="120">
        <f>IF(OR(NOT(ISNUMBER(C53)),C53=0,COUNTIFS('Data - Monthly Metrics'!$A:$A,$B$4-1,'Data - Monthly Metrics'!$B:$B,C$8,'Data - Monthly Metrics'!$C:$C,"TKP",'Data - Monthly Metrics'!$D:$D,"Goal - Retention %")=0),"—",IF(C53&gt;=SUMIFS('Data - Monthly Metrics'!$E:$E,'Data - Monthly Metrics'!$A:$A,$B$4-1,'Data - Monthly Metrics'!$B:$B,C$8,'Data - Monthly Metrics'!$C:$C,"TKP",'Data - Monthly Metrics'!$D:$D,"Goal - Retention %"),"On Track",IF(C53&gt;=SUMIFS('Data - Monthly Metrics'!$E:$E,'Data - Monthly Metrics'!$A:$A,$B$4-1,'Data - Monthly Metrics'!$B:$B,C$8,'Data - Monthly Metrics'!$C:$C,"TKP",'Data - Monthly Metrics'!$D:$D,"Goal - Retention %")-0.05,"Watch","At Risk")))</f>
        <v/>
      </c>
      <c r="D54" s="120">
        <f>IF(OR(NOT(ISNUMBER(D53)),D53=0,COUNTIFS('Data - Monthly Metrics'!$A:$A,$B$4-1,'Data - Monthly Metrics'!$B:$B,D$8,'Data - Monthly Metrics'!$C:$C,"TKP",'Data - Monthly Metrics'!$D:$D,"Goal - Retention %")=0),"—",IF(D53&gt;=SUMIFS('Data - Monthly Metrics'!$E:$E,'Data - Monthly Metrics'!$A:$A,$B$4-1,'Data - Monthly Metrics'!$B:$B,D$8,'Data - Monthly Metrics'!$C:$C,"TKP",'Data - Monthly Metrics'!$D:$D,"Goal - Retention %"),"On Track",IF(D53&gt;=SUMIFS('Data - Monthly Metrics'!$E:$E,'Data - Monthly Metrics'!$A:$A,$B$4-1,'Data - Monthly Metrics'!$B:$B,D$8,'Data - Monthly Metrics'!$C:$C,"TKP",'Data - Monthly Metrics'!$D:$D,"Goal - Retention %")-0.05,"Watch","At Risk")))</f>
        <v/>
      </c>
      <c r="E54" s="121">
        <f>"—"</f>
        <v/>
      </c>
      <c r="F54" s="120">
        <f>IF(OR(NOT(ISNUMBER(F53)),F53=0,COUNTIFS('Data - Monthly Metrics'!$A:$A,$B$4,'Data - Monthly Metrics'!$B:$B,F$8,'Data - Monthly Metrics'!$C:$C,"TKP",'Data - Monthly Metrics'!$D:$D,"Goal - Retention %")=0),"—",IF(F53&gt;=SUMIFS('Data - Monthly Metrics'!$E:$E,'Data - Monthly Metrics'!$A:$A,$B$4,'Data - Monthly Metrics'!$B:$B,F$8,'Data - Monthly Metrics'!$C:$C,"TKP",'Data - Monthly Metrics'!$D:$D,"Goal - Retention %"),"On Track",IF(F53&gt;=SUMIFS('Data - Monthly Metrics'!$E:$E,'Data - Monthly Metrics'!$A:$A,$B$4,'Data - Monthly Metrics'!$B:$B,F$8,'Data - Monthly Metrics'!$C:$C,"TKP",'Data - Monthly Metrics'!$D:$D,"Goal - Retention %")-0.05,"Watch","At Risk")))</f>
        <v/>
      </c>
      <c r="G54" s="120">
        <f>IF(OR(NOT(ISNUMBER(G53)),G53=0,COUNTIFS('Data - Monthly Metrics'!$A:$A,$B$4,'Data - Monthly Metrics'!$B:$B,G$8,'Data - Monthly Metrics'!$C:$C,"TKP",'Data - Monthly Metrics'!$D:$D,"Goal - Retention %")=0),"—",IF(G53&gt;=SUMIFS('Data - Monthly Metrics'!$E:$E,'Data - Monthly Metrics'!$A:$A,$B$4,'Data - Monthly Metrics'!$B:$B,G$8,'Data - Monthly Metrics'!$C:$C,"TKP",'Data - Monthly Metrics'!$D:$D,"Goal - Retention %"),"On Track",IF(G53&gt;=SUMIFS('Data - Monthly Metrics'!$E:$E,'Data - Monthly Metrics'!$A:$A,$B$4,'Data - Monthly Metrics'!$B:$B,G$8,'Data - Monthly Metrics'!$C:$C,"TKP",'Data - Monthly Metrics'!$D:$D,"Goal - Retention %")-0.05,"Watch","At Risk")))</f>
        <v/>
      </c>
      <c r="H54" s="120">
        <f>IF(OR(NOT(ISNUMBER(H53)),H53=0,COUNTIFS('Data - Monthly Metrics'!$A:$A,$B$4,'Data - Monthly Metrics'!$B:$B,H$8,'Data - Monthly Metrics'!$C:$C,"TKP",'Data - Monthly Metrics'!$D:$D,"Goal - Retention %")=0),"—",IF(H53&gt;=SUMIFS('Data - Monthly Metrics'!$E:$E,'Data - Monthly Metrics'!$A:$A,$B$4,'Data - Monthly Metrics'!$B:$B,H$8,'Data - Monthly Metrics'!$C:$C,"TKP",'Data - Monthly Metrics'!$D:$D,"Goal - Retention %"),"On Track",IF(H53&gt;=SUMIFS('Data - Monthly Metrics'!$E:$E,'Data - Monthly Metrics'!$A:$A,$B$4,'Data - Monthly Metrics'!$B:$B,H$8,'Data - Monthly Metrics'!$C:$C,"TKP",'Data - Monthly Metrics'!$D:$D,"Goal - Retention %")-0.05,"Watch","At Risk")))</f>
        <v/>
      </c>
      <c r="I54" s="121">
        <f>"—"</f>
        <v/>
      </c>
      <c r="J54" s="120">
        <f>IF(OR(NOT(ISNUMBER(J53)),J53=0,COUNTIFS('Data - Monthly Metrics'!$A:$A,$B$4,'Data - Monthly Metrics'!$B:$B,J$8,'Data - Monthly Metrics'!$C:$C,"TKP",'Data - Monthly Metrics'!$D:$D,"Goal - Retention %")=0),"—",IF(J53&gt;=SUMIFS('Data - Monthly Metrics'!$E:$E,'Data - Monthly Metrics'!$A:$A,$B$4,'Data - Monthly Metrics'!$B:$B,J$8,'Data - Monthly Metrics'!$C:$C,"TKP",'Data - Monthly Metrics'!$D:$D,"Goal - Retention %"),"On Track",IF(J53&gt;=SUMIFS('Data - Monthly Metrics'!$E:$E,'Data - Monthly Metrics'!$A:$A,$B$4,'Data - Monthly Metrics'!$B:$B,J$8,'Data - Monthly Metrics'!$C:$C,"TKP",'Data - Monthly Metrics'!$D:$D,"Goal - Retention %")-0.05,"Watch","At Risk")))</f>
        <v/>
      </c>
      <c r="K54" s="120">
        <f>IF(OR(NOT(ISNUMBER(K53)),K53=0,COUNTIFS('Data - Monthly Metrics'!$A:$A,$B$4,'Data - Monthly Metrics'!$B:$B,K$8,'Data - Monthly Metrics'!$C:$C,"TKP",'Data - Monthly Metrics'!$D:$D,"Goal - Retention %")=0),"—",IF(K53&gt;=SUMIFS('Data - Monthly Metrics'!$E:$E,'Data - Monthly Metrics'!$A:$A,$B$4,'Data - Monthly Metrics'!$B:$B,K$8,'Data - Monthly Metrics'!$C:$C,"TKP",'Data - Monthly Metrics'!$D:$D,"Goal - Retention %"),"On Track",IF(K53&gt;=SUMIFS('Data - Monthly Metrics'!$E:$E,'Data - Monthly Metrics'!$A:$A,$B$4,'Data - Monthly Metrics'!$B:$B,K$8,'Data - Monthly Metrics'!$C:$C,"TKP",'Data - Monthly Metrics'!$D:$D,"Goal - Retention %")-0.05,"Watch","At Risk")))</f>
        <v/>
      </c>
      <c r="L54" s="120">
        <f>IF(OR(NOT(ISNUMBER(L53)),L53=0,COUNTIFS('Data - Monthly Metrics'!$A:$A,$B$4,'Data - Monthly Metrics'!$B:$B,L$8,'Data - Monthly Metrics'!$C:$C,"TKP",'Data - Monthly Metrics'!$D:$D,"Goal - Retention %")=0),"—",IF(L53&gt;=SUMIFS('Data - Monthly Metrics'!$E:$E,'Data - Monthly Metrics'!$A:$A,$B$4,'Data - Monthly Metrics'!$B:$B,L$8,'Data - Monthly Metrics'!$C:$C,"TKP",'Data - Monthly Metrics'!$D:$D,"Goal - Retention %"),"On Track",IF(L53&gt;=SUMIFS('Data - Monthly Metrics'!$E:$E,'Data - Monthly Metrics'!$A:$A,$B$4,'Data - Monthly Metrics'!$B:$B,L$8,'Data - Monthly Metrics'!$C:$C,"TKP",'Data - Monthly Metrics'!$D:$D,"Goal - Retention %")-0.05,"Watch","At Risk")))</f>
        <v/>
      </c>
      <c r="M54" s="121">
        <f>"—"</f>
        <v/>
      </c>
      <c r="N54" s="120">
        <f>IF(OR(NOT(ISNUMBER(N53)),N53=0,COUNTIFS('Data - Monthly Metrics'!$A:$A,$B$4,'Data - Monthly Metrics'!$B:$B,N$8,'Data - Monthly Metrics'!$C:$C,"TKP",'Data - Monthly Metrics'!$D:$D,"Goal - Retention %")=0),"—",IF(N53&gt;=SUMIFS('Data - Monthly Metrics'!$E:$E,'Data - Monthly Metrics'!$A:$A,$B$4,'Data - Monthly Metrics'!$B:$B,N$8,'Data - Monthly Metrics'!$C:$C,"TKP",'Data - Monthly Metrics'!$D:$D,"Goal - Retention %"),"On Track",IF(N53&gt;=SUMIFS('Data - Monthly Metrics'!$E:$E,'Data - Monthly Metrics'!$A:$A,$B$4,'Data - Monthly Metrics'!$B:$B,N$8,'Data - Monthly Metrics'!$C:$C,"TKP",'Data - Monthly Metrics'!$D:$D,"Goal - Retention %")-0.05,"Watch","At Risk")))</f>
        <v/>
      </c>
      <c r="O54" s="120">
        <f>IF(OR(NOT(ISNUMBER(O53)),O53=0,COUNTIFS('Data - Monthly Metrics'!$A:$A,$B$4,'Data - Monthly Metrics'!$B:$B,O$8,'Data - Monthly Metrics'!$C:$C,"TKP",'Data - Monthly Metrics'!$D:$D,"Goal - Retention %")=0),"—",IF(O53&gt;=SUMIFS('Data - Monthly Metrics'!$E:$E,'Data - Monthly Metrics'!$A:$A,$B$4,'Data - Monthly Metrics'!$B:$B,O$8,'Data - Monthly Metrics'!$C:$C,"TKP",'Data - Monthly Metrics'!$D:$D,"Goal - Retention %"),"On Track",IF(O53&gt;=SUMIFS('Data - Monthly Metrics'!$E:$E,'Data - Monthly Metrics'!$A:$A,$B$4,'Data - Monthly Metrics'!$B:$B,O$8,'Data - Monthly Metrics'!$C:$C,"TKP",'Data - Monthly Metrics'!$D:$D,"Goal - Retention %")-0.05,"Watch","At Risk")))</f>
        <v/>
      </c>
      <c r="P54" s="120">
        <f>IF(OR(NOT(ISNUMBER(P53)),P53=0,COUNTIFS('Data - Monthly Metrics'!$A:$A,$B$4,'Data - Monthly Metrics'!$B:$B,P$8,'Data - Monthly Metrics'!$C:$C,"TKP",'Data - Monthly Metrics'!$D:$D,"Goal - Retention %")=0),"—",IF(P53&gt;=SUMIFS('Data - Monthly Metrics'!$E:$E,'Data - Monthly Metrics'!$A:$A,$B$4,'Data - Monthly Metrics'!$B:$B,P$8,'Data - Monthly Metrics'!$C:$C,"TKP",'Data - Monthly Metrics'!$D:$D,"Goal - Retention %"),"On Track",IF(P53&gt;=SUMIFS('Data - Monthly Metrics'!$E:$E,'Data - Monthly Metrics'!$A:$A,$B$4,'Data - Monthly Metrics'!$B:$B,P$8,'Data - Monthly Metrics'!$C:$C,"TKP",'Data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Metrics'!C:C,"TKP",'Data - Monthly Metrics'!D:D,"Revenue Up for Renewal - Target ($)")=0,"-",SUMIFS('Data - Monthly Metrics'!E:E,'Data - Monthly Metrics'!A:A,$B$4-1,'Data - Monthly Metrics'!B:B,"Oct",'Data - Monthly Metrics'!C:C,"TKP",'Data - Monthly Metrics'!D:D,"Revenue Up for Renewal - Target ($)"))</f>
        <v/>
      </c>
      <c r="C55" s="91">
        <f>IF(COUNTIFS('Data - Monthly Metrics'!A:A,$B$4-1,'Data - Monthly Metrics'!B:B,"Nov",'Data - Monthly Metrics'!C:C,"TKP",'Data - Monthly Metrics'!D:D,"Revenue Up for Renewal - Target ($)")=0,"-",SUMIFS('Data - Monthly Metrics'!E:E,'Data - Monthly Metrics'!A:A,$B$4-1,'Data - Monthly Metrics'!B:B,"Nov",'Data - Monthly Metrics'!C:C,"TKP",'Data - Monthly Metrics'!D:D,"Revenue Up for Renewal - Target ($)"))</f>
        <v/>
      </c>
      <c r="D55" s="91">
        <f>IF(COUNTIFS('Data - Monthly Metrics'!A:A,$B$4-1,'Data - Monthly Metrics'!B:B,"Dec",'Data - Monthly Metrics'!C:C,"TKP",'Data - Monthly Metrics'!D:D,"Revenue Up for Renewal - Target ($)")=0,"-",SUMIFS('Data - Monthly Metrics'!E:E,'Data - Monthly Metrics'!A:A,$B$4-1,'Data - Monthly Metrics'!B:B,"Dec",'Data - Monthly Metrics'!C:C,"TKP",'Data - Monthly Metrics'!D:D,"Revenue Up for Renewal - Target ($)"))</f>
        <v/>
      </c>
      <c r="E55" s="101">
        <f>SUM(B55,C55,D55)</f>
        <v/>
      </c>
      <c r="F55" s="91">
        <f>IF(COUNTIFS('Data - Monthly Metrics'!A:A,$B$4,'Data - Monthly Metrics'!B:B,"Jan",'Data - Monthly Metrics'!C:C,"TKP",'Data - Monthly Metrics'!D:D,"Revenue Up for Renewal - Target ($)")=0,"-",SUMIFS('Data - Monthly Metrics'!E:E,'Data - Monthly Metrics'!A:A,$B$4,'Data - Monthly Metrics'!B:B,"Jan",'Data - Monthly Metrics'!C:C,"TKP",'Data - Monthly Metrics'!D:D,"Revenue Up for Renewal - Target ($)"))</f>
        <v/>
      </c>
      <c r="G55" s="91">
        <f>IF(COUNTIFS('Data - Monthly Metrics'!A:A,$B$4,'Data - Monthly Metrics'!B:B,"Feb",'Data - Monthly Metrics'!C:C,"TKP",'Data - Monthly Metrics'!D:D,"Revenue Up for Renewal - Target ($)")=0,"-",SUMIFS('Data - Monthly Metrics'!E:E,'Data - Monthly Metrics'!A:A,$B$4,'Data - Monthly Metrics'!B:B,"Feb",'Data - Monthly Metrics'!C:C,"TKP",'Data - Monthly Metrics'!D:D,"Revenue Up for Renewal - Target ($)"))</f>
        <v/>
      </c>
      <c r="H55" s="91">
        <f>IF(COUNTIFS('Data - Monthly Metrics'!A:A,$B$4,'Data - Monthly Metrics'!B:B,"Mar",'Data - Monthly Metrics'!C:C,"TKP",'Data - Monthly Metrics'!D:D,"Revenue Up for Renewal - Target ($)")=0,"-",SUMIFS('Data - Monthly Metrics'!E:E,'Data - Monthly Metrics'!A:A,$B$4,'Data - Monthly Metrics'!B:B,"Mar",'Data - Monthly Metrics'!C:C,"TKP",'Data - Monthly Metrics'!D:D,"Revenue Up for Renewal - Target ($)"))</f>
        <v/>
      </c>
      <c r="I55" s="101">
        <f>SUM(F55,G55,H55)</f>
        <v/>
      </c>
      <c r="J55" s="91">
        <f>IF(COUNTIFS('Data - Monthly Metrics'!A:A,$B$4,'Data - Monthly Metrics'!B:B,"Apr",'Data - Monthly Metrics'!C:C,"TKP",'Data - Monthly Metrics'!D:D,"Revenue Up for Renewal - Target ($)")=0,"-",SUMIFS('Data - Monthly Metrics'!E:E,'Data - Monthly Metrics'!A:A,$B$4,'Data - Monthly Metrics'!B:B,"Apr",'Data - Monthly Metrics'!C:C,"TKP",'Data - Monthly Metrics'!D:D,"Revenue Up for Renewal - Target ($)"))</f>
        <v/>
      </c>
      <c r="K55" s="91">
        <f>IF(COUNTIFS('Data - Monthly Metrics'!A:A,$B$4,'Data - Monthly Metrics'!B:B,"May",'Data - Monthly Metrics'!C:C,"TKP",'Data - Monthly Metrics'!D:D,"Revenue Up for Renewal - Target ($)")=0,"-",SUMIFS('Data - Monthly Metrics'!E:E,'Data - Monthly Metrics'!A:A,$B$4,'Data - Monthly Metrics'!B:B,"May",'Data - Monthly Metrics'!C:C,"TKP",'Data - Monthly Metrics'!D:D,"Revenue Up for Renewal - Target ($)"))</f>
        <v/>
      </c>
      <c r="L55" s="91">
        <f>IF(COUNTIFS('Data - Monthly Metrics'!A:A,$B$4,'Data - Monthly Metrics'!B:B,"Jun",'Data - Monthly Metrics'!C:C,"TKP",'Data - Monthly Metrics'!D:D,"Revenue Up for Renewal - Target ($)")=0,"-",SUMIFS('Data - Monthly Metrics'!E:E,'Data - Monthly Metrics'!A:A,$B$4,'Data - Monthly Metrics'!B:B,"Jun",'Data - Monthly Metrics'!C:C,"TKP",'Data - Monthly Metrics'!D:D,"Revenue Up for Renewal - Target ($)"))</f>
        <v/>
      </c>
      <c r="M55" s="101">
        <f>SUM(J55,K55,L55)</f>
        <v/>
      </c>
      <c r="N55" s="91">
        <f>IF(COUNTIFS('Data - Monthly Metrics'!A:A,$B$4,'Data - Monthly Metrics'!B:B,"Jul",'Data - Monthly Metrics'!C:C,"TKP",'Data - Monthly Metrics'!D:D,"Revenue Up for Renewal - Target ($)")=0,"-",SUMIFS('Data - Monthly Metrics'!E:E,'Data - Monthly Metrics'!A:A,$B$4,'Data - Monthly Metrics'!B:B,"Jul",'Data - Monthly Metrics'!C:C,"TKP",'Data - Monthly Metrics'!D:D,"Revenue Up for Renewal - Target ($)"))</f>
        <v/>
      </c>
      <c r="O55" s="91">
        <f>IF(COUNTIFS('Data - Monthly Metrics'!A:A,$B$4,'Data - Monthly Metrics'!B:B,"Aug",'Data - Monthly Metrics'!C:C,"TKP",'Data - Monthly Metrics'!D:D,"Revenue Up for Renewal - Target ($)")=0,"-",SUMIFS('Data - Monthly Metrics'!E:E,'Data - Monthly Metrics'!A:A,$B$4,'Data - Monthly Metrics'!B:B,"Aug",'Data - Monthly Metrics'!C:C,"TKP",'Data - Monthly Metrics'!D:D,"Revenue Up for Renewal - Target ($)"))</f>
        <v/>
      </c>
      <c r="P55" s="91">
        <f>IF(COUNTIFS('Data - Monthly Metrics'!A:A,$B$4,'Data - Monthly Metrics'!B:B,"Sep",'Data - Monthly Metrics'!C:C,"TKP",'Data - Monthly Metrics'!D:D,"Revenue Up for Renewal - Target ($)")=0,"-",SUMIFS('Data - Monthly Metrics'!E:E,'Data - Monthly Metrics'!A:A,$B$4,'Data - Monthly Metrics'!B:B,"Sep",'Data - Monthly Metrics'!C:C,"TKP",'Data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Metrics'!C:C,"TKP",'Data - Monthly Metrics'!D:D,"Revenue Retained - Target ($)")=0,"-",SUMIFS('Data - Monthly Metrics'!E:E,'Data - Monthly Metrics'!A:A,$B$4-1,'Data - Monthly Metrics'!B:B,"Oct",'Data - Monthly Metrics'!C:C,"TKP",'Data - Monthly Metrics'!D:D,"Revenue Retained - Target ($)"))</f>
        <v/>
      </c>
      <c r="C56" s="96">
        <f>IF(COUNTIFS('Data - Monthly Metrics'!A:A,$B$4-1,'Data - Monthly Metrics'!B:B,"Nov",'Data - Monthly Metrics'!C:C,"TKP",'Data - Monthly Metrics'!D:D,"Revenue Retained - Target ($)")=0,"-",SUMIFS('Data - Monthly Metrics'!E:E,'Data - Monthly Metrics'!A:A,$B$4-1,'Data - Monthly Metrics'!B:B,"Nov",'Data - Monthly Metrics'!C:C,"TKP",'Data - Monthly Metrics'!D:D,"Revenue Retained - Target ($)"))</f>
        <v/>
      </c>
      <c r="D56" s="96">
        <f>IF(COUNTIFS('Data - Monthly Metrics'!A:A,$B$4-1,'Data - Monthly Metrics'!B:B,"Dec",'Data - Monthly Metrics'!C:C,"TKP",'Data - Monthly Metrics'!D:D,"Revenue Retained - Target ($)")=0,"-",SUMIFS('Data - Monthly Metrics'!E:E,'Data - Monthly Metrics'!A:A,$B$4-1,'Data - Monthly Metrics'!B:B,"Dec",'Data - Monthly Metrics'!C:C,"TKP",'Data - Monthly Metrics'!D:D,"Revenue Retained - Target ($)"))</f>
        <v/>
      </c>
      <c r="E56" s="101">
        <f>SUM(B56,C56,D56)</f>
        <v/>
      </c>
      <c r="F56" s="96">
        <f>IF(COUNTIFS('Data - Monthly Metrics'!A:A,$B$4,'Data - Monthly Metrics'!B:B,"Jan",'Data - Monthly Metrics'!C:C,"TKP",'Data - Monthly Metrics'!D:D,"Revenue Retained - Target ($)")=0,"-",SUMIFS('Data - Monthly Metrics'!E:E,'Data - Monthly Metrics'!A:A,$B$4,'Data - Monthly Metrics'!B:B,"Jan",'Data - Monthly Metrics'!C:C,"TKP",'Data - Monthly Metrics'!D:D,"Revenue Retained - Target ($)"))</f>
        <v/>
      </c>
      <c r="G56" s="96">
        <f>IF(COUNTIFS('Data - Monthly Metrics'!A:A,$B$4,'Data - Monthly Metrics'!B:B,"Feb",'Data - Monthly Metrics'!C:C,"TKP",'Data - Monthly Metrics'!D:D,"Revenue Retained - Target ($)")=0,"-",SUMIFS('Data - Monthly Metrics'!E:E,'Data - Monthly Metrics'!A:A,$B$4,'Data - Monthly Metrics'!B:B,"Feb",'Data - Monthly Metrics'!C:C,"TKP",'Data - Monthly Metrics'!D:D,"Revenue Retained - Target ($)"))</f>
        <v/>
      </c>
      <c r="H56" s="96">
        <f>IF(COUNTIFS('Data - Monthly Metrics'!A:A,$B$4,'Data - Monthly Metrics'!B:B,"Mar",'Data - Monthly Metrics'!C:C,"TKP",'Data - Monthly Metrics'!D:D,"Revenue Retained - Target ($)")=0,"-",SUMIFS('Data - Monthly Metrics'!E:E,'Data - Monthly Metrics'!A:A,$B$4,'Data - Monthly Metrics'!B:B,"Mar",'Data - Monthly Metrics'!C:C,"TKP",'Data - Monthly Metrics'!D:D,"Revenue Retained - Target ($)"))</f>
        <v/>
      </c>
      <c r="I56" s="101">
        <f>SUM(F56,G56,H56)</f>
        <v/>
      </c>
      <c r="J56" s="96">
        <f>IF(COUNTIFS('Data - Monthly Metrics'!A:A,$B$4,'Data - Monthly Metrics'!B:B,"Apr",'Data - Monthly Metrics'!C:C,"TKP",'Data - Monthly Metrics'!D:D,"Revenue Retained - Target ($)")=0,"-",SUMIFS('Data - Monthly Metrics'!E:E,'Data - Monthly Metrics'!A:A,$B$4,'Data - Monthly Metrics'!B:B,"Apr",'Data - Monthly Metrics'!C:C,"TKP",'Data - Monthly Metrics'!D:D,"Revenue Retained - Target ($)"))</f>
        <v/>
      </c>
      <c r="K56" s="96">
        <f>IF(COUNTIFS('Data - Monthly Metrics'!A:A,$B$4,'Data - Monthly Metrics'!B:B,"May",'Data - Monthly Metrics'!C:C,"TKP",'Data - Monthly Metrics'!D:D,"Revenue Retained - Target ($)")=0,"-",SUMIFS('Data - Monthly Metrics'!E:E,'Data - Monthly Metrics'!A:A,$B$4,'Data - Monthly Metrics'!B:B,"May",'Data - Monthly Metrics'!C:C,"TKP",'Data - Monthly Metrics'!D:D,"Revenue Retained - Target ($)"))</f>
        <v/>
      </c>
      <c r="L56" s="96">
        <f>IF(COUNTIFS('Data - Monthly Metrics'!A:A,$B$4,'Data - Monthly Metrics'!B:B,"Jun",'Data - Monthly Metrics'!C:C,"TKP",'Data - Monthly Metrics'!D:D,"Revenue Retained - Target ($)")=0,"-",SUMIFS('Data - Monthly Metrics'!E:E,'Data - Monthly Metrics'!A:A,$B$4,'Data - Monthly Metrics'!B:B,"Jun",'Data - Monthly Metrics'!C:C,"TKP",'Data - Monthly Metrics'!D:D,"Revenue Retained - Target ($)"))</f>
        <v/>
      </c>
      <c r="M56" s="101">
        <f>SUM(J56,K56,L56)</f>
        <v/>
      </c>
      <c r="N56" s="96">
        <f>IF(COUNTIFS('Data - Monthly Metrics'!A:A,$B$4,'Data - Monthly Metrics'!B:B,"Jul",'Data - Monthly Metrics'!C:C,"TKP",'Data - Monthly Metrics'!D:D,"Revenue Retained - Target ($)")=0,"-",SUMIFS('Data - Monthly Metrics'!E:E,'Data - Monthly Metrics'!A:A,$B$4,'Data - Monthly Metrics'!B:B,"Jul",'Data - Monthly Metrics'!C:C,"TKP",'Data - Monthly Metrics'!D:D,"Revenue Retained - Target ($)"))</f>
        <v/>
      </c>
      <c r="O56" s="96">
        <f>IF(COUNTIFS('Data - Monthly Metrics'!A:A,$B$4,'Data - Monthly Metrics'!B:B,"Aug",'Data - Monthly Metrics'!C:C,"TKP",'Data - Monthly Metrics'!D:D,"Revenue Retained - Target ($)")=0,"-",SUMIFS('Data - Monthly Metrics'!E:E,'Data - Monthly Metrics'!A:A,$B$4,'Data - Monthly Metrics'!B:B,"Aug",'Data - Monthly Metrics'!C:C,"TKP",'Data - Monthly Metrics'!D:D,"Revenue Retained - Target ($)"))</f>
        <v/>
      </c>
      <c r="P56" s="96">
        <f>IF(COUNTIFS('Data - Monthly Metrics'!A:A,$B$4,'Data - Monthly Metrics'!B:B,"Sep",'Data - Monthly Metrics'!C:C,"TKP",'Data - Monthly Metrics'!D:D,"Revenue Retained - Target ($)")=0,"-",SUMIFS('Data - Monthly Metrics'!E:E,'Data - Monthly Metrics'!A:A,$B$4,'Data - Monthly Metrics'!B:B,"Sep",'Data - Monthly Metrics'!C:C,"TKP",'Data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Metrics'!C:C,"TKP",'Data - Monthly Metrics'!D:D,"Retention - Comped Target (#)")=0,"-",SUMIFS('Data - Monthly Metrics'!E:E,'Data - Monthly Metrics'!A:A,$B$4-1,'Data - Monthly Metrics'!B:B,"Oct",'Data - Monthly Metrics'!C:C,"TKP",'Data - Monthly Metrics'!D:D,"Retention - Comped Target (#)"))</f>
        <v/>
      </c>
      <c r="C57" s="98">
        <f>IF(COUNTIFS('Data - Monthly Metrics'!A:A,$B$4-1,'Data - Monthly Metrics'!B:B,"Nov",'Data - Monthly Metrics'!C:C,"TKP",'Data - Monthly Metrics'!D:D,"Retention - Comped Target (#)")=0,"-",SUMIFS('Data - Monthly Metrics'!E:E,'Data - Monthly Metrics'!A:A,$B$4-1,'Data - Monthly Metrics'!B:B,"Nov",'Data - Monthly Metrics'!C:C,"TKP",'Data - Monthly Metrics'!D:D,"Retention - Comped Target (#)"))</f>
        <v/>
      </c>
      <c r="D57" s="98">
        <f>IF(COUNTIFS('Data - Monthly Metrics'!A:A,$B$4-1,'Data - Monthly Metrics'!B:B,"Dec",'Data - Monthly Metrics'!C:C,"TKP",'Data - Monthly Metrics'!D:D,"Retention - Comped Target (#)")=0,"-",SUMIFS('Data - Monthly Metrics'!E:E,'Data - Monthly Metrics'!A:A,$B$4-1,'Data - Monthly Metrics'!B:B,"Dec",'Data - Monthly Metrics'!C:C,"TKP",'Data - Monthly Metrics'!D:D,"Retention - Comped Target (#)"))</f>
        <v/>
      </c>
      <c r="E57" s="103">
        <f>SUM(B57,C57,D57)</f>
        <v/>
      </c>
      <c r="F57" s="98">
        <f>IF(COUNTIFS('Data - Monthly Metrics'!A:A,$B$4,'Data - Monthly Metrics'!B:B,"Jan",'Data - Monthly Metrics'!C:C,"TKP",'Data - Monthly Metrics'!D:D,"Retention - Comped Target (#)")=0,"-",SUMIFS('Data - Monthly Metrics'!E:E,'Data - Monthly Metrics'!A:A,$B$4,'Data - Monthly Metrics'!B:B,"Jan",'Data - Monthly Metrics'!C:C,"TKP",'Data - Monthly Metrics'!D:D,"Retention - Comped Target (#)"))</f>
        <v/>
      </c>
      <c r="G57" s="98">
        <f>IF(COUNTIFS('Data - Monthly Metrics'!A:A,$B$4,'Data - Monthly Metrics'!B:B,"Feb",'Data - Monthly Metrics'!C:C,"TKP",'Data - Monthly Metrics'!D:D,"Retention - Comped Target (#)")=0,"-",SUMIFS('Data - Monthly Metrics'!E:E,'Data - Monthly Metrics'!A:A,$B$4,'Data - Monthly Metrics'!B:B,"Feb",'Data - Monthly Metrics'!C:C,"TKP",'Data - Monthly Metrics'!D:D,"Retention - Comped Target (#)"))</f>
        <v/>
      </c>
      <c r="H57" s="98">
        <f>IF(COUNTIFS('Data - Monthly Metrics'!A:A,$B$4,'Data - Monthly Metrics'!B:B,"Mar",'Data - Monthly Metrics'!C:C,"TKP",'Data - Monthly Metrics'!D:D,"Retention - Comped Target (#)")=0,"-",SUMIFS('Data - Monthly Metrics'!E:E,'Data - Monthly Metrics'!A:A,$B$4,'Data - Monthly Metrics'!B:B,"Mar",'Data - Monthly Metrics'!C:C,"TKP",'Data - Monthly Metrics'!D:D,"Retention - Comped Target (#)"))</f>
        <v/>
      </c>
      <c r="I57" s="103">
        <f>SUM(F57,G57,H57)</f>
        <v/>
      </c>
      <c r="J57" s="98">
        <f>IF(COUNTIFS('Data - Monthly Metrics'!A:A,$B$4,'Data - Monthly Metrics'!B:B,"Apr",'Data - Monthly Metrics'!C:C,"TKP",'Data - Monthly Metrics'!D:D,"Retention - Comped Target (#)")=0,"-",SUMIFS('Data - Monthly Metrics'!E:E,'Data - Monthly Metrics'!A:A,$B$4,'Data - Monthly Metrics'!B:B,"Apr",'Data - Monthly Metrics'!C:C,"TKP",'Data - Monthly Metrics'!D:D,"Retention - Comped Target (#)"))</f>
        <v/>
      </c>
      <c r="K57" s="98">
        <f>IF(COUNTIFS('Data - Monthly Metrics'!A:A,$B$4,'Data - Monthly Metrics'!B:B,"May",'Data - Monthly Metrics'!C:C,"TKP",'Data - Monthly Metrics'!D:D,"Retention - Comped Target (#)")=0,"-",SUMIFS('Data - Monthly Metrics'!E:E,'Data - Monthly Metrics'!A:A,$B$4,'Data - Monthly Metrics'!B:B,"May",'Data - Monthly Metrics'!C:C,"TKP",'Data - Monthly Metrics'!D:D,"Retention - Comped Target (#)"))</f>
        <v/>
      </c>
      <c r="L57" s="98">
        <f>IF(COUNTIFS('Data - Monthly Metrics'!A:A,$B$4,'Data - Monthly Metrics'!B:B,"Jun",'Data - Monthly Metrics'!C:C,"TKP",'Data - Monthly Metrics'!D:D,"Retention - Comped Target (#)")=0,"-",SUMIFS('Data - Monthly Metrics'!E:E,'Data - Monthly Metrics'!A:A,$B$4,'Data - Monthly Metrics'!B:B,"Jun",'Data - Monthly Metrics'!C:C,"TKP",'Data - Monthly Metrics'!D:D,"Retention - Comped Target (#)"))</f>
        <v/>
      </c>
      <c r="M57" s="103">
        <f>SUM(J57,K57,L57)</f>
        <v/>
      </c>
      <c r="N57" s="98">
        <f>IF(COUNTIFS('Data - Monthly Metrics'!A:A,$B$4,'Data - Monthly Metrics'!B:B,"Jul",'Data - Monthly Metrics'!C:C,"TKP",'Data - Monthly Metrics'!D:D,"Retention - Comped Target (#)")=0,"-",SUMIFS('Data - Monthly Metrics'!E:E,'Data - Monthly Metrics'!A:A,$B$4,'Data - Monthly Metrics'!B:B,"Jul",'Data - Monthly Metrics'!C:C,"TKP",'Data - Monthly Metrics'!D:D,"Retention - Comped Target (#)"))</f>
        <v/>
      </c>
      <c r="O57" s="98">
        <f>IF(COUNTIFS('Data - Monthly Metrics'!A:A,$B$4,'Data - Monthly Metrics'!B:B,"Aug",'Data - Monthly Metrics'!C:C,"TKP",'Data - Monthly Metrics'!D:D,"Retention - Comped Target (#)")=0,"-",SUMIFS('Data - Monthly Metrics'!E:E,'Data - Monthly Metrics'!A:A,$B$4,'Data - Monthly Metrics'!B:B,"Aug",'Data - Monthly Metrics'!C:C,"TKP",'Data - Monthly Metrics'!D:D,"Retention - Comped Target (#)"))</f>
        <v/>
      </c>
      <c r="P57" s="98">
        <f>IF(COUNTIFS('Data - Monthly Metrics'!A:A,$B$4,'Data - Monthly Metrics'!B:B,"Sep",'Data - Monthly Metrics'!C:C,"TKP",'Data - Monthly Metrics'!D:D,"Retention - Comped Target (#)")=0,"-",SUMIFS('Data - Monthly Metrics'!E:E,'Data - Monthly Metrics'!A:A,$B$4,'Data - Monthly Metrics'!B:B,"Sep",'Data - Monthly Metrics'!C:C,"TKP",'Data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Metrics'!C:C,"TKP",'Data - Monthly Metrics'!D:D,"Retention - Comped Target ($)")=0,"-",SUMIFS('Data - Monthly Metrics'!E:E,'Data - Monthly Metrics'!A:A,$B$4-1,'Data - Monthly Metrics'!B:B,"Oct",'Data - Monthly Metrics'!C:C,"TKP",'Data - Monthly Metrics'!D:D,"Retention - Comped Target ($)"))</f>
        <v/>
      </c>
      <c r="C58" s="96">
        <f>IF(COUNTIFS('Data - Monthly Metrics'!A:A,$B$4-1,'Data - Monthly Metrics'!B:B,"Nov",'Data - Monthly Metrics'!C:C,"TKP",'Data - Monthly Metrics'!D:D,"Retention - Comped Target ($)")=0,"-",SUMIFS('Data - Monthly Metrics'!E:E,'Data - Monthly Metrics'!A:A,$B$4-1,'Data - Monthly Metrics'!B:B,"Nov",'Data - Monthly Metrics'!C:C,"TKP",'Data - Monthly Metrics'!D:D,"Retention - Comped Target ($)"))</f>
        <v/>
      </c>
      <c r="D58" s="96">
        <f>IF(COUNTIFS('Data - Monthly Metrics'!A:A,$B$4-1,'Data - Monthly Metrics'!B:B,"Dec",'Data - Monthly Metrics'!C:C,"TKP",'Data - Monthly Metrics'!D:D,"Retention - Comped Target ($)")=0,"-",SUMIFS('Data - Monthly Metrics'!E:E,'Data - Monthly Metrics'!A:A,$B$4-1,'Data - Monthly Metrics'!B:B,"Dec",'Data - Monthly Metrics'!C:C,"TKP",'Data - Monthly Metrics'!D:D,"Retention - Comped Target ($)"))</f>
        <v/>
      </c>
      <c r="E58" s="101">
        <f>SUM(B58,C58,D58)</f>
        <v/>
      </c>
      <c r="F58" s="96">
        <f>IF(COUNTIFS('Data - Monthly Metrics'!A:A,$B$4,'Data - Monthly Metrics'!B:B,"Jan",'Data - Monthly Metrics'!C:C,"TKP",'Data - Monthly Metrics'!D:D,"Retention - Comped Target ($)")=0,"-",SUMIFS('Data - Monthly Metrics'!E:E,'Data - Monthly Metrics'!A:A,$B$4,'Data - Monthly Metrics'!B:B,"Jan",'Data - Monthly Metrics'!C:C,"TKP",'Data - Monthly Metrics'!D:D,"Retention - Comped Target ($)"))</f>
        <v/>
      </c>
      <c r="G58" s="96">
        <f>IF(COUNTIFS('Data - Monthly Metrics'!A:A,$B$4,'Data - Monthly Metrics'!B:B,"Feb",'Data - Monthly Metrics'!C:C,"TKP",'Data - Monthly Metrics'!D:D,"Retention - Comped Target ($)")=0,"-",SUMIFS('Data - Monthly Metrics'!E:E,'Data - Monthly Metrics'!A:A,$B$4,'Data - Monthly Metrics'!B:B,"Feb",'Data - Monthly Metrics'!C:C,"TKP",'Data - Monthly Metrics'!D:D,"Retention - Comped Target ($)"))</f>
        <v/>
      </c>
      <c r="H58" s="96">
        <f>IF(COUNTIFS('Data - Monthly Metrics'!A:A,$B$4,'Data - Monthly Metrics'!B:B,"Mar",'Data - Monthly Metrics'!C:C,"TKP",'Data - Monthly Metrics'!D:D,"Retention - Comped Target ($)")=0,"-",SUMIFS('Data - Monthly Metrics'!E:E,'Data - Monthly Metrics'!A:A,$B$4,'Data - Monthly Metrics'!B:B,"Mar",'Data - Monthly Metrics'!C:C,"TKP",'Data - Monthly Metrics'!D:D,"Retention - Comped Target ($)"))</f>
        <v/>
      </c>
      <c r="I58" s="101">
        <f>SUM(F58,G58,H58)</f>
        <v/>
      </c>
      <c r="J58" s="96">
        <f>IF(COUNTIFS('Data - Monthly Metrics'!A:A,$B$4,'Data - Monthly Metrics'!B:B,"Apr",'Data - Monthly Metrics'!C:C,"TKP",'Data - Monthly Metrics'!D:D,"Retention - Comped Target ($)")=0,"-",SUMIFS('Data - Monthly Metrics'!E:E,'Data - Monthly Metrics'!A:A,$B$4,'Data - Monthly Metrics'!B:B,"Apr",'Data - Monthly Metrics'!C:C,"TKP",'Data - Monthly Metrics'!D:D,"Retention - Comped Target ($)"))</f>
        <v/>
      </c>
      <c r="K58" s="96">
        <f>IF(COUNTIFS('Data - Monthly Metrics'!A:A,$B$4,'Data - Monthly Metrics'!B:B,"May",'Data - Monthly Metrics'!C:C,"TKP",'Data - Monthly Metrics'!D:D,"Retention - Comped Target ($)")=0,"-",SUMIFS('Data - Monthly Metrics'!E:E,'Data - Monthly Metrics'!A:A,$B$4,'Data - Monthly Metrics'!B:B,"May",'Data - Monthly Metrics'!C:C,"TKP",'Data - Monthly Metrics'!D:D,"Retention - Comped Target ($)"))</f>
        <v/>
      </c>
      <c r="L58" s="96">
        <f>IF(COUNTIFS('Data - Monthly Metrics'!A:A,$B$4,'Data - Monthly Metrics'!B:B,"Jun",'Data - Monthly Metrics'!C:C,"TKP",'Data - Monthly Metrics'!D:D,"Retention - Comped Target ($)")=0,"-",SUMIFS('Data - Monthly Metrics'!E:E,'Data - Monthly Metrics'!A:A,$B$4,'Data - Monthly Metrics'!B:B,"Jun",'Data - Monthly Metrics'!C:C,"TKP",'Data - Monthly Metrics'!D:D,"Retention - Comped Target ($)"))</f>
        <v/>
      </c>
      <c r="M58" s="101">
        <f>SUM(J58,K58,L58)</f>
        <v/>
      </c>
      <c r="N58" s="96">
        <f>IF(COUNTIFS('Data - Monthly Metrics'!A:A,$B$4,'Data - Monthly Metrics'!B:B,"Jul",'Data - Monthly Metrics'!C:C,"TKP",'Data - Monthly Metrics'!D:D,"Retention - Comped Target ($)")=0,"-",SUMIFS('Data - Monthly Metrics'!E:E,'Data - Monthly Metrics'!A:A,$B$4,'Data - Monthly Metrics'!B:B,"Jul",'Data - Monthly Metrics'!C:C,"TKP",'Data - Monthly Metrics'!D:D,"Retention - Comped Target ($)"))</f>
        <v/>
      </c>
      <c r="O58" s="96">
        <f>IF(COUNTIFS('Data - Monthly Metrics'!A:A,$B$4,'Data - Monthly Metrics'!B:B,"Aug",'Data - Monthly Metrics'!C:C,"TKP",'Data - Monthly Metrics'!D:D,"Retention - Comped Target ($)")=0,"-",SUMIFS('Data - Monthly Metrics'!E:E,'Data - Monthly Metrics'!A:A,$B$4,'Data - Monthly Metrics'!B:B,"Aug",'Data - Monthly Metrics'!C:C,"TKP",'Data - Monthly Metrics'!D:D,"Retention - Comped Target ($)"))</f>
        <v/>
      </c>
      <c r="P58" s="96">
        <f>IF(COUNTIFS('Data - Monthly Metrics'!A:A,$B$4,'Data - Monthly Metrics'!B:B,"Sep",'Data - Monthly Metrics'!C:C,"TKP",'Data - Monthly Metrics'!D:D,"Retention - Comped Target ($)")=0,"-",SUMIFS('Data - Monthly Metrics'!E:E,'Data - Monthly Metrics'!A:A,$B$4,'Data - Monthly Metrics'!B:B,"Sep",'Data - Monthly Metrics'!C:C,"TKP",'Data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Metrics'!C:C,"TKP",'Data - Monthly Metrics'!D:D,"Drops - Target (#)")=0,"-",SUMIFS('Data - Monthly Metrics'!E:E,'Data - Monthly Metrics'!A:A,$B$4-1,'Data - Monthly Metrics'!B:B,"Oct",'Data - Monthly Metrics'!C:C,"TKP",'Data - Monthly Metrics'!D:D,"Drops - Target (#)"))</f>
        <v/>
      </c>
      <c r="C63" s="93">
        <f>IF(COUNTIFS('Data - Monthly Metrics'!A:A,$B$4-1,'Data - Monthly Metrics'!B:B,"Nov",'Data - Monthly Metrics'!C:C,"TKP",'Data - Monthly Metrics'!D:D,"Drops - Target (#)")=0,"-",SUMIFS('Data - Monthly Metrics'!E:E,'Data - Monthly Metrics'!A:A,$B$4-1,'Data - Monthly Metrics'!B:B,"Nov",'Data - Monthly Metrics'!C:C,"TKP",'Data - Monthly Metrics'!D:D,"Drops - Target (#)"))</f>
        <v/>
      </c>
      <c r="D63" s="93">
        <f>IF(COUNTIFS('Data - Monthly Metrics'!A:A,$B$4-1,'Data - Monthly Metrics'!B:B,"Dec",'Data - Monthly Metrics'!C:C,"TKP",'Data - Monthly Metrics'!D:D,"Drops - Target (#)")=0,"-",SUMIFS('Data - Monthly Metrics'!E:E,'Data - Monthly Metrics'!A:A,$B$4-1,'Data - Monthly Metrics'!B:B,"Dec",'Data - Monthly Metrics'!C:C,"TKP",'Data - Monthly Metrics'!D:D,"Drops - Target (#)"))</f>
        <v/>
      </c>
      <c r="E63" s="103">
        <f>SUM(B63,C63,D63)</f>
        <v/>
      </c>
      <c r="F63" s="93">
        <f>IF(COUNTIFS('Data - Monthly Metrics'!A:A,$B$4,'Data - Monthly Metrics'!B:B,"Jan",'Data - Monthly Metrics'!C:C,"TKP",'Data - Monthly Metrics'!D:D,"Drops - Target (#)")=0,"-",SUMIFS('Data - Monthly Metrics'!E:E,'Data - Monthly Metrics'!A:A,$B$4,'Data - Monthly Metrics'!B:B,"Jan",'Data - Monthly Metrics'!C:C,"TKP",'Data - Monthly Metrics'!D:D,"Drops - Target (#)"))</f>
        <v/>
      </c>
      <c r="G63" s="93">
        <f>IF(COUNTIFS('Data - Monthly Metrics'!A:A,$B$4,'Data - Monthly Metrics'!B:B,"Feb",'Data - Monthly Metrics'!C:C,"TKP",'Data - Monthly Metrics'!D:D,"Drops - Target (#)")=0,"-",SUMIFS('Data - Monthly Metrics'!E:E,'Data - Monthly Metrics'!A:A,$B$4,'Data - Monthly Metrics'!B:B,"Feb",'Data - Monthly Metrics'!C:C,"TKP",'Data - Monthly Metrics'!D:D,"Drops - Target (#)"))</f>
        <v/>
      </c>
      <c r="H63" s="93">
        <f>IF(COUNTIFS('Data - Monthly Metrics'!A:A,$B$4,'Data - Monthly Metrics'!B:B,"Mar",'Data - Monthly Metrics'!C:C,"TKP",'Data - Monthly Metrics'!D:D,"Drops - Target (#)")=0,"-",SUMIFS('Data - Monthly Metrics'!E:E,'Data - Monthly Metrics'!A:A,$B$4,'Data - Monthly Metrics'!B:B,"Mar",'Data - Monthly Metrics'!C:C,"TKP",'Data - Monthly Metrics'!D:D,"Drops - Target (#)"))</f>
        <v/>
      </c>
      <c r="I63" s="103">
        <f>SUM(F63,G63,H63)</f>
        <v/>
      </c>
      <c r="J63" s="93">
        <f>IF(COUNTIFS('Data - Monthly Metrics'!A:A,$B$4,'Data - Monthly Metrics'!B:B,"Apr",'Data - Monthly Metrics'!C:C,"TKP",'Data - Monthly Metrics'!D:D,"Drops - Target (#)")=0,"-",SUMIFS('Data - Monthly Metrics'!E:E,'Data - Monthly Metrics'!A:A,$B$4,'Data - Monthly Metrics'!B:B,"Apr",'Data - Monthly Metrics'!C:C,"TKP",'Data - Monthly Metrics'!D:D,"Drops - Target (#)"))</f>
        <v/>
      </c>
      <c r="K63" s="93">
        <f>IF(COUNTIFS('Data - Monthly Metrics'!A:A,$B$4,'Data - Monthly Metrics'!B:B,"May",'Data - Monthly Metrics'!C:C,"TKP",'Data - Monthly Metrics'!D:D,"Drops - Target (#)")=0,"-",SUMIFS('Data - Monthly Metrics'!E:E,'Data - Monthly Metrics'!A:A,$B$4,'Data - Monthly Metrics'!B:B,"May",'Data - Monthly Metrics'!C:C,"TKP",'Data - Monthly Metrics'!D:D,"Drops - Target (#)"))</f>
        <v/>
      </c>
      <c r="L63" s="93">
        <f>IF(COUNTIFS('Data - Monthly Metrics'!A:A,$B$4,'Data - Monthly Metrics'!B:B,"Jun",'Data - Monthly Metrics'!C:C,"TKP",'Data - Monthly Metrics'!D:D,"Drops - Target (#)")=0,"-",SUMIFS('Data - Monthly Metrics'!E:E,'Data - Monthly Metrics'!A:A,$B$4,'Data - Monthly Metrics'!B:B,"Jun",'Data - Monthly Metrics'!C:C,"TKP",'Data - Monthly Metrics'!D:D,"Drops - Target (#)"))</f>
        <v/>
      </c>
      <c r="M63" s="103">
        <f>SUM(J63,K63,L63)</f>
        <v/>
      </c>
      <c r="N63" s="93">
        <f>IF(COUNTIFS('Data - Monthly Metrics'!A:A,$B$4,'Data - Monthly Metrics'!B:B,"Jul",'Data - Monthly Metrics'!C:C,"TKP",'Data - Monthly Metrics'!D:D,"Drops - Target (#)")=0,"-",SUMIFS('Data - Monthly Metrics'!E:E,'Data - Monthly Metrics'!A:A,$B$4,'Data - Monthly Metrics'!B:B,"Jul",'Data - Monthly Metrics'!C:C,"TKP",'Data - Monthly Metrics'!D:D,"Drops - Target (#)"))</f>
        <v/>
      </c>
      <c r="O63" s="93">
        <f>IF(COUNTIFS('Data - Monthly Metrics'!A:A,$B$4,'Data - Monthly Metrics'!B:B,"Aug",'Data - Monthly Metrics'!C:C,"TKP",'Data - Monthly Metrics'!D:D,"Drops - Target (#)")=0,"-",SUMIFS('Data - Monthly Metrics'!E:E,'Data - Monthly Metrics'!A:A,$B$4,'Data - Monthly Metrics'!B:B,"Aug",'Data - Monthly Metrics'!C:C,"TKP",'Data - Monthly Metrics'!D:D,"Drops - Target (#)"))</f>
        <v/>
      </c>
      <c r="P63" s="93">
        <f>IF(COUNTIFS('Data - Monthly Metrics'!A:A,$B$4,'Data - Monthly Metrics'!B:B,"Sep",'Data - Monthly Metrics'!C:C,"TKP",'Data - Monthly Metrics'!D:D,"Drops - Target (#)")=0,"-",SUMIFS('Data - Monthly Metrics'!E:E,'Data - Monthly Metrics'!A:A,$B$4,'Data - Monthly Metrics'!B:B,"Sep",'Data - Monthly Metrics'!C:C,"TKP",'Data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Metrics'!C:C,"TKP",'Data - Monthly Metrics'!D:D,"Dropped Revenue - Target ($)")=0,"-",SUMIFS('Data - Monthly Metrics'!E:E,'Data - Monthly Metrics'!A:A,$B$4-1,'Data - Monthly Metrics'!B:B,"Oct",'Data - Monthly Metrics'!C:C,"TKP",'Data - Monthly Metrics'!D:D,"Dropped Revenue - Target ($)"))</f>
        <v/>
      </c>
      <c r="C64" s="96">
        <f>IF(COUNTIFS('Data - Monthly Metrics'!A:A,$B$4-1,'Data - Monthly Metrics'!B:B,"Nov",'Data - Monthly Metrics'!C:C,"TKP",'Data - Monthly Metrics'!D:D,"Dropped Revenue - Target ($)")=0,"-",SUMIFS('Data - Monthly Metrics'!E:E,'Data - Monthly Metrics'!A:A,$B$4-1,'Data - Monthly Metrics'!B:B,"Nov",'Data - Monthly Metrics'!C:C,"TKP",'Data - Monthly Metrics'!D:D,"Dropped Revenue - Target ($)"))</f>
        <v/>
      </c>
      <c r="D64" s="96">
        <f>IF(COUNTIFS('Data - Monthly Metrics'!A:A,$B$4-1,'Data - Monthly Metrics'!B:B,"Dec",'Data - Monthly Metrics'!C:C,"TKP",'Data - Monthly Metrics'!D:D,"Dropped Revenue - Target ($)")=0,"-",SUMIFS('Data - Monthly Metrics'!E:E,'Data - Monthly Metrics'!A:A,$B$4-1,'Data - Monthly Metrics'!B:B,"Dec",'Data - Monthly Metrics'!C:C,"TKP",'Data - Monthly Metrics'!D:D,"Dropped Revenue - Target ($)"))</f>
        <v/>
      </c>
      <c r="E64" s="101">
        <f>SUM(B64,C64,D64)</f>
        <v/>
      </c>
      <c r="F64" s="96">
        <f>IF(COUNTIFS('Data - Monthly Metrics'!A:A,$B$4,'Data - Monthly Metrics'!B:B,"Jan",'Data - Monthly Metrics'!C:C,"TKP",'Data - Monthly Metrics'!D:D,"Dropped Revenue - Target ($)")=0,"-",SUMIFS('Data - Monthly Metrics'!E:E,'Data - Monthly Metrics'!A:A,$B$4,'Data - Monthly Metrics'!B:B,"Jan",'Data - Monthly Metrics'!C:C,"TKP",'Data - Monthly Metrics'!D:D,"Dropped Revenue - Target ($)"))</f>
        <v/>
      </c>
      <c r="G64" s="96">
        <f>IF(COUNTIFS('Data - Monthly Metrics'!A:A,$B$4,'Data - Monthly Metrics'!B:B,"Feb",'Data - Monthly Metrics'!C:C,"TKP",'Data - Monthly Metrics'!D:D,"Dropped Revenue - Target ($)")=0,"-",SUMIFS('Data - Monthly Metrics'!E:E,'Data - Monthly Metrics'!A:A,$B$4,'Data - Monthly Metrics'!B:B,"Feb",'Data - Monthly Metrics'!C:C,"TKP",'Data - Monthly Metrics'!D:D,"Dropped Revenue - Target ($)"))</f>
        <v/>
      </c>
      <c r="H64" s="96">
        <f>IF(COUNTIFS('Data - Monthly Metrics'!A:A,$B$4,'Data - Monthly Metrics'!B:B,"Mar",'Data - Monthly Metrics'!C:C,"TKP",'Data - Monthly Metrics'!D:D,"Dropped Revenue - Target ($)")=0,"-",SUMIFS('Data - Monthly Metrics'!E:E,'Data - Monthly Metrics'!A:A,$B$4,'Data - Monthly Metrics'!B:B,"Mar",'Data - Monthly Metrics'!C:C,"TKP",'Data - Monthly Metrics'!D:D,"Dropped Revenue - Target ($)"))</f>
        <v/>
      </c>
      <c r="I64" s="101">
        <f>SUM(F64,G64,H64)</f>
        <v/>
      </c>
      <c r="J64" s="96">
        <f>IF(COUNTIFS('Data - Monthly Metrics'!A:A,$B$4,'Data - Monthly Metrics'!B:B,"Apr",'Data - Monthly Metrics'!C:C,"TKP",'Data - Monthly Metrics'!D:D,"Dropped Revenue - Target ($)")=0,"-",SUMIFS('Data - Monthly Metrics'!E:E,'Data - Monthly Metrics'!A:A,$B$4,'Data - Monthly Metrics'!B:B,"Apr",'Data - Monthly Metrics'!C:C,"TKP",'Data - Monthly Metrics'!D:D,"Dropped Revenue - Target ($)"))</f>
        <v/>
      </c>
      <c r="K64" s="96">
        <f>IF(COUNTIFS('Data - Monthly Metrics'!A:A,$B$4,'Data - Monthly Metrics'!B:B,"May",'Data - Monthly Metrics'!C:C,"TKP",'Data - Monthly Metrics'!D:D,"Dropped Revenue - Target ($)")=0,"-",SUMIFS('Data - Monthly Metrics'!E:E,'Data - Monthly Metrics'!A:A,$B$4,'Data - Monthly Metrics'!B:B,"May",'Data - Monthly Metrics'!C:C,"TKP",'Data - Monthly Metrics'!D:D,"Dropped Revenue - Target ($)"))</f>
        <v/>
      </c>
      <c r="L64" s="96">
        <f>IF(COUNTIFS('Data - Monthly Metrics'!A:A,$B$4,'Data - Monthly Metrics'!B:B,"Jun",'Data - Monthly Metrics'!C:C,"TKP",'Data - Monthly Metrics'!D:D,"Dropped Revenue - Target ($)")=0,"-",SUMIFS('Data - Monthly Metrics'!E:E,'Data - Monthly Metrics'!A:A,$B$4,'Data - Monthly Metrics'!B:B,"Jun",'Data - Monthly Metrics'!C:C,"TKP",'Data - Monthly Metrics'!D:D,"Dropped Revenue - Target ($)"))</f>
        <v/>
      </c>
      <c r="M64" s="101">
        <f>SUM(J64,K64,L64)</f>
        <v/>
      </c>
      <c r="N64" s="96">
        <f>IF(COUNTIFS('Data - Monthly Metrics'!A:A,$B$4,'Data - Monthly Metrics'!B:B,"Jul",'Data - Monthly Metrics'!C:C,"TKP",'Data - Monthly Metrics'!D:D,"Dropped Revenue - Target ($)")=0,"-",SUMIFS('Data - Monthly Metrics'!E:E,'Data - Monthly Metrics'!A:A,$B$4,'Data - Monthly Metrics'!B:B,"Jul",'Data - Monthly Metrics'!C:C,"TKP",'Data - Monthly Metrics'!D:D,"Dropped Revenue - Target ($)"))</f>
        <v/>
      </c>
      <c r="O64" s="96">
        <f>IF(COUNTIFS('Data - Monthly Metrics'!A:A,$B$4,'Data - Monthly Metrics'!B:B,"Aug",'Data - Monthly Metrics'!C:C,"TKP",'Data - Monthly Metrics'!D:D,"Dropped Revenue - Target ($)")=0,"-",SUMIFS('Data - Monthly Metrics'!E:E,'Data - Monthly Metrics'!A:A,$B$4,'Data - Monthly Metrics'!B:B,"Aug",'Data - Monthly Metrics'!C:C,"TKP",'Data - Monthly Metrics'!D:D,"Dropped Revenue - Target ($)"))</f>
        <v/>
      </c>
      <c r="P64" s="96">
        <f>IF(COUNTIFS('Data - Monthly Metrics'!A:A,$B$4,'Data - Monthly Metrics'!B:B,"Sep",'Data - Monthly Metrics'!C:C,"TKP",'Data - Monthly Metrics'!D:D,"Dropped Revenue - Target ($)")=0,"-",SUMIFS('Data - Monthly Metrics'!E:E,'Data - Monthly Metrics'!A:A,$B$4,'Data - Monthly Metrics'!B:B,"Sep",'Data - Monthly Metrics'!C:C,"TKP",'Data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Metrics'!C:C,"TKP",'Data - Monthly Metrics'!D:D,"Penetration - Restaurant %")=0,"-",SUMIFS('Data - Monthly Metrics'!E:E,'Data - Monthly Metrics'!A:A,$B$4-1,'Data - Monthly Metrics'!B:B,"Oct",'Data - Monthly Metrics'!C:C,"TKP",'Data - Monthly Metrics'!D:D,"Penetration - Restaurant %"))</f>
        <v/>
      </c>
      <c r="C68" s="92">
        <f>IF(COUNTIFS('Data - Monthly Metrics'!A:A,$B$4-1,'Data - Monthly Metrics'!B:B,"Nov",'Data - Monthly Metrics'!C:C,"TKP",'Data - Monthly Metrics'!D:D,"Penetration - Restaurant %")=0,"-",SUMIFS('Data - Monthly Metrics'!E:E,'Data - Monthly Metrics'!A:A,$B$4-1,'Data - Monthly Metrics'!B:B,"Nov",'Data - Monthly Metrics'!C:C,"TKP",'Data - Monthly Metrics'!D:D,"Penetration - Restaurant %"))</f>
        <v/>
      </c>
      <c r="D68" s="92">
        <f>IF(COUNTIFS('Data - Monthly Metrics'!A:A,$B$4-1,'Data - Monthly Metrics'!B:B,"Dec",'Data - Monthly Metrics'!C:C,"TKP",'Data - Monthly Metrics'!D:D,"Penetration - Restaurant %")=0,"-",SUMIFS('Data - Monthly Metrics'!E:E,'Data - Monthly Metrics'!A:A,$B$4-1,'Data - Monthly Metrics'!B:B,"Dec",'Data - Monthly Metrics'!C:C,"TKP",'Data - Monthly Metrics'!D:D,"Penetration - Restaurant %"))</f>
        <v/>
      </c>
      <c r="E68" s="102">
        <f>IF(ISNUMBER(D68),D68,IF(ISNUMBER(C68),C68,IF(ISNUMBER(B68),B68,"-")))</f>
        <v/>
      </c>
      <c r="F68" s="92">
        <f>IF(COUNTIFS('Data - Monthly Metrics'!A:A,$B$4,'Data - Monthly Metrics'!B:B,"Jan",'Data - Monthly Metrics'!C:C,"TKP",'Data - Monthly Metrics'!D:D,"Penetration - Restaurant %")=0,"-",SUMIFS('Data - Monthly Metrics'!E:E,'Data - Monthly Metrics'!A:A,$B$4,'Data - Monthly Metrics'!B:B,"Jan",'Data - Monthly Metrics'!C:C,"TKP",'Data - Monthly Metrics'!D:D,"Penetration - Restaurant %"))</f>
        <v/>
      </c>
      <c r="G68" s="92">
        <f>IF(COUNTIFS('Data - Monthly Metrics'!A:A,$B$4,'Data - Monthly Metrics'!B:B,"Feb",'Data - Monthly Metrics'!C:C,"TKP",'Data - Monthly Metrics'!D:D,"Penetration - Restaurant %")=0,"-",SUMIFS('Data - Monthly Metrics'!E:E,'Data - Monthly Metrics'!A:A,$B$4,'Data - Monthly Metrics'!B:B,"Feb",'Data - Monthly Metrics'!C:C,"TKP",'Data - Monthly Metrics'!D:D,"Penetration - Restaurant %"))</f>
        <v/>
      </c>
      <c r="H68" s="92">
        <f>IF(COUNTIFS('Data - Monthly Metrics'!A:A,$B$4,'Data - Monthly Metrics'!B:B,"Mar",'Data - Monthly Metrics'!C:C,"TKP",'Data - Monthly Metrics'!D:D,"Penetration - Restaurant %")=0,"-",SUMIFS('Data - Monthly Metrics'!E:E,'Data - Monthly Metrics'!A:A,$B$4,'Data - Monthly Metrics'!B:B,"Mar",'Data - Monthly Metrics'!C:C,"TKP",'Data - Monthly Metrics'!D:D,"Penetration - Restaurant %"))</f>
        <v/>
      </c>
      <c r="I68" s="102">
        <f>IF(ISNUMBER(H68),H68,IF(ISNUMBER(G68),G68,IF(ISNUMBER(F68),F68,"-")))</f>
        <v/>
      </c>
      <c r="J68" s="92">
        <f>IF(COUNTIFS('Data - Monthly Metrics'!A:A,$B$4,'Data - Monthly Metrics'!B:B,"Apr",'Data - Monthly Metrics'!C:C,"TKP",'Data - Monthly Metrics'!D:D,"Penetration - Restaurant %")=0,"-",SUMIFS('Data - Monthly Metrics'!E:E,'Data - Monthly Metrics'!A:A,$B$4,'Data - Monthly Metrics'!B:B,"Apr",'Data - Monthly Metrics'!C:C,"TKP",'Data - Monthly Metrics'!D:D,"Penetration - Restaurant %"))</f>
        <v/>
      </c>
      <c r="K68" s="92">
        <f>IF(COUNTIFS('Data - Monthly Metrics'!A:A,$B$4,'Data - Monthly Metrics'!B:B,"May",'Data - Monthly Metrics'!C:C,"TKP",'Data - Monthly Metrics'!D:D,"Penetration - Restaurant %")=0,"-",SUMIFS('Data - Monthly Metrics'!E:E,'Data - Monthly Metrics'!A:A,$B$4,'Data - Monthly Metrics'!B:B,"May",'Data - Monthly Metrics'!C:C,"TKP",'Data - Monthly Metrics'!D:D,"Penetration - Restaurant %"))</f>
        <v/>
      </c>
      <c r="L68" s="92">
        <f>IF(COUNTIFS('Data - Monthly Metrics'!A:A,$B$4,'Data - Monthly Metrics'!B:B,"Jun",'Data - Monthly Metrics'!C:C,"TKP",'Data - Monthly Metrics'!D:D,"Penetration - Restaurant %")=0,"-",SUMIFS('Data - Monthly Metrics'!E:E,'Data - Monthly Metrics'!A:A,$B$4,'Data - Monthly Metrics'!B:B,"Jun",'Data - Monthly Metrics'!C:C,"TKP",'Data - Monthly Metrics'!D:D,"Penetration - Restaurant %"))</f>
        <v/>
      </c>
      <c r="M68" s="102">
        <f>IF(ISNUMBER(L68),L68,IF(ISNUMBER(K68),K68,IF(ISNUMBER(J68),J68,"-")))</f>
        <v/>
      </c>
      <c r="N68" s="92">
        <f>IF(COUNTIFS('Data - Monthly Metrics'!A:A,$B$4,'Data - Monthly Metrics'!B:B,"Jul",'Data - Monthly Metrics'!C:C,"TKP",'Data - Monthly Metrics'!D:D,"Penetration - Restaurant %")=0,"-",SUMIFS('Data - Monthly Metrics'!E:E,'Data - Monthly Metrics'!A:A,$B$4,'Data - Monthly Metrics'!B:B,"Jul",'Data - Monthly Metrics'!C:C,"TKP",'Data - Monthly Metrics'!D:D,"Penetration - Restaurant %"))</f>
        <v/>
      </c>
      <c r="O68" s="92">
        <f>IF(COUNTIFS('Data - Monthly Metrics'!A:A,$B$4,'Data - Monthly Metrics'!B:B,"Aug",'Data - Monthly Metrics'!C:C,"TKP",'Data - Monthly Metrics'!D:D,"Penetration - Restaurant %")=0,"-",SUMIFS('Data - Monthly Metrics'!E:E,'Data - Monthly Metrics'!A:A,$B$4,'Data - Monthly Metrics'!B:B,"Aug",'Data - Monthly Metrics'!C:C,"TKP",'Data - Monthly Metrics'!D:D,"Penetration - Restaurant %"))</f>
        <v/>
      </c>
      <c r="P68" s="92">
        <f>IF(COUNTIFS('Data - Monthly Metrics'!A:A,$B$4,'Data - Monthly Metrics'!B:B,"Sep",'Data - Monthly Metrics'!C:C,"TKP",'Data - Monthly Metrics'!D:D,"Penetration - Restaurant %")=0,"-",SUMIFS('Data - Monthly Metrics'!E:E,'Data - Monthly Metrics'!A:A,$B$4,'Data - Monthly Metrics'!B:B,"Sep",'Data - Monthly Metrics'!C:C,"TKP",'Data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Metrics'!C:C,"TKP",'Data - Monthly Metrics'!D:D,"Penetration - Lodging %")=0,"-",SUMIFS('Data - Monthly Metrics'!E:E,'Data - Monthly Metrics'!A:A,$B$4-1,'Data - Monthly Metrics'!B:B,"Oct",'Data - Monthly Metrics'!C:C,"TKP",'Data - Monthly Metrics'!D:D,"Penetration - Lodging %"))</f>
        <v/>
      </c>
      <c r="C69" s="97">
        <f>IF(COUNTIFS('Data - Monthly Metrics'!A:A,$B$4-1,'Data - Monthly Metrics'!B:B,"Nov",'Data - Monthly Metrics'!C:C,"TKP",'Data - Monthly Metrics'!D:D,"Penetration - Lodging %")=0,"-",SUMIFS('Data - Monthly Metrics'!E:E,'Data - Monthly Metrics'!A:A,$B$4-1,'Data - Monthly Metrics'!B:B,"Nov",'Data - Monthly Metrics'!C:C,"TKP",'Data - Monthly Metrics'!D:D,"Penetration - Lodging %"))</f>
        <v/>
      </c>
      <c r="D69" s="97">
        <f>IF(COUNTIFS('Data - Monthly Metrics'!A:A,$B$4-1,'Data - Monthly Metrics'!B:B,"Dec",'Data - Monthly Metrics'!C:C,"TKP",'Data - Monthly Metrics'!D:D,"Penetration - Lodging %")=0,"-",SUMIFS('Data - Monthly Metrics'!E:E,'Data - Monthly Metrics'!A:A,$B$4-1,'Data - Monthly Metrics'!B:B,"Dec",'Data - Monthly Metrics'!C:C,"TKP",'Data - Monthly Metrics'!D:D,"Penetration - Lodging %"))</f>
        <v/>
      </c>
      <c r="E69" s="102">
        <f>IF(ISNUMBER(D69),D69,IF(ISNUMBER(C69),C69,IF(ISNUMBER(B69),B69,"-")))</f>
        <v/>
      </c>
      <c r="F69" s="97">
        <f>IF(COUNTIFS('Data - Monthly Metrics'!A:A,$B$4,'Data - Monthly Metrics'!B:B,"Jan",'Data - Monthly Metrics'!C:C,"TKP",'Data - Monthly Metrics'!D:D,"Penetration - Lodging %")=0,"-",SUMIFS('Data - Monthly Metrics'!E:E,'Data - Monthly Metrics'!A:A,$B$4,'Data - Monthly Metrics'!B:B,"Jan",'Data - Monthly Metrics'!C:C,"TKP",'Data - Monthly Metrics'!D:D,"Penetration - Lodging %"))</f>
        <v/>
      </c>
      <c r="G69" s="97">
        <f>IF(COUNTIFS('Data - Monthly Metrics'!A:A,$B$4,'Data - Monthly Metrics'!B:B,"Feb",'Data - Monthly Metrics'!C:C,"TKP",'Data - Monthly Metrics'!D:D,"Penetration - Lodging %")=0,"-",SUMIFS('Data - Monthly Metrics'!E:E,'Data - Monthly Metrics'!A:A,$B$4,'Data - Monthly Metrics'!B:B,"Feb",'Data - Monthly Metrics'!C:C,"TKP",'Data - Monthly Metrics'!D:D,"Penetration - Lodging %"))</f>
        <v/>
      </c>
      <c r="H69" s="97">
        <f>IF(COUNTIFS('Data - Monthly Metrics'!A:A,$B$4,'Data - Monthly Metrics'!B:B,"Mar",'Data - Monthly Metrics'!C:C,"TKP",'Data - Monthly Metrics'!D:D,"Penetration - Lodging %")=0,"-",SUMIFS('Data - Monthly Metrics'!E:E,'Data - Monthly Metrics'!A:A,$B$4,'Data - Monthly Metrics'!B:B,"Mar",'Data - Monthly Metrics'!C:C,"TKP",'Data - Monthly Metrics'!D:D,"Penetration - Lodging %"))</f>
        <v/>
      </c>
      <c r="I69" s="102">
        <f>IF(ISNUMBER(H69),H69,IF(ISNUMBER(G69),G69,IF(ISNUMBER(F69),F69,"-")))</f>
        <v/>
      </c>
      <c r="J69" s="97">
        <f>IF(COUNTIFS('Data - Monthly Metrics'!A:A,$B$4,'Data - Monthly Metrics'!B:B,"Apr",'Data - Monthly Metrics'!C:C,"TKP",'Data - Monthly Metrics'!D:D,"Penetration - Lodging %")=0,"-",SUMIFS('Data - Monthly Metrics'!E:E,'Data - Monthly Metrics'!A:A,$B$4,'Data - Monthly Metrics'!B:B,"Apr",'Data - Monthly Metrics'!C:C,"TKP",'Data - Monthly Metrics'!D:D,"Penetration - Lodging %"))</f>
        <v/>
      </c>
      <c r="K69" s="97">
        <f>IF(COUNTIFS('Data - Monthly Metrics'!A:A,$B$4,'Data - Monthly Metrics'!B:B,"May",'Data - Monthly Metrics'!C:C,"TKP",'Data - Monthly Metrics'!D:D,"Penetration - Lodging %")=0,"-",SUMIFS('Data - Monthly Metrics'!E:E,'Data - Monthly Metrics'!A:A,$B$4,'Data - Monthly Metrics'!B:B,"May",'Data - Monthly Metrics'!C:C,"TKP",'Data - Monthly Metrics'!D:D,"Penetration - Lodging %"))</f>
        <v/>
      </c>
      <c r="L69" s="97">
        <f>IF(COUNTIFS('Data - Monthly Metrics'!A:A,$B$4,'Data - Monthly Metrics'!B:B,"Jun",'Data - Monthly Metrics'!C:C,"TKP",'Data - Monthly Metrics'!D:D,"Penetration - Lodging %")=0,"-",SUMIFS('Data - Monthly Metrics'!E:E,'Data - Monthly Metrics'!A:A,$B$4,'Data - Monthly Metrics'!B:B,"Jun",'Data - Monthly Metrics'!C:C,"TKP",'Data - Monthly Metrics'!D:D,"Penetration - Lodging %"))</f>
        <v/>
      </c>
      <c r="M69" s="102">
        <f>IF(ISNUMBER(L69),L69,IF(ISNUMBER(K69),K69,IF(ISNUMBER(J69),J69,"-")))</f>
        <v/>
      </c>
      <c r="N69" s="97">
        <f>IF(COUNTIFS('Data - Monthly Metrics'!A:A,$B$4,'Data - Monthly Metrics'!B:B,"Jul",'Data - Monthly Metrics'!C:C,"TKP",'Data - Monthly Metrics'!D:D,"Penetration - Lodging %")=0,"-",SUMIFS('Data - Monthly Metrics'!E:E,'Data - Monthly Metrics'!A:A,$B$4,'Data - Monthly Metrics'!B:B,"Jul",'Data - Monthly Metrics'!C:C,"TKP",'Data - Monthly Metrics'!D:D,"Penetration - Lodging %"))</f>
        <v/>
      </c>
      <c r="O69" s="97">
        <f>IF(COUNTIFS('Data - Monthly Metrics'!A:A,$B$4,'Data - Monthly Metrics'!B:B,"Aug",'Data - Monthly Metrics'!C:C,"TKP",'Data - Monthly Metrics'!D:D,"Penetration - Lodging %")=0,"-",SUMIFS('Data - Monthly Metrics'!E:E,'Data - Monthly Metrics'!A:A,$B$4,'Data - Monthly Metrics'!B:B,"Aug",'Data - Monthly Metrics'!C:C,"TKP",'Data - Monthly Metrics'!D:D,"Penetration - Lodging %"))</f>
        <v/>
      </c>
      <c r="P69" s="97">
        <f>IF(COUNTIFS('Data - Monthly Metrics'!A:A,$B$4,'Data - Monthly Metrics'!B:B,"Sep",'Data - Monthly Metrics'!C:C,"TKP",'Data - Monthly Metrics'!D:D,"Penetration - Lodging %")=0,"-",SUMIFS('Data - Monthly Metrics'!E:E,'Data - Monthly Metrics'!A:A,$B$4,'Data - Monthly Metrics'!B:B,"Sep",'Data - Monthly Metrics'!C:C,"TKP",'Data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Metrics'!C:C,"TKP",'Data - Monthly Metrics'!D:D,"Penetration - Combined %")=0,"-",SUMIFS('Data - Monthly Metrics'!E:E,'Data - Monthly Metrics'!A:A,$B$4-1,'Data - Monthly Metrics'!B:B,"Oct",'Data - Monthly Metrics'!C:C,"TKP",'Data - Monthly Metrics'!D:D,"Penetration - Combined %"))</f>
        <v/>
      </c>
      <c r="C70" s="92">
        <f>IF(COUNTIFS('Data - Monthly Metrics'!A:A,$B$4-1,'Data - Monthly Metrics'!B:B,"Nov",'Data - Monthly Metrics'!C:C,"TKP",'Data - Monthly Metrics'!D:D,"Penetration - Combined %")=0,"-",SUMIFS('Data - Monthly Metrics'!E:E,'Data - Monthly Metrics'!A:A,$B$4-1,'Data - Monthly Metrics'!B:B,"Nov",'Data - Monthly Metrics'!C:C,"TKP",'Data - Monthly Metrics'!D:D,"Penetration - Combined %"))</f>
        <v/>
      </c>
      <c r="D70" s="92">
        <f>IF(COUNTIFS('Data - Monthly Metrics'!A:A,$B$4-1,'Data - Monthly Metrics'!B:B,"Dec",'Data - Monthly Metrics'!C:C,"TKP",'Data - Monthly Metrics'!D:D,"Penetration - Combined %")=0,"-",SUMIFS('Data - Monthly Metrics'!E:E,'Data - Monthly Metrics'!A:A,$B$4-1,'Data - Monthly Metrics'!B:B,"Dec",'Data - Monthly Metrics'!C:C,"TKP",'Data - Monthly Metrics'!D:D,"Penetration - Combined %"))</f>
        <v/>
      </c>
      <c r="E70" s="102">
        <f>IF(ISNUMBER(D70),D70,IF(ISNUMBER(C70),C70,IF(ISNUMBER(B70),B70,"-")))</f>
        <v/>
      </c>
      <c r="F70" s="92">
        <f>IF(COUNTIFS('Data - Monthly Metrics'!A:A,$B$4,'Data - Monthly Metrics'!B:B,"Jan",'Data - Monthly Metrics'!C:C,"TKP",'Data - Monthly Metrics'!D:D,"Penetration - Combined %")=0,"-",SUMIFS('Data - Monthly Metrics'!E:E,'Data - Monthly Metrics'!A:A,$B$4,'Data - Monthly Metrics'!B:B,"Jan",'Data - Monthly Metrics'!C:C,"TKP",'Data - Monthly Metrics'!D:D,"Penetration - Combined %"))</f>
        <v/>
      </c>
      <c r="G70" s="92">
        <f>IF(COUNTIFS('Data - Monthly Metrics'!A:A,$B$4,'Data - Monthly Metrics'!B:B,"Feb",'Data - Monthly Metrics'!C:C,"TKP",'Data - Monthly Metrics'!D:D,"Penetration - Combined %")=0,"-",SUMIFS('Data - Monthly Metrics'!E:E,'Data - Monthly Metrics'!A:A,$B$4,'Data - Monthly Metrics'!B:B,"Feb",'Data - Monthly Metrics'!C:C,"TKP",'Data - Monthly Metrics'!D:D,"Penetration - Combined %"))</f>
        <v/>
      </c>
      <c r="H70" s="92">
        <f>IF(COUNTIFS('Data - Monthly Metrics'!A:A,$B$4,'Data - Monthly Metrics'!B:B,"Mar",'Data - Monthly Metrics'!C:C,"TKP",'Data - Monthly Metrics'!D:D,"Penetration - Combined %")=0,"-",SUMIFS('Data - Monthly Metrics'!E:E,'Data - Monthly Metrics'!A:A,$B$4,'Data - Monthly Metrics'!B:B,"Mar",'Data - Monthly Metrics'!C:C,"TKP",'Data - Monthly Metrics'!D:D,"Penetration - Combined %"))</f>
        <v/>
      </c>
      <c r="I70" s="102">
        <f>IF(ISNUMBER(H70),H70,IF(ISNUMBER(G70),G70,IF(ISNUMBER(F70),F70,"-")))</f>
        <v/>
      </c>
      <c r="J70" s="92">
        <f>IF(COUNTIFS('Data - Monthly Metrics'!A:A,$B$4,'Data - Monthly Metrics'!B:B,"Apr",'Data - Monthly Metrics'!C:C,"TKP",'Data - Monthly Metrics'!D:D,"Penetration - Combined %")=0,"-",SUMIFS('Data - Monthly Metrics'!E:E,'Data - Monthly Metrics'!A:A,$B$4,'Data - Monthly Metrics'!B:B,"Apr",'Data - Monthly Metrics'!C:C,"TKP",'Data - Monthly Metrics'!D:D,"Penetration - Combined %"))</f>
        <v/>
      </c>
      <c r="K70" s="92">
        <f>IF(COUNTIFS('Data - Monthly Metrics'!A:A,$B$4,'Data - Monthly Metrics'!B:B,"May",'Data - Monthly Metrics'!C:C,"TKP",'Data - Monthly Metrics'!D:D,"Penetration - Combined %")=0,"-",SUMIFS('Data - Monthly Metrics'!E:E,'Data - Monthly Metrics'!A:A,$B$4,'Data - Monthly Metrics'!B:B,"May",'Data - Monthly Metrics'!C:C,"TKP",'Data - Monthly Metrics'!D:D,"Penetration - Combined %"))</f>
        <v/>
      </c>
      <c r="L70" s="92">
        <f>IF(COUNTIFS('Data - Monthly Metrics'!A:A,$B$4,'Data - Monthly Metrics'!B:B,"Jun",'Data - Monthly Metrics'!C:C,"TKP",'Data - Monthly Metrics'!D:D,"Penetration - Combined %")=0,"-",SUMIFS('Data - Monthly Metrics'!E:E,'Data - Monthly Metrics'!A:A,$B$4,'Data - Monthly Metrics'!B:B,"Jun",'Data - Monthly Metrics'!C:C,"TKP",'Data - Monthly Metrics'!D:D,"Penetration - Combined %"))</f>
        <v/>
      </c>
      <c r="M70" s="102">
        <f>IF(ISNUMBER(L70),L70,IF(ISNUMBER(K70),K70,IF(ISNUMBER(J70),J70,"-")))</f>
        <v/>
      </c>
      <c r="N70" s="92">
        <f>IF(COUNTIFS('Data - Monthly Metrics'!A:A,$B$4,'Data - Monthly Metrics'!B:B,"Jul",'Data - Monthly Metrics'!C:C,"TKP",'Data - Monthly Metrics'!D:D,"Penetration - Combined %")=0,"-",SUMIFS('Data - Monthly Metrics'!E:E,'Data - Monthly Metrics'!A:A,$B$4,'Data - Monthly Metrics'!B:B,"Jul",'Data - Monthly Metrics'!C:C,"TKP",'Data - Monthly Metrics'!D:D,"Penetration - Combined %"))</f>
        <v/>
      </c>
      <c r="O70" s="92">
        <f>IF(COUNTIFS('Data - Monthly Metrics'!A:A,$B$4,'Data - Monthly Metrics'!B:B,"Aug",'Data - Monthly Metrics'!C:C,"TKP",'Data - Monthly Metrics'!D:D,"Penetration - Combined %")=0,"-",SUMIFS('Data - Monthly Metrics'!E:E,'Data - Monthly Metrics'!A:A,$B$4,'Data - Monthly Metrics'!B:B,"Aug",'Data - Monthly Metrics'!C:C,"TKP",'Data - Monthly Metrics'!D:D,"Penetration - Combined %"))</f>
        <v/>
      </c>
      <c r="P70" s="92">
        <f>IF(COUNTIFS('Data - Monthly Metrics'!A:A,$B$4,'Data - Monthly Metrics'!B:B,"Sep",'Data - Monthly Metrics'!C:C,"TKP",'Data - Monthly Metrics'!D:D,"Penetration - Combined %")=0,"-",SUMIFS('Data - Monthly Metrics'!E:E,'Data - Monthly Metrics'!A:A,$B$4,'Data - Monthly Metrics'!B:B,"Sep",'Data - Monthly Metrics'!C:C,"TKP",'Data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Metrics'!$C:$C,"TKP",'Data - Monthly Metrics'!$D:$D,"Goal - Penetration %")=0),"—",IF(B70&gt;=SUMIFS('Data - Monthly Metrics'!$E:$E,'Data - Monthly Metrics'!$A:$A,$B$4-1,'Data - Monthly Metrics'!$B:$B,B$8,'Data - Monthly Metrics'!$C:$C,"TKP",'Data - Monthly Metrics'!$D:$D,"Goal - Penetration %"),"On Track",IF(B70&gt;=SUMIFS('Data - Monthly Metrics'!$E:$E,'Data - Monthly Metrics'!$A:$A,$B$4-1,'Data - Monthly Metrics'!$B:$B,B$8,'Data - Monthly Metrics'!$C:$C,"TKP",'Data - Monthly Metrics'!$D:$D,"Goal - Penetration %")-0.05,"Watch","At Risk")))</f>
        <v/>
      </c>
      <c r="C71" s="120">
        <f>IF(OR(NOT(ISNUMBER(C70)),C70=0,COUNTIFS('Data - Monthly Metrics'!$A:$A,$B$4-1,'Data - Monthly Metrics'!$B:$B,C$8,'Data - Monthly Metrics'!$C:$C,"TKP",'Data - Monthly Metrics'!$D:$D,"Goal - Penetration %")=0),"—",IF(C70&gt;=SUMIFS('Data - Monthly Metrics'!$E:$E,'Data - Monthly Metrics'!$A:$A,$B$4-1,'Data - Monthly Metrics'!$B:$B,C$8,'Data - Monthly Metrics'!$C:$C,"TKP",'Data - Monthly Metrics'!$D:$D,"Goal - Penetration %"),"On Track",IF(C70&gt;=SUMIFS('Data - Monthly Metrics'!$E:$E,'Data - Monthly Metrics'!$A:$A,$B$4-1,'Data - Monthly Metrics'!$B:$B,C$8,'Data - Monthly Metrics'!$C:$C,"TKP",'Data - Monthly Metrics'!$D:$D,"Goal - Penetration %")-0.05,"Watch","At Risk")))</f>
        <v/>
      </c>
      <c r="D71" s="120">
        <f>IF(OR(NOT(ISNUMBER(D70)),D70=0,COUNTIFS('Data - Monthly Metrics'!$A:$A,$B$4-1,'Data - Monthly Metrics'!$B:$B,D$8,'Data - Monthly Metrics'!$C:$C,"TKP",'Data - Monthly Metrics'!$D:$D,"Goal - Penetration %")=0),"—",IF(D70&gt;=SUMIFS('Data - Monthly Metrics'!$E:$E,'Data - Monthly Metrics'!$A:$A,$B$4-1,'Data - Monthly Metrics'!$B:$B,D$8,'Data - Monthly Metrics'!$C:$C,"TKP",'Data - Monthly Metrics'!$D:$D,"Goal - Penetration %"),"On Track",IF(D70&gt;=SUMIFS('Data - Monthly Metrics'!$E:$E,'Data - Monthly Metrics'!$A:$A,$B$4-1,'Data - Monthly Metrics'!$B:$B,D$8,'Data - Monthly Metrics'!$C:$C,"TKP",'Data - Monthly Metrics'!$D:$D,"Goal - Penetration %")-0.05,"Watch","At Risk")))</f>
        <v/>
      </c>
      <c r="E71" s="121">
        <f>"—"</f>
        <v/>
      </c>
      <c r="F71" s="120">
        <f>IF(OR(NOT(ISNUMBER(F70)),F70=0,COUNTIFS('Data - Monthly Metrics'!$A:$A,$B$4,'Data - Monthly Metrics'!$B:$B,F$8,'Data - Monthly Metrics'!$C:$C,"TKP",'Data - Monthly Metrics'!$D:$D,"Goal - Penetration %")=0),"—",IF(F70&gt;=SUMIFS('Data - Monthly Metrics'!$E:$E,'Data - Monthly Metrics'!$A:$A,$B$4,'Data - Monthly Metrics'!$B:$B,F$8,'Data - Monthly Metrics'!$C:$C,"TKP",'Data - Monthly Metrics'!$D:$D,"Goal - Penetration %"),"On Track",IF(F70&gt;=SUMIFS('Data - Monthly Metrics'!$E:$E,'Data - Monthly Metrics'!$A:$A,$B$4,'Data - Monthly Metrics'!$B:$B,F$8,'Data - Monthly Metrics'!$C:$C,"TKP",'Data - Monthly Metrics'!$D:$D,"Goal - Penetration %")-0.05,"Watch","At Risk")))</f>
        <v/>
      </c>
      <c r="G71" s="120">
        <f>IF(OR(NOT(ISNUMBER(G70)),G70=0,COUNTIFS('Data - Monthly Metrics'!$A:$A,$B$4,'Data - Monthly Metrics'!$B:$B,G$8,'Data - Monthly Metrics'!$C:$C,"TKP",'Data - Monthly Metrics'!$D:$D,"Goal - Penetration %")=0),"—",IF(G70&gt;=SUMIFS('Data - Monthly Metrics'!$E:$E,'Data - Monthly Metrics'!$A:$A,$B$4,'Data - Monthly Metrics'!$B:$B,G$8,'Data - Monthly Metrics'!$C:$C,"TKP",'Data - Monthly Metrics'!$D:$D,"Goal - Penetration %"),"On Track",IF(G70&gt;=SUMIFS('Data - Monthly Metrics'!$E:$E,'Data - Monthly Metrics'!$A:$A,$B$4,'Data - Monthly Metrics'!$B:$B,G$8,'Data - Monthly Metrics'!$C:$C,"TKP",'Data - Monthly Metrics'!$D:$D,"Goal - Penetration %")-0.05,"Watch","At Risk")))</f>
        <v/>
      </c>
      <c r="H71" s="120">
        <f>IF(OR(NOT(ISNUMBER(H70)),H70=0,COUNTIFS('Data - Monthly Metrics'!$A:$A,$B$4,'Data - Monthly Metrics'!$B:$B,H$8,'Data - Monthly Metrics'!$C:$C,"TKP",'Data - Monthly Metrics'!$D:$D,"Goal - Penetration %")=0),"—",IF(H70&gt;=SUMIFS('Data - Monthly Metrics'!$E:$E,'Data - Monthly Metrics'!$A:$A,$B$4,'Data - Monthly Metrics'!$B:$B,H$8,'Data - Monthly Metrics'!$C:$C,"TKP",'Data - Monthly Metrics'!$D:$D,"Goal - Penetration %"),"On Track",IF(H70&gt;=SUMIFS('Data - Monthly Metrics'!$E:$E,'Data - Monthly Metrics'!$A:$A,$B$4,'Data - Monthly Metrics'!$B:$B,H$8,'Data - Monthly Metrics'!$C:$C,"TKP",'Data - Monthly Metrics'!$D:$D,"Goal - Penetration %")-0.05,"Watch","At Risk")))</f>
        <v/>
      </c>
      <c r="I71" s="121">
        <f>"—"</f>
        <v/>
      </c>
      <c r="J71" s="120">
        <f>IF(OR(NOT(ISNUMBER(J70)),J70=0,COUNTIFS('Data - Monthly Metrics'!$A:$A,$B$4,'Data - Monthly Metrics'!$B:$B,J$8,'Data - Monthly Metrics'!$C:$C,"TKP",'Data - Monthly Metrics'!$D:$D,"Goal - Penetration %")=0),"—",IF(J70&gt;=SUMIFS('Data - Monthly Metrics'!$E:$E,'Data - Monthly Metrics'!$A:$A,$B$4,'Data - Monthly Metrics'!$B:$B,J$8,'Data - Monthly Metrics'!$C:$C,"TKP",'Data - Monthly Metrics'!$D:$D,"Goal - Penetration %"),"On Track",IF(J70&gt;=SUMIFS('Data - Monthly Metrics'!$E:$E,'Data - Monthly Metrics'!$A:$A,$B$4,'Data - Monthly Metrics'!$B:$B,J$8,'Data - Monthly Metrics'!$C:$C,"TKP",'Data - Monthly Metrics'!$D:$D,"Goal - Penetration %")-0.05,"Watch","At Risk")))</f>
        <v/>
      </c>
      <c r="K71" s="120">
        <f>IF(OR(NOT(ISNUMBER(K70)),K70=0,COUNTIFS('Data - Monthly Metrics'!$A:$A,$B$4,'Data - Monthly Metrics'!$B:$B,K$8,'Data - Monthly Metrics'!$C:$C,"TKP",'Data - Monthly Metrics'!$D:$D,"Goal - Penetration %")=0),"—",IF(K70&gt;=SUMIFS('Data - Monthly Metrics'!$E:$E,'Data - Monthly Metrics'!$A:$A,$B$4,'Data - Monthly Metrics'!$B:$B,K$8,'Data - Monthly Metrics'!$C:$C,"TKP",'Data - Monthly Metrics'!$D:$D,"Goal - Penetration %"),"On Track",IF(K70&gt;=SUMIFS('Data - Monthly Metrics'!$E:$E,'Data - Monthly Metrics'!$A:$A,$B$4,'Data - Monthly Metrics'!$B:$B,K$8,'Data - Monthly Metrics'!$C:$C,"TKP",'Data - Monthly Metrics'!$D:$D,"Goal - Penetration %")-0.05,"Watch","At Risk")))</f>
        <v/>
      </c>
      <c r="L71" s="120">
        <f>IF(OR(NOT(ISNUMBER(L70)),L70=0,COUNTIFS('Data - Monthly Metrics'!$A:$A,$B$4,'Data - Monthly Metrics'!$B:$B,L$8,'Data - Monthly Metrics'!$C:$C,"TKP",'Data - Monthly Metrics'!$D:$D,"Goal - Penetration %")=0),"—",IF(L70&gt;=SUMIFS('Data - Monthly Metrics'!$E:$E,'Data - Monthly Metrics'!$A:$A,$B$4,'Data - Monthly Metrics'!$B:$B,L$8,'Data - Monthly Metrics'!$C:$C,"TKP",'Data - Monthly Metrics'!$D:$D,"Goal - Penetration %"),"On Track",IF(L70&gt;=SUMIFS('Data - Monthly Metrics'!$E:$E,'Data - Monthly Metrics'!$A:$A,$B$4,'Data - Monthly Metrics'!$B:$B,L$8,'Data - Monthly Metrics'!$C:$C,"TKP",'Data - Monthly Metrics'!$D:$D,"Goal - Penetration %")-0.05,"Watch","At Risk")))</f>
        <v/>
      </c>
      <c r="M71" s="121">
        <f>"—"</f>
        <v/>
      </c>
      <c r="N71" s="120">
        <f>IF(OR(NOT(ISNUMBER(N70)),N70=0,COUNTIFS('Data - Monthly Metrics'!$A:$A,$B$4,'Data - Monthly Metrics'!$B:$B,N$8,'Data - Monthly Metrics'!$C:$C,"TKP",'Data - Monthly Metrics'!$D:$D,"Goal - Penetration %")=0),"—",IF(N70&gt;=SUMIFS('Data - Monthly Metrics'!$E:$E,'Data - Monthly Metrics'!$A:$A,$B$4,'Data - Monthly Metrics'!$B:$B,N$8,'Data - Monthly Metrics'!$C:$C,"TKP",'Data - Monthly Metrics'!$D:$D,"Goal - Penetration %"),"On Track",IF(N70&gt;=SUMIFS('Data - Monthly Metrics'!$E:$E,'Data - Monthly Metrics'!$A:$A,$B$4,'Data - Monthly Metrics'!$B:$B,N$8,'Data - Monthly Metrics'!$C:$C,"TKP",'Data - Monthly Metrics'!$D:$D,"Goal - Penetration %")-0.05,"Watch","At Risk")))</f>
        <v/>
      </c>
      <c r="O71" s="120">
        <f>IF(OR(NOT(ISNUMBER(O70)),O70=0,COUNTIFS('Data - Monthly Metrics'!$A:$A,$B$4,'Data - Monthly Metrics'!$B:$B,O$8,'Data - Monthly Metrics'!$C:$C,"TKP",'Data - Monthly Metrics'!$D:$D,"Goal - Penetration %")=0),"—",IF(O70&gt;=SUMIFS('Data - Monthly Metrics'!$E:$E,'Data - Monthly Metrics'!$A:$A,$B$4,'Data - Monthly Metrics'!$B:$B,O$8,'Data - Monthly Metrics'!$C:$C,"TKP",'Data - Monthly Metrics'!$D:$D,"Goal - Penetration %"),"On Track",IF(O70&gt;=SUMIFS('Data - Monthly Metrics'!$E:$E,'Data - Monthly Metrics'!$A:$A,$B$4,'Data - Monthly Metrics'!$B:$B,O$8,'Data - Monthly Metrics'!$C:$C,"TKP",'Data - Monthly Metrics'!$D:$D,"Goal - Penetration %")-0.05,"Watch","At Risk")))</f>
        <v/>
      </c>
      <c r="P71" s="120">
        <f>IF(OR(NOT(ISNUMBER(P70)),P70=0,COUNTIFS('Data - Monthly Metrics'!$A:$A,$B$4,'Data - Monthly Metrics'!$B:$B,P$8,'Data - Monthly Metrics'!$C:$C,"TKP",'Data - Monthly Metrics'!$D:$D,"Goal - Penetration %")=0),"—",IF(P70&gt;=SUMIFS('Data - Monthly Metrics'!$E:$E,'Data - Monthly Metrics'!$A:$A,$B$4,'Data - Monthly Metrics'!$B:$B,P$8,'Data - Monthly Metrics'!$C:$C,"TKP",'Data - Monthly Metrics'!$D:$D,"Goal - Penetration %"),"On Track",IF(P70&gt;=SUMIFS('Data - Monthly Metrics'!$E:$E,'Data - Monthly Metrics'!$A:$A,$B$4,'Data - Monthly Metrics'!$B:$B,P$8,'Data - Monthly Metrics'!$C:$C,"TKP",'Data - Monthly Metrics'!$D:$D,"Goal - Penetration %")-0.05,"Watch","At Risk")))</f>
        <v/>
      </c>
      <c r="Q71" s="121">
        <f>"—"</f>
        <v/>
      </c>
      <c r="R71" s="121">
        <f>"—"</f>
        <v/>
      </c>
    </row>
    <row r="72" ht="14.25" customHeight="1" s="82">
      <c r="A72" s="151" t="inlineStr">
        <is>
          <t>Goal</t>
        </is>
      </c>
      <c r="B72" s="152">
        <f>IF(COUNTIFS('Data - Monthly Metrics'!$A:$A,$B$4-1,'Data - Monthly Metrics'!$B:$B,B$8,'Data - Monthly Metrics'!$C:$C,"TKP",'Data - Monthly Metrics'!$D:$D,"Goal - Penetration %")=0,"-",SUMIFS('Data - Monthly Metrics'!$E:$E,'Data - Monthly Metrics'!$A:$A,$B$4-1,'Data - Monthly Metrics'!$B:$B,B$8,'Data - Monthly Metrics'!$C:$C,"TKP",'Data - Monthly Metrics'!$D:$D,"Goal - Penetration %"))</f>
        <v/>
      </c>
      <c r="C72" s="152">
        <f>IF(COUNTIFS('Data - Monthly Metrics'!$A:$A,$B$4-1,'Data - Monthly Metrics'!$B:$B,C$8,'Data - Monthly Metrics'!$C:$C,"TKP",'Data - Monthly Metrics'!$D:$D,"Goal - Penetration %")=0,"-",SUMIFS('Data - Monthly Metrics'!$E:$E,'Data - Monthly Metrics'!$A:$A,$B$4-1,'Data - Monthly Metrics'!$B:$B,C$8,'Data - Monthly Metrics'!$C:$C,"TKP",'Data - Monthly Metrics'!$D:$D,"Goal - Penetration %"))</f>
        <v/>
      </c>
      <c r="D72" s="152">
        <f>IF(COUNTIFS('Data - Monthly Metrics'!$A:$A,$B$4-1,'Data - Monthly Metrics'!$B:$B,D$8,'Data - Monthly Metrics'!$C:$C,"TKP",'Data - Monthly Metrics'!$D:$D,"Goal - Penetration %")=0,"-",SUMIFS('Data - Monthly Metrics'!$E:$E,'Data - Monthly Metrics'!$A:$A,$B$4-1,'Data - Monthly Metrics'!$B:$B,D$8,'Data - Monthly Metrics'!$C:$C,"TKP",'Data - Monthly Metrics'!$D:$D,"Goal - Penetration %"))</f>
        <v/>
      </c>
      <c r="E72" s="153" t="n"/>
      <c r="F72" s="152">
        <f>IF(COUNTIFS('Data - Monthly Metrics'!$A:$A,$B$4,'Data - Monthly Metrics'!$B:$B,F$8,'Data - Monthly Metrics'!$C:$C,"TKP",'Data - Monthly Metrics'!$D:$D,"Goal - Penetration %")=0,"-",SUMIFS('Data - Monthly Metrics'!$E:$E,'Data - Monthly Metrics'!$A:$A,$B$4,'Data - Monthly Metrics'!$B:$B,F$8,'Data - Monthly Metrics'!$C:$C,"TKP",'Data - Monthly Metrics'!$D:$D,"Goal - Penetration %"))</f>
        <v/>
      </c>
      <c r="G72" s="152">
        <f>IF(COUNTIFS('Data - Monthly Metrics'!$A:$A,$B$4,'Data - Monthly Metrics'!$B:$B,G$8,'Data - Monthly Metrics'!$C:$C,"TKP",'Data - Monthly Metrics'!$D:$D,"Goal - Penetration %")=0,"-",SUMIFS('Data - Monthly Metrics'!$E:$E,'Data - Monthly Metrics'!$A:$A,$B$4,'Data - Monthly Metrics'!$B:$B,G$8,'Data - Monthly Metrics'!$C:$C,"TKP",'Data - Monthly Metrics'!$D:$D,"Goal - Penetration %"))</f>
        <v/>
      </c>
      <c r="H72" s="152">
        <f>IF(COUNTIFS('Data - Monthly Metrics'!$A:$A,$B$4,'Data - Monthly Metrics'!$B:$B,H$8,'Data - Monthly Metrics'!$C:$C,"TKP",'Data - Monthly Metrics'!$D:$D,"Goal - Penetration %")=0,"-",SUMIFS('Data - Monthly Metrics'!$E:$E,'Data - Monthly Metrics'!$A:$A,$B$4,'Data - Monthly Metrics'!$B:$B,H$8,'Data - Monthly Metrics'!$C:$C,"TKP",'Data - Monthly Metrics'!$D:$D,"Goal - Penetration %"))</f>
        <v/>
      </c>
      <c r="I72" s="153" t="n"/>
      <c r="J72" s="152">
        <f>IF(COUNTIFS('Data - Monthly Metrics'!$A:$A,$B$4,'Data - Monthly Metrics'!$B:$B,J$8,'Data - Monthly Metrics'!$C:$C,"TKP",'Data - Monthly Metrics'!$D:$D,"Goal - Penetration %")=0,"-",SUMIFS('Data - Monthly Metrics'!$E:$E,'Data - Monthly Metrics'!$A:$A,$B$4,'Data - Monthly Metrics'!$B:$B,J$8,'Data - Monthly Metrics'!$C:$C,"TKP",'Data - Monthly Metrics'!$D:$D,"Goal - Penetration %"))</f>
        <v/>
      </c>
      <c r="K72" s="152">
        <f>IF(COUNTIFS('Data - Monthly Metrics'!$A:$A,$B$4,'Data - Monthly Metrics'!$B:$B,K$8,'Data - Monthly Metrics'!$C:$C,"TKP",'Data - Monthly Metrics'!$D:$D,"Goal - Penetration %")=0,"-",SUMIFS('Data - Monthly Metrics'!$E:$E,'Data - Monthly Metrics'!$A:$A,$B$4,'Data - Monthly Metrics'!$B:$B,K$8,'Data - Monthly Metrics'!$C:$C,"TKP",'Data - Monthly Metrics'!$D:$D,"Goal - Penetration %"))</f>
        <v/>
      </c>
      <c r="L72" s="152">
        <f>IF(COUNTIFS('Data - Monthly Metrics'!$A:$A,$B$4,'Data - Monthly Metrics'!$B:$B,L$8,'Data - Monthly Metrics'!$C:$C,"TKP",'Data - Monthly Metrics'!$D:$D,"Goal - Penetration %")=0,"-",SUMIFS('Data - Monthly Metrics'!$E:$E,'Data - Monthly Metrics'!$A:$A,$B$4,'Data - Monthly Metrics'!$B:$B,L$8,'Data - Monthly Metrics'!$C:$C,"TKP",'Data - Monthly Metrics'!$D:$D,"Goal - Penetration %"))</f>
        <v/>
      </c>
      <c r="M72" s="153" t="n"/>
      <c r="N72" s="152">
        <f>IF(COUNTIFS('Data - Monthly Metrics'!$A:$A,$B$4,'Data - Monthly Metrics'!$B:$B,N$8,'Data - Monthly Metrics'!$C:$C,"TKP",'Data - Monthly Metrics'!$D:$D,"Goal - Penetration %")=0,"-",SUMIFS('Data - Monthly Metrics'!$E:$E,'Data - Monthly Metrics'!$A:$A,$B$4,'Data - Monthly Metrics'!$B:$B,N$8,'Data - Monthly Metrics'!$C:$C,"TKP",'Data - Monthly Metrics'!$D:$D,"Goal - Penetration %"))</f>
        <v/>
      </c>
      <c r="O72" s="152">
        <f>IF(COUNTIFS('Data - Monthly Metrics'!$A:$A,$B$4,'Data - Monthly Metrics'!$B:$B,O$8,'Data - Monthly Metrics'!$C:$C,"TKP",'Data - Monthly Metrics'!$D:$D,"Goal - Penetration %")=0,"-",SUMIFS('Data - Monthly Metrics'!$E:$E,'Data - Monthly Metrics'!$A:$A,$B$4,'Data - Monthly Metrics'!$B:$B,O$8,'Data - Monthly Metrics'!$C:$C,"TKP",'Data - Monthly Metrics'!$D:$D,"Goal - Penetration %"))</f>
        <v/>
      </c>
      <c r="P72" s="152">
        <f>IF(COUNTIFS('Data - Monthly Metrics'!$A:$A,$B$4,'Data - Monthly Metrics'!$B:$B,P$8,'Data - Monthly Metrics'!$C:$C,"TKP",'Data - Monthly Metrics'!$D:$D,"Goal - Penetration %")=0,"-",SUMIFS('Data - Monthly Metrics'!$E:$E,'Data - Monthly Metrics'!$A:$A,$B$4,'Data - Monthly Metrics'!$B:$B,P$8,'Data - Monthly Metrics'!$C:$C,"TKP",'Data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Metrics'!C:C,"TKP",'Data - Monthly Metrics'!D:D,"New Sales Revenue - Non-Target ($)")=0,"-",SUMIFS('Data - Monthly Metrics'!E:E,'Data - Monthly Metrics'!A:A,$B$4-1,'Data - Monthly Metrics'!B:B,"Oct",'Data - Monthly Metrics'!C:C,"TKP",'Data - Monthly Metrics'!D:D,"New Sales Revenue - Non-Target ($)"))</f>
        <v/>
      </c>
      <c r="C79" s="91">
        <f>IF(COUNTIFS('Data - Monthly Metrics'!A:A,$B$4-1,'Data - Monthly Metrics'!B:B,"Nov",'Data - Monthly Metrics'!C:C,"TKP",'Data - Monthly Metrics'!D:D,"New Sales Revenue - Non-Target ($)")=0,"-",SUMIFS('Data - Monthly Metrics'!E:E,'Data - Monthly Metrics'!A:A,$B$4-1,'Data - Monthly Metrics'!B:B,"Nov",'Data - Monthly Metrics'!C:C,"TKP",'Data - Monthly Metrics'!D:D,"New Sales Revenue - Non-Target ($)"))</f>
        <v/>
      </c>
      <c r="D79" s="91">
        <f>IF(COUNTIFS('Data - Monthly Metrics'!A:A,$B$4-1,'Data - Monthly Metrics'!B:B,"Dec",'Data - Monthly Metrics'!C:C,"TKP",'Data - Monthly Metrics'!D:D,"New Sales Revenue - Non-Target ($)")=0,"-",SUMIFS('Data - Monthly Metrics'!E:E,'Data - Monthly Metrics'!A:A,$B$4-1,'Data - Monthly Metrics'!B:B,"Dec",'Data - Monthly Metrics'!C:C,"TKP",'Data - Monthly Metrics'!D:D,"New Sales Revenue - Non-Target ($)"))</f>
        <v/>
      </c>
      <c r="E79" s="101">
        <f>SUM(B79,C79,D79)</f>
        <v/>
      </c>
      <c r="F79" s="91">
        <f>IF(COUNTIFS('Data - Monthly Metrics'!A:A,$B$4,'Data - Monthly Metrics'!B:B,"Jan",'Data - Monthly Metrics'!C:C,"TKP",'Data - Monthly Metrics'!D:D,"New Sales Revenue - Non-Target ($)")=0,"-",SUMIFS('Data - Monthly Metrics'!E:E,'Data - Monthly Metrics'!A:A,$B$4,'Data - Monthly Metrics'!B:B,"Jan",'Data - Monthly Metrics'!C:C,"TKP",'Data - Monthly Metrics'!D:D,"New Sales Revenue - Non-Target ($)"))</f>
        <v/>
      </c>
      <c r="G79" s="91">
        <f>IF(COUNTIFS('Data - Monthly Metrics'!A:A,$B$4,'Data - Monthly Metrics'!B:B,"Feb",'Data - Monthly Metrics'!C:C,"TKP",'Data - Monthly Metrics'!D:D,"New Sales Revenue - Non-Target ($)")=0,"-",SUMIFS('Data - Monthly Metrics'!E:E,'Data - Monthly Metrics'!A:A,$B$4,'Data - Monthly Metrics'!B:B,"Feb",'Data - Monthly Metrics'!C:C,"TKP",'Data - Monthly Metrics'!D:D,"New Sales Revenue - Non-Target ($)"))</f>
        <v/>
      </c>
      <c r="H79" s="91">
        <f>IF(COUNTIFS('Data - Monthly Metrics'!A:A,$B$4,'Data - Monthly Metrics'!B:B,"Mar",'Data - Monthly Metrics'!C:C,"TKP",'Data - Monthly Metrics'!D:D,"New Sales Revenue - Non-Target ($)")=0,"-",SUMIFS('Data - Monthly Metrics'!E:E,'Data - Monthly Metrics'!A:A,$B$4,'Data - Monthly Metrics'!B:B,"Mar",'Data - Monthly Metrics'!C:C,"TKP",'Data - Monthly Metrics'!D:D,"New Sales Revenue - Non-Target ($)"))</f>
        <v/>
      </c>
      <c r="I79" s="101">
        <f>SUM(F79,G79,H79)</f>
        <v/>
      </c>
      <c r="J79" s="91">
        <f>IF(COUNTIFS('Data - Monthly Metrics'!A:A,$B$4,'Data - Monthly Metrics'!B:B,"Apr",'Data - Monthly Metrics'!C:C,"TKP",'Data - Monthly Metrics'!D:D,"New Sales Revenue - Non-Target ($)")=0,"-",SUMIFS('Data - Monthly Metrics'!E:E,'Data - Monthly Metrics'!A:A,$B$4,'Data - Monthly Metrics'!B:B,"Apr",'Data - Monthly Metrics'!C:C,"TKP",'Data - Monthly Metrics'!D:D,"New Sales Revenue - Non-Target ($)"))</f>
        <v/>
      </c>
      <c r="K79" s="91">
        <f>IF(COUNTIFS('Data - Monthly Metrics'!A:A,$B$4,'Data - Monthly Metrics'!B:B,"May",'Data - Monthly Metrics'!C:C,"TKP",'Data - Monthly Metrics'!D:D,"New Sales Revenue - Non-Target ($)")=0,"-",SUMIFS('Data - Monthly Metrics'!E:E,'Data - Monthly Metrics'!A:A,$B$4,'Data - Monthly Metrics'!B:B,"May",'Data - Monthly Metrics'!C:C,"TKP",'Data - Monthly Metrics'!D:D,"New Sales Revenue - Non-Target ($)"))</f>
        <v/>
      </c>
      <c r="L79" s="91">
        <f>IF(COUNTIFS('Data - Monthly Metrics'!A:A,$B$4,'Data - Monthly Metrics'!B:B,"Jun",'Data - Monthly Metrics'!C:C,"TKP",'Data - Monthly Metrics'!D:D,"New Sales Revenue - Non-Target ($)")=0,"-",SUMIFS('Data - Monthly Metrics'!E:E,'Data - Monthly Metrics'!A:A,$B$4,'Data - Monthly Metrics'!B:B,"Jun",'Data - Monthly Metrics'!C:C,"TKP",'Data - Monthly Metrics'!D:D,"New Sales Revenue - Non-Target ($)"))</f>
        <v/>
      </c>
      <c r="M79" s="101">
        <f>SUM(J79,K79,L79)</f>
        <v/>
      </c>
      <c r="N79" s="91">
        <f>IF(COUNTIFS('Data - Monthly Metrics'!A:A,$B$4,'Data - Monthly Metrics'!B:B,"Jul",'Data - Monthly Metrics'!C:C,"TKP",'Data - Monthly Metrics'!D:D,"New Sales Revenue - Non-Target ($)")=0,"-",SUMIFS('Data - Monthly Metrics'!E:E,'Data - Monthly Metrics'!A:A,$B$4,'Data - Monthly Metrics'!B:B,"Jul",'Data - Monthly Metrics'!C:C,"TKP",'Data - Monthly Metrics'!D:D,"New Sales Revenue - Non-Target ($)"))</f>
        <v/>
      </c>
      <c r="O79" s="91">
        <f>IF(COUNTIFS('Data - Monthly Metrics'!A:A,$B$4,'Data - Monthly Metrics'!B:B,"Aug",'Data - Monthly Metrics'!C:C,"TKP",'Data - Monthly Metrics'!D:D,"New Sales Revenue - Non-Target ($)")=0,"-",SUMIFS('Data - Monthly Metrics'!E:E,'Data - Monthly Metrics'!A:A,$B$4,'Data - Monthly Metrics'!B:B,"Aug",'Data - Monthly Metrics'!C:C,"TKP",'Data - Monthly Metrics'!D:D,"New Sales Revenue - Non-Target ($)"))</f>
        <v/>
      </c>
      <c r="P79" s="91">
        <f>IF(COUNTIFS('Data - Monthly Metrics'!A:A,$B$4,'Data - Monthly Metrics'!B:B,"Sep",'Data - Monthly Metrics'!C:C,"TKP",'Data - Monthly Metrics'!D:D,"New Sales Revenue - Non-Target ($)")=0,"-",SUMIFS('Data - Monthly Metrics'!E:E,'Data - Monthly Metrics'!A:A,$B$4,'Data - Monthly Metrics'!B:B,"Sep",'Data - Monthly Metrics'!C:C,"TKP",'Data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Metrics'!C:C,"TKP",'Data - Monthly Metrics'!D:D,"New Members - Non-Target (#)")=0,"-",SUMIFS('Data - Monthly Metrics'!E:E,'Data - Monthly Metrics'!A:A,$B$4-1,'Data - Monthly Metrics'!B:B,"Oct",'Data - Monthly Metrics'!C:C,"TKP",'Data - Monthly Metrics'!D:D,"New Members - Non-Target (#)"))</f>
        <v/>
      </c>
      <c r="C80" s="98">
        <f>IF(COUNTIFS('Data - Monthly Metrics'!A:A,$B$4-1,'Data - Monthly Metrics'!B:B,"Nov",'Data - Monthly Metrics'!C:C,"TKP",'Data - Monthly Metrics'!D:D,"New Members - Non-Target (#)")=0,"-",SUMIFS('Data - Monthly Metrics'!E:E,'Data - Monthly Metrics'!A:A,$B$4-1,'Data - Monthly Metrics'!B:B,"Nov",'Data - Monthly Metrics'!C:C,"TKP",'Data - Monthly Metrics'!D:D,"New Members - Non-Target (#)"))</f>
        <v/>
      </c>
      <c r="D80" s="98">
        <f>IF(COUNTIFS('Data - Monthly Metrics'!A:A,$B$4-1,'Data - Monthly Metrics'!B:B,"Dec",'Data - Monthly Metrics'!C:C,"TKP",'Data - Monthly Metrics'!D:D,"New Members - Non-Target (#)")=0,"-",SUMIFS('Data - Monthly Metrics'!E:E,'Data - Monthly Metrics'!A:A,$B$4-1,'Data - Monthly Metrics'!B:B,"Dec",'Data - Monthly Metrics'!C:C,"TKP",'Data - Monthly Metrics'!D:D,"New Members - Non-Target (#)"))</f>
        <v/>
      </c>
      <c r="E80" s="103">
        <f>SUM(B80,C80,D80)</f>
        <v/>
      </c>
      <c r="F80" s="98">
        <f>IF(COUNTIFS('Data - Monthly Metrics'!A:A,$B$4,'Data - Monthly Metrics'!B:B,"Jan",'Data - Monthly Metrics'!C:C,"TKP",'Data - Monthly Metrics'!D:D,"New Members - Non-Target (#)")=0,"-",SUMIFS('Data - Monthly Metrics'!E:E,'Data - Monthly Metrics'!A:A,$B$4,'Data - Monthly Metrics'!B:B,"Jan",'Data - Monthly Metrics'!C:C,"TKP",'Data - Monthly Metrics'!D:D,"New Members - Non-Target (#)"))</f>
        <v/>
      </c>
      <c r="G80" s="98">
        <f>IF(COUNTIFS('Data - Monthly Metrics'!A:A,$B$4,'Data - Monthly Metrics'!B:B,"Feb",'Data - Monthly Metrics'!C:C,"TKP",'Data - Monthly Metrics'!D:D,"New Members - Non-Target (#)")=0,"-",SUMIFS('Data - Monthly Metrics'!E:E,'Data - Monthly Metrics'!A:A,$B$4,'Data - Monthly Metrics'!B:B,"Feb",'Data - Monthly Metrics'!C:C,"TKP",'Data - Monthly Metrics'!D:D,"New Members - Non-Target (#)"))</f>
        <v/>
      </c>
      <c r="H80" s="98">
        <f>IF(COUNTIFS('Data - Monthly Metrics'!A:A,$B$4,'Data - Monthly Metrics'!B:B,"Mar",'Data - Monthly Metrics'!C:C,"TKP",'Data - Monthly Metrics'!D:D,"New Members - Non-Target (#)")=0,"-",SUMIFS('Data - Monthly Metrics'!E:E,'Data - Monthly Metrics'!A:A,$B$4,'Data - Monthly Metrics'!B:B,"Mar",'Data - Monthly Metrics'!C:C,"TKP",'Data - Monthly Metrics'!D:D,"New Members - Non-Target (#)"))</f>
        <v/>
      </c>
      <c r="I80" s="103">
        <f>SUM(F80,G80,H80)</f>
        <v/>
      </c>
      <c r="J80" s="98">
        <f>IF(COUNTIFS('Data - Monthly Metrics'!A:A,$B$4,'Data - Monthly Metrics'!B:B,"Apr",'Data - Monthly Metrics'!C:C,"TKP",'Data - Monthly Metrics'!D:D,"New Members - Non-Target (#)")=0,"-",SUMIFS('Data - Monthly Metrics'!E:E,'Data - Monthly Metrics'!A:A,$B$4,'Data - Monthly Metrics'!B:B,"Apr",'Data - Monthly Metrics'!C:C,"TKP",'Data - Monthly Metrics'!D:D,"New Members - Non-Target (#)"))</f>
        <v/>
      </c>
      <c r="K80" s="98">
        <f>IF(COUNTIFS('Data - Monthly Metrics'!A:A,$B$4,'Data - Monthly Metrics'!B:B,"May",'Data - Monthly Metrics'!C:C,"TKP",'Data - Monthly Metrics'!D:D,"New Members - Non-Target (#)")=0,"-",SUMIFS('Data - Monthly Metrics'!E:E,'Data - Monthly Metrics'!A:A,$B$4,'Data - Monthly Metrics'!B:B,"May",'Data - Monthly Metrics'!C:C,"TKP",'Data - Monthly Metrics'!D:D,"New Members - Non-Target (#)"))</f>
        <v/>
      </c>
      <c r="L80" s="98">
        <f>IF(COUNTIFS('Data - Monthly Metrics'!A:A,$B$4,'Data - Monthly Metrics'!B:B,"Jun",'Data - Monthly Metrics'!C:C,"TKP",'Data - Monthly Metrics'!D:D,"New Members - Non-Target (#)")=0,"-",SUMIFS('Data - Monthly Metrics'!E:E,'Data - Monthly Metrics'!A:A,$B$4,'Data - Monthly Metrics'!B:B,"Jun",'Data - Monthly Metrics'!C:C,"TKP",'Data - Monthly Metrics'!D:D,"New Members - Non-Target (#)"))</f>
        <v/>
      </c>
      <c r="M80" s="103">
        <f>SUM(J80,K80,L80)</f>
        <v/>
      </c>
      <c r="N80" s="98">
        <f>IF(COUNTIFS('Data - Monthly Metrics'!A:A,$B$4,'Data - Monthly Metrics'!B:B,"Jul",'Data - Monthly Metrics'!C:C,"TKP",'Data - Monthly Metrics'!D:D,"New Members - Non-Target (#)")=0,"-",SUMIFS('Data - Monthly Metrics'!E:E,'Data - Monthly Metrics'!A:A,$B$4,'Data - Monthly Metrics'!B:B,"Jul",'Data - Monthly Metrics'!C:C,"TKP",'Data - Monthly Metrics'!D:D,"New Members - Non-Target (#)"))</f>
        <v/>
      </c>
      <c r="O80" s="98">
        <f>IF(COUNTIFS('Data - Monthly Metrics'!A:A,$B$4,'Data - Monthly Metrics'!B:B,"Aug",'Data - Monthly Metrics'!C:C,"TKP",'Data - Monthly Metrics'!D:D,"New Members - Non-Target (#)")=0,"-",SUMIFS('Data - Monthly Metrics'!E:E,'Data - Monthly Metrics'!A:A,$B$4,'Data - Monthly Metrics'!B:B,"Aug",'Data - Monthly Metrics'!C:C,"TKP",'Data - Monthly Metrics'!D:D,"New Members - Non-Target (#)"))</f>
        <v/>
      </c>
      <c r="P80" s="98">
        <f>IF(COUNTIFS('Data - Monthly Metrics'!A:A,$B$4,'Data - Monthly Metrics'!B:B,"Sep",'Data - Monthly Metrics'!C:C,"TKP",'Data - Monthly Metrics'!D:D,"New Members - Non-Target (#)")=0,"-",SUMIFS('Data - Monthly Metrics'!E:E,'Data - Monthly Metrics'!A:A,$B$4,'Data - Monthly Metrics'!B:B,"Sep",'Data - Monthly Metrics'!C:C,"TKP",'Data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Metrics'!C:C,"TKP",'Data - Monthly Metrics'!D:D,"Billables - Hospitality Non-Target (#)")=0,"-",SUMIFS('Data - Monthly Metrics'!E:E,'Data - Monthly Metrics'!A:A,$B$4-1,'Data - Monthly Metrics'!B:B,"Oct",'Data - Monthly Metrics'!C:C,"TKP",'Data - Monthly Metrics'!D:D,"Billables - Hospitality Non-Target (#)"))</f>
        <v/>
      </c>
      <c r="C84" s="93">
        <f>IF(COUNTIFS('Data - Monthly Metrics'!A:A,$B$4-1,'Data - Monthly Metrics'!B:B,"Nov",'Data - Monthly Metrics'!C:C,"TKP",'Data - Monthly Metrics'!D:D,"Billables - Hospitality Non-Target (#)")=0,"-",SUMIFS('Data - Monthly Metrics'!E:E,'Data - Monthly Metrics'!A:A,$B$4-1,'Data - Monthly Metrics'!B:B,"Nov",'Data - Monthly Metrics'!C:C,"TKP",'Data - Monthly Metrics'!D:D,"Billables - Hospitality Non-Target (#)"))</f>
        <v/>
      </c>
      <c r="D84" s="93">
        <f>IF(COUNTIFS('Data - Monthly Metrics'!A:A,$B$4-1,'Data - Monthly Metrics'!B:B,"Dec",'Data - Monthly Metrics'!C:C,"TKP",'Data - Monthly Metrics'!D:D,"Billables - Hospitality Non-Target (#)")=0,"-",SUMIFS('Data - Monthly Metrics'!E:E,'Data - Monthly Metrics'!A:A,$B$4-1,'Data - Monthly Metrics'!B:B,"Dec",'Data - Monthly Metrics'!C:C,"TKP",'Data - Monthly Metrics'!D:D,"Billables - Hospitality Non-Target (#)"))</f>
        <v/>
      </c>
      <c r="E84" s="103">
        <f>IF(ISNUMBER(D84),D84,IF(ISNUMBER(C84),C84,IF(ISNUMBER(B84),B84,"-")))</f>
        <v/>
      </c>
      <c r="F84" s="93">
        <f>IF(COUNTIFS('Data - Monthly Metrics'!A:A,$B$4,'Data - Monthly Metrics'!B:B,"Jan",'Data - Monthly Metrics'!C:C,"TKP",'Data - Monthly Metrics'!D:D,"Billables - Hospitality Non-Target (#)")=0,"-",SUMIFS('Data - Monthly Metrics'!E:E,'Data - Monthly Metrics'!A:A,$B$4,'Data - Monthly Metrics'!B:B,"Jan",'Data - Monthly Metrics'!C:C,"TKP",'Data - Monthly Metrics'!D:D,"Billables - Hospitality Non-Target (#)"))</f>
        <v/>
      </c>
      <c r="G84" s="93">
        <f>IF(COUNTIFS('Data - Monthly Metrics'!A:A,$B$4,'Data - Monthly Metrics'!B:B,"Feb",'Data - Monthly Metrics'!C:C,"TKP",'Data - Monthly Metrics'!D:D,"Billables - Hospitality Non-Target (#)")=0,"-",SUMIFS('Data - Monthly Metrics'!E:E,'Data - Monthly Metrics'!A:A,$B$4,'Data - Monthly Metrics'!B:B,"Feb",'Data - Monthly Metrics'!C:C,"TKP",'Data - Monthly Metrics'!D:D,"Billables - Hospitality Non-Target (#)"))</f>
        <v/>
      </c>
      <c r="H84" s="93">
        <f>IF(COUNTIFS('Data - Monthly Metrics'!A:A,$B$4,'Data - Monthly Metrics'!B:B,"Mar",'Data - Monthly Metrics'!C:C,"TKP",'Data - Monthly Metrics'!D:D,"Billables - Hospitality Non-Target (#)")=0,"-",SUMIFS('Data - Monthly Metrics'!E:E,'Data - Monthly Metrics'!A:A,$B$4,'Data - Monthly Metrics'!B:B,"Mar",'Data - Monthly Metrics'!C:C,"TKP",'Data - Monthly Metrics'!D:D,"Billables - Hospitality Non-Target (#)"))</f>
        <v/>
      </c>
      <c r="I84" s="103">
        <f>IF(ISNUMBER(H84),H84,IF(ISNUMBER(G84),G84,IF(ISNUMBER(F84),F84,"-")))</f>
        <v/>
      </c>
      <c r="J84" s="93">
        <f>IF(COUNTIFS('Data - Monthly Metrics'!A:A,$B$4,'Data - Monthly Metrics'!B:B,"Apr",'Data - Monthly Metrics'!C:C,"TKP",'Data - Monthly Metrics'!D:D,"Billables - Hospitality Non-Target (#)")=0,"-",SUMIFS('Data - Monthly Metrics'!E:E,'Data - Monthly Metrics'!A:A,$B$4,'Data - Monthly Metrics'!B:B,"Apr",'Data - Monthly Metrics'!C:C,"TKP",'Data - Monthly Metrics'!D:D,"Billables - Hospitality Non-Target (#)"))</f>
        <v/>
      </c>
      <c r="K84" s="93">
        <f>IF(COUNTIFS('Data - Monthly Metrics'!A:A,$B$4,'Data - Monthly Metrics'!B:B,"May",'Data - Monthly Metrics'!C:C,"TKP",'Data - Monthly Metrics'!D:D,"Billables - Hospitality Non-Target (#)")=0,"-",SUMIFS('Data - Monthly Metrics'!E:E,'Data - Monthly Metrics'!A:A,$B$4,'Data - Monthly Metrics'!B:B,"May",'Data - Monthly Metrics'!C:C,"TKP",'Data - Monthly Metrics'!D:D,"Billables - Hospitality Non-Target (#)"))</f>
        <v/>
      </c>
      <c r="L84" s="93">
        <f>IF(COUNTIFS('Data - Monthly Metrics'!A:A,$B$4,'Data - Monthly Metrics'!B:B,"Jun",'Data - Monthly Metrics'!C:C,"TKP",'Data - Monthly Metrics'!D:D,"Billables - Hospitality Non-Target (#)")=0,"-",SUMIFS('Data - Monthly Metrics'!E:E,'Data - Monthly Metrics'!A:A,$B$4,'Data - Monthly Metrics'!B:B,"Jun",'Data - Monthly Metrics'!C:C,"TKP",'Data - Monthly Metrics'!D:D,"Billables - Hospitality Non-Target (#)"))</f>
        <v/>
      </c>
      <c r="M84" s="103">
        <f>IF(ISNUMBER(L84),L84,IF(ISNUMBER(K84),K84,IF(ISNUMBER(J84),J84,"-")))</f>
        <v/>
      </c>
      <c r="N84" s="93">
        <f>IF(COUNTIFS('Data - Monthly Metrics'!A:A,$B$4,'Data - Monthly Metrics'!B:B,"Jul",'Data - Monthly Metrics'!C:C,"TKP",'Data - Monthly Metrics'!D:D,"Billables - Hospitality Non-Target (#)")=0,"-",SUMIFS('Data - Monthly Metrics'!E:E,'Data - Monthly Metrics'!A:A,$B$4,'Data - Monthly Metrics'!B:B,"Jul",'Data - Monthly Metrics'!C:C,"TKP",'Data - Monthly Metrics'!D:D,"Billables - Hospitality Non-Target (#)"))</f>
        <v/>
      </c>
      <c r="O84" s="93">
        <f>IF(COUNTIFS('Data - Monthly Metrics'!A:A,$B$4,'Data - Monthly Metrics'!B:B,"Aug",'Data - Monthly Metrics'!C:C,"TKP",'Data - Monthly Metrics'!D:D,"Billables - Hospitality Non-Target (#)")=0,"-",SUMIFS('Data - Monthly Metrics'!E:E,'Data - Monthly Metrics'!A:A,$B$4,'Data - Monthly Metrics'!B:B,"Aug",'Data - Monthly Metrics'!C:C,"TKP",'Data - Monthly Metrics'!D:D,"Billables - Hospitality Non-Target (#)"))</f>
        <v/>
      </c>
      <c r="P84" s="93">
        <f>IF(COUNTIFS('Data - Monthly Metrics'!A:A,$B$4,'Data - Monthly Metrics'!B:B,"Sep",'Data - Monthly Metrics'!C:C,"TKP",'Data - Monthly Metrics'!D:D,"Billables - Hospitality Non-Target (#)")=0,"-",SUMIFS('Data - Monthly Metrics'!E:E,'Data - Monthly Metrics'!A:A,$B$4,'Data - Monthly Metrics'!B:B,"Sep",'Data - Monthly Metrics'!C:C,"TKP",'Data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Metrics'!C:C,"TKP",'Data - Monthly Metrics'!D:D,"Member Locations - Non-Target (#)")=0,"-",SUMIFS('Data - Monthly Metrics'!E:E,'Data - Monthly Metrics'!A:A,$B$4-1,'Data - Monthly Metrics'!B:B,"Oct",'Data - Monthly Metrics'!C:C,"TKP",'Data - Monthly Metrics'!D:D,"Member Locations - Non-Target (#)"))</f>
        <v/>
      </c>
      <c r="C85" s="93">
        <f>IF(COUNTIFS('Data - Monthly Metrics'!A:A,$B$4-1,'Data - Monthly Metrics'!B:B,"Nov",'Data - Monthly Metrics'!C:C,"TKP",'Data - Monthly Metrics'!D:D,"Member Locations - Non-Target (#)")=0,"-",SUMIFS('Data - Monthly Metrics'!E:E,'Data - Monthly Metrics'!A:A,$B$4-1,'Data - Monthly Metrics'!B:B,"Nov",'Data - Monthly Metrics'!C:C,"TKP",'Data - Monthly Metrics'!D:D,"Member Locations - Non-Target (#)"))</f>
        <v/>
      </c>
      <c r="D85" s="93">
        <f>IF(COUNTIFS('Data - Monthly Metrics'!A:A,$B$4-1,'Data - Monthly Metrics'!B:B,"Dec",'Data - Monthly Metrics'!C:C,"TKP",'Data - Monthly Metrics'!D:D,"Member Locations - Non-Target (#)")=0,"-",SUMIFS('Data - Monthly Metrics'!E:E,'Data - Monthly Metrics'!A:A,$B$4-1,'Data - Monthly Metrics'!B:B,"Dec",'Data - Monthly Metrics'!C:C,"TKP",'Data - Monthly Metrics'!D:D,"Member Locations - Non-Target (#)"))</f>
        <v/>
      </c>
      <c r="E85" s="103">
        <f>IF(ISNUMBER(D85),D85,IF(ISNUMBER(C85),C85,IF(ISNUMBER(B85),B85,"-")))</f>
        <v/>
      </c>
      <c r="F85" s="93">
        <f>IF(COUNTIFS('Data - Monthly Metrics'!A:A,$B$4,'Data - Monthly Metrics'!B:B,"Jan",'Data - Monthly Metrics'!C:C,"TKP",'Data - Monthly Metrics'!D:D,"Member Locations - Non-Target (#)")=0,"-",SUMIFS('Data - Monthly Metrics'!E:E,'Data - Monthly Metrics'!A:A,$B$4,'Data - Monthly Metrics'!B:B,"Jan",'Data - Monthly Metrics'!C:C,"TKP",'Data - Monthly Metrics'!D:D,"Member Locations - Non-Target (#)"))</f>
        <v/>
      </c>
      <c r="G85" s="93">
        <f>IF(COUNTIFS('Data - Monthly Metrics'!A:A,$B$4,'Data - Monthly Metrics'!B:B,"Feb",'Data - Monthly Metrics'!C:C,"TKP",'Data - Monthly Metrics'!D:D,"Member Locations - Non-Target (#)")=0,"-",SUMIFS('Data - Monthly Metrics'!E:E,'Data - Monthly Metrics'!A:A,$B$4,'Data - Monthly Metrics'!B:B,"Feb",'Data - Monthly Metrics'!C:C,"TKP",'Data - Monthly Metrics'!D:D,"Member Locations - Non-Target (#)"))</f>
        <v/>
      </c>
      <c r="H85" s="93">
        <f>IF(COUNTIFS('Data - Monthly Metrics'!A:A,$B$4,'Data - Monthly Metrics'!B:B,"Mar",'Data - Monthly Metrics'!C:C,"TKP",'Data - Monthly Metrics'!D:D,"Member Locations - Non-Target (#)")=0,"-",SUMIFS('Data - Monthly Metrics'!E:E,'Data - Monthly Metrics'!A:A,$B$4,'Data - Monthly Metrics'!B:B,"Mar",'Data - Monthly Metrics'!C:C,"TKP",'Data - Monthly Metrics'!D:D,"Member Locations - Non-Target (#)"))</f>
        <v/>
      </c>
      <c r="I85" s="103">
        <f>IF(ISNUMBER(H85),H85,IF(ISNUMBER(G85),G85,IF(ISNUMBER(F85),F85,"-")))</f>
        <v/>
      </c>
      <c r="J85" s="93">
        <f>IF(COUNTIFS('Data - Monthly Metrics'!A:A,$B$4,'Data - Monthly Metrics'!B:B,"Apr",'Data - Monthly Metrics'!C:C,"TKP",'Data - Monthly Metrics'!D:D,"Member Locations - Non-Target (#)")=0,"-",SUMIFS('Data - Monthly Metrics'!E:E,'Data - Monthly Metrics'!A:A,$B$4,'Data - Monthly Metrics'!B:B,"Apr",'Data - Monthly Metrics'!C:C,"TKP",'Data - Monthly Metrics'!D:D,"Member Locations - Non-Target (#)"))</f>
        <v/>
      </c>
      <c r="K85" s="93">
        <f>IF(COUNTIFS('Data - Monthly Metrics'!A:A,$B$4,'Data - Monthly Metrics'!B:B,"May",'Data - Monthly Metrics'!C:C,"TKP",'Data - Monthly Metrics'!D:D,"Member Locations - Non-Target (#)")=0,"-",SUMIFS('Data - Monthly Metrics'!E:E,'Data - Monthly Metrics'!A:A,$B$4,'Data - Monthly Metrics'!B:B,"May",'Data - Monthly Metrics'!C:C,"TKP",'Data - Monthly Metrics'!D:D,"Member Locations - Non-Target (#)"))</f>
        <v/>
      </c>
      <c r="L85" s="93">
        <f>IF(COUNTIFS('Data - Monthly Metrics'!A:A,$B$4,'Data - Monthly Metrics'!B:B,"Jun",'Data - Monthly Metrics'!C:C,"TKP",'Data - Monthly Metrics'!D:D,"Member Locations - Non-Target (#)")=0,"-",SUMIFS('Data - Monthly Metrics'!E:E,'Data - Monthly Metrics'!A:A,$B$4,'Data - Monthly Metrics'!B:B,"Jun",'Data - Monthly Metrics'!C:C,"TKP",'Data - Monthly Metrics'!D:D,"Member Locations - Non-Target (#)"))</f>
        <v/>
      </c>
      <c r="M85" s="103">
        <f>IF(ISNUMBER(L85),L85,IF(ISNUMBER(K85),K85,IF(ISNUMBER(J85),J85,"-")))</f>
        <v/>
      </c>
      <c r="N85" s="93">
        <f>IF(COUNTIFS('Data - Monthly Metrics'!A:A,$B$4,'Data - Monthly Metrics'!B:B,"Jul",'Data - Monthly Metrics'!C:C,"TKP",'Data - Monthly Metrics'!D:D,"Member Locations - Non-Target (#)")=0,"-",SUMIFS('Data - Monthly Metrics'!E:E,'Data - Monthly Metrics'!A:A,$B$4,'Data - Monthly Metrics'!B:B,"Jul",'Data - Monthly Metrics'!C:C,"TKP",'Data - Monthly Metrics'!D:D,"Member Locations - Non-Target (#)"))</f>
        <v/>
      </c>
      <c r="O85" s="93">
        <f>IF(COUNTIFS('Data - Monthly Metrics'!A:A,$B$4,'Data - Monthly Metrics'!B:B,"Aug",'Data - Monthly Metrics'!C:C,"TKP",'Data - Monthly Metrics'!D:D,"Member Locations - Non-Target (#)")=0,"-",SUMIFS('Data - Monthly Metrics'!E:E,'Data - Monthly Metrics'!A:A,$B$4,'Data - Monthly Metrics'!B:B,"Aug",'Data - Monthly Metrics'!C:C,"TKP",'Data - Monthly Metrics'!D:D,"Member Locations - Non-Target (#)"))</f>
        <v/>
      </c>
      <c r="P85" s="93">
        <f>IF(COUNTIFS('Data - Monthly Metrics'!A:A,$B$4,'Data - Monthly Metrics'!B:B,"Sep",'Data - Monthly Metrics'!C:C,"TKP",'Data - Monthly Metrics'!D:D,"Member Locations - Non-Target (#)")=0,"-",SUMIFS('Data - Monthly Metrics'!E:E,'Data - Monthly Metrics'!A:A,$B$4,'Data - Monthly Metrics'!B:B,"Sep",'Data - Monthly Metrics'!C:C,"TKP",'Data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Metrics'!C:C,"TKP",'Data - Monthly Metrics'!D:D,"Billables - Allied (#)")=0,"-",SUMIFS('Data - Monthly Metrics'!E:E,'Data - Monthly Metrics'!A:A,$B$4-1,'Data - Monthly Metrics'!B:B,"Oct",'Data - Monthly Metrics'!C:C,"TKP",'Data - Monthly Metrics'!D:D,"Billables - Allied (#)"))</f>
        <v/>
      </c>
      <c r="C86" s="98">
        <f>IF(COUNTIFS('Data - Monthly Metrics'!A:A,$B$4-1,'Data - Monthly Metrics'!B:B,"Nov",'Data - Monthly Metrics'!C:C,"TKP",'Data - Monthly Metrics'!D:D,"Billables - Allied (#)")=0,"-",SUMIFS('Data - Monthly Metrics'!E:E,'Data - Monthly Metrics'!A:A,$B$4-1,'Data - Monthly Metrics'!B:B,"Nov",'Data - Monthly Metrics'!C:C,"TKP",'Data - Monthly Metrics'!D:D,"Billables - Allied (#)"))</f>
        <v/>
      </c>
      <c r="D86" s="98">
        <f>IF(COUNTIFS('Data - Monthly Metrics'!A:A,$B$4-1,'Data - Monthly Metrics'!B:B,"Dec",'Data - Monthly Metrics'!C:C,"TKP",'Data - Monthly Metrics'!D:D,"Billables - Allied (#)")=0,"-",SUMIFS('Data - Monthly Metrics'!E:E,'Data - Monthly Metrics'!A:A,$B$4-1,'Data - Monthly Metrics'!B:B,"Dec",'Data - Monthly Metrics'!C:C,"TKP",'Data - Monthly Metrics'!D:D,"Billables - Allied (#)"))</f>
        <v/>
      </c>
      <c r="E86" s="103">
        <f>IF(ISNUMBER(D86),D86,IF(ISNUMBER(C86),C86,IF(ISNUMBER(B86),B86,"-")))</f>
        <v/>
      </c>
      <c r="F86" s="98">
        <f>IF(COUNTIFS('Data - Monthly Metrics'!A:A,$B$4,'Data - Monthly Metrics'!B:B,"Jan",'Data - Monthly Metrics'!C:C,"TKP",'Data - Monthly Metrics'!D:D,"Billables - Allied (#)")=0,"-",SUMIFS('Data - Monthly Metrics'!E:E,'Data - Monthly Metrics'!A:A,$B$4,'Data - Monthly Metrics'!B:B,"Jan",'Data - Monthly Metrics'!C:C,"TKP",'Data - Monthly Metrics'!D:D,"Billables - Allied (#)"))</f>
        <v/>
      </c>
      <c r="G86" s="98">
        <f>IF(COUNTIFS('Data - Monthly Metrics'!A:A,$B$4,'Data - Monthly Metrics'!B:B,"Feb",'Data - Monthly Metrics'!C:C,"TKP",'Data - Monthly Metrics'!D:D,"Billables - Allied (#)")=0,"-",SUMIFS('Data - Monthly Metrics'!E:E,'Data - Monthly Metrics'!A:A,$B$4,'Data - Monthly Metrics'!B:B,"Feb",'Data - Monthly Metrics'!C:C,"TKP",'Data - Monthly Metrics'!D:D,"Billables - Allied (#)"))</f>
        <v/>
      </c>
      <c r="H86" s="98">
        <f>IF(COUNTIFS('Data - Monthly Metrics'!A:A,$B$4,'Data - Monthly Metrics'!B:B,"Mar",'Data - Monthly Metrics'!C:C,"TKP",'Data - Monthly Metrics'!D:D,"Billables - Allied (#)")=0,"-",SUMIFS('Data - Monthly Metrics'!E:E,'Data - Monthly Metrics'!A:A,$B$4,'Data - Monthly Metrics'!B:B,"Mar",'Data - Monthly Metrics'!C:C,"TKP",'Data - Monthly Metrics'!D:D,"Billables - Allied (#)"))</f>
        <v/>
      </c>
      <c r="I86" s="103">
        <f>IF(ISNUMBER(H86),H86,IF(ISNUMBER(G86),G86,IF(ISNUMBER(F86),F86,"-")))</f>
        <v/>
      </c>
      <c r="J86" s="98">
        <f>IF(COUNTIFS('Data - Monthly Metrics'!A:A,$B$4,'Data - Monthly Metrics'!B:B,"Apr",'Data - Monthly Metrics'!C:C,"TKP",'Data - Monthly Metrics'!D:D,"Billables - Allied (#)")=0,"-",SUMIFS('Data - Monthly Metrics'!E:E,'Data - Monthly Metrics'!A:A,$B$4,'Data - Monthly Metrics'!B:B,"Apr",'Data - Monthly Metrics'!C:C,"TKP",'Data - Monthly Metrics'!D:D,"Billables - Allied (#)"))</f>
        <v/>
      </c>
      <c r="K86" s="98">
        <f>IF(COUNTIFS('Data - Monthly Metrics'!A:A,$B$4,'Data - Monthly Metrics'!B:B,"May",'Data - Monthly Metrics'!C:C,"TKP",'Data - Monthly Metrics'!D:D,"Billables - Allied (#)")=0,"-",SUMIFS('Data - Monthly Metrics'!E:E,'Data - Monthly Metrics'!A:A,$B$4,'Data - Monthly Metrics'!B:B,"May",'Data - Monthly Metrics'!C:C,"TKP",'Data - Monthly Metrics'!D:D,"Billables - Allied (#)"))</f>
        <v/>
      </c>
      <c r="L86" s="98">
        <f>IF(COUNTIFS('Data - Monthly Metrics'!A:A,$B$4,'Data - Monthly Metrics'!B:B,"Jun",'Data - Monthly Metrics'!C:C,"TKP",'Data - Monthly Metrics'!D:D,"Billables - Allied (#)")=0,"-",SUMIFS('Data - Monthly Metrics'!E:E,'Data - Monthly Metrics'!A:A,$B$4,'Data - Monthly Metrics'!B:B,"Jun",'Data - Monthly Metrics'!C:C,"TKP",'Data - Monthly Metrics'!D:D,"Billables - Allied (#)"))</f>
        <v/>
      </c>
      <c r="M86" s="103">
        <f>IF(ISNUMBER(L86),L86,IF(ISNUMBER(K86),K86,IF(ISNUMBER(J86),J86,"-")))</f>
        <v/>
      </c>
      <c r="N86" s="98">
        <f>IF(COUNTIFS('Data - Monthly Metrics'!A:A,$B$4,'Data - Monthly Metrics'!B:B,"Jul",'Data - Monthly Metrics'!C:C,"TKP",'Data - Monthly Metrics'!D:D,"Billables - Allied (#)")=0,"-",SUMIFS('Data - Monthly Metrics'!E:E,'Data - Monthly Metrics'!A:A,$B$4,'Data - Monthly Metrics'!B:B,"Jul",'Data - Monthly Metrics'!C:C,"TKP",'Data - Monthly Metrics'!D:D,"Billables - Allied (#)"))</f>
        <v/>
      </c>
      <c r="O86" s="98">
        <f>IF(COUNTIFS('Data - Monthly Metrics'!A:A,$B$4,'Data - Monthly Metrics'!B:B,"Aug",'Data - Monthly Metrics'!C:C,"TKP",'Data - Monthly Metrics'!D:D,"Billables - Allied (#)")=0,"-",SUMIFS('Data - Monthly Metrics'!E:E,'Data - Monthly Metrics'!A:A,$B$4,'Data - Monthly Metrics'!B:B,"Aug",'Data - Monthly Metrics'!C:C,"TKP",'Data - Monthly Metrics'!D:D,"Billables - Allied (#)"))</f>
        <v/>
      </c>
      <c r="P86" s="98">
        <f>IF(COUNTIFS('Data - Monthly Metrics'!A:A,$B$4,'Data - Monthly Metrics'!B:B,"Sep",'Data - Monthly Metrics'!C:C,"TKP",'Data - Monthly Metrics'!D:D,"Billables - Allied (#)")=0,"-",SUMIFS('Data - Monthly Metrics'!E:E,'Data - Monthly Metrics'!A:A,$B$4,'Data - Monthly Metrics'!B:B,"Sep",'Data - Monthly Metrics'!C:C,"TKP",'Data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Metrics'!C:C,"TKP",'Data - Monthly Metrics'!D:D,"Members Up for Renewal - Non-Target (#)")=0,"-",SUMIFS('Data - Monthly Metrics'!E:E,'Data - Monthly Metrics'!A:A,$B$4-1,'Data - Monthly Metrics'!B:B,"Oct",'Data - Monthly Metrics'!C:C,"TKP",'Data - Monthly Metrics'!D:D,"Members Up for Renewal - Non-Target (#)"))</f>
        <v/>
      </c>
      <c r="C91" s="93">
        <f>IF(COUNTIFS('Data - Monthly Metrics'!A:A,$B$4-1,'Data - Monthly Metrics'!B:B,"Nov",'Data - Monthly Metrics'!C:C,"TKP",'Data - Monthly Metrics'!D:D,"Members Up for Renewal - Non-Target (#)")=0,"-",SUMIFS('Data - Monthly Metrics'!E:E,'Data - Monthly Metrics'!A:A,$B$4-1,'Data - Monthly Metrics'!B:B,"Nov",'Data - Monthly Metrics'!C:C,"TKP",'Data - Monthly Metrics'!D:D,"Members Up for Renewal - Non-Target (#)"))</f>
        <v/>
      </c>
      <c r="D91" s="93">
        <f>IF(COUNTIFS('Data - Monthly Metrics'!A:A,$B$4-1,'Data - Monthly Metrics'!B:B,"Dec",'Data - Monthly Metrics'!C:C,"TKP",'Data - Monthly Metrics'!D:D,"Members Up for Renewal - Non-Target (#)")=0,"-",SUMIFS('Data - Monthly Metrics'!E:E,'Data - Monthly Metrics'!A:A,$B$4-1,'Data - Monthly Metrics'!B:B,"Dec",'Data - Monthly Metrics'!C:C,"TKP",'Data - Monthly Metrics'!D:D,"Members Up for Renewal - Non-Target (#)"))</f>
        <v/>
      </c>
      <c r="E91" s="103">
        <f>SUM(B91,C91,D91)</f>
        <v/>
      </c>
      <c r="F91" s="93">
        <f>IF(COUNTIFS('Data - Monthly Metrics'!A:A,$B$4,'Data - Monthly Metrics'!B:B,"Jan",'Data - Monthly Metrics'!C:C,"TKP",'Data - Monthly Metrics'!D:D,"Members Up for Renewal - Non-Target (#)")=0,"-",SUMIFS('Data - Monthly Metrics'!E:E,'Data - Monthly Metrics'!A:A,$B$4,'Data - Monthly Metrics'!B:B,"Jan",'Data - Monthly Metrics'!C:C,"TKP",'Data - Monthly Metrics'!D:D,"Members Up for Renewal - Non-Target (#)"))</f>
        <v/>
      </c>
      <c r="G91" s="93">
        <f>IF(COUNTIFS('Data - Monthly Metrics'!A:A,$B$4,'Data - Monthly Metrics'!B:B,"Feb",'Data - Monthly Metrics'!C:C,"TKP",'Data - Monthly Metrics'!D:D,"Members Up for Renewal - Non-Target (#)")=0,"-",SUMIFS('Data - Monthly Metrics'!E:E,'Data - Monthly Metrics'!A:A,$B$4,'Data - Monthly Metrics'!B:B,"Feb",'Data - Monthly Metrics'!C:C,"TKP",'Data - Monthly Metrics'!D:D,"Members Up for Renewal - Non-Target (#)"))</f>
        <v/>
      </c>
      <c r="H91" s="93">
        <f>IF(COUNTIFS('Data - Monthly Metrics'!A:A,$B$4,'Data - Monthly Metrics'!B:B,"Mar",'Data - Monthly Metrics'!C:C,"TKP",'Data - Monthly Metrics'!D:D,"Members Up for Renewal - Non-Target (#)")=0,"-",SUMIFS('Data - Monthly Metrics'!E:E,'Data - Monthly Metrics'!A:A,$B$4,'Data - Monthly Metrics'!B:B,"Mar",'Data - Monthly Metrics'!C:C,"TKP",'Data - Monthly Metrics'!D:D,"Members Up for Renewal - Non-Target (#)"))</f>
        <v/>
      </c>
      <c r="I91" s="103">
        <f>SUM(F91,G91,H91)</f>
        <v/>
      </c>
      <c r="J91" s="93">
        <f>IF(COUNTIFS('Data - Monthly Metrics'!A:A,$B$4,'Data - Monthly Metrics'!B:B,"Apr",'Data - Monthly Metrics'!C:C,"TKP",'Data - Monthly Metrics'!D:D,"Members Up for Renewal - Non-Target (#)")=0,"-",SUMIFS('Data - Monthly Metrics'!E:E,'Data - Monthly Metrics'!A:A,$B$4,'Data - Monthly Metrics'!B:B,"Apr",'Data - Monthly Metrics'!C:C,"TKP",'Data - Monthly Metrics'!D:D,"Members Up for Renewal - Non-Target (#)"))</f>
        <v/>
      </c>
      <c r="K91" s="93">
        <f>IF(COUNTIFS('Data - Monthly Metrics'!A:A,$B$4,'Data - Monthly Metrics'!B:B,"May",'Data - Monthly Metrics'!C:C,"TKP",'Data - Monthly Metrics'!D:D,"Members Up for Renewal - Non-Target (#)")=0,"-",SUMIFS('Data - Monthly Metrics'!E:E,'Data - Monthly Metrics'!A:A,$B$4,'Data - Monthly Metrics'!B:B,"May",'Data - Monthly Metrics'!C:C,"TKP",'Data - Monthly Metrics'!D:D,"Members Up for Renewal - Non-Target (#)"))</f>
        <v/>
      </c>
      <c r="L91" s="93">
        <f>IF(COUNTIFS('Data - Monthly Metrics'!A:A,$B$4,'Data - Monthly Metrics'!B:B,"Jun",'Data - Monthly Metrics'!C:C,"TKP",'Data - Monthly Metrics'!D:D,"Members Up for Renewal - Non-Target (#)")=0,"-",SUMIFS('Data - Monthly Metrics'!E:E,'Data - Monthly Metrics'!A:A,$B$4,'Data - Monthly Metrics'!B:B,"Jun",'Data - Monthly Metrics'!C:C,"TKP",'Data - Monthly Metrics'!D:D,"Members Up for Renewal - Non-Target (#)"))</f>
        <v/>
      </c>
      <c r="M91" s="103">
        <f>SUM(J91,K91,L91)</f>
        <v/>
      </c>
      <c r="N91" s="93">
        <f>IF(COUNTIFS('Data - Monthly Metrics'!A:A,$B$4,'Data - Monthly Metrics'!B:B,"Jul",'Data - Monthly Metrics'!C:C,"TKP",'Data - Monthly Metrics'!D:D,"Members Up for Renewal - Non-Target (#)")=0,"-",SUMIFS('Data - Monthly Metrics'!E:E,'Data - Monthly Metrics'!A:A,$B$4,'Data - Monthly Metrics'!B:B,"Jul",'Data - Monthly Metrics'!C:C,"TKP",'Data - Monthly Metrics'!D:D,"Members Up for Renewal - Non-Target (#)"))</f>
        <v/>
      </c>
      <c r="O91" s="93">
        <f>IF(COUNTIFS('Data - Monthly Metrics'!A:A,$B$4,'Data - Monthly Metrics'!B:B,"Aug",'Data - Monthly Metrics'!C:C,"TKP",'Data - Monthly Metrics'!D:D,"Members Up for Renewal - Non-Target (#)")=0,"-",SUMIFS('Data - Monthly Metrics'!E:E,'Data - Monthly Metrics'!A:A,$B$4,'Data - Monthly Metrics'!B:B,"Aug",'Data - Monthly Metrics'!C:C,"TKP",'Data - Monthly Metrics'!D:D,"Members Up for Renewal - Non-Target (#)"))</f>
        <v/>
      </c>
      <c r="P91" s="93">
        <f>IF(COUNTIFS('Data - Monthly Metrics'!A:A,$B$4,'Data - Monthly Metrics'!B:B,"Sep",'Data - Monthly Metrics'!C:C,"TKP",'Data - Monthly Metrics'!D:D,"Members Up for Renewal - Non-Target (#)")=0,"-",SUMIFS('Data - Monthly Metrics'!E:E,'Data - Monthly Metrics'!A:A,$B$4,'Data - Monthly Metrics'!B:B,"Sep",'Data - Monthly Metrics'!C:C,"TKP",'Data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Metrics'!C:C,"TKP",'Data - Monthly Metrics'!D:D,"Members Retained - Non-Target (#)")=0,"-",SUMIFS('Data - Monthly Metrics'!E:E,'Data - Monthly Metrics'!A:A,$B$4-1,'Data - Monthly Metrics'!B:B,"Oct",'Data - Monthly Metrics'!C:C,"TKP",'Data - Monthly Metrics'!D:D,"Members Retained - Non-Target (#)"))</f>
        <v/>
      </c>
      <c r="C92" s="98">
        <f>IF(COUNTIFS('Data - Monthly Metrics'!A:A,$B$4-1,'Data - Monthly Metrics'!B:B,"Nov",'Data - Monthly Metrics'!C:C,"TKP",'Data - Monthly Metrics'!D:D,"Members Retained - Non-Target (#)")=0,"-",SUMIFS('Data - Monthly Metrics'!E:E,'Data - Monthly Metrics'!A:A,$B$4-1,'Data - Monthly Metrics'!B:B,"Nov",'Data - Monthly Metrics'!C:C,"TKP",'Data - Monthly Metrics'!D:D,"Members Retained - Non-Target (#)"))</f>
        <v/>
      </c>
      <c r="D92" s="98">
        <f>IF(COUNTIFS('Data - Monthly Metrics'!A:A,$B$4-1,'Data - Monthly Metrics'!B:B,"Dec",'Data - Monthly Metrics'!C:C,"TKP",'Data - Monthly Metrics'!D:D,"Members Retained - Non-Target (#)")=0,"-",SUMIFS('Data - Monthly Metrics'!E:E,'Data - Monthly Metrics'!A:A,$B$4-1,'Data - Monthly Metrics'!B:B,"Dec",'Data - Monthly Metrics'!C:C,"TKP",'Data - Monthly Metrics'!D:D,"Members Retained - Non-Target (#)"))</f>
        <v/>
      </c>
      <c r="E92" s="103">
        <f>SUM(B92,C92,D92)</f>
        <v/>
      </c>
      <c r="F92" s="98">
        <f>IF(COUNTIFS('Data - Monthly Metrics'!A:A,$B$4,'Data - Monthly Metrics'!B:B,"Jan",'Data - Monthly Metrics'!C:C,"TKP",'Data - Monthly Metrics'!D:D,"Members Retained - Non-Target (#)")=0,"-",SUMIFS('Data - Monthly Metrics'!E:E,'Data - Monthly Metrics'!A:A,$B$4,'Data - Monthly Metrics'!B:B,"Jan",'Data - Monthly Metrics'!C:C,"TKP",'Data - Monthly Metrics'!D:D,"Members Retained - Non-Target (#)"))</f>
        <v/>
      </c>
      <c r="G92" s="98">
        <f>IF(COUNTIFS('Data - Monthly Metrics'!A:A,$B$4,'Data - Monthly Metrics'!B:B,"Feb",'Data - Monthly Metrics'!C:C,"TKP",'Data - Monthly Metrics'!D:D,"Members Retained - Non-Target (#)")=0,"-",SUMIFS('Data - Monthly Metrics'!E:E,'Data - Monthly Metrics'!A:A,$B$4,'Data - Monthly Metrics'!B:B,"Feb",'Data - Monthly Metrics'!C:C,"TKP",'Data - Monthly Metrics'!D:D,"Members Retained - Non-Target (#)"))</f>
        <v/>
      </c>
      <c r="H92" s="98">
        <f>IF(COUNTIFS('Data - Monthly Metrics'!A:A,$B$4,'Data - Monthly Metrics'!B:B,"Mar",'Data - Monthly Metrics'!C:C,"TKP",'Data - Monthly Metrics'!D:D,"Members Retained - Non-Target (#)")=0,"-",SUMIFS('Data - Monthly Metrics'!E:E,'Data - Monthly Metrics'!A:A,$B$4,'Data - Monthly Metrics'!B:B,"Mar",'Data - Monthly Metrics'!C:C,"TKP",'Data - Monthly Metrics'!D:D,"Members Retained - Non-Target (#)"))</f>
        <v/>
      </c>
      <c r="I92" s="103">
        <f>SUM(F92,G92,H92)</f>
        <v/>
      </c>
      <c r="J92" s="98">
        <f>IF(COUNTIFS('Data - Monthly Metrics'!A:A,$B$4,'Data - Monthly Metrics'!B:B,"Apr",'Data - Monthly Metrics'!C:C,"TKP",'Data - Monthly Metrics'!D:D,"Members Retained - Non-Target (#)")=0,"-",SUMIFS('Data - Monthly Metrics'!E:E,'Data - Monthly Metrics'!A:A,$B$4,'Data - Monthly Metrics'!B:B,"Apr",'Data - Monthly Metrics'!C:C,"TKP",'Data - Monthly Metrics'!D:D,"Members Retained - Non-Target (#)"))</f>
        <v/>
      </c>
      <c r="K92" s="98">
        <f>IF(COUNTIFS('Data - Monthly Metrics'!A:A,$B$4,'Data - Monthly Metrics'!B:B,"May",'Data - Monthly Metrics'!C:C,"TKP",'Data - Monthly Metrics'!D:D,"Members Retained - Non-Target (#)")=0,"-",SUMIFS('Data - Monthly Metrics'!E:E,'Data - Monthly Metrics'!A:A,$B$4,'Data - Monthly Metrics'!B:B,"May",'Data - Monthly Metrics'!C:C,"TKP",'Data - Monthly Metrics'!D:D,"Members Retained - Non-Target (#)"))</f>
        <v/>
      </c>
      <c r="L92" s="98">
        <f>IF(COUNTIFS('Data - Monthly Metrics'!A:A,$B$4,'Data - Monthly Metrics'!B:B,"Jun",'Data - Monthly Metrics'!C:C,"TKP",'Data - Monthly Metrics'!D:D,"Members Retained - Non-Target (#)")=0,"-",SUMIFS('Data - Monthly Metrics'!E:E,'Data - Monthly Metrics'!A:A,$B$4,'Data - Monthly Metrics'!B:B,"Jun",'Data - Monthly Metrics'!C:C,"TKP",'Data - Monthly Metrics'!D:D,"Members Retained - Non-Target (#)"))</f>
        <v/>
      </c>
      <c r="M92" s="103">
        <f>SUM(J92,K92,L92)</f>
        <v/>
      </c>
      <c r="N92" s="98">
        <f>IF(COUNTIFS('Data - Monthly Metrics'!A:A,$B$4,'Data - Monthly Metrics'!B:B,"Jul",'Data - Monthly Metrics'!C:C,"TKP",'Data - Monthly Metrics'!D:D,"Members Retained - Non-Target (#)")=0,"-",SUMIFS('Data - Monthly Metrics'!E:E,'Data - Monthly Metrics'!A:A,$B$4,'Data - Monthly Metrics'!B:B,"Jul",'Data - Monthly Metrics'!C:C,"TKP",'Data - Monthly Metrics'!D:D,"Members Retained - Non-Target (#)"))</f>
        <v/>
      </c>
      <c r="O92" s="98">
        <f>IF(COUNTIFS('Data - Monthly Metrics'!A:A,$B$4,'Data - Monthly Metrics'!B:B,"Aug",'Data - Monthly Metrics'!C:C,"TKP",'Data - Monthly Metrics'!D:D,"Members Retained - Non-Target (#)")=0,"-",SUMIFS('Data - Monthly Metrics'!E:E,'Data - Monthly Metrics'!A:A,$B$4,'Data - Monthly Metrics'!B:B,"Aug",'Data - Monthly Metrics'!C:C,"TKP",'Data - Monthly Metrics'!D:D,"Members Retained - Non-Target (#)"))</f>
        <v/>
      </c>
      <c r="P92" s="98">
        <f>IF(COUNTIFS('Data - Monthly Metrics'!A:A,$B$4,'Data - Monthly Metrics'!B:B,"Sep",'Data - Monthly Metrics'!C:C,"TKP",'Data - Monthly Metrics'!D:D,"Members Retained - Non-Target (#)")=0,"-",SUMIFS('Data - Monthly Metrics'!E:E,'Data - Monthly Metrics'!A:A,$B$4,'Data - Monthly Metrics'!B:B,"Sep",'Data - Monthly Metrics'!C:C,"TKP",'Data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Metrics'!$C:$C,"TKP",'Data - Monthly Metrics'!$D:$D,"Goal - Retention %")=0),"—",IF(B93&gt;=SUMIFS('Data - Monthly Metrics'!$E:$E,'Data - Monthly Metrics'!$A:$A,$B$4-1,'Data - Monthly Metrics'!$B:$B,B$8,'Data - Monthly Metrics'!$C:$C,"TKP",'Data - Monthly Metrics'!$D:$D,"Goal - Retention %"),"On Track",IF(B93&gt;=SUMIFS('Data - Monthly Metrics'!$E:$E,'Data - Monthly Metrics'!$A:$A,$B$4-1,'Data - Monthly Metrics'!$B:$B,B$8,'Data - Monthly Metrics'!$C:$C,"TKP",'Data - Monthly Metrics'!$D:$D,"Goal - Retention %")-0.05,"Watch","At Risk")))</f>
        <v/>
      </c>
      <c r="C94" s="120">
        <f>IF(OR(NOT(ISNUMBER(C93)),C93=0,COUNTIFS('Data - Monthly Metrics'!$A:$A,$B$4-1,'Data - Monthly Metrics'!$B:$B,C$8,'Data - Monthly Metrics'!$C:$C,"TKP",'Data - Monthly Metrics'!$D:$D,"Goal - Retention %")=0),"—",IF(C93&gt;=SUMIFS('Data - Monthly Metrics'!$E:$E,'Data - Monthly Metrics'!$A:$A,$B$4-1,'Data - Monthly Metrics'!$B:$B,C$8,'Data - Monthly Metrics'!$C:$C,"TKP",'Data - Monthly Metrics'!$D:$D,"Goal - Retention %"),"On Track",IF(C93&gt;=SUMIFS('Data - Monthly Metrics'!$E:$E,'Data - Monthly Metrics'!$A:$A,$B$4-1,'Data - Monthly Metrics'!$B:$B,C$8,'Data - Monthly Metrics'!$C:$C,"TKP",'Data - Monthly Metrics'!$D:$D,"Goal - Retention %")-0.05,"Watch","At Risk")))</f>
        <v/>
      </c>
      <c r="D94" s="120">
        <f>IF(OR(NOT(ISNUMBER(D93)),D93=0,COUNTIFS('Data - Monthly Metrics'!$A:$A,$B$4-1,'Data - Monthly Metrics'!$B:$B,D$8,'Data - Monthly Metrics'!$C:$C,"TKP",'Data - Monthly Metrics'!$D:$D,"Goal - Retention %")=0),"—",IF(D93&gt;=SUMIFS('Data - Monthly Metrics'!$E:$E,'Data - Monthly Metrics'!$A:$A,$B$4-1,'Data - Monthly Metrics'!$B:$B,D$8,'Data - Monthly Metrics'!$C:$C,"TKP",'Data - Monthly Metrics'!$D:$D,"Goal - Retention %"),"On Track",IF(D93&gt;=SUMIFS('Data - Monthly Metrics'!$E:$E,'Data - Monthly Metrics'!$A:$A,$B$4-1,'Data - Monthly Metrics'!$B:$B,D$8,'Data - Monthly Metrics'!$C:$C,"TKP",'Data - Monthly Metrics'!$D:$D,"Goal - Retention %")-0.05,"Watch","At Risk")))</f>
        <v/>
      </c>
      <c r="E94" s="121">
        <f>"—"</f>
        <v/>
      </c>
      <c r="F94" s="120">
        <f>IF(OR(NOT(ISNUMBER(F93)),F93=0,COUNTIFS('Data - Monthly Metrics'!$A:$A,$B$4,'Data - Monthly Metrics'!$B:$B,F$8,'Data - Monthly Metrics'!$C:$C,"TKP",'Data - Monthly Metrics'!$D:$D,"Goal - Retention %")=0),"—",IF(F93&gt;=SUMIFS('Data - Monthly Metrics'!$E:$E,'Data - Monthly Metrics'!$A:$A,$B$4,'Data - Monthly Metrics'!$B:$B,F$8,'Data - Monthly Metrics'!$C:$C,"TKP",'Data - Monthly Metrics'!$D:$D,"Goal - Retention %"),"On Track",IF(F93&gt;=SUMIFS('Data - Monthly Metrics'!$E:$E,'Data - Monthly Metrics'!$A:$A,$B$4,'Data - Monthly Metrics'!$B:$B,F$8,'Data - Monthly Metrics'!$C:$C,"TKP",'Data - Monthly Metrics'!$D:$D,"Goal - Retention %")-0.05,"Watch","At Risk")))</f>
        <v/>
      </c>
      <c r="G94" s="120">
        <f>IF(OR(NOT(ISNUMBER(G93)),G93=0,COUNTIFS('Data - Monthly Metrics'!$A:$A,$B$4,'Data - Monthly Metrics'!$B:$B,G$8,'Data - Monthly Metrics'!$C:$C,"TKP",'Data - Monthly Metrics'!$D:$D,"Goal - Retention %")=0),"—",IF(G93&gt;=SUMIFS('Data - Monthly Metrics'!$E:$E,'Data - Monthly Metrics'!$A:$A,$B$4,'Data - Monthly Metrics'!$B:$B,G$8,'Data - Monthly Metrics'!$C:$C,"TKP",'Data - Monthly Metrics'!$D:$D,"Goal - Retention %"),"On Track",IF(G93&gt;=SUMIFS('Data - Monthly Metrics'!$E:$E,'Data - Monthly Metrics'!$A:$A,$B$4,'Data - Monthly Metrics'!$B:$B,G$8,'Data - Monthly Metrics'!$C:$C,"TKP",'Data - Monthly Metrics'!$D:$D,"Goal - Retention %")-0.05,"Watch","At Risk")))</f>
        <v/>
      </c>
      <c r="H94" s="120">
        <f>IF(OR(NOT(ISNUMBER(H93)),H93=0,COUNTIFS('Data - Monthly Metrics'!$A:$A,$B$4,'Data - Monthly Metrics'!$B:$B,H$8,'Data - Monthly Metrics'!$C:$C,"TKP",'Data - Monthly Metrics'!$D:$D,"Goal - Retention %")=0),"—",IF(H93&gt;=SUMIFS('Data - Monthly Metrics'!$E:$E,'Data - Monthly Metrics'!$A:$A,$B$4,'Data - Monthly Metrics'!$B:$B,H$8,'Data - Monthly Metrics'!$C:$C,"TKP",'Data - Monthly Metrics'!$D:$D,"Goal - Retention %"),"On Track",IF(H93&gt;=SUMIFS('Data - Monthly Metrics'!$E:$E,'Data - Monthly Metrics'!$A:$A,$B$4,'Data - Monthly Metrics'!$B:$B,H$8,'Data - Monthly Metrics'!$C:$C,"TKP",'Data - Monthly Metrics'!$D:$D,"Goal - Retention %")-0.05,"Watch","At Risk")))</f>
        <v/>
      </c>
      <c r="I94" s="121">
        <f>"—"</f>
        <v/>
      </c>
      <c r="J94" s="120">
        <f>IF(OR(NOT(ISNUMBER(J93)),J93=0,COUNTIFS('Data - Monthly Metrics'!$A:$A,$B$4,'Data - Monthly Metrics'!$B:$B,J$8,'Data - Monthly Metrics'!$C:$C,"TKP",'Data - Monthly Metrics'!$D:$D,"Goal - Retention %")=0),"—",IF(J93&gt;=SUMIFS('Data - Monthly Metrics'!$E:$E,'Data - Monthly Metrics'!$A:$A,$B$4,'Data - Monthly Metrics'!$B:$B,J$8,'Data - Monthly Metrics'!$C:$C,"TKP",'Data - Monthly Metrics'!$D:$D,"Goal - Retention %"),"On Track",IF(J93&gt;=SUMIFS('Data - Monthly Metrics'!$E:$E,'Data - Monthly Metrics'!$A:$A,$B$4,'Data - Monthly Metrics'!$B:$B,J$8,'Data - Monthly Metrics'!$C:$C,"TKP",'Data - Monthly Metrics'!$D:$D,"Goal - Retention %")-0.05,"Watch","At Risk")))</f>
        <v/>
      </c>
      <c r="K94" s="120">
        <f>IF(OR(NOT(ISNUMBER(K93)),K93=0,COUNTIFS('Data - Monthly Metrics'!$A:$A,$B$4,'Data - Monthly Metrics'!$B:$B,K$8,'Data - Monthly Metrics'!$C:$C,"TKP",'Data - Monthly Metrics'!$D:$D,"Goal - Retention %")=0),"—",IF(K93&gt;=SUMIFS('Data - Monthly Metrics'!$E:$E,'Data - Monthly Metrics'!$A:$A,$B$4,'Data - Monthly Metrics'!$B:$B,K$8,'Data - Monthly Metrics'!$C:$C,"TKP",'Data - Monthly Metrics'!$D:$D,"Goal - Retention %"),"On Track",IF(K93&gt;=SUMIFS('Data - Monthly Metrics'!$E:$E,'Data - Monthly Metrics'!$A:$A,$B$4,'Data - Monthly Metrics'!$B:$B,K$8,'Data - Monthly Metrics'!$C:$C,"TKP",'Data - Monthly Metrics'!$D:$D,"Goal - Retention %")-0.05,"Watch","At Risk")))</f>
        <v/>
      </c>
      <c r="L94" s="120">
        <f>IF(OR(NOT(ISNUMBER(L93)),L93=0,COUNTIFS('Data - Monthly Metrics'!$A:$A,$B$4,'Data - Monthly Metrics'!$B:$B,L$8,'Data - Monthly Metrics'!$C:$C,"TKP",'Data - Monthly Metrics'!$D:$D,"Goal - Retention %")=0),"—",IF(L93&gt;=SUMIFS('Data - Monthly Metrics'!$E:$E,'Data - Monthly Metrics'!$A:$A,$B$4,'Data - Monthly Metrics'!$B:$B,L$8,'Data - Monthly Metrics'!$C:$C,"TKP",'Data - Monthly Metrics'!$D:$D,"Goal - Retention %"),"On Track",IF(L93&gt;=SUMIFS('Data - Monthly Metrics'!$E:$E,'Data - Monthly Metrics'!$A:$A,$B$4,'Data - Monthly Metrics'!$B:$B,L$8,'Data - Monthly Metrics'!$C:$C,"TKP",'Data - Monthly Metrics'!$D:$D,"Goal - Retention %")-0.05,"Watch","At Risk")))</f>
        <v/>
      </c>
      <c r="M94" s="121">
        <f>"—"</f>
        <v/>
      </c>
      <c r="N94" s="120">
        <f>IF(OR(NOT(ISNUMBER(N93)),N93=0,COUNTIFS('Data - Monthly Metrics'!$A:$A,$B$4,'Data - Monthly Metrics'!$B:$B,N$8,'Data - Monthly Metrics'!$C:$C,"TKP",'Data - Monthly Metrics'!$D:$D,"Goal - Retention %")=0),"—",IF(N93&gt;=SUMIFS('Data - Monthly Metrics'!$E:$E,'Data - Monthly Metrics'!$A:$A,$B$4,'Data - Monthly Metrics'!$B:$B,N$8,'Data - Monthly Metrics'!$C:$C,"TKP",'Data - Monthly Metrics'!$D:$D,"Goal - Retention %"),"On Track",IF(N93&gt;=SUMIFS('Data - Monthly Metrics'!$E:$E,'Data - Monthly Metrics'!$A:$A,$B$4,'Data - Monthly Metrics'!$B:$B,N$8,'Data - Monthly Metrics'!$C:$C,"TKP",'Data - Monthly Metrics'!$D:$D,"Goal - Retention %")-0.05,"Watch","At Risk")))</f>
        <v/>
      </c>
      <c r="O94" s="120">
        <f>IF(OR(NOT(ISNUMBER(O93)),O93=0,COUNTIFS('Data - Monthly Metrics'!$A:$A,$B$4,'Data - Monthly Metrics'!$B:$B,O$8,'Data - Monthly Metrics'!$C:$C,"TKP",'Data - Monthly Metrics'!$D:$D,"Goal - Retention %")=0),"—",IF(O93&gt;=SUMIFS('Data - Monthly Metrics'!$E:$E,'Data - Monthly Metrics'!$A:$A,$B$4,'Data - Monthly Metrics'!$B:$B,O$8,'Data - Monthly Metrics'!$C:$C,"TKP",'Data - Monthly Metrics'!$D:$D,"Goal - Retention %"),"On Track",IF(O93&gt;=SUMIFS('Data - Monthly Metrics'!$E:$E,'Data - Monthly Metrics'!$A:$A,$B$4,'Data - Monthly Metrics'!$B:$B,O$8,'Data - Monthly Metrics'!$C:$C,"TKP",'Data - Monthly Metrics'!$D:$D,"Goal - Retention %")-0.05,"Watch","At Risk")))</f>
        <v/>
      </c>
      <c r="P94" s="120">
        <f>IF(OR(NOT(ISNUMBER(P93)),P93=0,COUNTIFS('Data - Monthly Metrics'!$A:$A,$B$4,'Data - Monthly Metrics'!$B:$B,P$8,'Data - Monthly Metrics'!$C:$C,"TKP",'Data - Monthly Metrics'!$D:$D,"Goal - Retention %")=0),"—",IF(P93&gt;=SUMIFS('Data - Monthly Metrics'!$E:$E,'Data - Monthly Metrics'!$A:$A,$B$4,'Data - Monthly Metrics'!$B:$B,P$8,'Data - Monthly Metrics'!$C:$C,"TKP",'Data - Monthly Metrics'!$D:$D,"Goal - Retention %"),"On Track",IF(P93&gt;=SUMIFS('Data - Monthly Metrics'!$E:$E,'Data - Monthly Metrics'!$A:$A,$B$4,'Data - Monthly Metrics'!$B:$B,P$8,'Data - Monthly Metrics'!$C:$C,"TKP",'Data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Metrics'!C:C,"TKP",'Data - Monthly Metrics'!D:D,"Retention - Comped Non-Target (#)")=0,"-",SUMIFS('Data - Monthly Metrics'!E:E,'Data - Monthly Metrics'!A:A,$B$4-1,'Data - Monthly Metrics'!B:B,"Oct",'Data - Monthly Metrics'!C:C,"TKP",'Data - Monthly Metrics'!D:D,"Retention - Comped Non-Target (#)"))</f>
        <v/>
      </c>
      <c r="C95" s="98">
        <f>IF(COUNTIFS('Data - Monthly Metrics'!A:A,$B$4-1,'Data - Monthly Metrics'!B:B,"Nov",'Data - Monthly Metrics'!C:C,"TKP",'Data - Monthly Metrics'!D:D,"Retention - Comped Non-Target (#)")=0,"-",SUMIFS('Data - Monthly Metrics'!E:E,'Data - Monthly Metrics'!A:A,$B$4-1,'Data - Monthly Metrics'!B:B,"Nov",'Data - Monthly Metrics'!C:C,"TKP",'Data - Monthly Metrics'!D:D,"Retention - Comped Non-Target (#)"))</f>
        <v/>
      </c>
      <c r="D95" s="98">
        <f>IF(COUNTIFS('Data - Monthly Metrics'!A:A,$B$4-1,'Data - Monthly Metrics'!B:B,"Dec",'Data - Monthly Metrics'!C:C,"TKP",'Data - Monthly Metrics'!D:D,"Retention - Comped Non-Target (#)")=0,"-",SUMIFS('Data - Monthly Metrics'!E:E,'Data - Monthly Metrics'!A:A,$B$4-1,'Data - Monthly Metrics'!B:B,"Dec",'Data - Monthly Metrics'!C:C,"TKP",'Data - Monthly Metrics'!D:D,"Retention - Comped Non-Target (#)"))</f>
        <v/>
      </c>
      <c r="E95" s="103">
        <f>SUM(B95,C95,D95)</f>
        <v/>
      </c>
      <c r="F95" s="98">
        <f>IF(COUNTIFS('Data - Monthly Metrics'!A:A,$B$4,'Data - Monthly Metrics'!B:B,"Jan",'Data - Monthly Metrics'!C:C,"TKP",'Data - Monthly Metrics'!D:D,"Retention - Comped Non-Target (#)")=0,"-",SUMIFS('Data - Monthly Metrics'!E:E,'Data - Monthly Metrics'!A:A,$B$4,'Data - Monthly Metrics'!B:B,"Jan",'Data - Monthly Metrics'!C:C,"TKP",'Data - Monthly Metrics'!D:D,"Retention - Comped Non-Target (#)"))</f>
        <v/>
      </c>
      <c r="G95" s="98">
        <f>IF(COUNTIFS('Data - Monthly Metrics'!A:A,$B$4,'Data - Monthly Metrics'!B:B,"Feb",'Data - Monthly Metrics'!C:C,"TKP",'Data - Monthly Metrics'!D:D,"Retention - Comped Non-Target (#)")=0,"-",SUMIFS('Data - Monthly Metrics'!E:E,'Data - Monthly Metrics'!A:A,$B$4,'Data - Monthly Metrics'!B:B,"Feb",'Data - Monthly Metrics'!C:C,"TKP",'Data - Monthly Metrics'!D:D,"Retention - Comped Non-Target (#)"))</f>
        <v/>
      </c>
      <c r="H95" s="98">
        <f>IF(COUNTIFS('Data - Monthly Metrics'!A:A,$B$4,'Data - Monthly Metrics'!B:B,"Mar",'Data - Monthly Metrics'!C:C,"TKP",'Data - Monthly Metrics'!D:D,"Retention - Comped Non-Target (#)")=0,"-",SUMIFS('Data - Monthly Metrics'!E:E,'Data - Monthly Metrics'!A:A,$B$4,'Data - Monthly Metrics'!B:B,"Mar",'Data - Monthly Metrics'!C:C,"TKP",'Data - Monthly Metrics'!D:D,"Retention - Comped Non-Target (#)"))</f>
        <v/>
      </c>
      <c r="I95" s="103">
        <f>SUM(F95,G95,H95)</f>
        <v/>
      </c>
      <c r="J95" s="98">
        <f>IF(COUNTIFS('Data - Monthly Metrics'!A:A,$B$4,'Data - Monthly Metrics'!B:B,"Apr",'Data - Monthly Metrics'!C:C,"TKP",'Data - Monthly Metrics'!D:D,"Retention - Comped Non-Target (#)")=0,"-",SUMIFS('Data - Monthly Metrics'!E:E,'Data - Monthly Metrics'!A:A,$B$4,'Data - Monthly Metrics'!B:B,"Apr",'Data - Monthly Metrics'!C:C,"TKP",'Data - Monthly Metrics'!D:D,"Retention - Comped Non-Target (#)"))</f>
        <v/>
      </c>
      <c r="K95" s="98">
        <f>IF(COUNTIFS('Data - Monthly Metrics'!A:A,$B$4,'Data - Monthly Metrics'!B:B,"May",'Data - Monthly Metrics'!C:C,"TKP",'Data - Monthly Metrics'!D:D,"Retention - Comped Non-Target (#)")=0,"-",SUMIFS('Data - Monthly Metrics'!E:E,'Data - Monthly Metrics'!A:A,$B$4,'Data - Monthly Metrics'!B:B,"May",'Data - Monthly Metrics'!C:C,"TKP",'Data - Monthly Metrics'!D:D,"Retention - Comped Non-Target (#)"))</f>
        <v/>
      </c>
      <c r="L95" s="98">
        <f>IF(COUNTIFS('Data - Monthly Metrics'!A:A,$B$4,'Data - Monthly Metrics'!B:B,"Jun",'Data - Monthly Metrics'!C:C,"TKP",'Data - Monthly Metrics'!D:D,"Retention - Comped Non-Target (#)")=0,"-",SUMIFS('Data - Monthly Metrics'!E:E,'Data - Monthly Metrics'!A:A,$B$4,'Data - Monthly Metrics'!B:B,"Jun",'Data - Monthly Metrics'!C:C,"TKP",'Data - Monthly Metrics'!D:D,"Retention - Comped Non-Target (#)"))</f>
        <v/>
      </c>
      <c r="M95" s="103">
        <f>SUM(J95,K95,L95)</f>
        <v/>
      </c>
      <c r="N95" s="98">
        <f>IF(COUNTIFS('Data - Monthly Metrics'!A:A,$B$4,'Data - Monthly Metrics'!B:B,"Jul",'Data - Monthly Metrics'!C:C,"TKP",'Data - Monthly Metrics'!D:D,"Retention - Comped Non-Target (#)")=0,"-",SUMIFS('Data - Monthly Metrics'!E:E,'Data - Monthly Metrics'!A:A,$B$4,'Data - Monthly Metrics'!B:B,"Jul",'Data - Monthly Metrics'!C:C,"TKP",'Data - Monthly Metrics'!D:D,"Retention - Comped Non-Target (#)"))</f>
        <v/>
      </c>
      <c r="O95" s="98">
        <f>IF(COUNTIFS('Data - Monthly Metrics'!A:A,$B$4,'Data - Monthly Metrics'!B:B,"Aug",'Data - Monthly Metrics'!C:C,"TKP",'Data - Monthly Metrics'!D:D,"Retention - Comped Non-Target (#)")=0,"-",SUMIFS('Data - Monthly Metrics'!E:E,'Data - Monthly Metrics'!A:A,$B$4,'Data - Monthly Metrics'!B:B,"Aug",'Data - Monthly Metrics'!C:C,"TKP",'Data - Monthly Metrics'!D:D,"Retention - Comped Non-Target (#)"))</f>
        <v/>
      </c>
      <c r="P95" s="98">
        <f>IF(COUNTIFS('Data - Monthly Metrics'!A:A,$B$4,'Data - Monthly Metrics'!B:B,"Sep",'Data - Monthly Metrics'!C:C,"TKP",'Data - Monthly Metrics'!D:D,"Retention - Comped Non-Target (#)")=0,"-",SUMIFS('Data - Monthly Metrics'!E:E,'Data - Monthly Metrics'!A:A,$B$4,'Data - Monthly Metrics'!B:B,"Sep",'Data - Monthly Metrics'!C:C,"TKP",'Data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Metrics'!C:C,"TKP",'Data - Monthly Metrics'!D:D,"Retention - Comped Non-Target ($)")=0,"-",SUMIFS('Data - Monthly Metrics'!E:E,'Data - Monthly Metrics'!A:A,$B$4-1,'Data - Monthly Metrics'!B:B,"Oct",'Data - Monthly Metrics'!C:C,"TKP",'Data - Monthly Metrics'!D:D,"Retention - Comped Non-Target ($)"))</f>
        <v/>
      </c>
      <c r="C96" s="96">
        <f>IF(COUNTIFS('Data - Monthly Metrics'!A:A,$B$4-1,'Data - Monthly Metrics'!B:B,"Nov",'Data - Monthly Metrics'!C:C,"TKP",'Data - Monthly Metrics'!D:D,"Retention - Comped Non-Target ($)")=0,"-",SUMIFS('Data - Monthly Metrics'!E:E,'Data - Monthly Metrics'!A:A,$B$4-1,'Data - Monthly Metrics'!B:B,"Nov",'Data - Monthly Metrics'!C:C,"TKP",'Data - Monthly Metrics'!D:D,"Retention - Comped Non-Target ($)"))</f>
        <v/>
      </c>
      <c r="D96" s="96">
        <f>IF(COUNTIFS('Data - Monthly Metrics'!A:A,$B$4-1,'Data - Monthly Metrics'!B:B,"Dec",'Data - Monthly Metrics'!C:C,"TKP",'Data - Monthly Metrics'!D:D,"Retention - Comped Non-Target ($)")=0,"-",SUMIFS('Data - Monthly Metrics'!E:E,'Data - Monthly Metrics'!A:A,$B$4-1,'Data - Monthly Metrics'!B:B,"Dec",'Data - Monthly Metrics'!C:C,"TKP",'Data - Monthly Metrics'!D:D,"Retention - Comped Non-Target ($)"))</f>
        <v/>
      </c>
      <c r="E96" s="101">
        <f>SUM(B96,C96,D96)</f>
        <v/>
      </c>
      <c r="F96" s="96">
        <f>IF(COUNTIFS('Data - Monthly Metrics'!A:A,$B$4,'Data - Monthly Metrics'!B:B,"Jan",'Data - Monthly Metrics'!C:C,"TKP",'Data - Monthly Metrics'!D:D,"Retention - Comped Non-Target ($)")=0,"-",SUMIFS('Data - Monthly Metrics'!E:E,'Data - Monthly Metrics'!A:A,$B$4,'Data - Monthly Metrics'!B:B,"Jan",'Data - Monthly Metrics'!C:C,"TKP",'Data - Monthly Metrics'!D:D,"Retention - Comped Non-Target ($)"))</f>
        <v/>
      </c>
      <c r="G96" s="96">
        <f>IF(COUNTIFS('Data - Monthly Metrics'!A:A,$B$4,'Data - Monthly Metrics'!B:B,"Feb",'Data - Monthly Metrics'!C:C,"TKP",'Data - Monthly Metrics'!D:D,"Retention - Comped Non-Target ($)")=0,"-",SUMIFS('Data - Monthly Metrics'!E:E,'Data - Monthly Metrics'!A:A,$B$4,'Data - Monthly Metrics'!B:B,"Feb",'Data - Monthly Metrics'!C:C,"TKP",'Data - Monthly Metrics'!D:D,"Retention - Comped Non-Target ($)"))</f>
        <v/>
      </c>
      <c r="H96" s="96">
        <f>IF(COUNTIFS('Data - Monthly Metrics'!A:A,$B$4,'Data - Monthly Metrics'!B:B,"Mar",'Data - Monthly Metrics'!C:C,"TKP",'Data - Monthly Metrics'!D:D,"Retention - Comped Non-Target ($)")=0,"-",SUMIFS('Data - Monthly Metrics'!E:E,'Data - Monthly Metrics'!A:A,$B$4,'Data - Monthly Metrics'!B:B,"Mar",'Data - Monthly Metrics'!C:C,"TKP",'Data - Monthly Metrics'!D:D,"Retention - Comped Non-Target ($)"))</f>
        <v/>
      </c>
      <c r="I96" s="101">
        <f>SUM(F96,G96,H96)</f>
        <v/>
      </c>
      <c r="J96" s="96">
        <f>IF(COUNTIFS('Data - Monthly Metrics'!A:A,$B$4,'Data - Monthly Metrics'!B:B,"Apr",'Data - Monthly Metrics'!C:C,"TKP",'Data - Monthly Metrics'!D:D,"Retention - Comped Non-Target ($)")=0,"-",SUMIFS('Data - Monthly Metrics'!E:E,'Data - Monthly Metrics'!A:A,$B$4,'Data - Monthly Metrics'!B:B,"Apr",'Data - Monthly Metrics'!C:C,"TKP",'Data - Monthly Metrics'!D:D,"Retention - Comped Non-Target ($)"))</f>
        <v/>
      </c>
      <c r="K96" s="96">
        <f>IF(COUNTIFS('Data - Monthly Metrics'!A:A,$B$4,'Data - Monthly Metrics'!B:B,"May",'Data - Monthly Metrics'!C:C,"TKP",'Data - Monthly Metrics'!D:D,"Retention - Comped Non-Target ($)")=0,"-",SUMIFS('Data - Monthly Metrics'!E:E,'Data - Monthly Metrics'!A:A,$B$4,'Data - Monthly Metrics'!B:B,"May",'Data - Monthly Metrics'!C:C,"TKP",'Data - Monthly Metrics'!D:D,"Retention - Comped Non-Target ($)"))</f>
        <v/>
      </c>
      <c r="L96" s="96">
        <f>IF(COUNTIFS('Data - Monthly Metrics'!A:A,$B$4,'Data - Monthly Metrics'!B:B,"Jun",'Data - Monthly Metrics'!C:C,"TKP",'Data - Monthly Metrics'!D:D,"Retention - Comped Non-Target ($)")=0,"-",SUMIFS('Data - Monthly Metrics'!E:E,'Data - Monthly Metrics'!A:A,$B$4,'Data - Monthly Metrics'!B:B,"Jun",'Data - Monthly Metrics'!C:C,"TKP",'Data - Monthly Metrics'!D:D,"Retention - Comped Non-Target ($)"))</f>
        <v/>
      </c>
      <c r="M96" s="101">
        <f>SUM(J96,K96,L96)</f>
        <v/>
      </c>
      <c r="N96" s="96">
        <f>IF(COUNTIFS('Data - Monthly Metrics'!A:A,$B$4,'Data - Monthly Metrics'!B:B,"Jul",'Data - Monthly Metrics'!C:C,"TKP",'Data - Monthly Metrics'!D:D,"Retention - Comped Non-Target ($)")=0,"-",SUMIFS('Data - Monthly Metrics'!E:E,'Data - Monthly Metrics'!A:A,$B$4,'Data - Monthly Metrics'!B:B,"Jul",'Data - Monthly Metrics'!C:C,"TKP",'Data - Monthly Metrics'!D:D,"Retention - Comped Non-Target ($)"))</f>
        <v/>
      </c>
      <c r="O96" s="96">
        <f>IF(COUNTIFS('Data - Monthly Metrics'!A:A,$B$4,'Data - Monthly Metrics'!B:B,"Aug",'Data - Monthly Metrics'!C:C,"TKP",'Data - Monthly Metrics'!D:D,"Retention - Comped Non-Target ($)")=0,"-",SUMIFS('Data - Monthly Metrics'!E:E,'Data - Monthly Metrics'!A:A,$B$4,'Data - Monthly Metrics'!B:B,"Aug",'Data - Monthly Metrics'!C:C,"TKP",'Data - Monthly Metrics'!D:D,"Retention - Comped Non-Target ($)"))</f>
        <v/>
      </c>
      <c r="P96" s="96">
        <f>IF(COUNTIFS('Data - Monthly Metrics'!A:A,$B$4,'Data - Monthly Metrics'!B:B,"Sep",'Data - Monthly Metrics'!C:C,"TKP",'Data - Monthly Metrics'!D:D,"Retention - Comped Non-Target ($)")=0,"-",SUMIFS('Data - Monthly Metrics'!E:E,'Data - Monthly Metrics'!A:A,$B$4,'Data - Monthly Metrics'!B:B,"Sep",'Data - Monthly Metrics'!C:C,"TKP",'Data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Metrics'!C:C,"TKP",'Data - Monthly Metrics'!D:D,"Drops - Non-Target (#)")=0,"-",SUMIFS('Data - Monthly Metrics'!E:E,'Data - Monthly Metrics'!A:A,$B$4-1,'Data - Monthly Metrics'!B:B,"Oct",'Data - Monthly Metrics'!C:C,"TKP",'Data - Monthly Metrics'!D:D,"Drops - Non-Target (#)"))</f>
        <v/>
      </c>
      <c r="C100" s="93">
        <f>IF(COUNTIFS('Data - Monthly Metrics'!A:A,$B$4-1,'Data - Monthly Metrics'!B:B,"Nov",'Data - Monthly Metrics'!C:C,"TKP",'Data - Monthly Metrics'!D:D,"Drops - Non-Target (#)")=0,"-",SUMIFS('Data - Monthly Metrics'!E:E,'Data - Monthly Metrics'!A:A,$B$4-1,'Data - Monthly Metrics'!B:B,"Nov",'Data - Monthly Metrics'!C:C,"TKP",'Data - Monthly Metrics'!D:D,"Drops - Non-Target (#)"))</f>
        <v/>
      </c>
      <c r="D100" s="93">
        <f>IF(COUNTIFS('Data - Monthly Metrics'!A:A,$B$4-1,'Data - Monthly Metrics'!B:B,"Dec",'Data - Monthly Metrics'!C:C,"TKP",'Data - Monthly Metrics'!D:D,"Drops - Non-Target (#)")=0,"-",SUMIFS('Data - Monthly Metrics'!E:E,'Data - Monthly Metrics'!A:A,$B$4-1,'Data - Monthly Metrics'!B:B,"Dec",'Data - Monthly Metrics'!C:C,"TKP",'Data - Monthly Metrics'!D:D,"Drops - Non-Target (#)"))</f>
        <v/>
      </c>
      <c r="E100" s="103">
        <f>SUM(B100,C100,D100)</f>
        <v/>
      </c>
      <c r="F100" s="93">
        <f>IF(COUNTIFS('Data - Monthly Metrics'!A:A,$B$4,'Data - Monthly Metrics'!B:B,"Jan",'Data - Monthly Metrics'!C:C,"TKP",'Data - Monthly Metrics'!D:D,"Drops - Non-Target (#)")=0,"-",SUMIFS('Data - Monthly Metrics'!E:E,'Data - Monthly Metrics'!A:A,$B$4,'Data - Monthly Metrics'!B:B,"Jan",'Data - Monthly Metrics'!C:C,"TKP",'Data - Monthly Metrics'!D:D,"Drops - Non-Target (#)"))</f>
        <v/>
      </c>
      <c r="G100" s="93">
        <f>IF(COUNTIFS('Data - Monthly Metrics'!A:A,$B$4,'Data - Monthly Metrics'!B:B,"Feb",'Data - Monthly Metrics'!C:C,"TKP",'Data - Monthly Metrics'!D:D,"Drops - Non-Target (#)")=0,"-",SUMIFS('Data - Monthly Metrics'!E:E,'Data - Monthly Metrics'!A:A,$B$4,'Data - Monthly Metrics'!B:B,"Feb",'Data - Monthly Metrics'!C:C,"TKP",'Data - Monthly Metrics'!D:D,"Drops - Non-Target (#)"))</f>
        <v/>
      </c>
      <c r="H100" s="93">
        <f>IF(COUNTIFS('Data - Monthly Metrics'!A:A,$B$4,'Data - Monthly Metrics'!B:B,"Mar",'Data - Monthly Metrics'!C:C,"TKP",'Data - Monthly Metrics'!D:D,"Drops - Non-Target (#)")=0,"-",SUMIFS('Data - Monthly Metrics'!E:E,'Data - Monthly Metrics'!A:A,$B$4,'Data - Monthly Metrics'!B:B,"Mar",'Data - Monthly Metrics'!C:C,"TKP",'Data - Monthly Metrics'!D:D,"Drops - Non-Target (#)"))</f>
        <v/>
      </c>
      <c r="I100" s="103">
        <f>SUM(F100,G100,H100)</f>
        <v/>
      </c>
      <c r="J100" s="93">
        <f>IF(COUNTIFS('Data - Monthly Metrics'!A:A,$B$4,'Data - Monthly Metrics'!B:B,"Apr",'Data - Monthly Metrics'!C:C,"TKP",'Data - Monthly Metrics'!D:D,"Drops - Non-Target (#)")=0,"-",SUMIFS('Data - Monthly Metrics'!E:E,'Data - Monthly Metrics'!A:A,$B$4,'Data - Monthly Metrics'!B:B,"Apr",'Data - Monthly Metrics'!C:C,"TKP",'Data - Monthly Metrics'!D:D,"Drops - Non-Target (#)"))</f>
        <v/>
      </c>
      <c r="K100" s="93">
        <f>IF(COUNTIFS('Data - Monthly Metrics'!A:A,$B$4,'Data - Monthly Metrics'!B:B,"May",'Data - Monthly Metrics'!C:C,"TKP",'Data - Monthly Metrics'!D:D,"Drops - Non-Target (#)")=0,"-",SUMIFS('Data - Monthly Metrics'!E:E,'Data - Monthly Metrics'!A:A,$B$4,'Data - Monthly Metrics'!B:B,"May",'Data - Monthly Metrics'!C:C,"TKP",'Data - Monthly Metrics'!D:D,"Drops - Non-Target (#)"))</f>
        <v/>
      </c>
      <c r="L100" s="93">
        <f>IF(COUNTIFS('Data - Monthly Metrics'!A:A,$B$4,'Data - Monthly Metrics'!B:B,"Jun",'Data - Monthly Metrics'!C:C,"TKP",'Data - Monthly Metrics'!D:D,"Drops - Non-Target (#)")=0,"-",SUMIFS('Data - Monthly Metrics'!E:E,'Data - Monthly Metrics'!A:A,$B$4,'Data - Monthly Metrics'!B:B,"Jun",'Data - Monthly Metrics'!C:C,"TKP",'Data - Monthly Metrics'!D:D,"Drops - Non-Target (#)"))</f>
        <v/>
      </c>
      <c r="M100" s="103">
        <f>SUM(J100,K100,L100)</f>
        <v/>
      </c>
      <c r="N100" s="93">
        <f>IF(COUNTIFS('Data - Monthly Metrics'!A:A,$B$4,'Data - Monthly Metrics'!B:B,"Jul",'Data - Monthly Metrics'!C:C,"TKP",'Data - Monthly Metrics'!D:D,"Drops - Non-Target (#)")=0,"-",SUMIFS('Data - Monthly Metrics'!E:E,'Data - Monthly Metrics'!A:A,$B$4,'Data - Monthly Metrics'!B:B,"Jul",'Data - Monthly Metrics'!C:C,"TKP",'Data - Monthly Metrics'!D:D,"Drops - Non-Target (#)"))</f>
        <v/>
      </c>
      <c r="O100" s="93">
        <f>IF(COUNTIFS('Data - Monthly Metrics'!A:A,$B$4,'Data - Monthly Metrics'!B:B,"Aug",'Data - Monthly Metrics'!C:C,"TKP",'Data - Monthly Metrics'!D:D,"Drops - Non-Target (#)")=0,"-",SUMIFS('Data - Monthly Metrics'!E:E,'Data - Monthly Metrics'!A:A,$B$4,'Data - Monthly Metrics'!B:B,"Aug",'Data - Monthly Metrics'!C:C,"TKP",'Data - Monthly Metrics'!D:D,"Drops - Non-Target (#)"))</f>
        <v/>
      </c>
      <c r="P100" s="93">
        <f>IF(COUNTIFS('Data - Monthly Metrics'!A:A,$B$4,'Data - Monthly Metrics'!B:B,"Sep",'Data - Monthly Metrics'!C:C,"TKP",'Data - Monthly Metrics'!D:D,"Drops - Non-Target (#)")=0,"-",SUMIFS('Data - Monthly Metrics'!E:E,'Data - Monthly Metrics'!A:A,$B$4,'Data - Monthly Metrics'!B:B,"Sep",'Data - Monthly Metrics'!C:C,"TKP",'Data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Metrics'!C:C,"TKP",'Data - Monthly Metrics'!D:D,"Dropped Revenue - Non-Target ($)")=0,"-",SUMIFS('Data - Monthly Metrics'!E:E,'Data - Monthly Metrics'!A:A,$B$4-1,'Data - Monthly Metrics'!B:B,"Oct",'Data - Monthly Metrics'!C:C,"TKP",'Data - Monthly Metrics'!D:D,"Dropped Revenue - Non-Target ($)"))</f>
        <v/>
      </c>
      <c r="C101" s="96">
        <f>IF(COUNTIFS('Data - Monthly Metrics'!A:A,$B$4-1,'Data - Monthly Metrics'!B:B,"Nov",'Data - Monthly Metrics'!C:C,"TKP",'Data - Monthly Metrics'!D:D,"Dropped Revenue - Non-Target ($)")=0,"-",SUMIFS('Data - Monthly Metrics'!E:E,'Data - Monthly Metrics'!A:A,$B$4-1,'Data - Monthly Metrics'!B:B,"Nov",'Data - Monthly Metrics'!C:C,"TKP",'Data - Monthly Metrics'!D:D,"Dropped Revenue - Non-Target ($)"))</f>
        <v/>
      </c>
      <c r="D101" s="96">
        <f>IF(COUNTIFS('Data - Monthly Metrics'!A:A,$B$4-1,'Data - Monthly Metrics'!B:B,"Dec",'Data - Monthly Metrics'!C:C,"TKP",'Data - Monthly Metrics'!D:D,"Dropped Revenue - Non-Target ($)")=0,"-",SUMIFS('Data - Monthly Metrics'!E:E,'Data - Monthly Metrics'!A:A,$B$4-1,'Data - Monthly Metrics'!B:B,"Dec",'Data - Monthly Metrics'!C:C,"TKP",'Data - Monthly Metrics'!D:D,"Dropped Revenue - Non-Target ($)"))</f>
        <v/>
      </c>
      <c r="E101" s="101">
        <f>SUM(B101,C101,D101)</f>
        <v/>
      </c>
      <c r="F101" s="96">
        <f>IF(COUNTIFS('Data - Monthly Metrics'!A:A,$B$4,'Data - Monthly Metrics'!B:B,"Jan",'Data - Monthly Metrics'!C:C,"TKP",'Data - Monthly Metrics'!D:D,"Dropped Revenue - Non-Target ($)")=0,"-",SUMIFS('Data - Monthly Metrics'!E:E,'Data - Monthly Metrics'!A:A,$B$4,'Data - Monthly Metrics'!B:B,"Jan",'Data - Monthly Metrics'!C:C,"TKP",'Data - Monthly Metrics'!D:D,"Dropped Revenue - Non-Target ($)"))</f>
        <v/>
      </c>
      <c r="G101" s="96">
        <f>IF(COUNTIFS('Data - Monthly Metrics'!A:A,$B$4,'Data - Monthly Metrics'!B:B,"Feb",'Data - Monthly Metrics'!C:C,"TKP",'Data - Monthly Metrics'!D:D,"Dropped Revenue - Non-Target ($)")=0,"-",SUMIFS('Data - Monthly Metrics'!E:E,'Data - Monthly Metrics'!A:A,$B$4,'Data - Monthly Metrics'!B:B,"Feb",'Data - Monthly Metrics'!C:C,"TKP",'Data - Monthly Metrics'!D:D,"Dropped Revenue - Non-Target ($)"))</f>
        <v/>
      </c>
      <c r="H101" s="96">
        <f>IF(COUNTIFS('Data - Monthly Metrics'!A:A,$B$4,'Data - Monthly Metrics'!B:B,"Mar",'Data - Monthly Metrics'!C:C,"TKP",'Data - Monthly Metrics'!D:D,"Dropped Revenue - Non-Target ($)")=0,"-",SUMIFS('Data - Monthly Metrics'!E:E,'Data - Monthly Metrics'!A:A,$B$4,'Data - Monthly Metrics'!B:B,"Mar",'Data - Monthly Metrics'!C:C,"TKP",'Data - Monthly Metrics'!D:D,"Dropped Revenue - Non-Target ($)"))</f>
        <v/>
      </c>
      <c r="I101" s="101">
        <f>SUM(F101,G101,H101)</f>
        <v/>
      </c>
      <c r="J101" s="96">
        <f>IF(COUNTIFS('Data - Monthly Metrics'!A:A,$B$4,'Data - Monthly Metrics'!B:B,"Apr",'Data - Monthly Metrics'!C:C,"TKP",'Data - Monthly Metrics'!D:D,"Dropped Revenue - Non-Target ($)")=0,"-",SUMIFS('Data - Monthly Metrics'!E:E,'Data - Monthly Metrics'!A:A,$B$4,'Data - Monthly Metrics'!B:B,"Apr",'Data - Monthly Metrics'!C:C,"TKP",'Data - Monthly Metrics'!D:D,"Dropped Revenue - Non-Target ($)"))</f>
        <v/>
      </c>
      <c r="K101" s="96">
        <f>IF(COUNTIFS('Data - Monthly Metrics'!A:A,$B$4,'Data - Monthly Metrics'!B:B,"May",'Data - Monthly Metrics'!C:C,"TKP",'Data - Monthly Metrics'!D:D,"Dropped Revenue - Non-Target ($)")=0,"-",SUMIFS('Data - Monthly Metrics'!E:E,'Data - Monthly Metrics'!A:A,$B$4,'Data - Monthly Metrics'!B:B,"May",'Data - Monthly Metrics'!C:C,"TKP",'Data - Monthly Metrics'!D:D,"Dropped Revenue - Non-Target ($)"))</f>
        <v/>
      </c>
      <c r="L101" s="96">
        <f>IF(COUNTIFS('Data - Monthly Metrics'!A:A,$B$4,'Data - Monthly Metrics'!B:B,"Jun",'Data - Monthly Metrics'!C:C,"TKP",'Data - Monthly Metrics'!D:D,"Dropped Revenue - Non-Target ($)")=0,"-",SUMIFS('Data - Monthly Metrics'!E:E,'Data - Monthly Metrics'!A:A,$B$4,'Data - Monthly Metrics'!B:B,"Jun",'Data - Monthly Metrics'!C:C,"TKP",'Data - Monthly Metrics'!D:D,"Dropped Revenue - Non-Target ($)"))</f>
        <v/>
      </c>
      <c r="M101" s="101">
        <f>SUM(J101,K101,L101)</f>
        <v/>
      </c>
      <c r="N101" s="96">
        <f>IF(COUNTIFS('Data - Monthly Metrics'!A:A,$B$4,'Data - Monthly Metrics'!B:B,"Jul",'Data - Monthly Metrics'!C:C,"TKP",'Data - Monthly Metrics'!D:D,"Dropped Revenue - Non-Target ($)")=0,"-",SUMIFS('Data - Monthly Metrics'!E:E,'Data - Monthly Metrics'!A:A,$B$4,'Data - Monthly Metrics'!B:B,"Jul",'Data - Monthly Metrics'!C:C,"TKP",'Data - Monthly Metrics'!D:D,"Dropped Revenue - Non-Target ($)"))</f>
        <v/>
      </c>
      <c r="O101" s="96">
        <f>IF(COUNTIFS('Data - Monthly Metrics'!A:A,$B$4,'Data - Monthly Metrics'!B:B,"Aug",'Data - Monthly Metrics'!C:C,"TKP",'Data - Monthly Metrics'!D:D,"Dropped Revenue - Non-Target ($)")=0,"-",SUMIFS('Data - Monthly Metrics'!E:E,'Data - Monthly Metrics'!A:A,$B$4,'Data - Monthly Metrics'!B:B,"Aug",'Data - Monthly Metrics'!C:C,"TKP",'Data - Monthly Metrics'!D:D,"Dropped Revenue - Non-Target ($)"))</f>
        <v/>
      </c>
      <c r="P101" s="96">
        <f>IF(COUNTIFS('Data - Monthly Metrics'!A:A,$B$4,'Data - Monthly Metrics'!B:B,"Sep",'Data - Monthly Metrics'!C:C,"TKP",'Data - Monthly Metrics'!D:D,"Dropped Revenue - Non-Target ($)")=0,"-",SUMIFS('Data - Monthly Metrics'!E:E,'Data - Monthly Metrics'!A:A,$B$4,'Data - Monthly Metrics'!B:B,"Sep",'Data - Monthly Metrics'!C:C,"TKP",'Data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Metrics'!C:C,"TKP",'Data - Monthly Metrics'!D:D,"Penetration - Restaurant Non-Target %")=0,"-",SUMIFS('Data - Monthly Metrics'!E:E,'Data - Monthly Metrics'!A:A,$B$4-1,'Data - Monthly Metrics'!B:B,"Oct",'Data - Monthly Metrics'!C:C,"TKP",'Data - Monthly Metrics'!D:D,"Penetration - Restaurant Non-Target %"))</f>
        <v/>
      </c>
      <c r="C105" s="115">
        <f>IF(COUNTIFS('Data - Monthly Metrics'!A:A,$B$4-1,'Data - Monthly Metrics'!B:B,"Nov",'Data - Monthly Metrics'!C:C,"TKP",'Data - Monthly Metrics'!D:D,"Penetration - Restaurant Non-Target %")=0,"-",SUMIFS('Data - Monthly Metrics'!E:E,'Data - Monthly Metrics'!A:A,$B$4-1,'Data - Monthly Metrics'!B:B,"Nov",'Data - Monthly Metrics'!C:C,"TKP",'Data - Monthly Metrics'!D:D,"Penetration - Restaurant Non-Target %"))</f>
        <v/>
      </c>
      <c r="D105" s="115">
        <f>IF(COUNTIFS('Data - Monthly Metrics'!A:A,$B$4-1,'Data - Monthly Metrics'!B:B,"Dec",'Data - Monthly Metrics'!C:C,"TKP",'Data - Monthly Metrics'!D:D,"Penetration - Restaurant Non-Target %")=0,"-",SUMIFS('Data - Monthly Metrics'!E:E,'Data - Monthly Metrics'!A:A,$B$4-1,'Data - Monthly Metrics'!B:B,"Dec",'Data - Monthly Metrics'!C:C,"TKP",'Data - Monthly Metrics'!D:D,"Penetration - Restaurant Non-Target %"))</f>
        <v/>
      </c>
      <c r="E105" s="116">
        <f>IF(ISNUMBER(D105),D105,IF(ISNUMBER(C105),C105,IF(ISNUMBER(B105),B105,"-")))</f>
        <v/>
      </c>
      <c r="F105" s="115">
        <f>IF(COUNTIFS('Data - Monthly Metrics'!A:A,$B$4,'Data - Monthly Metrics'!B:B,"Jan",'Data - Monthly Metrics'!C:C,"TKP",'Data - Monthly Metrics'!D:D,"Penetration - Restaurant Non-Target %")=0,"-",SUMIFS('Data - Monthly Metrics'!E:E,'Data - Monthly Metrics'!A:A,$B$4,'Data - Monthly Metrics'!B:B,"Jan",'Data - Monthly Metrics'!C:C,"TKP",'Data - Monthly Metrics'!D:D,"Penetration - Restaurant Non-Target %"))</f>
        <v/>
      </c>
      <c r="G105" s="115">
        <f>IF(COUNTIFS('Data - Monthly Metrics'!A:A,$B$4,'Data - Monthly Metrics'!B:B,"Feb",'Data - Monthly Metrics'!C:C,"TKP",'Data - Monthly Metrics'!D:D,"Penetration - Restaurant Non-Target %")=0,"-",SUMIFS('Data - Monthly Metrics'!E:E,'Data - Monthly Metrics'!A:A,$B$4,'Data - Monthly Metrics'!B:B,"Feb",'Data - Monthly Metrics'!C:C,"TKP",'Data - Monthly Metrics'!D:D,"Penetration - Restaurant Non-Target %"))</f>
        <v/>
      </c>
      <c r="H105" s="115">
        <f>IF(COUNTIFS('Data - Monthly Metrics'!A:A,$B$4,'Data - Monthly Metrics'!B:B,"Mar",'Data - Monthly Metrics'!C:C,"TKP",'Data - Monthly Metrics'!D:D,"Penetration - Restaurant Non-Target %")=0,"-",SUMIFS('Data - Monthly Metrics'!E:E,'Data - Monthly Metrics'!A:A,$B$4,'Data - Monthly Metrics'!B:B,"Mar",'Data - Monthly Metrics'!C:C,"TKP",'Data - Monthly Metrics'!D:D,"Penetration - Restaurant Non-Target %"))</f>
        <v/>
      </c>
      <c r="I105" s="116">
        <f>IF(ISNUMBER(H105),H105,IF(ISNUMBER(G105),G105,IF(ISNUMBER(F105),F105,"-")))</f>
        <v/>
      </c>
      <c r="J105" s="115">
        <f>IF(COUNTIFS('Data - Monthly Metrics'!A:A,$B$4,'Data - Monthly Metrics'!B:B,"Apr",'Data - Monthly Metrics'!C:C,"TKP",'Data - Monthly Metrics'!D:D,"Penetration - Restaurant Non-Target %")=0,"-",SUMIFS('Data - Monthly Metrics'!E:E,'Data - Monthly Metrics'!A:A,$B$4,'Data - Monthly Metrics'!B:B,"Apr",'Data - Monthly Metrics'!C:C,"TKP",'Data - Monthly Metrics'!D:D,"Penetration - Restaurant Non-Target %"))</f>
        <v/>
      </c>
      <c r="K105" s="115">
        <f>IF(COUNTIFS('Data - Monthly Metrics'!A:A,$B$4,'Data - Monthly Metrics'!B:B,"May",'Data - Monthly Metrics'!C:C,"TKP",'Data - Monthly Metrics'!D:D,"Penetration - Restaurant Non-Target %")=0,"-",SUMIFS('Data - Monthly Metrics'!E:E,'Data - Monthly Metrics'!A:A,$B$4,'Data - Monthly Metrics'!B:B,"May",'Data - Monthly Metrics'!C:C,"TKP",'Data - Monthly Metrics'!D:D,"Penetration - Restaurant Non-Target %"))</f>
        <v/>
      </c>
      <c r="L105" s="115">
        <f>IF(COUNTIFS('Data - Monthly Metrics'!A:A,$B$4,'Data - Monthly Metrics'!B:B,"Jun",'Data - Monthly Metrics'!C:C,"TKP",'Data - Monthly Metrics'!D:D,"Penetration - Restaurant Non-Target %")=0,"-",SUMIFS('Data - Monthly Metrics'!E:E,'Data - Monthly Metrics'!A:A,$B$4,'Data - Monthly Metrics'!B:B,"Jun",'Data - Monthly Metrics'!C:C,"TKP",'Data - Monthly Metrics'!D:D,"Penetration - Restaurant Non-Target %"))</f>
        <v/>
      </c>
      <c r="M105" s="116">
        <f>IF(ISNUMBER(L105),L105,IF(ISNUMBER(K105),K105,IF(ISNUMBER(J105),J105,"-")))</f>
        <v/>
      </c>
      <c r="N105" s="115">
        <f>IF(COUNTIFS('Data - Monthly Metrics'!A:A,$B$4,'Data - Monthly Metrics'!B:B,"Jul",'Data - Monthly Metrics'!C:C,"TKP",'Data - Monthly Metrics'!D:D,"Penetration - Restaurant Non-Target %")=0,"-",SUMIFS('Data - Monthly Metrics'!E:E,'Data - Monthly Metrics'!A:A,$B$4,'Data - Monthly Metrics'!B:B,"Jul",'Data - Monthly Metrics'!C:C,"TKP",'Data - Monthly Metrics'!D:D,"Penetration - Restaurant Non-Target %"))</f>
        <v/>
      </c>
      <c r="O105" s="115">
        <f>IF(COUNTIFS('Data - Monthly Metrics'!A:A,$B$4,'Data - Monthly Metrics'!B:B,"Aug",'Data - Monthly Metrics'!C:C,"TKP",'Data - Monthly Metrics'!D:D,"Penetration - Restaurant Non-Target %")=0,"-",SUMIFS('Data - Monthly Metrics'!E:E,'Data - Monthly Metrics'!A:A,$B$4,'Data - Monthly Metrics'!B:B,"Aug",'Data - Monthly Metrics'!C:C,"TKP",'Data - Monthly Metrics'!D:D,"Penetration - Restaurant Non-Target %"))</f>
        <v/>
      </c>
      <c r="P105" s="115">
        <f>IF(COUNTIFS('Data - Monthly Metrics'!A:A,$B$4,'Data - Monthly Metrics'!B:B,"Sep",'Data - Monthly Metrics'!C:C,"TKP",'Data - Monthly Metrics'!D:D,"Penetration - Restaurant Non-Target %")=0,"-",SUMIFS('Data - Monthly Metrics'!E:E,'Data - Monthly Metrics'!A:A,$B$4,'Data - Monthly Metrics'!B:B,"Sep",'Data - Monthly Metrics'!C:C,"TKP",'Data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Metrics'!C:C,"TKP",'Data - Monthly Metrics'!D:D,"Penetration - Lodging Non-Target %")=0,"-",SUMIFS('Data - Monthly Metrics'!E:E,'Data - Monthly Metrics'!A:A,$B$4-1,'Data - Monthly Metrics'!B:B,"Oct",'Data - Monthly Metrics'!C:C,"TKP",'Data - Monthly Metrics'!D:D,"Penetration - Lodging Non-Target %"))</f>
        <v/>
      </c>
      <c r="C106" s="118">
        <f>IF(COUNTIFS('Data - Monthly Metrics'!A:A,$B$4-1,'Data - Monthly Metrics'!B:B,"Nov",'Data - Monthly Metrics'!C:C,"TKP",'Data - Monthly Metrics'!D:D,"Penetration - Lodging Non-Target %")=0,"-",SUMIFS('Data - Monthly Metrics'!E:E,'Data - Monthly Metrics'!A:A,$B$4-1,'Data - Monthly Metrics'!B:B,"Nov",'Data - Monthly Metrics'!C:C,"TKP",'Data - Monthly Metrics'!D:D,"Penetration - Lodging Non-Target %"))</f>
        <v/>
      </c>
      <c r="D106" s="118">
        <f>IF(COUNTIFS('Data - Monthly Metrics'!A:A,$B$4-1,'Data - Monthly Metrics'!B:B,"Dec",'Data - Monthly Metrics'!C:C,"TKP",'Data - Monthly Metrics'!D:D,"Penetration - Lodging Non-Target %")=0,"-",SUMIFS('Data - Monthly Metrics'!E:E,'Data - Monthly Metrics'!A:A,$B$4-1,'Data - Monthly Metrics'!B:B,"Dec",'Data - Monthly Metrics'!C:C,"TKP",'Data - Monthly Metrics'!D:D,"Penetration - Lodging Non-Target %"))</f>
        <v/>
      </c>
      <c r="E106" s="116">
        <f>IF(ISNUMBER(D106),D106,IF(ISNUMBER(C106),C106,IF(ISNUMBER(B106),B106,"-")))</f>
        <v/>
      </c>
      <c r="F106" s="118">
        <f>IF(COUNTIFS('Data - Monthly Metrics'!A:A,$B$4,'Data - Monthly Metrics'!B:B,"Jan",'Data - Monthly Metrics'!C:C,"TKP",'Data - Monthly Metrics'!D:D,"Penetration - Lodging Non-Target %")=0,"-",SUMIFS('Data - Monthly Metrics'!E:E,'Data - Monthly Metrics'!A:A,$B$4,'Data - Monthly Metrics'!B:B,"Jan",'Data - Monthly Metrics'!C:C,"TKP",'Data - Monthly Metrics'!D:D,"Penetration - Lodging Non-Target %"))</f>
        <v/>
      </c>
      <c r="G106" s="118">
        <f>IF(COUNTIFS('Data - Monthly Metrics'!A:A,$B$4,'Data - Monthly Metrics'!B:B,"Feb",'Data - Monthly Metrics'!C:C,"TKP",'Data - Monthly Metrics'!D:D,"Penetration - Lodging Non-Target %")=0,"-",SUMIFS('Data - Monthly Metrics'!E:E,'Data - Monthly Metrics'!A:A,$B$4,'Data - Monthly Metrics'!B:B,"Feb",'Data - Monthly Metrics'!C:C,"TKP",'Data - Monthly Metrics'!D:D,"Penetration - Lodging Non-Target %"))</f>
        <v/>
      </c>
      <c r="H106" s="118">
        <f>IF(COUNTIFS('Data - Monthly Metrics'!A:A,$B$4,'Data - Monthly Metrics'!B:B,"Mar",'Data - Monthly Metrics'!C:C,"TKP",'Data - Monthly Metrics'!D:D,"Penetration - Lodging Non-Target %")=0,"-",SUMIFS('Data - Monthly Metrics'!E:E,'Data - Monthly Metrics'!A:A,$B$4,'Data - Monthly Metrics'!B:B,"Mar",'Data - Monthly Metrics'!C:C,"TKP",'Data - Monthly Metrics'!D:D,"Penetration - Lodging Non-Target %"))</f>
        <v/>
      </c>
      <c r="I106" s="116">
        <f>IF(ISNUMBER(H106),H106,IF(ISNUMBER(G106),G106,IF(ISNUMBER(F106),F106,"-")))</f>
        <v/>
      </c>
      <c r="J106" s="118">
        <f>IF(COUNTIFS('Data - Monthly Metrics'!A:A,$B$4,'Data - Monthly Metrics'!B:B,"Apr",'Data - Monthly Metrics'!C:C,"TKP",'Data - Monthly Metrics'!D:D,"Penetration - Lodging Non-Target %")=0,"-",SUMIFS('Data - Monthly Metrics'!E:E,'Data - Monthly Metrics'!A:A,$B$4,'Data - Monthly Metrics'!B:B,"Apr",'Data - Monthly Metrics'!C:C,"TKP",'Data - Monthly Metrics'!D:D,"Penetration - Lodging Non-Target %"))</f>
        <v/>
      </c>
      <c r="K106" s="118">
        <f>IF(COUNTIFS('Data - Monthly Metrics'!A:A,$B$4,'Data - Monthly Metrics'!B:B,"May",'Data - Monthly Metrics'!C:C,"TKP",'Data - Monthly Metrics'!D:D,"Penetration - Lodging Non-Target %")=0,"-",SUMIFS('Data - Monthly Metrics'!E:E,'Data - Monthly Metrics'!A:A,$B$4,'Data - Monthly Metrics'!B:B,"May",'Data - Monthly Metrics'!C:C,"TKP",'Data - Monthly Metrics'!D:D,"Penetration - Lodging Non-Target %"))</f>
        <v/>
      </c>
      <c r="L106" s="118">
        <f>IF(COUNTIFS('Data - Monthly Metrics'!A:A,$B$4,'Data - Monthly Metrics'!B:B,"Jun",'Data - Monthly Metrics'!C:C,"TKP",'Data - Monthly Metrics'!D:D,"Penetration - Lodging Non-Target %")=0,"-",SUMIFS('Data - Monthly Metrics'!E:E,'Data - Monthly Metrics'!A:A,$B$4,'Data - Monthly Metrics'!B:B,"Jun",'Data - Monthly Metrics'!C:C,"TKP",'Data - Monthly Metrics'!D:D,"Penetration - Lodging Non-Target %"))</f>
        <v/>
      </c>
      <c r="M106" s="116">
        <f>IF(ISNUMBER(L106),L106,IF(ISNUMBER(K106),K106,IF(ISNUMBER(J106),J106,"-")))</f>
        <v/>
      </c>
      <c r="N106" s="118">
        <f>IF(COUNTIFS('Data - Monthly Metrics'!A:A,$B$4,'Data - Monthly Metrics'!B:B,"Jul",'Data - Monthly Metrics'!C:C,"TKP",'Data - Monthly Metrics'!D:D,"Penetration - Lodging Non-Target %")=0,"-",SUMIFS('Data - Monthly Metrics'!E:E,'Data - Monthly Metrics'!A:A,$B$4,'Data - Monthly Metrics'!B:B,"Jul",'Data - Monthly Metrics'!C:C,"TKP",'Data - Monthly Metrics'!D:D,"Penetration - Lodging Non-Target %"))</f>
        <v/>
      </c>
      <c r="O106" s="118">
        <f>IF(COUNTIFS('Data - Monthly Metrics'!A:A,$B$4,'Data - Monthly Metrics'!B:B,"Aug",'Data - Monthly Metrics'!C:C,"TKP",'Data - Monthly Metrics'!D:D,"Penetration - Lodging Non-Target %")=0,"-",SUMIFS('Data - Monthly Metrics'!E:E,'Data - Monthly Metrics'!A:A,$B$4,'Data - Monthly Metrics'!B:B,"Aug",'Data - Monthly Metrics'!C:C,"TKP",'Data - Monthly Metrics'!D:D,"Penetration - Lodging Non-Target %"))</f>
        <v/>
      </c>
      <c r="P106" s="118">
        <f>IF(COUNTIFS('Data - Monthly Metrics'!A:A,$B$4,'Data - Monthly Metrics'!B:B,"Sep",'Data - Monthly Metrics'!C:C,"TKP",'Data - Monthly Metrics'!D:D,"Penetration - Lodging Non-Target %")=0,"-",SUMIFS('Data - Monthly Metrics'!E:E,'Data - Monthly Metrics'!A:A,$B$4,'Data - Monthly Metrics'!B:B,"Sep",'Data - Monthly Metrics'!C:C,"TKP",'Data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Metrics'!C:C,"TKP",'Data - Monthly Metrics'!D:D,"Penetration - Combined Non-Target %")=0,"-",SUMIFS('Data - Monthly Metrics'!E:E,'Data - Monthly Metrics'!A:A,$B$4-1,'Data - Monthly Metrics'!B:B,"Oct",'Data - Monthly Metrics'!C:C,"TKP",'Data - Monthly Metrics'!D:D,"Penetration - Combined Non-Target %"))</f>
        <v/>
      </c>
      <c r="C107" s="115">
        <f>IF(COUNTIFS('Data - Monthly Metrics'!A:A,$B$4-1,'Data - Monthly Metrics'!B:B,"Nov",'Data - Monthly Metrics'!C:C,"TKP",'Data - Monthly Metrics'!D:D,"Penetration - Combined Non-Target %")=0,"-",SUMIFS('Data - Monthly Metrics'!E:E,'Data - Monthly Metrics'!A:A,$B$4-1,'Data - Monthly Metrics'!B:B,"Nov",'Data - Monthly Metrics'!C:C,"TKP",'Data - Monthly Metrics'!D:D,"Penetration - Combined Non-Target %"))</f>
        <v/>
      </c>
      <c r="D107" s="115">
        <f>IF(COUNTIFS('Data - Monthly Metrics'!A:A,$B$4-1,'Data - Monthly Metrics'!B:B,"Dec",'Data - Monthly Metrics'!C:C,"TKP",'Data - Monthly Metrics'!D:D,"Penetration - Combined Non-Target %")=0,"-",SUMIFS('Data - Monthly Metrics'!E:E,'Data - Monthly Metrics'!A:A,$B$4-1,'Data - Monthly Metrics'!B:B,"Dec",'Data - Monthly Metrics'!C:C,"TKP",'Data - Monthly Metrics'!D:D,"Penetration - Combined Non-Target %"))</f>
        <v/>
      </c>
      <c r="E107" s="116">
        <f>IF(ISNUMBER(D107),D107,IF(ISNUMBER(C107),C107,IF(ISNUMBER(B107),B107,"-")))</f>
        <v/>
      </c>
      <c r="F107" s="115">
        <f>IF(COUNTIFS('Data - Monthly Metrics'!A:A,$B$4,'Data - Monthly Metrics'!B:B,"Jan",'Data - Monthly Metrics'!C:C,"TKP",'Data - Monthly Metrics'!D:D,"Penetration - Combined Non-Target %")=0,"-",SUMIFS('Data - Monthly Metrics'!E:E,'Data - Monthly Metrics'!A:A,$B$4,'Data - Monthly Metrics'!B:B,"Jan",'Data - Monthly Metrics'!C:C,"TKP",'Data - Monthly Metrics'!D:D,"Penetration - Combined Non-Target %"))</f>
        <v/>
      </c>
      <c r="G107" s="115">
        <f>IF(COUNTIFS('Data - Monthly Metrics'!A:A,$B$4,'Data - Monthly Metrics'!B:B,"Feb",'Data - Monthly Metrics'!C:C,"TKP",'Data - Monthly Metrics'!D:D,"Penetration - Combined Non-Target %")=0,"-",SUMIFS('Data - Monthly Metrics'!E:E,'Data - Monthly Metrics'!A:A,$B$4,'Data - Monthly Metrics'!B:B,"Feb",'Data - Monthly Metrics'!C:C,"TKP",'Data - Monthly Metrics'!D:D,"Penetration - Combined Non-Target %"))</f>
        <v/>
      </c>
      <c r="H107" s="115">
        <f>IF(COUNTIFS('Data - Monthly Metrics'!A:A,$B$4,'Data - Monthly Metrics'!B:B,"Mar",'Data - Monthly Metrics'!C:C,"TKP",'Data - Monthly Metrics'!D:D,"Penetration - Combined Non-Target %")=0,"-",SUMIFS('Data - Monthly Metrics'!E:E,'Data - Monthly Metrics'!A:A,$B$4,'Data - Monthly Metrics'!B:B,"Mar",'Data - Monthly Metrics'!C:C,"TKP",'Data - Monthly Metrics'!D:D,"Penetration - Combined Non-Target %"))</f>
        <v/>
      </c>
      <c r="I107" s="116">
        <f>IF(ISNUMBER(H107),H107,IF(ISNUMBER(G107),G107,IF(ISNUMBER(F107),F107,"-")))</f>
        <v/>
      </c>
      <c r="J107" s="115">
        <f>IF(COUNTIFS('Data - Monthly Metrics'!A:A,$B$4,'Data - Monthly Metrics'!B:B,"Apr",'Data - Monthly Metrics'!C:C,"TKP",'Data - Monthly Metrics'!D:D,"Penetration - Combined Non-Target %")=0,"-",SUMIFS('Data - Monthly Metrics'!E:E,'Data - Monthly Metrics'!A:A,$B$4,'Data - Monthly Metrics'!B:B,"Apr",'Data - Monthly Metrics'!C:C,"TKP",'Data - Monthly Metrics'!D:D,"Penetration - Combined Non-Target %"))</f>
        <v/>
      </c>
      <c r="K107" s="115">
        <f>IF(COUNTIFS('Data - Monthly Metrics'!A:A,$B$4,'Data - Monthly Metrics'!B:B,"May",'Data - Monthly Metrics'!C:C,"TKP",'Data - Monthly Metrics'!D:D,"Penetration - Combined Non-Target %")=0,"-",SUMIFS('Data - Monthly Metrics'!E:E,'Data - Monthly Metrics'!A:A,$B$4,'Data - Monthly Metrics'!B:B,"May",'Data - Monthly Metrics'!C:C,"TKP",'Data - Monthly Metrics'!D:D,"Penetration - Combined Non-Target %"))</f>
        <v/>
      </c>
      <c r="L107" s="115">
        <f>IF(COUNTIFS('Data - Monthly Metrics'!A:A,$B$4,'Data - Monthly Metrics'!B:B,"Jun",'Data - Monthly Metrics'!C:C,"TKP",'Data - Monthly Metrics'!D:D,"Penetration - Combined Non-Target %")=0,"-",SUMIFS('Data - Monthly Metrics'!E:E,'Data - Monthly Metrics'!A:A,$B$4,'Data - Monthly Metrics'!B:B,"Jun",'Data - Monthly Metrics'!C:C,"TKP",'Data - Monthly Metrics'!D:D,"Penetration - Combined Non-Target %"))</f>
        <v/>
      </c>
      <c r="M107" s="116">
        <f>IF(ISNUMBER(L107),L107,IF(ISNUMBER(K107),K107,IF(ISNUMBER(J107),J107,"-")))</f>
        <v/>
      </c>
      <c r="N107" s="115">
        <f>IF(COUNTIFS('Data - Monthly Metrics'!A:A,$B$4,'Data - Monthly Metrics'!B:B,"Jul",'Data - Monthly Metrics'!C:C,"TKP",'Data - Monthly Metrics'!D:D,"Penetration - Combined Non-Target %")=0,"-",SUMIFS('Data - Monthly Metrics'!E:E,'Data - Monthly Metrics'!A:A,$B$4,'Data - Monthly Metrics'!B:B,"Jul",'Data - Monthly Metrics'!C:C,"TKP",'Data - Monthly Metrics'!D:D,"Penetration - Combined Non-Target %"))</f>
        <v/>
      </c>
      <c r="O107" s="115">
        <f>IF(COUNTIFS('Data - Monthly Metrics'!A:A,$B$4,'Data - Monthly Metrics'!B:B,"Aug",'Data - Monthly Metrics'!C:C,"TKP",'Data - Monthly Metrics'!D:D,"Penetration - Combined Non-Target %")=0,"-",SUMIFS('Data - Monthly Metrics'!E:E,'Data - Monthly Metrics'!A:A,$B$4,'Data - Monthly Metrics'!B:B,"Aug",'Data - Monthly Metrics'!C:C,"TKP",'Data - Monthly Metrics'!D:D,"Penetration - Combined Non-Target %"))</f>
        <v/>
      </c>
      <c r="P107" s="115">
        <f>IF(COUNTIFS('Data - Monthly Metrics'!A:A,$B$4,'Data - Monthly Metrics'!B:B,"Sep",'Data - Monthly Metrics'!C:C,"TKP",'Data - Monthly Metrics'!D:D,"Penetration - Combined Non-Target %")=0,"-",SUMIFS('Data - Monthly Metrics'!E:E,'Data - Monthly Metrics'!A:A,$B$4,'Data - Monthly Metrics'!B:B,"Sep",'Data - Monthly Metrics'!C:C,"TKP",'Data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Metrics'!$C:$C,"TKP",'Data - Monthly Metrics'!$D:$D,"Goal - Retention %")&gt;0,B53&gt;=SUMIFS('Data - Monthly Metrics'!$E:$E,'Data - Monthly Metrics'!$A:$A,$B$4-1,'Data - Monthly Metrics'!$B:$B,B$8,'Data - Monthly Metrics'!$C:$C,"TKP",'Data - Monthly Metrics'!$D:$D,"Goal - Retention %"))</formula>
    </cfRule>
    <cfRule type="expression" rank="0" priority="11" equalAverage="0" aboveAverage="0" dxfId="2" stopIfTrue="1" text="" percent="0" bottom="0">
      <formula>AND(ISNUMBER(B53),COUNTIFS('Data - Monthly Metrics'!$A:$A,$B$4-1,'Data - Monthly Metrics'!$B:$B,B$8,'Data - Monthly Metrics'!$C:$C,"TKP",'Data - Monthly Metrics'!$D:$D,"Goal - Retention %")&gt;0,B53&gt;=SUMIFS('Data - Monthly Metrics'!$E:$E,'Data - Monthly Metrics'!$A:$A,$B$4-1,'Data - Monthly Metrics'!$B:$B,B$8,'Data - Monthly Metrics'!$C:$C,"TKP",'Data - Monthly Metrics'!$D:$D,"Goal - Retention %")-0.05)</formula>
    </cfRule>
    <cfRule type="expression" rank="0" priority="12" equalAverage="0" aboveAverage="0" dxfId="1" stopIfTrue="1" text="" percent="0" bottom="0">
      <formula>AND(ISNUMBER(B53),COUNTIFS('Data - Monthly Metrics'!$A:$A,$B$4-1,'Data - Monthly Metrics'!$B:$B,B$8,'Data - Monthly Metrics'!$C:$C,"TKP",'Data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Metrics'!$C:$C,"TKP",'Data - Monthly Metrics'!$D:$D,"Goal - Retention %")&gt;0,C53&gt;=SUMIFS('Data - Monthly Metrics'!$E:$E,'Data - Monthly Metrics'!$A:$A,$B$4-1,'Data - Monthly Metrics'!$B:$B,C$8,'Data - Monthly Metrics'!$C:$C,"TKP",'Data - Monthly Metrics'!$D:$D,"Goal - Retention %"))</formula>
    </cfRule>
    <cfRule type="expression" rank="0" priority="14" equalAverage="0" aboveAverage="0" dxfId="2" stopIfTrue="1" text="" percent="0" bottom="0">
      <formula>AND(ISNUMBER(C53),COUNTIFS('Data - Monthly Metrics'!$A:$A,$B$4-1,'Data - Monthly Metrics'!$B:$B,C$8,'Data - Monthly Metrics'!$C:$C,"TKP",'Data - Monthly Metrics'!$D:$D,"Goal - Retention %")&gt;0,C53&gt;=SUMIFS('Data - Monthly Metrics'!$E:$E,'Data - Monthly Metrics'!$A:$A,$B$4-1,'Data - Monthly Metrics'!$B:$B,C$8,'Data - Monthly Metrics'!$C:$C,"TKP",'Data - Monthly Metrics'!$D:$D,"Goal - Retention %")-0.05)</formula>
    </cfRule>
    <cfRule type="expression" rank="0" priority="15" equalAverage="0" aboveAverage="0" dxfId="1" stopIfTrue="1" text="" percent="0" bottom="0">
      <formula>AND(ISNUMBER(C53),COUNTIFS('Data - Monthly Metrics'!$A:$A,$B$4-1,'Data - Monthly Metrics'!$B:$B,C$8,'Data - Monthly Metrics'!$C:$C,"TKP",'Data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Metrics'!$C:$C,"TKP",'Data - Monthly Metrics'!$D:$D,"Goal - Retention %")&gt;0,D53&gt;=SUMIFS('Data - Monthly Metrics'!$E:$E,'Data - Monthly Metrics'!$A:$A,$B$4-1,'Data - Monthly Metrics'!$B:$B,D$8,'Data - Monthly Metrics'!$C:$C,"TKP",'Data - Monthly Metrics'!$D:$D,"Goal - Retention %"))</formula>
    </cfRule>
    <cfRule type="expression" rank="0" priority="17" equalAverage="0" aboveAverage="0" dxfId="2" stopIfTrue="1" text="" percent="0" bottom="0">
      <formula>AND(ISNUMBER(D53),COUNTIFS('Data - Monthly Metrics'!$A:$A,$B$4-1,'Data - Monthly Metrics'!$B:$B,D$8,'Data - Monthly Metrics'!$C:$C,"TKP",'Data - Monthly Metrics'!$D:$D,"Goal - Retention %")&gt;0,D53&gt;=SUMIFS('Data - Monthly Metrics'!$E:$E,'Data - Monthly Metrics'!$A:$A,$B$4-1,'Data - Monthly Metrics'!$B:$B,D$8,'Data - Monthly Metrics'!$C:$C,"TKP",'Data - Monthly Metrics'!$D:$D,"Goal - Retention %")-0.05)</formula>
    </cfRule>
    <cfRule type="expression" rank="0" priority="18" equalAverage="0" aboveAverage="0" dxfId="1" stopIfTrue="1" text="" percent="0" bottom="0">
      <formula>AND(ISNUMBER(D53),COUNTIFS('Data - Monthly Metrics'!$A:$A,$B$4-1,'Data - Monthly Metrics'!$B:$B,D$8,'Data - Monthly Metrics'!$C:$C,"TKP",'Data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Metrics'!$C:$C,"TKP",'Data - Monthly Metrics'!$D:$D,"Goal - Retention %")&gt;0,F53&gt;=SUMIFS('Data - Monthly Metrics'!$E:$E,'Data - Monthly Metrics'!$A:$A,$B$4,'Data - Monthly Metrics'!$B:$B,F$8,'Data - Monthly Metrics'!$C:$C,"TKP",'Data - Monthly Metrics'!$D:$D,"Goal - Retention %"))</formula>
    </cfRule>
    <cfRule type="expression" rank="0" priority="20" equalAverage="0" aboveAverage="0" dxfId="2" stopIfTrue="1" text="" percent="0" bottom="0">
      <formula>AND(ISNUMBER(F53),COUNTIFS('Data - Monthly Metrics'!$A:$A,$B$4,'Data - Monthly Metrics'!$B:$B,F$8,'Data - Monthly Metrics'!$C:$C,"TKP",'Data - Monthly Metrics'!$D:$D,"Goal - Retention %")&gt;0,F53&gt;=SUMIFS('Data - Monthly Metrics'!$E:$E,'Data - Monthly Metrics'!$A:$A,$B$4,'Data - Monthly Metrics'!$B:$B,F$8,'Data - Monthly Metrics'!$C:$C,"TKP",'Data - Monthly Metrics'!$D:$D,"Goal - Retention %")-0.05)</formula>
    </cfRule>
    <cfRule type="expression" rank="0" priority="21" equalAverage="0" aboveAverage="0" dxfId="1" stopIfTrue="1" text="" percent="0" bottom="0">
      <formula>AND(ISNUMBER(F53),COUNTIFS('Data - Monthly Metrics'!$A:$A,$B$4,'Data - Monthly Metrics'!$B:$B,F$8,'Data - Monthly Metrics'!$C:$C,"TKP",'Data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Metrics'!$C:$C,"TKP",'Data - Monthly Metrics'!$D:$D,"Goal - Retention %")&gt;0,G53&gt;=SUMIFS('Data - Monthly Metrics'!$E:$E,'Data - Monthly Metrics'!$A:$A,$B$4,'Data - Monthly Metrics'!$B:$B,G$8,'Data - Monthly Metrics'!$C:$C,"TKP",'Data - Monthly Metrics'!$D:$D,"Goal - Retention %"))</formula>
    </cfRule>
    <cfRule type="expression" rank="0" priority="23" equalAverage="0" aboveAverage="0" dxfId="2" stopIfTrue="1" text="" percent="0" bottom="0">
      <formula>AND(ISNUMBER(G53),COUNTIFS('Data - Monthly Metrics'!$A:$A,$B$4,'Data - Monthly Metrics'!$B:$B,G$8,'Data - Monthly Metrics'!$C:$C,"TKP",'Data - Monthly Metrics'!$D:$D,"Goal - Retention %")&gt;0,G53&gt;=SUMIFS('Data - Monthly Metrics'!$E:$E,'Data - Monthly Metrics'!$A:$A,$B$4,'Data - Monthly Metrics'!$B:$B,G$8,'Data - Monthly Metrics'!$C:$C,"TKP",'Data - Monthly Metrics'!$D:$D,"Goal - Retention %")-0.05)</formula>
    </cfRule>
    <cfRule type="expression" rank="0" priority="24" equalAverage="0" aboveAverage="0" dxfId="1" stopIfTrue="1" text="" percent="0" bottom="0">
      <formula>AND(ISNUMBER(G53),COUNTIFS('Data - Monthly Metrics'!$A:$A,$B$4,'Data - Monthly Metrics'!$B:$B,G$8,'Data - Monthly Metrics'!$C:$C,"TKP",'Data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Metrics'!$C:$C,"TKP",'Data - Monthly Metrics'!$D:$D,"Goal - Retention %")&gt;0,H53&gt;=SUMIFS('Data - Monthly Metrics'!$E:$E,'Data - Monthly Metrics'!$A:$A,$B$4,'Data - Monthly Metrics'!$B:$B,H$8,'Data - Monthly Metrics'!$C:$C,"TKP",'Data - Monthly Metrics'!$D:$D,"Goal - Retention %"))</formula>
    </cfRule>
    <cfRule type="expression" rank="0" priority="26" equalAverage="0" aboveAverage="0" dxfId="2" stopIfTrue="1" text="" percent="0" bottom="0">
      <formula>AND(ISNUMBER(H53),COUNTIFS('Data - Monthly Metrics'!$A:$A,$B$4,'Data - Monthly Metrics'!$B:$B,H$8,'Data - Monthly Metrics'!$C:$C,"TKP",'Data - Monthly Metrics'!$D:$D,"Goal - Retention %")&gt;0,H53&gt;=SUMIFS('Data - Monthly Metrics'!$E:$E,'Data - Monthly Metrics'!$A:$A,$B$4,'Data - Monthly Metrics'!$B:$B,H$8,'Data - Monthly Metrics'!$C:$C,"TKP",'Data - Monthly Metrics'!$D:$D,"Goal - Retention %")-0.05)</formula>
    </cfRule>
    <cfRule type="expression" rank="0" priority="27" equalAverage="0" aboveAverage="0" dxfId="1" stopIfTrue="1" text="" percent="0" bottom="0">
      <formula>AND(ISNUMBER(H53),COUNTIFS('Data - Monthly Metrics'!$A:$A,$B$4,'Data - Monthly Metrics'!$B:$B,H$8,'Data - Monthly Metrics'!$C:$C,"TKP",'Data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Metrics'!$C:$C,"TKP",'Data - Monthly Metrics'!$D:$D,"Goal - Retention %")&gt;0,J53&gt;=SUMIFS('Data - Monthly Metrics'!$E:$E,'Data - Monthly Metrics'!$A:$A,$B$4,'Data - Monthly Metrics'!$B:$B,J$8,'Data - Monthly Metrics'!$C:$C,"TKP",'Data - Monthly Metrics'!$D:$D,"Goal - Retention %"))</formula>
    </cfRule>
    <cfRule type="expression" rank="0" priority="29" equalAverage="0" aboveAverage="0" dxfId="2" stopIfTrue="1" text="" percent="0" bottom="0">
      <formula>AND(ISNUMBER(J53),COUNTIFS('Data - Monthly Metrics'!$A:$A,$B$4,'Data - Monthly Metrics'!$B:$B,J$8,'Data - Monthly Metrics'!$C:$C,"TKP",'Data - Monthly Metrics'!$D:$D,"Goal - Retention %")&gt;0,J53&gt;=SUMIFS('Data - Monthly Metrics'!$E:$E,'Data - Monthly Metrics'!$A:$A,$B$4,'Data - Monthly Metrics'!$B:$B,J$8,'Data - Monthly Metrics'!$C:$C,"TKP",'Data - Monthly Metrics'!$D:$D,"Goal - Retention %")-0.05)</formula>
    </cfRule>
    <cfRule type="expression" rank="0" priority="30" equalAverage="0" aboveAverage="0" dxfId="1" stopIfTrue="1" text="" percent="0" bottom="0">
      <formula>AND(ISNUMBER(J53),COUNTIFS('Data - Monthly Metrics'!$A:$A,$B$4,'Data - Monthly Metrics'!$B:$B,J$8,'Data - Monthly Metrics'!$C:$C,"TKP",'Data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Metrics'!$C:$C,"TKP",'Data - Monthly Metrics'!$D:$D,"Goal - Retention %")&gt;0,K53&gt;=SUMIFS('Data - Monthly Metrics'!$E:$E,'Data - Monthly Metrics'!$A:$A,$B$4,'Data - Monthly Metrics'!$B:$B,K$8,'Data - Monthly Metrics'!$C:$C,"TKP",'Data - Monthly Metrics'!$D:$D,"Goal - Retention %"))</formula>
    </cfRule>
    <cfRule type="expression" rank="0" priority="32" equalAverage="0" aboveAverage="0" dxfId="2" stopIfTrue="1" text="" percent="0" bottom="0">
      <formula>AND(ISNUMBER(K53),COUNTIFS('Data - Monthly Metrics'!$A:$A,$B$4,'Data - Monthly Metrics'!$B:$B,K$8,'Data - Monthly Metrics'!$C:$C,"TKP",'Data - Monthly Metrics'!$D:$D,"Goal - Retention %")&gt;0,K53&gt;=SUMIFS('Data - Monthly Metrics'!$E:$E,'Data - Monthly Metrics'!$A:$A,$B$4,'Data - Monthly Metrics'!$B:$B,K$8,'Data - Monthly Metrics'!$C:$C,"TKP",'Data - Monthly Metrics'!$D:$D,"Goal - Retention %")-0.05)</formula>
    </cfRule>
    <cfRule type="expression" rank="0" priority="33" equalAverage="0" aboveAverage="0" dxfId="1" stopIfTrue="1" text="" percent="0" bottom="0">
      <formula>AND(ISNUMBER(K53),COUNTIFS('Data - Monthly Metrics'!$A:$A,$B$4,'Data - Monthly Metrics'!$B:$B,K$8,'Data - Monthly Metrics'!$C:$C,"TKP",'Data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Metrics'!$C:$C,"TKP",'Data - Monthly Metrics'!$D:$D,"Goal - Retention %")&gt;0,L53&gt;=SUMIFS('Data - Monthly Metrics'!$E:$E,'Data - Monthly Metrics'!$A:$A,$B$4,'Data - Monthly Metrics'!$B:$B,L$8,'Data - Monthly Metrics'!$C:$C,"TKP",'Data - Monthly Metrics'!$D:$D,"Goal - Retention %"))</formula>
    </cfRule>
    <cfRule type="expression" rank="0" priority="35" equalAverage="0" aboveAverage="0" dxfId="2" stopIfTrue="1" text="" percent="0" bottom="0">
      <formula>AND(ISNUMBER(L53),COUNTIFS('Data - Monthly Metrics'!$A:$A,$B$4,'Data - Monthly Metrics'!$B:$B,L$8,'Data - Monthly Metrics'!$C:$C,"TKP",'Data - Monthly Metrics'!$D:$D,"Goal - Retention %")&gt;0,L53&gt;=SUMIFS('Data - Monthly Metrics'!$E:$E,'Data - Monthly Metrics'!$A:$A,$B$4,'Data - Monthly Metrics'!$B:$B,L$8,'Data - Monthly Metrics'!$C:$C,"TKP",'Data - Monthly Metrics'!$D:$D,"Goal - Retention %")-0.05)</formula>
    </cfRule>
    <cfRule type="expression" rank="0" priority="36" equalAverage="0" aboveAverage="0" dxfId="1" stopIfTrue="1" text="" percent="0" bottom="0">
      <formula>AND(ISNUMBER(L53),COUNTIFS('Data - Monthly Metrics'!$A:$A,$B$4,'Data - Monthly Metrics'!$B:$B,L$8,'Data - Monthly Metrics'!$C:$C,"TKP",'Data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Metrics'!$C:$C,"TKP",'Data - Monthly Metrics'!$D:$D,"Goal - Retention %")&gt;0,N53&gt;=SUMIFS('Data - Monthly Metrics'!$E:$E,'Data - Monthly Metrics'!$A:$A,$B$4,'Data - Monthly Metrics'!$B:$B,N$8,'Data - Monthly Metrics'!$C:$C,"TKP",'Data - Monthly Metrics'!$D:$D,"Goal - Retention %"))</formula>
    </cfRule>
    <cfRule type="expression" rank="0" priority="38" equalAverage="0" aboveAverage="0" dxfId="2" stopIfTrue="1" text="" percent="0" bottom="0">
      <formula>AND(ISNUMBER(N53),COUNTIFS('Data - Monthly Metrics'!$A:$A,$B$4,'Data - Monthly Metrics'!$B:$B,N$8,'Data - Monthly Metrics'!$C:$C,"TKP",'Data - Monthly Metrics'!$D:$D,"Goal - Retention %")&gt;0,N53&gt;=SUMIFS('Data - Monthly Metrics'!$E:$E,'Data - Monthly Metrics'!$A:$A,$B$4,'Data - Monthly Metrics'!$B:$B,N$8,'Data - Monthly Metrics'!$C:$C,"TKP",'Data - Monthly Metrics'!$D:$D,"Goal - Retention %")-0.05)</formula>
    </cfRule>
    <cfRule type="expression" rank="0" priority="39" equalAverage="0" aboveAverage="0" dxfId="1" stopIfTrue="1" text="" percent="0" bottom="0">
      <formula>AND(ISNUMBER(N53),COUNTIFS('Data - Monthly Metrics'!$A:$A,$B$4,'Data - Monthly Metrics'!$B:$B,N$8,'Data - Monthly Metrics'!$C:$C,"TKP",'Data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Metrics'!$C:$C,"TKP",'Data - Monthly Metrics'!$D:$D,"Goal - Retention %")&gt;0,O53&gt;=SUMIFS('Data - Monthly Metrics'!$E:$E,'Data - Monthly Metrics'!$A:$A,$B$4,'Data - Monthly Metrics'!$B:$B,O$8,'Data - Monthly Metrics'!$C:$C,"TKP",'Data - Monthly Metrics'!$D:$D,"Goal - Retention %"))</formula>
    </cfRule>
    <cfRule type="expression" rank="0" priority="41" equalAverage="0" aboveAverage="0" dxfId="2" stopIfTrue="1" text="" percent="0" bottom="0">
      <formula>AND(ISNUMBER(O53),COUNTIFS('Data - Monthly Metrics'!$A:$A,$B$4,'Data - Monthly Metrics'!$B:$B,O$8,'Data - Monthly Metrics'!$C:$C,"TKP",'Data - Monthly Metrics'!$D:$D,"Goal - Retention %")&gt;0,O53&gt;=SUMIFS('Data - Monthly Metrics'!$E:$E,'Data - Monthly Metrics'!$A:$A,$B$4,'Data - Monthly Metrics'!$B:$B,O$8,'Data - Monthly Metrics'!$C:$C,"TKP",'Data - Monthly Metrics'!$D:$D,"Goal - Retention %")-0.05)</formula>
    </cfRule>
    <cfRule type="expression" rank="0" priority="42" equalAverage="0" aboveAverage="0" dxfId="1" stopIfTrue="1" text="" percent="0" bottom="0">
      <formula>AND(ISNUMBER(O53),COUNTIFS('Data - Monthly Metrics'!$A:$A,$B$4,'Data - Monthly Metrics'!$B:$B,O$8,'Data - Monthly Metrics'!$C:$C,"TKP",'Data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Metrics'!$C:$C,"TKP",'Data - Monthly Metrics'!$D:$D,"Goal - Retention %")&gt;0,P53&gt;=SUMIFS('Data - Monthly Metrics'!$E:$E,'Data - Monthly Metrics'!$A:$A,$B$4,'Data - Monthly Metrics'!$B:$B,P$8,'Data - Monthly Metrics'!$C:$C,"TKP",'Data - Monthly Metrics'!$D:$D,"Goal - Retention %"))</formula>
    </cfRule>
    <cfRule type="expression" rank="0" priority="44" equalAverage="0" aboveAverage="0" dxfId="2" stopIfTrue="1" text="" percent="0" bottom="0">
      <formula>AND(ISNUMBER(P53),COUNTIFS('Data - Monthly Metrics'!$A:$A,$B$4,'Data - Monthly Metrics'!$B:$B,P$8,'Data - Monthly Metrics'!$C:$C,"TKP",'Data - Monthly Metrics'!$D:$D,"Goal - Retention %")&gt;0,P53&gt;=SUMIFS('Data - Monthly Metrics'!$E:$E,'Data - Monthly Metrics'!$A:$A,$B$4,'Data - Monthly Metrics'!$B:$B,P$8,'Data - Monthly Metrics'!$C:$C,"TKP",'Data - Monthly Metrics'!$D:$D,"Goal - Retention %")-0.05)</formula>
    </cfRule>
    <cfRule type="expression" rank="0" priority="45" equalAverage="0" aboveAverage="0" dxfId="1" stopIfTrue="1" text="" percent="0" bottom="0">
      <formula>AND(ISNUMBER(P53),COUNTIFS('Data - Monthly Metrics'!$A:$A,$B$4,'Data - Monthly Metrics'!$B:$B,P$8,'Data - Monthly Metrics'!$C:$C,"TKP",'Data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Metrics'!$C:$C,"TKP",'Data - Monthly Metrics'!$D:$D,"Goal - Retention %")&gt;0,B93&gt;=SUMIFS('Data - Monthly Metrics'!$E:$E,'Data - Monthly Metrics'!$A:$A,$B$4-1,'Data - Monthly Metrics'!$B:$B,B$8,'Data - Monthly Metrics'!$C:$C,"TKP",'Data - Monthly Metrics'!$D:$D,"Goal - Retention %"))</formula>
    </cfRule>
    <cfRule type="expression" rank="0" priority="47" equalAverage="0" aboveAverage="0" dxfId="2" stopIfTrue="1" text="" percent="0" bottom="0">
      <formula>AND(ISNUMBER(B93),COUNTIFS('Data - Monthly Metrics'!$A:$A,$B$4-1,'Data - Monthly Metrics'!$B:$B,B$8,'Data - Monthly Metrics'!$C:$C,"TKP",'Data - Monthly Metrics'!$D:$D,"Goal - Retention %")&gt;0,B93&gt;=SUMIFS('Data - Monthly Metrics'!$E:$E,'Data - Monthly Metrics'!$A:$A,$B$4-1,'Data - Monthly Metrics'!$B:$B,B$8,'Data - Monthly Metrics'!$C:$C,"TKP",'Data - Monthly Metrics'!$D:$D,"Goal - Retention %")-0.05)</formula>
    </cfRule>
    <cfRule type="expression" rank="0" priority="48" equalAverage="0" aboveAverage="0" dxfId="1" stopIfTrue="1" text="" percent="0" bottom="0">
      <formula>AND(ISNUMBER(B93),COUNTIFS('Data - Monthly Metrics'!$A:$A,$B$4-1,'Data - Monthly Metrics'!$B:$B,B$8,'Data - Monthly Metrics'!$C:$C,"TKP",'Data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Metrics'!$C:$C,"TKP",'Data - Monthly Metrics'!$D:$D,"Goal - Retention %")&gt;0,C93&gt;=SUMIFS('Data - Monthly Metrics'!$E:$E,'Data - Monthly Metrics'!$A:$A,$B$4-1,'Data - Monthly Metrics'!$B:$B,C$8,'Data - Monthly Metrics'!$C:$C,"TKP",'Data - Monthly Metrics'!$D:$D,"Goal - Retention %"))</formula>
    </cfRule>
    <cfRule type="expression" rank="0" priority="50" equalAverage="0" aboveAverage="0" dxfId="2" stopIfTrue="1" text="" percent="0" bottom="0">
      <formula>AND(ISNUMBER(C93),COUNTIFS('Data - Monthly Metrics'!$A:$A,$B$4-1,'Data - Monthly Metrics'!$B:$B,C$8,'Data - Monthly Metrics'!$C:$C,"TKP",'Data - Monthly Metrics'!$D:$D,"Goal - Retention %")&gt;0,C93&gt;=SUMIFS('Data - Monthly Metrics'!$E:$E,'Data - Monthly Metrics'!$A:$A,$B$4-1,'Data - Monthly Metrics'!$B:$B,C$8,'Data - Monthly Metrics'!$C:$C,"TKP",'Data - Monthly Metrics'!$D:$D,"Goal - Retention %")-0.05)</formula>
    </cfRule>
    <cfRule type="expression" rank="0" priority="51" equalAverage="0" aboveAverage="0" dxfId="1" stopIfTrue="1" text="" percent="0" bottom="0">
      <formula>AND(ISNUMBER(C93),COUNTIFS('Data - Monthly Metrics'!$A:$A,$B$4-1,'Data - Monthly Metrics'!$B:$B,C$8,'Data - Monthly Metrics'!$C:$C,"TKP",'Data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Metrics'!$C:$C,"TKP",'Data - Monthly Metrics'!$D:$D,"Goal - Retention %")&gt;0,D93&gt;=SUMIFS('Data - Monthly Metrics'!$E:$E,'Data - Monthly Metrics'!$A:$A,$B$4-1,'Data - Monthly Metrics'!$B:$B,D$8,'Data - Monthly Metrics'!$C:$C,"TKP",'Data - Monthly Metrics'!$D:$D,"Goal - Retention %"))</formula>
    </cfRule>
    <cfRule type="expression" rank="0" priority="53" equalAverage="0" aboveAverage="0" dxfId="2" stopIfTrue="1" text="" percent="0" bottom="0">
      <formula>AND(ISNUMBER(D93),COUNTIFS('Data - Monthly Metrics'!$A:$A,$B$4-1,'Data - Monthly Metrics'!$B:$B,D$8,'Data - Monthly Metrics'!$C:$C,"TKP",'Data - Monthly Metrics'!$D:$D,"Goal - Retention %")&gt;0,D93&gt;=SUMIFS('Data - Monthly Metrics'!$E:$E,'Data - Monthly Metrics'!$A:$A,$B$4-1,'Data - Monthly Metrics'!$B:$B,D$8,'Data - Monthly Metrics'!$C:$C,"TKP",'Data - Monthly Metrics'!$D:$D,"Goal - Retention %")-0.05)</formula>
    </cfRule>
    <cfRule type="expression" rank="0" priority="54" equalAverage="0" aboveAverage="0" dxfId="1" stopIfTrue="1" text="" percent="0" bottom="0">
      <formula>AND(ISNUMBER(D93),COUNTIFS('Data - Monthly Metrics'!$A:$A,$B$4-1,'Data - Monthly Metrics'!$B:$B,D$8,'Data - Monthly Metrics'!$C:$C,"TKP",'Data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Metrics'!$C:$C,"TKP",'Data - Monthly Metrics'!$D:$D,"Goal - Retention %")&gt;0,F93&gt;=SUMIFS('Data - Monthly Metrics'!$E:$E,'Data - Monthly Metrics'!$A:$A,$B$4,'Data - Monthly Metrics'!$B:$B,F$8,'Data - Monthly Metrics'!$C:$C,"TKP",'Data - Monthly Metrics'!$D:$D,"Goal - Retention %"))</formula>
    </cfRule>
    <cfRule type="expression" rank="0" priority="56" equalAverage="0" aboveAverage="0" dxfId="2" stopIfTrue="1" text="" percent="0" bottom="0">
      <formula>AND(ISNUMBER(F93),COUNTIFS('Data - Monthly Metrics'!$A:$A,$B$4,'Data - Monthly Metrics'!$B:$B,F$8,'Data - Monthly Metrics'!$C:$C,"TKP",'Data - Monthly Metrics'!$D:$D,"Goal - Retention %")&gt;0,F93&gt;=SUMIFS('Data - Monthly Metrics'!$E:$E,'Data - Monthly Metrics'!$A:$A,$B$4,'Data - Monthly Metrics'!$B:$B,F$8,'Data - Monthly Metrics'!$C:$C,"TKP",'Data - Monthly Metrics'!$D:$D,"Goal - Retention %")-0.05)</formula>
    </cfRule>
    <cfRule type="expression" rank="0" priority="57" equalAverage="0" aboveAverage="0" dxfId="1" stopIfTrue="1" text="" percent="0" bottom="0">
      <formula>AND(ISNUMBER(F93),COUNTIFS('Data - Monthly Metrics'!$A:$A,$B$4,'Data - Monthly Metrics'!$B:$B,F$8,'Data - Monthly Metrics'!$C:$C,"TKP",'Data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Metrics'!$C:$C,"TKP",'Data - Monthly Metrics'!$D:$D,"Goal - Retention %")&gt;0,G93&gt;=SUMIFS('Data - Monthly Metrics'!$E:$E,'Data - Monthly Metrics'!$A:$A,$B$4,'Data - Monthly Metrics'!$B:$B,G$8,'Data - Monthly Metrics'!$C:$C,"TKP",'Data - Monthly Metrics'!$D:$D,"Goal - Retention %"))</formula>
    </cfRule>
    <cfRule type="expression" rank="0" priority="59" equalAverage="0" aboveAverage="0" dxfId="2" stopIfTrue="1" text="" percent="0" bottom="0">
      <formula>AND(ISNUMBER(G93),COUNTIFS('Data - Monthly Metrics'!$A:$A,$B$4,'Data - Monthly Metrics'!$B:$B,G$8,'Data - Monthly Metrics'!$C:$C,"TKP",'Data - Monthly Metrics'!$D:$D,"Goal - Retention %")&gt;0,G93&gt;=SUMIFS('Data - Monthly Metrics'!$E:$E,'Data - Monthly Metrics'!$A:$A,$B$4,'Data - Monthly Metrics'!$B:$B,G$8,'Data - Monthly Metrics'!$C:$C,"TKP",'Data - Monthly Metrics'!$D:$D,"Goal - Retention %")-0.05)</formula>
    </cfRule>
    <cfRule type="expression" rank="0" priority="60" equalAverage="0" aboveAverage="0" dxfId="1" stopIfTrue="1" text="" percent="0" bottom="0">
      <formula>AND(ISNUMBER(G93),COUNTIFS('Data - Monthly Metrics'!$A:$A,$B$4,'Data - Monthly Metrics'!$B:$B,G$8,'Data - Monthly Metrics'!$C:$C,"TKP",'Data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Metrics'!$C:$C,"TKP",'Data - Monthly Metrics'!$D:$D,"Goal - Retention %")&gt;0,H93&gt;=SUMIFS('Data - Monthly Metrics'!$E:$E,'Data - Monthly Metrics'!$A:$A,$B$4,'Data - Monthly Metrics'!$B:$B,H$8,'Data - Monthly Metrics'!$C:$C,"TKP",'Data - Monthly Metrics'!$D:$D,"Goal - Retention %"))</formula>
    </cfRule>
    <cfRule type="expression" rank="0" priority="62" equalAverage="0" aboveAverage="0" dxfId="2" stopIfTrue="1" text="" percent="0" bottom="0">
      <formula>AND(ISNUMBER(H93),COUNTIFS('Data - Monthly Metrics'!$A:$A,$B$4,'Data - Monthly Metrics'!$B:$B,H$8,'Data - Monthly Metrics'!$C:$C,"TKP",'Data - Monthly Metrics'!$D:$D,"Goal - Retention %")&gt;0,H93&gt;=SUMIFS('Data - Monthly Metrics'!$E:$E,'Data - Monthly Metrics'!$A:$A,$B$4,'Data - Monthly Metrics'!$B:$B,H$8,'Data - Monthly Metrics'!$C:$C,"TKP",'Data - Monthly Metrics'!$D:$D,"Goal - Retention %")-0.05)</formula>
    </cfRule>
    <cfRule type="expression" rank="0" priority="63" equalAverage="0" aboveAverage="0" dxfId="1" stopIfTrue="1" text="" percent="0" bottom="0">
      <formula>AND(ISNUMBER(H93),COUNTIFS('Data - Monthly Metrics'!$A:$A,$B$4,'Data - Monthly Metrics'!$B:$B,H$8,'Data - Monthly Metrics'!$C:$C,"TKP",'Data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Metrics'!$C:$C,"TKP",'Data - Monthly Metrics'!$D:$D,"Goal - Retention %")&gt;0,J93&gt;=SUMIFS('Data - Monthly Metrics'!$E:$E,'Data - Monthly Metrics'!$A:$A,$B$4,'Data - Monthly Metrics'!$B:$B,J$8,'Data - Monthly Metrics'!$C:$C,"TKP",'Data - Monthly Metrics'!$D:$D,"Goal - Retention %"))</formula>
    </cfRule>
    <cfRule type="expression" rank="0" priority="65" equalAverage="0" aboveAverage="0" dxfId="2" stopIfTrue="1" text="" percent="0" bottom="0">
      <formula>AND(ISNUMBER(J93),COUNTIFS('Data - Monthly Metrics'!$A:$A,$B$4,'Data - Monthly Metrics'!$B:$B,J$8,'Data - Monthly Metrics'!$C:$C,"TKP",'Data - Monthly Metrics'!$D:$D,"Goal - Retention %")&gt;0,J93&gt;=SUMIFS('Data - Monthly Metrics'!$E:$E,'Data - Monthly Metrics'!$A:$A,$B$4,'Data - Monthly Metrics'!$B:$B,J$8,'Data - Monthly Metrics'!$C:$C,"TKP",'Data - Monthly Metrics'!$D:$D,"Goal - Retention %")-0.05)</formula>
    </cfRule>
    <cfRule type="expression" rank="0" priority="66" equalAverage="0" aboveAverage="0" dxfId="1" stopIfTrue="1" text="" percent="0" bottom="0">
      <formula>AND(ISNUMBER(J93),COUNTIFS('Data - Monthly Metrics'!$A:$A,$B$4,'Data - Monthly Metrics'!$B:$B,J$8,'Data - Monthly Metrics'!$C:$C,"TKP",'Data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Metrics'!$C:$C,"TKP",'Data - Monthly Metrics'!$D:$D,"Goal - Retention %")&gt;0,K93&gt;=SUMIFS('Data - Monthly Metrics'!$E:$E,'Data - Monthly Metrics'!$A:$A,$B$4,'Data - Monthly Metrics'!$B:$B,K$8,'Data - Monthly Metrics'!$C:$C,"TKP",'Data - Monthly Metrics'!$D:$D,"Goal - Retention %"))</formula>
    </cfRule>
    <cfRule type="expression" rank="0" priority="68" equalAverage="0" aboveAverage="0" dxfId="2" stopIfTrue="1" text="" percent="0" bottom="0">
      <formula>AND(ISNUMBER(K93),COUNTIFS('Data - Monthly Metrics'!$A:$A,$B$4,'Data - Monthly Metrics'!$B:$B,K$8,'Data - Monthly Metrics'!$C:$C,"TKP",'Data - Monthly Metrics'!$D:$D,"Goal - Retention %")&gt;0,K93&gt;=SUMIFS('Data - Monthly Metrics'!$E:$E,'Data - Monthly Metrics'!$A:$A,$B$4,'Data - Monthly Metrics'!$B:$B,K$8,'Data - Monthly Metrics'!$C:$C,"TKP",'Data - Monthly Metrics'!$D:$D,"Goal - Retention %")-0.05)</formula>
    </cfRule>
    <cfRule type="expression" rank="0" priority="69" equalAverage="0" aboveAverage="0" dxfId="1" stopIfTrue="1" text="" percent="0" bottom="0">
      <formula>AND(ISNUMBER(K93),COUNTIFS('Data - Monthly Metrics'!$A:$A,$B$4,'Data - Monthly Metrics'!$B:$B,K$8,'Data - Monthly Metrics'!$C:$C,"TKP",'Data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Metrics'!$C:$C,"TKP",'Data - Monthly Metrics'!$D:$D,"Goal - Retention %")&gt;0,L93&gt;=SUMIFS('Data - Monthly Metrics'!$E:$E,'Data - Monthly Metrics'!$A:$A,$B$4,'Data - Monthly Metrics'!$B:$B,L$8,'Data - Monthly Metrics'!$C:$C,"TKP",'Data - Monthly Metrics'!$D:$D,"Goal - Retention %"))</formula>
    </cfRule>
    <cfRule type="expression" rank="0" priority="71" equalAverage="0" aboveAverage="0" dxfId="2" stopIfTrue="1" text="" percent="0" bottom="0">
      <formula>AND(ISNUMBER(L93),COUNTIFS('Data - Monthly Metrics'!$A:$A,$B$4,'Data - Monthly Metrics'!$B:$B,L$8,'Data - Monthly Metrics'!$C:$C,"TKP",'Data - Monthly Metrics'!$D:$D,"Goal - Retention %")&gt;0,L93&gt;=SUMIFS('Data - Monthly Metrics'!$E:$E,'Data - Monthly Metrics'!$A:$A,$B$4,'Data - Monthly Metrics'!$B:$B,L$8,'Data - Monthly Metrics'!$C:$C,"TKP",'Data - Monthly Metrics'!$D:$D,"Goal - Retention %")-0.05)</formula>
    </cfRule>
    <cfRule type="expression" rank="0" priority="72" equalAverage="0" aboveAverage="0" dxfId="1" stopIfTrue="1" text="" percent="0" bottom="0">
      <formula>AND(ISNUMBER(L93),COUNTIFS('Data - Monthly Metrics'!$A:$A,$B$4,'Data - Monthly Metrics'!$B:$B,L$8,'Data - Monthly Metrics'!$C:$C,"TKP",'Data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Metrics'!$C:$C,"TKP",'Data - Monthly Metrics'!$D:$D,"Goal - Retention %")&gt;0,N93&gt;=SUMIFS('Data - Monthly Metrics'!$E:$E,'Data - Monthly Metrics'!$A:$A,$B$4,'Data - Monthly Metrics'!$B:$B,N$8,'Data - Monthly Metrics'!$C:$C,"TKP",'Data - Monthly Metrics'!$D:$D,"Goal - Retention %"))</formula>
    </cfRule>
    <cfRule type="expression" rank="0" priority="74" equalAverage="0" aboveAverage="0" dxfId="2" stopIfTrue="1" text="" percent="0" bottom="0">
      <formula>AND(ISNUMBER(N93),COUNTIFS('Data - Monthly Metrics'!$A:$A,$B$4,'Data - Monthly Metrics'!$B:$B,N$8,'Data - Monthly Metrics'!$C:$C,"TKP",'Data - Monthly Metrics'!$D:$D,"Goal - Retention %")&gt;0,N93&gt;=SUMIFS('Data - Monthly Metrics'!$E:$E,'Data - Monthly Metrics'!$A:$A,$B$4,'Data - Monthly Metrics'!$B:$B,N$8,'Data - Monthly Metrics'!$C:$C,"TKP",'Data - Monthly Metrics'!$D:$D,"Goal - Retention %")-0.05)</formula>
    </cfRule>
    <cfRule type="expression" rank="0" priority="75" equalAverage="0" aboveAverage="0" dxfId="1" stopIfTrue="1" text="" percent="0" bottom="0">
      <formula>AND(ISNUMBER(N93),COUNTIFS('Data - Monthly Metrics'!$A:$A,$B$4,'Data - Monthly Metrics'!$B:$B,N$8,'Data - Monthly Metrics'!$C:$C,"TKP",'Data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Metrics'!$C:$C,"TKP",'Data - Monthly Metrics'!$D:$D,"Goal - Retention %")&gt;0,O93&gt;=SUMIFS('Data - Monthly Metrics'!$E:$E,'Data - Monthly Metrics'!$A:$A,$B$4,'Data - Monthly Metrics'!$B:$B,O$8,'Data - Monthly Metrics'!$C:$C,"TKP",'Data - Monthly Metrics'!$D:$D,"Goal - Retention %"))</formula>
    </cfRule>
    <cfRule type="expression" rank="0" priority="77" equalAverage="0" aboveAverage="0" dxfId="2" stopIfTrue="1" text="" percent="0" bottom="0">
      <formula>AND(ISNUMBER(O93),COUNTIFS('Data - Monthly Metrics'!$A:$A,$B$4,'Data - Monthly Metrics'!$B:$B,O$8,'Data - Monthly Metrics'!$C:$C,"TKP",'Data - Monthly Metrics'!$D:$D,"Goal - Retention %")&gt;0,O93&gt;=SUMIFS('Data - Monthly Metrics'!$E:$E,'Data - Monthly Metrics'!$A:$A,$B$4,'Data - Monthly Metrics'!$B:$B,O$8,'Data - Monthly Metrics'!$C:$C,"TKP",'Data - Monthly Metrics'!$D:$D,"Goal - Retention %")-0.05)</formula>
    </cfRule>
    <cfRule type="expression" rank="0" priority="78" equalAverage="0" aboveAverage="0" dxfId="1" stopIfTrue="1" text="" percent="0" bottom="0">
      <formula>AND(ISNUMBER(O93),COUNTIFS('Data - Monthly Metrics'!$A:$A,$B$4,'Data - Monthly Metrics'!$B:$B,O$8,'Data - Monthly Metrics'!$C:$C,"TKP",'Data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Metrics'!$C:$C,"TKP",'Data - Monthly Metrics'!$D:$D,"Goal - Retention %")&gt;0,P93&gt;=SUMIFS('Data - Monthly Metrics'!$E:$E,'Data - Monthly Metrics'!$A:$A,$B$4,'Data - Monthly Metrics'!$B:$B,P$8,'Data - Monthly Metrics'!$C:$C,"TKP",'Data - Monthly Metrics'!$D:$D,"Goal - Retention %"))</formula>
    </cfRule>
    <cfRule type="expression" rank="0" priority="80" equalAverage="0" aboveAverage="0" dxfId="2" stopIfTrue="1" text="" percent="0" bottom="0">
      <formula>AND(ISNUMBER(P93),COUNTIFS('Data - Monthly Metrics'!$A:$A,$B$4,'Data - Monthly Metrics'!$B:$B,P$8,'Data - Monthly Metrics'!$C:$C,"TKP",'Data - Monthly Metrics'!$D:$D,"Goal - Retention %")&gt;0,P93&gt;=SUMIFS('Data - Monthly Metrics'!$E:$E,'Data - Monthly Metrics'!$A:$A,$B$4,'Data - Monthly Metrics'!$B:$B,P$8,'Data - Monthly Metrics'!$C:$C,"TKP",'Data - Monthly Metrics'!$D:$D,"Goal - Retention %")-0.05)</formula>
    </cfRule>
    <cfRule type="expression" rank="0" priority="81" equalAverage="0" aboveAverage="0" dxfId="1" stopIfTrue="1" text="" percent="0" bottom="0">
      <formula>AND(ISNUMBER(P93),COUNTIFS('Data - Monthly Metrics'!$A:$A,$B$4,'Data - Monthly Metrics'!$B:$B,P$8,'Data - Monthly Metrics'!$C:$C,"TKP",'Data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Metrics'!$C:$C,"TKP",'Data - Monthly Metrics'!$D:$D,"Goal - Retention %")&gt;0,B59&gt;=SUMIFS('Data - Monthly Metrics'!$E:$E,'Data - Monthly Metrics'!$A:$A,$B$4-1,'Data - Monthly Metrics'!$B:$B,B$8,'Data - Monthly Metrics'!$C:$C,"TKP",'Data - Monthly Metrics'!$D:$D,"Goal - Retention %"))</formula>
    </cfRule>
    <cfRule type="expression" rank="0" priority="83" equalAverage="0" aboveAverage="0" dxfId="2" stopIfTrue="1" text="" percent="0" bottom="0">
      <formula>AND(ISNUMBER(B59),COUNTIFS('Data - Monthly Metrics'!$A:$A,$B$4-1,'Data - Monthly Metrics'!$B:$B,B$8,'Data - Monthly Metrics'!$C:$C,"TKP",'Data - Monthly Metrics'!$D:$D,"Goal - Retention %")&gt;0,B59&gt;=SUMIFS('Data - Monthly Metrics'!$E:$E,'Data - Monthly Metrics'!$A:$A,$B$4-1,'Data - Monthly Metrics'!$B:$B,B$8,'Data - Monthly Metrics'!$C:$C,"TKP",'Data - Monthly Metrics'!$D:$D,"Goal - Retention %")-0.05)</formula>
    </cfRule>
    <cfRule type="expression" rank="0" priority="84" equalAverage="0" aboveAverage="0" dxfId="1" stopIfTrue="1" text="" percent="0" bottom="0">
      <formula>AND(ISNUMBER(B59),COUNTIFS('Data - Monthly Metrics'!$A:$A,$B$4-1,'Data - Monthly Metrics'!$B:$B,B$8,'Data - Monthly Metrics'!$C:$C,"TKP",'Data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Metrics'!$C:$C,"TKP",'Data - Monthly Metrics'!$D:$D,"Goal - Retention %")&gt;0,C59&gt;=SUMIFS('Data - Monthly Metrics'!$E:$E,'Data - Monthly Metrics'!$A:$A,$B$4-1,'Data - Monthly Metrics'!$B:$B,C$8,'Data - Monthly Metrics'!$C:$C,"TKP",'Data - Monthly Metrics'!$D:$D,"Goal - Retention %"))</formula>
    </cfRule>
    <cfRule type="expression" rank="0" priority="86" equalAverage="0" aboveAverage="0" dxfId="2" stopIfTrue="1" text="" percent="0" bottom="0">
      <formula>AND(ISNUMBER(C59),COUNTIFS('Data - Monthly Metrics'!$A:$A,$B$4-1,'Data - Monthly Metrics'!$B:$B,C$8,'Data - Monthly Metrics'!$C:$C,"TKP",'Data - Monthly Metrics'!$D:$D,"Goal - Retention %")&gt;0,C59&gt;=SUMIFS('Data - Monthly Metrics'!$E:$E,'Data - Monthly Metrics'!$A:$A,$B$4-1,'Data - Monthly Metrics'!$B:$B,C$8,'Data - Monthly Metrics'!$C:$C,"TKP",'Data - Monthly Metrics'!$D:$D,"Goal - Retention %")-0.05)</formula>
    </cfRule>
    <cfRule type="expression" rank="0" priority="87" equalAverage="0" aboveAverage="0" dxfId="1" stopIfTrue="1" text="" percent="0" bottom="0">
      <formula>AND(ISNUMBER(C59),COUNTIFS('Data - Monthly Metrics'!$A:$A,$B$4-1,'Data - Monthly Metrics'!$B:$B,C$8,'Data - Monthly Metrics'!$C:$C,"TKP",'Data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Metrics'!$C:$C,"TKP",'Data - Monthly Metrics'!$D:$D,"Goal - Retention %")&gt;0,D59&gt;=SUMIFS('Data - Monthly Metrics'!$E:$E,'Data - Monthly Metrics'!$A:$A,$B$4-1,'Data - Monthly Metrics'!$B:$B,D$8,'Data - Monthly Metrics'!$C:$C,"TKP",'Data - Monthly Metrics'!$D:$D,"Goal - Retention %"))</formula>
    </cfRule>
    <cfRule type="expression" rank="0" priority="89" equalAverage="0" aboveAverage="0" dxfId="2" stopIfTrue="1" text="" percent="0" bottom="0">
      <formula>AND(ISNUMBER(D59),COUNTIFS('Data - Monthly Metrics'!$A:$A,$B$4-1,'Data - Monthly Metrics'!$B:$B,D$8,'Data - Monthly Metrics'!$C:$C,"TKP",'Data - Monthly Metrics'!$D:$D,"Goal - Retention %")&gt;0,D59&gt;=SUMIFS('Data - Monthly Metrics'!$E:$E,'Data - Monthly Metrics'!$A:$A,$B$4-1,'Data - Monthly Metrics'!$B:$B,D$8,'Data - Monthly Metrics'!$C:$C,"TKP",'Data - Monthly Metrics'!$D:$D,"Goal - Retention %")-0.05)</formula>
    </cfRule>
    <cfRule type="expression" rank="0" priority="90" equalAverage="0" aboveAverage="0" dxfId="1" stopIfTrue="1" text="" percent="0" bottom="0">
      <formula>AND(ISNUMBER(D59),COUNTIFS('Data - Monthly Metrics'!$A:$A,$B$4-1,'Data - Monthly Metrics'!$B:$B,D$8,'Data - Monthly Metrics'!$C:$C,"TKP",'Data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Metrics'!$C:$C,"TKP",'Data - Monthly Metrics'!$D:$D,"Goal - Retention %")&gt;0,F59&gt;=SUMIFS('Data - Monthly Metrics'!$E:$E,'Data - Monthly Metrics'!$A:$A,$B$4,'Data - Monthly Metrics'!$B:$B,F$8,'Data - Monthly Metrics'!$C:$C,"TKP",'Data - Monthly Metrics'!$D:$D,"Goal - Retention %"))</formula>
    </cfRule>
    <cfRule type="expression" rank="0" priority="92" equalAverage="0" aboveAverage="0" dxfId="2" stopIfTrue="1" text="" percent="0" bottom="0">
      <formula>AND(ISNUMBER(F59),COUNTIFS('Data - Monthly Metrics'!$A:$A,$B$4,'Data - Monthly Metrics'!$B:$B,F$8,'Data - Monthly Metrics'!$C:$C,"TKP",'Data - Monthly Metrics'!$D:$D,"Goal - Retention %")&gt;0,F59&gt;=SUMIFS('Data - Monthly Metrics'!$E:$E,'Data - Monthly Metrics'!$A:$A,$B$4,'Data - Monthly Metrics'!$B:$B,F$8,'Data - Monthly Metrics'!$C:$C,"TKP",'Data - Monthly Metrics'!$D:$D,"Goal - Retention %")-0.05)</formula>
    </cfRule>
    <cfRule type="expression" rank="0" priority="93" equalAverage="0" aboveAverage="0" dxfId="1" stopIfTrue="1" text="" percent="0" bottom="0">
      <formula>AND(ISNUMBER(F59),COUNTIFS('Data - Monthly Metrics'!$A:$A,$B$4,'Data - Monthly Metrics'!$B:$B,F$8,'Data - Monthly Metrics'!$C:$C,"TKP",'Data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Metrics'!$C:$C,"TKP",'Data - Monthly Metrics'!$D:$D,"Goal - Retention %")&gt;0,G59&gt;=SUMIFS('Data - Monthly Metrics'!$E:$E,'Data - Monthly Metrics'!$A:$A,$B$4,'Data - Monthly Metrics'!$B:$B,G$8,'Data - Monthly Metrics'!$C:$C,"TKP",'Data - Monthly Metrics'!$D:$D,"Goal - Retention %"))</formula>
    </cfRule>
    <cfRule type="expression" rank="0" priority="95" equalAverage="0" aboveAverage="0" dxfId="2" stopIfTrue="1" text="" percent="0" bottom="0">
      <formula>AND(ISNUMBER(G59),COUNTIFS('Data - Monthly Metrics'!$A:$A,$B$4,'Data - Monthly Metrics'!$B:$B,G$8,'Data - Monthly Metrics'!$C:$C,"TKP",'Data - Monthly Metrics'!$D:$D,"Goal - Retention %")&gt;0,G59&gt;=SUMIFS('Data - Monthly Metrics'!$E:$E,'Data - Monthly Metrics'!$A:$A,$B$4,'Data - Monthly Metrics'!$B:$B,G$8,'Data - Monthly Metrics'!$C:$C,"TKP",'Data - Monthly Metrics'!$D:$D,"Goal - Retention %")-0.05)</formula>
    </cfRule>
    <cfRule type="expression" rank="0" priority="96" equalAverage="0" aboveAverage="0" dxfId="1" stopIfTrue="1" text="" percent="0" bottom="0">
      <formula>AND(ISNUMBER(G59),COUNTIFS('Data - Monthly Metrics'!$A:$A,$B$4,'Data - Monthly Metrics'!$B:$B,G$8,'Data - Monthly Metrics'!$C:$C,"TKP",'Data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Metrics'!$C:$C,"TKP",'Data - Monthly Metrics'!$D:$D,"Goal - Retention %")&gt;0,H59&gt;=SUMIFS('Data - Monthly Metrics'!$E:$E,'Data - Monthly Metrics'!$A:$A,$B$4,'Data - Monthly Metrics'!$B:$B,H$8,'Data - Monthly Metrics'!$C:$C,"TKP",'Data - Monthly Metrics'!$D:$D,"Goal - Retention %"))</formula>
    </cfRule>
    <cfRule type="expression" rank="0" priority="98" equalAverage="0" aboveAverage="0" dxfId="2" stopIfTrue="1" text="" percent="0" bottom="0">
      <formula>AND(ISNUMBER(H59),COUNTIFS('Data - Monthly Metrics'!$A:$A,$B$4,'Data - Monthly Metrics'!$B:$B,H$8,'Data - Monthly Metrics'!$C:$C,"TKP",'Data - Monthly Metrics'!$D:$D,"Goal - Retention %")&gt;0,H59&gt;=SUMIFS('Data - Monthly Metrics'!$E:$E,'Data - Monthly Metrics'!$A:$A,$B$4,'Data - Monthly Metrics'!$B:$B,H$8,'Data - Monthly Metrics'!$C:$C,"TKP",'Data - Monthly Metrics'!$D:$D,"Goal - Retention %")-0.05)</formula>
    </cfRule>
    <cfRule type="expression" rank="0" priority="99" equalAverage="0" aboveAverage="0" dxfId="1" stopIfTrue="1" text="" percent="0" bottom="0">
      <formula>AND(ISNUMBER(H59),COUNTIFS('Data - Monthly Metrics'!$A:$A,$B$4,'Data - Monthly Metrics'!$B:$B,H$8,'Data - Monthly Metrics'!$C:$C,"TKP",'Data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Metrics'!$C:$C,"TKP",'Data - Monthly Metrics'!$D:$D,"Goal - Retention %")&gt;0,J59&gt;=SUMIFS('Data - Monthly Metrics'!$E:$E,'Data - Monthly Metrics'!$A:$A,$B$4,'Data - Monthly Metrics'!$B:$B,J$8,'Data - Monthly Metrics'!$C:$C,"TKP",'Data - Monthly Metrics'!$D:$D,"Goal - Retention %"))</formula>
    </cfRule>
    <cfRule type="expression" rank="0" priority="101" equalAverage="0" aboveAverage="0" dxfId="2" stopIfTrue="1" text="" percent="0" bottom="0">
      <formula>AND(ISNUMBER(J59),COUNTIFS('Data - Monthly Metrics'!$A:$A,$B$4,'Data - Monthly Metrics'!$B:$B,J$8,'Data - Monthly Metrics'!$C:$C,"TKP",'Data - Monthly Metrics'!$D:$D,"Goal - Retention %")&gt;0,J59&gt;=SUMIFS('Data - Monthly Metrics'!$E:$E,'Data - Monthly Metrics'!$A:$A,$B$4,'Data - Monthly Metrics'!$B:$B,J$8,'Data - Monthly Metrics'!$C:$C,"TKP",'Data - Monthly Metrics'!$D:$D,"Goal - Retention %")-0.05)</formula>
    </cfRule>
    <cfRule type="expression" rank="0" priority="102" equalAverage="0" aboveAverage="0" dxfId="1" stopIfTrue="1" text="" percent="0" bottom="0">
      <formula>AND(ISNUMBER(J59),COUNTIFS('Data - Monthly Metrics'!$A:$A,$B$4,'Data - Monthly Metrics'!$B:$B,J$8,'Data - Monthly Metrics'!$C:$C,"TKP",'Data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Metrics'!$C:$C,"TKP",'Data - Monthly Metrics'!$D:$D,"Goal - Retention %")&gt;0,K59&gt;=SUMIFS('Data - Monthly Metrics'!$E:$E,'Data - Monthly Metrics'!$A:$A,$B$4,'Data - Monthly Metrics'!$B:$B,K$8,'Data - Monthly Metrics'!$C:$C,"TKP",'Data - Monthly Metrics'!$D:$D,"Goal - Retention %"))</formula>
    </cfRule>
    <cfRule type="expression" rank="0" priority="104" equalAverage="0" aboveAverage="0" dxfId="2" stopIfTrue="1" text="" percent="0" bottom="0">
      <formula>AND(ISNUMBER(K59),COUNTIFS('Data - Monthly Metrics'!$A:$A,$B$4,'Data - Monthly Metrics'!$B:$B,K$8,'Data - Monthly Metrics'!$C:$C,"TKP",'Data - Monthly Metrics'!$D:$D,"Goal - Retention %")&gt;0,K59&gt;=SUMIFS('Data - Monthly Metrics'!$E:$E,'Data - Monthly Metrics'!$A:$A,$B$4,'Data - Monthly Metrics'!$B:$B,K$8,'Data - Monthly Metrics'!$C:$C,"TKP",'Data - Monthly Metrics'!$D:$D,"Goal - Retention %")-0.05)</formula>
    </cfRule>
    <cfRule type="expression" rank="0" priority="105" equalAverage="0" aboveAverage="0" dxfId="1" stopIfTrue="1" text="" percent="0" bottom="0">
      <formula>AND(ISNUMBER(K59),COUNTIFS('Data - Monthly Metrics'!$A:$A,$B$4,'Data - Monthly Metrics'!$B:$B,K$8,'Data - Monthly Metrics'!$C:$C,"TKP",'Data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Metrics'!$C:$C,"TKP",'Data - Monthly Metrics'!$D:$D,"Goal - Retention %")&gt;0,L59&gt;=SUMIFS('Data - Monthly Metrics'!$E:$E,'Data - Monthly Metrics'!$A:$A,$B$4,'Data - Monthly Metrics'!$B:$B,L$8,'Data - Monthly Metrics'!$C:$C,"TKP",'Data - Monthly Metrics'!$D:$D,"Goal - Retention %"))</formula>
    </cfRule>
    <cfRule type="expression" rank="0" priority="107" equalAverage="0" aboveAverage="0" dxfId="2" stopIfTrue="1" text="" percent="0" bottom="0">
      <formula>AND(ISNUMBER(L59),COUNTIFS('Data - Monthly Metrics'!$A:$A,$B$4,'Data - Monthly Metrics'!$B:$B,L$8,'Data - Monthly Metrics'!$C:$C,"TKP",'Data - Monthly Metrics'!$D:$D,"Goal - Retention %")&gt;0,L59&gt;=SUMIFS('Data - Monthly Metrics'!$E:$E,'Data - Monthly Metrics'!$A:$A,$B$4,'Data - Monthly Metrics'!$B:$B,L$8,'Data - Monthly Metrics'!$C:$C,"TKP",'Data - Monthly Metrics'!$D:$D,"Goal - Retention %")-0.05)</formula>
    </cfRule>
    <cfRule type="expression" rank="0" priority="108" equalAverage="0" aboveAverage="0" dxfId="1" stopIfTrue="1" text="" percent="0" bottom="0">
      <formula>AND(ISNUMBER(L59),COUNTIFS('Data - Monthly Metrics'!$A:$A,$B$4,'Data - Monthly Metrics'!$B:$B,L$8,'Data - Monthly Metrics'!$C:$C,"TKP",'Data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Metrics'!$C:$C,"TKP",'Data - Monthly Metrics'!$D:$D,"Goal - Retention %")&gt;0,N59&gt;=SUMIFS('Data - Monthly Metrics'!$E:$E,'Data - Monthly Metrics'!$A:$A,$B$4,'Data - Monthly Metrics'!$B:$B,N$8,'Data - Monthly Metrics'!$C:$C,"TKP",'Data - Monthly Metrics'!$D:$D,"Goal - Retention %"))</formula>
    </cfRule>
    <cfRule type="expression" rank="0" priority="110" equalAverage="0" aboveAverage="0" dxfId="2" stopIfTrue="1" text="" percent="0" bottom="0">
      <formula>AND(ISNUMBER(N59),COUNTIFS('Data - Monthly Metrics'!$A:$A,$B$4,'Data - Monthly Metrics'!$B:$B,N$8,'Data - Monthly Metrics'!$C:$C,"TKP",'Data - Monthly Metrics'!$D:$D,"Goal - Retention %")&gt;0,N59&gt;=SUMIFS('Data - Monthly Metrics'!$E:$E,'Data - Monthly Metrics'!$A:$A,$B$4,'Data - Monthly Metrics'!$B:$B,N$8,'Data - Monthly Metrics'!$C:$C,"TKP",'Data - Monthly Metrics'!$D:$D,"Goal - Retention %")-0.05)</formula>
    </cfRule>
    <cfRule type="expression" rank="0" priority="111" equalAverage="0" aboveAverage="0" dxfId="1" stopIfTrue="1" text="" percent="0" bottom="0">
      <formula>AND(ISNUMBER(N59),COUNTIFS('Data - Monthly Metrics'!$A:$A,$B$4,'Data - Monthly Metrics'!$B:$B,N$8,'Data - Monthly Metrics'!$C:$C,"TKP",'Data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Metrics'!$C:$C,"TKP",'Data - Monthly Metrics'!$D:$D,"Goal - Retention %")&gt;0,O59&gt;=SUMIFS('Data - Monthly Metrics'!$E:$E,'Data - Monthly Metrics'!$A:$A,$B$4,'Data - Monthly Metrics'!$B:$B,O$8,'Data - Monthly Metrics'!$C:$C,"TKP",'Data - Monthly Metrics'!$D:$D,"Goal - Retention %"))</formula>
    </cfRule>
    <cfRule type="expression" rank="0" priority="113" equalAverage="0" aboveAverage="0" dxfId="2" stopIfTrue="1" text="" percent="0" bottom="0">
      <formula>AND(ISNUMBER(O59),COUNTIFS('Data - Monthly Metrics'!$A:$A,$B$4,'Data - Monthly Metrics'!$B:$B,O$8,'Data - Monthly Metrics'!$C:$C,"TKP",'Data - Monthly Metrics'!$D:$D,"Goal - Retention %")&gt;0,O59&gt;=SUMIFS('Data - Monthly Metrics'!$E:$E,'Data - Monthly Metrics'!$A:$A,$B$4,'Data - Monthly Metrics'!$B:$B,O$8,'Data - Monthly Metrics'!$C:$C,"TKP",'Data - Monthly Metrics'!$D:$D,"Goal - Retention %")-0.05)</formula>
    </cfRule>
    <cfRule type="expression" rank="0" priority="114" equalAverage="0" aboveAverage="0" dxfId="1" stopIfTrue="1" text="" percent="0" bottom="0">
      <formula>AND(ISNUMBER(O59),COUNTIFS('Data - Monthly Metrics'!$A:$A,$B$4,'Data - Monthly Metrics'!$B:$B,O$8,'Data - Monthly Metrics'!$C:$C,"TKP",'Data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Metrics'!$C:$C,"TKP",'Data - Monthly Metrics'!$D:$D,"Goal - Retention %")&gt;0,P59&gt;=SUMIFS('Data - Monthly Metrics'!$E:$E,'Data - Monthly Metrics'!$A:$A,$B$4,'Data - Monthly Metrics'!$B:$B,P$8,'Data - Monthly Metrics'!$C:$C,"TKP",'Data - Monthly Metrics'!$D:$D,"Goal - Retention %"))</formula>
    </cfRule>
    <cfRule type="expression" rank="0" priority="116" equalAverage="0" aboveAverage="0" dxfId="2" stopIfTrue="1" text="" percent="0" bottom="0">
      <formula>AND(ISNUMBER(P59),COUNTIFS('Data - Monthly Metrics'!$A:$A,$B$4,'Data - Monthly Metrics'!$B:$B,P$8,'Data - Monthly Metrics'!$C:$C,"TKP",'Data - Monthly Metrics'!$D:$D,"Goal - Retention %")&gt;0,P59&gt;=SUMIFS('Data - Monthly Metrics'!$E:$E,'Data - Monthly Metrics'!$A:$A,$B$4,'Data - Monthly Metrics'!$B:$B,P$8,'Data - Monthly Metrics'!$C:$C,"TKP",'Data - Monthly Metrics'!$D:$D,"Goal - Retention %")-0.05)</formula>
    </cfRule>
    <cfRule type="expression" rank="0" priority="117" equalAverage="0" aboveAverage="0" dxfId="1" stopIfTrue="1" text="" percent="0" bottom="0">
      <formula>AND(ISNUMBER(P59),COUNTIFS('Data - Monthly Metrics'!$A:$A,$B$4,'Data - Monthly Metrics'!$B:$B,P$8,'Data - Monthly Metrics'!$C:$C,"TKP",'Data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Metrics'!$C:$C,"TKP",'Data - Monthly Metrics'!$D:$D,"Goal - Penetration %")&gt;0,B68&gt;=SUMIFS('Data - Monthly Metrics'!$E:$E,'Data - Monthly Metrics'!$A:$A,$B$4-1,'Data - Monthly Metrics'!$B:$B,B$8,'Data - Monthly Metrics'!$C:$C,"TKP",'Data - Monthly Metrics'!$D:$D,"Goal - Penetration %"))</formula>
    </cfRule>
    <cfRule type="expression" rank="0" priority="119" equalAverage="0" aboveAverage="0" dxfId="2" stopIfTrue="1" text="" percent="0" bottom="0">
      <formula>AND(ISNUMBER(B68),COUNTIFS('Data - Monthly Metrics'!$A:$A,$B$4-1,'Data - Monthly Metrics'!$B:$B,B$8,'Data - Monthly Metrics'!$C:$C,"TKP",'Data - Monthly Metrics'!$D:$D,"Goal - Penetration %")&gt;0,B68&gt;=SUMIFS('Data - Monthly Metrics'!$E:$E,'Data - Monthly Metrics'!$A:$A,$B$4-1,'Data - Monthly Metrics'!$B:$B,B$8,'Data - Monthly Metrics'!$C:$C,"TKP",'Data - Monthly Metrics'!$D:$D,"Goal - Penetration %")-0.05)</formula>
    </cfRule>
    <cfRule type="expression" rank="0" priority="120" equalAverage="0" aboveAverage="0" dxfId="1" stopIfTrue="1" text="" percent="0" bottom="0">
      <formula>AND(ISNUMBER(B68),COUNTIFS('Data - Monthly Metrics'!$A:$A,$B$4-1,'Data - Monthly Metrics'!$B:$B,B$8,'Data - Monthly Metrics'!$C:$C,"TKP",'Data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Metrics'!$C:$C,"TKP",'Data - Monthly Metrics'!$D:$D,"Goal - Penetration %")&gt;0,C68&gt;=SUMIFS('Data - Monthly Metrics'!$E:$E,'Data - Monthly Metrics'!$A:$A,$B$4-1,'Data - Monthly Metrics'!$B:$B,C$8,'Data - Monthly Metrics'!$C:$C,"TKP",'Data - Monthly Metrics'!$D:$D,"Goal - Penetration %"))</formula>
    </cfRule>
    <cfRule type="expression" rank="0" priority="122" equalAverage="0" aboveAverage="0" dxfId="2" stopIfTrue="1" text="" percent="0" bottom="0">
      <formula>AND(ISNUMBER(C68),COUNTIFS('Data - Monthly Metrics'!$A:$A,$B$4-1,'Data - Monthly Metrics'!$B:$B,C$8,'Data - Monthly Metrics'!$C:$C,"TKP",'Data - Monthly Metrics'!$D:$D,"Goal - Penetration %")&gt;0,C68&gt;=SUMIFS('Data - Monthly Metrics'!$E:$E,'Data - Monthly Metrics'!$A:$A,$B$4-1,'Data - Monthly Metrics'!$B:$B,C$8,'Data - Monthly Metrics'!$C:$C,"TKP",'Data - Monthly Metrics'!$D:$D,"Goal - Penetration %")-0.05)</formula>
    </cfRule>
    <cfRule type="expression" rank="0" priority="123" equalAverage="0" aboveAverage="0" dxfId="1" stopIfTrue="1" text="" percent="0" bottom="0">
      <formula>AND(ISNUMBER(C68),COUNTIFS('Data - Monthly Metrics'!$A:$A,$B$4-1,'Data - Monthly Metrics'!$B:$B,C$8,'Data - Monthly Metrics'!$C:$C,"TKP",'Data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Metrics'!$C:$C,"TKP",'Data - Monthly Metrics'!$D:$D,"Goal - Penetration %")&gt;0,D68&gt;=SUMIFS('Data - Monthly Metrics'!$E:$E,'Data - Monthly Metrics'!$A:$A,$B$4-1,'Data - Monthly Metrics'!$B:$B,D$8,'Data - Monthly Metrics'!$C:$C,"TKP",'Data - Monthly Metrics'!$D:$D,"Goal - Penetration %"))</formula>
    </cfRule>
    <cfRule type="expression" rank="0" priority="125" equalAverage="0" aboveAverage="0" dxfId="2" stopIfTrue="1" text="" percent="0" bottom="0">
      <formula>AND(ISNUMBER(D68),COUNTIFS('Data - Monthly Metrics'!$A:$A,$B$4-1,'Data - Monthly Metrics'!$B:$B,D$8,'Data - Monthly Metrics'!$C:$C,"TKP",'Data - Monthly Metrics'!$D:$D,"Goal - Penetration %")&gt;0,D68&gt;=SUMIFS('Data - Monthly Metrics'!$E:$E,'Data - Monthly Metrics'!$A:$A,$B$4-1,'Data - Monthly Metrics'!$B:$B,D$8,'Data - Monthly Metrics'!$C:$C,"TKP",'Data - Monthly Metrics'!$D:$D,"Goal - Penetration %")-0.05)</formula>
    </cfRule>
    <cfRule type="expression" rank="0" priority="126" equalAverage="0" aboveAverage="0" dxfId="1" stopIfTrue="1" text="" percent="0" bottom="0">
      <formula>AND(ISNUMBER(D68),COUNTIFS('Data - Monthly Metrics'!$A:$A,$B$4-1,'Data - Monthly Metrics'!$B:$B,D$8,'Data - Monthly Metrics'!$C:$C,"TKP",'Data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Metrics'!$C:$C,"TKP",'Data - Monthly Metrics'!$D:$D,"Goal - Penetration %")&gt;0,F68&gt;=SUMIFS('Data - Monthly Metrics'!$E:$E,'Data - Monthly Metrics'!$A:$A,$B$4,'Data - Monthly Metrics'!$B:$B,F$8,'Data - Monthly Metrics'!$C:$C,"TKP",'Data - Monthly Metrics'!$D:$D,"Goal - Penetration %"))</formula>
    </cfRule>
    <cfRule type="expression" rank="0" priority="128" equalAverage="0" aboveAverage="0" dxfId="2" stopIfTrue="1" text="" percent="0" bottom="0">
      <formula>AND(ISNUMBER(F68),COUNTIFS('Data - Monthly Metrics'!$A:$A,$B$4,'Data - Monthly Metrics'!$B:$B,F$8,'Data - Monthly Metrics'!$C:$C,"TKP",'Data - Monthly Metrics'!$D:$D,"Goal - Penetration %")&gt;0,F68&gt;=SUMIFS('Data - Monthly Metrics'!$E:$E,'Data - Monthly Metrics'!$A:$A,$B$4,'Data - Monthly Metrics'!$B:$B,F$8,'Data - Monthly Metrics'!$C:$C,"TKP",'Data - Monthly Metrics'!$D:$D,"Goal - Penetration %")-0.05)</formula>
    </cfRule>
    <cfRule type="expression" rank="0" priority="129" equalAverage="0" aboveAverage="0" dxfId="1" stopIfTrue="1" text="" percent="0" bottom="0">
      <formula>AND(ISNUMBER(F68),COUNTIFS('Data - Monthly Metrics'!$A:$A,$B$4,'Data - Monthly Metrics'!$B:$B,F$8,'Data - Monthly Metrics'!$C:$C,"TKP",'Data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Metrics'!$C:$C,"TKP",'Data - Monthly Metrics'!$D:$D,"Goal - Penetration %")&gt;0,G68&gt;=SUMIFS('Data - Monthly Metrics'!$E:$E,'Data - Monthly Metrics'!$A:$A,$B$4,'Data - Monthly Metrics'!$B:$B,G$8,'Data - Monthly Metrics'!$C:$C,"TKP",'Data - Monthly Metrics'!$D:$D,"Goal - Penetration %"))</formula>
    </cfRule>
    <cfRule type="expression" rank="0" priority="131" equalAverage="0" aboveAverage="0" dxfId="2" stopIfTrue="1" text="" percent="0" bottom="0">
      <formula>AND(ISNUMBER(G68),COUNTIFS('Data - Monthly Metrics'!$A:$A,$B$4,'Data - Monthly Metrics'!$B:$B,G$8,'Data - Monthly Metrics'!$C:$C,"TKP",'Data - Monthly Metrics'!$D:$D,"Goal - Penetration %")&gt;0,G68&gt;=SUMIFS('Data - Monthly Metrics'!$E:$E,'Data - Monthly Metrics'!$A:$A,$B$4,'Data - Monthly Metrics'!$B:$B,G$8,'Data - Monthly Metrics'!$C:$C,"TKP",'Data - Monthly Metrics'!$D:$D,"Goal - Penetration %")-0.05)</formula>
    </cfRule>
    <cfRule type="expression" rank="0" priority="132" equalAverage="0" aboveAverage="0" dxfId="1" stopIfTrue="1" text="" percent="0" bottom="0">
      <formula>AND(ISNUMBER(G68),COUNTIFS('Data - Monthly Metrics'!$A:$A,$B$4,'Data - Monthly Metrics'!$B:$B,G$8,'Data - Monthly Metrics'!$C:$C,"TKP",'Data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Metrics'!$C:$C,"TKP",'Data - Monthly Metrics'!$D:$D,"Goal - Penetration %")&gt;0,H68&gt;=SUMIFS('Data - Monthly Metrics'!$E:$E,'Data - Monthly Metrics'!$A:$A,$B$4,'Data - Monthly Metrics'!$B:$B,H$8,'Data - Monthly Metrics'!$C:$C,"TKP",'Data - Monthly Metrics'!$D:$D,"Goal - Penetration %"))</formula>
    </cfRule>
    <cfRule type="expression" rank="0" priority="134" equalAverage="0" aboveAverage="0" dxfId="2" stopIfTrue="1" text="" percent="0" bottom="0">
      <formula>AND(ISNUMBER(H68),COUNTIFS('Data - Monthly Metrics'!$A:$A,$B$4,'Data - Monthly Metrics'!$B:$B,H$8,'Data - Monthly Metrics'!$C:$C,"TKP",'Data - Monthly Metrics'!$D:$D,"Goal - Penetration %")&gt;0,H68&gt;=SUMIFS('Data - Monthly Metrics'!$E:$E,'Data - Monthly Metrics'!$A:$A,$B$4,'Data - Monthly Metrics'!$B:$B,H$8,'Data - Monthly Metrics'!$C:$C,"TKP",'Data - Monthly Metrics'!$D:$D,"Goal - Penetration %")-0.05)</formula>
    </cfRule>
    <cfRule type="expression" rank="0" priority="135" equalAverage="0" aboveAverage="0" dxfId="1" stopIfTrue="1" text="" percent="0" bottom="0">
      <formula>AND(ISNUMBER(H68),COUNTIFS('Data - Monthly Metrics'!$A:$A,$B$4,'Data - Monthly Metrics'!$B:$B,H$8,'Data - Monthly Metrics'!$C:$C,"TKP",'Data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Metrics'!$C:$C,"TKP",'Data - Monthly Metrics'!$D:$D,"Goal - Penetration %")&gt;0,J68&gt;=SUMIFS('Data - Monthly Metrics'!$E:$E,'Data - Monthly Metrics'!$A:$A,$B$4,'Data - Monthly Metrics'!$B:$B,J$8,'Data - Monthly Metrics'!$C:$C,"TKP",'Data - Monthly Metrics'!$D:$D,"Goal - Penetration %"))</formula>
    </cfRule>
    <cfRule type="expression" rank="0" priority="137" equalAverage="0" aboveAverage="0" dxfId="2" stopIfTrue="1" text="" percent="0" bottom="0">
      <formula>AND(ISNUMBER(J68),COUNTIFS('Data - Monthly Metrics'!$A:$A,$B$4,'Data - Monthly Metrics'!$B:$B,J$8,'Data - Monthly Metrics'!$C:$C,"TKP",'Data - Monthly Metrics'!$D:$D,"Goal - Penetration %")&gt;0,J68&gt;=SUMIFS('Data - Monthly Metrics'!$E:$E,'Data - Monthly Metrics'!$A:$A,$B$4,'Data - Monthly Metrics'!$B:$B,J$8,'Data - Monthly Metrics'!$C:$C,"TKP",'Data - Monthly Metrics'!$D:$D,"Goal - Penetration %")-0.05)</formula>
    </cfRule>
    <cfRule type="expression" rank="0" priority="138" equalAverage="0" aboveAverage="0" dxfId="1" stopIfTrue="1" text="" percent="0" bottom="0">
      <formula>AND(ISNUMBER(J68),COUNTIFS('Data - Monthly Metrics'!$A:$A,$B$4,'Data - Monthly Metrics'!$B:$B,J$8,'Data - Monthly Metrics'!$C:$C,"TKP",'Data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Metrics'!$C:$C,"TKP",'Data - Monthly Metrics'!$D:$D,"Goal - Penetration %")&gt;0,K68&gt;=SUMIFS('Data - Monthly Metrics'!$E:$E,'Data - Monthly Metrics'!$A:$A,$B$4,'Data - Monthly Metrics'!$B:$B,K$8,'Data - Monthly Metrics'!$C:$C,"TKP",'Data - Monthly Metrics'!$D:$D,"Goal - Penetration %"))</formula>
    </cfRule>
    <cfRule type="expression" rank="0" priority="140" equalAverage="0" aboveAverage="0" dxfId="2" stopIfTrue="1" text="" percent="0" bottom="0">
      <formula>AND(ISNUMBER(K68),COUNTIFS('Data - Monthly Metrics'!$A:$A,$B$4,'Data - Monthly Metrics'!$B:$B,K$8,'Data - Monthly Metrics'!$C:$C,"TKP",'Data - Monthly Metrics'!$D:$D,"Goal - Penetration %")&gt;0,K68&gt;=SUMIFS('Data - Monthly Metrics'!$E:$E,'Data - Monthly Metrics'!$A:$A,$B$4,'Data - Monthly Metrics'!$B:$B,K$8,'Data - Monthly Metrics'!$C:$C,"TKP",'Data - Monthly Metrics'!$D:$D,"Goal - Penetration %")-0.05)</formula>
    </cfRule>
    <cfRule type="expression" rank="0" priority="141" equalAverage="0" aboveAverage="0" dxfId="1" stopIfTrue="1" text="" percent="0" bottom="0">
      <formula>AND(ISNUMBER(K68),COUNTIFS('Data - Monthly Metrics'!$A:$A,$B$4,'Data - Monthly Metrics'!$B:$B,K$8,'Data - Monthly Metrics'!$C:$C,"TKP",'Data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Metrics'!$C:$C,"TKP",'Data - Monthly Metrics'!$D:$D,"Goal - Penetration %")&gt;0,L68&gt;=SUMIFS('Data - Monthly Metrics'!$E:$E,'Data - Monthly Metrics'!$A:$A,$B$4,'Data - Monthly Metrics'!$B:$B,L$8,'Data - Monthly Metrics'!$C:$C,"TKP",'Data - Monthly Metrics'!$D:$D,"Goal - Penetration %"))</formula>
    </cfRule>
    <cfRule type="expression" rank="0" priority="143" equalAverage="0" aboveAverage="0" dxfId="2" stopIfTrue="1" text="" percent="0" bottom="0">
      <formula>AND(ISNUMBER(L68),COUNTIFS('Data - Monthly Metrics'!$A:$A,$B$4,'Data - Monthly Metrics'!$B:$B,L$8,'Data - Monthly Metrics'!$C:$C,"TKP",'Data - Monthly Metrics'!$D:$D,"Goal - Penetration %")&gt;0,L68&gt;=SUMIFS('Data - Monthly Metrics'!$E:$E,'Data - Monthly Metrics'!$A:$A,$B$4,'Data - Monthly Metrics'!$B:$B,L$8,'Data - Monthly Metrics'!$C:$C,"TKP",'Data - Monthly Metrics'!$D:$D,"Goal - Penetration %")-0.05)</formula>
    </cfRule>
    <cfRule type="expression" rank="0" priority="144" equalAverage="0" aboveAverage="0" dxfId="1" stopIfTrue="1" text="" percent="0" bottom="0">
      <formula>AND(ISNUMBER(L68),COUNTIFS('Data - Monthly Metrics'!$A:$A,$B$4,'Data - Monthly Metrics'!$B:$B,L$8,'Data - Monthly Metrics'!$C:$C,"TKP",'Data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Metrics'!$C:$C,"TKP",'Data - Monthly Metrics'!$D:$D,"Goal - Penetration %")&gt;0,N68&gt;=SUMIFS('Data - Monthly Metrics'!$E:$E,'Data - Monthly Metrics'!$A:$A,$B$4,'Data - Monthly Metrics'!$B:$B,N$8,'Data - Monthly Metrics'!$C:$C,"TKP",'Data - Monthly Metrics'!$D:$D,"Goal - Penetration %"))</formula>
    </cfRule>
    <cfRule type="expression" rank="0" priority="146" equalAverage="0" aboveAverage="0" dxfId="2" stopIfTrue="1" text="" percent="0" bottom="0">
      <formula>AND(ISNUMBER(N68),COUNTIFS('Data - Monthly Metrics'!$A:$A,$B$4,'Data - Monthly Metrics'!$B:$B,N$8,'Data - Monthly Metrics'!$C:$C,"TKP",'Data - Monthly Metrics'!$D:$D,"Goal - Penetration %")&gt;0,N68&gt;=SUMIFS('Data - Monthly Metrics'!$E:$E,'Data - Monthly Metrics'!$A:$A,$B$4,'Data - Monthly Metrics'!$B:$B,N$8,'Data - Monthly Metrics'!$C:$C,"TKP",'Data - Monthly Metrics'!$D:$D,"Goal - Penetration %")-0.05)</formula>
    </cfRule>
    <cfRule type="expression" rank="0" priority="147" equalAverage="0" aboveAverage="0" dxfId="1" stopIfTrue="1" text="" percent="0" bottom="0">
      <formula>AND(ISNUMBER(N68),COUNTIFS('Data - Monthly Metrics'!$A:$A,$B$4,'Data - Monthly Metrics'!$B:$B,N$8,'Data - Monthly Metrics'!$C:$C,"TKP",'Data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Metrics'!$C:$C,"TKP",'Data - Monthly Metrics'!$D:$D,"Goal - Penetration %")&gt;0,O68&gt;=SUMIFS('Data - Monthly Metrics'!$E:$E,'Data - Monthly Metrics'!$A:$A,$B$4,'Data - Monthly Metrics'!$B:$B,O$8,'Data - Monthly Metrics'!$C:$C,"TKP",'Data - Monthly Metrics'!$D:$D,"Goal - Penetration %"))</formula>
    </cfRule>
    <cfRule type="expression" rank="0" priority="149" equalAverage="0" aboveAverage="0" dxfId="2" stopIfTrue="1" text="" percent="0" bottom="0">
      <formula>AND(ISNUMBER(O68),COUNTIFS('Data - Monthly Metrics'!$A:$A,$B$4,'Data - Monthly Metrics'!$B:$B,O$8,'Data - Monthly Metrics'!$C:$C,"TKP",'Data - Monthly Metrics'!$D:$D,"Goal - Penetration %")&gt;0,O68&gt;=SUMIFS('Data - Monthly Metrics'!$E:$E,'Data - Monthly Metrics'!$A:$A,$B$4,'Data - Monthly Metrics'!$B:$B,O$8,'Data - Monthly Metrics'!$C:$C,"TKP",'Data - Monthly Metrics'!$D:$D,"Goal - Penetration %")-0.05)</formula>
    </cfRule>
    <cfRule type="expression" rank="0" priority="150" equalAverage="0" aboveAverage="0" dxfId="1" stopIfTrue="1" text="" percent="0" bottom="0">
      <formula>AND(ISNUMBER(O68),COUNTIFS('Data - Monthly Metrics'!$A:$A,$B$4,'Data - Monthly Metrics'!$B:$B,O$8,'Data - Monthly Metrics'!$C:$C,"TKP",'Data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Metrics'!$C:$C,"TKP",'Data - Monthly Metrics'!$D:$D,"Goal - Penetration %")&gt;0,P68&gt;=SUMIFS('Data - Monthly Metrics'!$E:$E,'Data - Monthly Metrics'!$A:$A,$B$4,'Data - Monthly Metrics'!$B:$B,P$8,'Data - Monthly Metrics'!$C:$C,"TKP",'Data - Monthly Metrics'!$D:$D,"Goal - Penetration %"))</formula>
    </cfRule>
    <cfRule type="expression" rank="0" priority="152" equalAverage="0" aboveAverage="0" dxfId="2" stopIfTrue="1" text="" percent="0" bottom="0">
      <formula>AND(ISNUMBER(P68),COUNTIFS('Data - Monthly Metrics'!$A:$A,$B$4,'Data - Monthly Metrics'!$B:$B,P$8,'Data - Monthly Metrics'!$C:$C,"TKP",'Data - Monthly Metrics'!$D:$D,"Goal - Penetration %")&gt;0,P68&gt;=SUMIFS('Data - Monthly Metrics'!$E:$E,'Data - Monthly Metrics'!$A:$A,$B$4,'Data - Monthly Metrics'!$B:$B,P$8,'Data - Monthly Metrics'!$C:$C,"TKP",'Data - Monthly Metrics'!$D:$D,"Goal - Penetration %")-0.05)</formula>
    </cfRule>
    <cfRule type="expression" rank="0" priority="153" equalAverage="0" aboveAverage="0" dxfId="1" stopIfTrue="1" text="" percent="0" bottom="0">
      <formula>AND(ISNUMBER(P68),COUNTIFS('Data - Monthly Metrics'!$A:$A,$B$4,'Data - Monthly Metrics'!$B:$B,P$8,'Data - Monthly Metrics'!$C:$C,"TKP",'Data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Metrics'!$C:$C,"TKP",'Data - Monthly Metrics'!$D:$D,"Goal - Penetration %")&gt;0,B69&gt;=SUMIFS('Data - Monthly Metrics'!$E:$E,'Data - Monthly Metrics'!$A:$A,$B$4-1,'Data - Monthly Metrics'!$B:$B,B$8,'Data - Monthly Metrics'!$C:$C,"TKP",'Data - Monthly Metrics'!$D:$D,"Goal - Penetration %"))</formula>
    </cfRule>
    <cfRule type="expression" rank="0" priority="155" equalAverage="0" aboveAverage="0" dxfId="2" stopIfTrue="1" text="" percent="0" bottom="0">
      <formula>AND(ISNUMBER(B69),COUNTIFS('Data - Monthly Metrics'!$A:$A,$B$4-1,'Data - Monthly Metrics'!$B:$B,B$8,'Data - Monthly Metrics'!$C:$C,"TKP",'Data - Monthly Metrics'!$D:$D,"Goal - Penetration %")&gt;0,B69&gt;=SUMIFS('Data - Monthly Metrics'!$E:$E,'Data - Monthly Metrics'!$A:$A,$B$4-1,'Data - Monthly Metrics'!$B:$B,B$8,'Data - Monthly Metrics'!$C:$C,"TKP",'Data - Monthly Metrics'!$D:$D,"Goal - Penetration %")-0.05)</formula>
    </cfRule>
    <cfRule type="expression" rank="0" priority="156" equalAverage="0" aboveAverage="0" dxfId="1" stopIfTrue="1" text="" percent="0" bottom="0">
      <formula>AND(ISNUMBER(B69),COUNTIFS('Data - Monthly Metrics'!$A:$A,$B$4-1,'Data - Monthly Metrics'!$B:$B,B$8,'Data - Monthly Metrics'!$C:$C,"TKP",'Data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Metrics'!$C:$C,"TKP",'Data - Monthly Metrics'!$D:$D,"Goal - Penetration %")&gt;0,C69&gt;=SUMIFS('Data - Monthly Metrics'!$E:$E,'Data - Monthly Metrics'!$A:$A,$B$4-1,'Data - Monthly Metrics'!$B:$B,C$8,'Data - Monthly Metrics'!$C:$C,"TKP",'Data - Monthly Metrics'!$D:$D,"Goal - Penetration %"))</formula>
    </cfRule>
    <cfRule type="expression" rank="0" priority="158" equalAverage="0" aboveAverage="0" dxfId="2" stopIfTrue="1" text="" percent="0" bottom="0">
      <formula>AND(ISNUMBER(C69),COUNTIFS('Data - Monthly Metrics'!$A:$A,$B$4-1,'Data - Monthly Metrics'!$B:$B,C$8,'Data - Monthly Metrics'!$C:$C,"TKP",'Data - Monthly Metrics'!$D:$D,"Goal - Penetration %")&gt;0,C69&gt;=SUMIFS('Data - Monthly Metrics'!$E:$E,'Data - Monthly Metrics'!$A:$A,$B$4-1,'Data - Monthly Metrics'!$B:$B,C$8,'Data - Monthly Metrics'!$C:$C,"TKP",'Data - Monthly Metrics'!$D:$D,"Goal - Penetration %")-0.05)</formula>
    </cfRule>
    <cfRule type="expression" rank="0" priority="159" equalAverage="0" aboveAverage="0" dxfId="1" stopIfTrue="1" text="" percent="0" bottom="0">
      <formula>AND(ISNUMBER(C69),COUNTIFS('Data - Monthly Metrics'!$A:$A,$B$4-1,'Data - Monthly Metrics'!$B:$B,C$8,'Data - Monthly Metrics'!$C:$C,"TKP",'Data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Metrics'!$C:$C,"TKP",'Data - Monthly Metrics'!$D:$D,"Goal - Penetration %")&gt;0,D69&gt;=SUMIFS('Data - Monthly Metrics'!$E:$E,'Data - Monthly Metrics'!$A:$A,$B$4-1,'Data - Monthly Metrics'!$B:$B,D$8,'Data - Monthly Metrics'!$C:$C,"TKP",'Data - Monthly Metrics'!$D:$D,"Goal - Penetration %"))</formula>
    </cfRule>
    <cfRule type="expression" rank="0" priority="161" equalAverage="0" aboveAverage="0" dxfId="2" stopIfTrue="1" text="" percent="0" bottom="0">
      <formula>AND(ISNUMBER(D69),COUNTIFS('Data - Monthly Metrics'!$A:$A,$B$4-1,'Data - Monthly Metrics'!$B:$B,D$8,'Data - Monthly Metrics'!$C:$C,"TKP",'Data - Monthly Metrics'!$D:$D,"Goal - Penetration %")&gt;0,D69&gt;=SUMIFS('Data - Monthly Metrics'!$E:$E,'Data - Monthly Metrics'!$A:$A,$B$4-1,'Data - Monthly Metrics'!$B:$B,D$8,'Data - Monthly Metrics'!$C:$C,"TKP",'Data - Monthly Metrics'!$D:$D,"Goal - Penetration %")-0.05)</formula>
    </cfRule>
    <cfRule type="expression" rank="0" priority="162" equalAverage="0" aboveAverage="0" dxfId="1" stopIfTrue="1" text="" percent="0" bottom="0">
      <formula>AND(ISNUMBER(D69),COUNTIFS('Data - Monthly Metrics'!$A:$A,$B$4-1,'Data - Monthly Metrics'!$B:$B,D$8,'Data - Monthly Metrics'!$C:$C,"TKP",'Data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Metrics'!$C:$C,"TKP",'Data - Monthly Metrics'!$D:$D,"Goal - Penetration %")&gt;0,F69&gt;=SUMIFS('Data - Monthly Metrics'!$E:$E,'Data - Monthly Metrics'!$A:$A,$B$4,'Data - Monthly Metrics'!$B:$B,F$8,'Data - Monthly Metrics'!$C:$C,"TKP",'Data - Monthly Metrics'!$D:$D,"Goal - Penetration %"))</formula>
    </cfRule>
    <cfRule type="expression" rank="0" priority="164" equalAverage="0" aboveAverage="0" dxfId="2" stopIfTrue="1" text="" percent="0" bottom="0">
      <formula>AND(ISNUMBER(F69),COUNTIFS('Data - Monthly Metrics'!$A:$A,$B$4,'Data - Monthly Metrics'!$B:$B,F$8,'Data - Monthly Metrics'!$C:$C,"TKP",'Data - Monthly Metrics'!$D:$D,"Goal - Penetration %")&gt;0,F69&gt;=SUMIFS('Data - Monthly Metrics'!$E:$E,'Data - Monthly Metrics'!$A:$A,$B$4,'Data - Monthly Metrics'!$B:$B,F$8,'Data - Monthly Metrics'!$C:$C,"TKP",'Data - Monthly Metrics'!$D:$D,"Goal - Penetration %")-0.05)</formula>
    </cfRule>
    <cfRule type="expression" rank="0" priority="165" equalAverage="0" aboveAverage="0" dxfId="1" stopIfTrue="1" text="" percent="0" bottom="0">
      <formula>AND(ISNUMBER(F69),COUNTIFS('Data - Monthly Metrics'!$A:$A,$B$4,'Data - Monthly Metrics'!$B:$B,F$8,'Data - Monthly Metrics'!$C:$C,"TKP",'Data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Metrics'!$C:$C,"TKP",'Data - Monthly Metrics'!$D:$D,"Goal - Penetration %")&gt;0,G69&gt;=SUMIFS('Data - Monthly Metrics'!$E:$E,'Data - Monthly Metrics'!$A:$A,$B$4,'Data - Monthly Metrics'!$B:$B,G$8,'Data - Monthly Metrics'!$C:$C,"TKP",'Data - Monthly Metrics'!$D:$D,"Goal - Penetration %"))</formula>
    </cfRule>
    <cfRule type="expression" rank="0" priority="167" equalAverage="0" aboveAverage="0" dxfId="2" stopIfTrue="1" text="" percent="0" bottom="0">
      <formula>AND(ISNUMBER(G69),COUNTIFS('Data - Monthly Metrics'!$A:$A,$B$4,'Data - Monthly Metrics'!$B:$B,G$8,'Data - Monthly Metrics'!$C:$C,"TKP",'Data - Monthly Metrics'!$D:$D,"Goal - Penetration %")&gt;0,G69&gt;=SUMIFS('Data - Monthly Metrics'!$E:$E,'Data - Monthly Metrics'!$A:$A,$B$4,'Data - Monthly Metrics'!$B:$B,G$8,'Data - Monthly Metrics'!$C:$C,"TKP",'Data - Monthly Metrics'!$D:$D,"Goal - Penetration %")-0.05)</formula>
    </cfRule>
    <cfRule type="expression" rank="0" priority="168" equalAverage="0" aboveAverage="0" dxfId="1" stopIfTrue="1" text="" percent="0" bottom="0">
      <formula>AND(ISNUMBER(G69),COUNTIFS('Data - Monthly Metrics'!$A:$A,$B$4,'Data - Monthly Metrics'!$B:$B,G$8,'Data - Monthly Metrics'!$C:$C,"TKP",'Data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Metrics'!$C:$C,"TKP",'Data - Monthly Metrics'!$D:$D,"Goal - Penetration %")&gt;0,H69&gt;=SUMIFS('Data - Monthly Metrics'!$E:$E,'Data - Monthly Metrics'!$A:$A,$B$4,'Data - Monthly Metrics'!$B:$B,H$8,'Data - Monthly Metrics'!$C:$C,"TKP",'Data - Monthly Metrics'!$D:$D,"Goal - Penetration %"))</formula>
    </cfRule>
    <cfRule type="expression" rank="0" priority="170" equalAverage="0" aboveAverage="0" dxfId="2" stopIfTrue="1" text="" percent="0" bottom="0">
      <formula>AND(ISNUMBER(H69),COUNTIFS('Data - Monthly Metrics'!$A:$A,$B$4,'Data - Monthly Metrics'!$B:$B,H$8,'Data - Monthly Metrics'!$C:$C,"TKP",'Data - Monthly Metrics'!$D:$D,"Goal - Penetration %")&gt;0,H69&gt;=SUMIFS('Data - Monthly Metrics'!$E:$E,'Data - Monthly Metrics'!$A:$A,$B$4,'Data - Monthly Metrics'!$B:$B,H$8,'Data - Monthly Metrics'!$C:$C,"TKP",'Data - Monthly Metrics'!$D:$D,"Goal - Penetration %")-0.05)</formula>
    </cfRule>
    <cfRule type="expression" rank="0" priority="171" equalAverage="0" aboveAverage="0" dxfId="1" stopIfTrue="1" text="" percent="0" bottom="0">
      <formula>AND(ISNUMBER(H69),COUNTIFS('Data - Monthly Metrics'!$A:$A,$B$4,'Data - Monthly Metrics'!$B:$B,H$8,'Data - Monthly Metrics'!$C:$C,"TKP",'Data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Metrics'!$C:$C,"TKP",'Data - Monthly Metrics'!$D:$D,"Goal - Penetration %")&gt;0,J69&gt;=SUMIFS('Data - Monthly Metrics'!$E:$E,'Data - Monthly Metrics'!$A:$A,$B$4,'Data - Monthly Metrics'!$B:$B,J$8,'Data - Monthly Metrics'!$C:$C,"TKP",'Data - Monthly Metrics'!$D:$D,"Goal - Penetration %"))</formula>
    </cfRule>
    <cfRule type="expression" rank="0" priority="173" equalAverage="0" aboveAverage="0" dxfId="2" stopIfTrue="1" text="" percent="0" bottom="0">
      <formula>AND(ISNUMBER(J69),COUNTIFS('Data - Monthly Metrics'!$A:$A,$B$4,'Data - Monthly Metrics'!$B:$B,J$8,'Data - Monthly Metrics'!$C:$C,"TKP",'Data - Monthly Metrics'!$D:$D,"Goal - Penetration %")&gt;0,J69&gt;=SUMIFS('Data - Monthly Metrics'!$E:$E,'Data - Monthly Metrics'!$A:$A,$B$4,'Data - Monthly Metrics'!$B:$B,J$8,'Data - Monthly Metrics'!$C:$C,"TKP",'Data - Monthly Metrics'!$D:$D,"Goal - Penetration %")-0.05)</formula>
    </cfRule>
    <cfRule type="expression" rank="0" priority="174" equalAverage="0" aboveAverage="0" dxfId="1" stopIfTrue="1" text="" percent="0" bottom="0">
      <formula>AND(ISNUMBER(J69),COUNTIFS('Data - Monthly Metrics'!$A:$A,$B$4,'Data - Monthly Metrics'!$B:$B,J$8,'Data - Monthly Metrics'!$C:$C,"TKP",'Data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Metrics'!$C:$C,"TKP",'Data - Monthly Metrics'!$D:$D,"Goal - Penetration %")&gt;0,K69&gt;=SUMIFS('Data - Monthly Metrics'!$E:$E,'Data - Monthly Metrics'!$A:$A,$B$4,'Data - Monthly Metrics'!$B:$B,K$8,'Data - Monthly Metrics'!$C:$C,"TKP",'Data - Monthly Metrics'!$D:$D,"Goal - Penetration %"))</formula>
    </cfRule>
    <cfRule type="expression" rank="0" priority="176" equalAverage="0" aboveAverage="0" dxfId="2" stopIfTrue="1" text="" percent="0" bottom="0">
      <formula>AND(ISNUMBER(K69),COUNTIFS('Data - Monthly Metrics'!$A:$A,$B$4,'Data - Monthly Metrics'!$B:$B,K$8,'Data - Monthly Metrics'!$C:$C,"TKP",'Data - Monthly Metrics'!$D:$D,"Goal - Penetration %")&gt;0,K69&gt;=SUMIFS('Data - Monthly Metrics'!$E:$E,'Data - Monthly Metrics'!$A:$A,$B$4,'Data - Monthly Metrics'!$B:$B,K$8,'Data - Monthly Metrics'!$C:$C,"TKP",'Data - Monthly Metrics'!$D:$D,"Goal - Penetration %")-0.05)</formula>
    </cfRule>
    <cfRule type="expression" rank="0" priority="177" equalAverage="0" aboveAverage="0" dxfId="1" stopIfTrue="1" text="" percent="0" bottom="0">
      <formula>AND(ISNUMBER(K69),COUNTIFS('Data - Monthly Metrics'!$A:$A,$B$4,'Data - Monthly Metrics'!$B:$B,K$8,'Data - Monthly Metrics'!$C:$C,"TKP",'Data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Metrics'!$C:$C,"TKP",'Data - Monthly Metrics'!$D:$D,"Goal - Penetration %")&gt;0,L69&gt;=SUMIFS('Data - Monthly Metrics'!$E:$E,'Data - Monthly Metrics'!$A:$A,$B$4,'Data - Monthly Metrics'!$B:$B,L$8,'Data - Monthly Metrics'!$C:$C,"TKP",'Data - Monthly Metrics'!$D:$D,"Goal - Penetration %"))</formula>
    </cfRule>
    <cfRule type="expression" rank="0" priority="179" equalAverage="0" aboveAverage="0" dxfId="2" stopIfTrue="1" text="" percent="0" bottom="0">
      <formula>AND(ISNUMBER(L69),COUNTIFS('Data - Monthly Metrics'!$A:$A,$B$4,'Data - Monthly Metrics'!$B:$B,L$8,'Data - Monthly Metrics'!$C:$C,"TKP",'Data - Monthly Metrics'!$D:$D,"Goal - Penetration %")&gt;0,L69&gt;=SUMIFS('Data - Monthly Metrics'!$E:$E,'Data - Monthly Metrics'!$A:$A,$B$4,'Data - Monthly Metrics'!$B:$B,L$8,'Data - Monthly Metrics'!$C:$C,"TKP",'Data - Monthly Metrics'!$D:$D,"Goal - Penetration %")-0.05)</formula>
    </cfRule>
    <cfRule type="expression" rank="0" priority="180" equalAverage="0" aboveAverage="0" dxfId="1" stopIfTrue="1" text="" percent="0" bottom="0">
      <formula>AND(ISNUMBER(L69),COUNTIFS('Data - Monthly Metrics'!$A:$A,$B$4,'Data - Monthly Metrics'!$B:$B,L$8,'Data - Monthly Metrics'!$C:$C,"TKP",'Data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Metrics'!$C:$C,"TKP",'Data - Monthly Metrics'!$D:$D,"Goal - Penetration %")&gt;0,N69&gt;=SUMIFS('Data - Monthly Metrics'!$E:$E,'Data - Monthly Metrics'!$A:$A,$B$4,'Data - Monthly Metrics'!$B:$B,N$8,'Data - Monthly Metrics'!$C:$C,"TKP",'Data - Monthly Metrics'!$D:$D,"Goal - Penetration %"))</formula>
    </cfRule>
    <cfRule type="expression" rank="0" priority="182" equalAverage="0" aboveAverage="0" dxfId="2" stopIfTrue="1" text="" percent="0" bottom="0">
      <formula>AND(ISNUMBER(N69),COUNTIFS('Data - Monthly Metrics'!$A:$A,$B$4,'Data - Monthly Metrics'!$B:$B,N$8,'Data - Monthly Metrics'!$C:$C,"TKP",'Data - Monthly Metrics'!$D:$D,"Goal - Penetration %")&gt;0,N69&gt;=SUMIFS('Data - Monthly Metrics'!$E:$E,'Data - Monthly Metrics'!$A:$A,$B$4,'Data - Monthly Metrics'!$B:$B,N$8,'Data - Monthly Metrics'!$C:$C,"TKP",'Data - Monthly Metrics'!$D:$D,"Goal - Penetration %")-0.05)</formula>
    </cfRule>
    <cfRule type="expression" rank="0" priority="183" equalAverage="0" aboveAverage="0" dxfId="1" stopIfTrue="1" text="" percent="0" bottom="0">
      <formula>AND(ISNUMBER(N69),COUNTIFS('Data - Monthly Metrics'!$A:$A,$B$4,'Data - Monthly Metrics'!$B:$B,N$8,'Data - Monthly Metrics'!$C:$C,"TKP",'Data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Metrics'!$C:$C,"TKP",'Data - Monthly Metrics'!$D:$D,"Goal - Penetration %")&gt;0,O69&gt;=SUMIFS('Data - Monthly Metrics'!$E:$E,'Data - Monthly Metrics'!$A:$A,$B$4,'Data - Monthly Metrics'!$B:$B,O$8,'Data - Monthly Metrics'!$C:$C,"TKP",'Data - Monthly Metrics'!$D:$D,"Goal - Penetration %"))</formula>
    </cfRule>
    <cfRule type="expression" rank="0" priority="185" equalAverage="0" aboveAverage="0" dxfId="2" stopIfTrue="1" text="" percent="0" bottom="0">
      <formula>AND(ISNUMBER(O69),COUNTIFS('Data - Monthly Metrics'!$A:$A,$B$4,'Data - Monthly Metrics'!$B:$B,O$8,'Data - Monthly Metrics'!$C:$C,"TKP",'Data - Monthly Metrics'!$D:$D,"Goal - Penetration %")&gt;0,O69&gt;=SUMIFS('Data - Monthly Metrics'!$E:$E,'Data - Monthly Metrics'!$A:$A,$B$4,'Data - Monthly Metrics'!$B:$B,O$8,'Data - Monthly Metrics'!$C:$C,"TKP",'Data - Monthly Metrics'!$D:$D,"Goal - Penetration %")-0.05)</formula>
    </cfRule>
    <cfRule type="expression" rank="0" priority="186" equalAverage="0" aboveAverage="0" dxfId="1" stopIfTrue="1" text="" percent="0" bottom="0">
      <formula>AND(ISNUMBER(O69),COUNTIFS('Data - Monthly Metrics'!$A:$A,$B$4,'Data - Monthly Metrics'!$B:$B,O$8,'Data - Monthly Metrics'!$C:$C,"TKP",'Data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Metrics'!$C:$C,"TKP",'Data - Monthly Metrics'!$D:$D,"Goal - Penetration %")&gt;0,P69&gt;=SUMIFS('Data - Monthly Metrics'!$E:$E,'Data - Monthly Metrics'!$A:$A,$B$4,'Data - Monthly Metrics'!$B:$B,P$8,'Data - Monthly Metrics'!$C:$C,"TKP",'Data - Monthly Metrics'!$D:$D,"Goal - Penetration %"))</formula>
    </cfRule>
    <cfRule type="expression" rank="0" priority="188" equalAverage="0" aboveAverage="0" dxfId="2" stopIfTrue="1" text="" percent="0" bottom="0">
      <formula>AND(ISNUMBER(P69),COUNTIFS('Data - Monthly Metrics'!$A:$A,$B$4,'Data - Monthly Metrics'!$B:$B,P$8,'Data - Monthly Metrics'!$C:$C,"TKP",'Data - Monthly Metrics'!$D:$D,"Goal - Penetration %")&gt;0,P69&gt;=SUMIFS('Data - Monthly Metrics'!$E:$E,'Data - Monthly Metrics'!$A:$A,$B$4,'Data - Monthly Metrics'!$B:$B,P$8,'Data - Monthly Metrics'!$C:$C,"TKP",'Data - Monthly Metrics'!$D:$D,"Goal - Penetration %")-0.05)</formula>
    </cfRule>
    <cfRule type="expression" rank="0" priority="189" equalAverage="0" aboveAverage="0" dxfId="1" stopIfTrue="1" text="" percent="0" bottom="0">
      <formula>AND(ISNUMBER(P69),COUNTIFS('Data - Monthly Metrics'!$A:$A,$B$4,'Data - Monthly Metrics'!$B:$B,P$8,'Data - Monthly Metrics'!$C:$C,"TKP",'Data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Metrics'!$C:$C,"TKP",'Data - Monthly Metrics'!$D:$D,"Goal - Penetration %")&gt;0,B70&gt;=SUMIFS('Data - Monthly Metrics'!$E:$E,'Data - Monthly Metrics'!$A:$A,$B$4-1,'Data - Monthly Metrics'!$B:$B,B$8,'Data - Monthly Metrics'!$C:$C,"TKP",'Data - Monthly Metrics'!$D:$D,"Goal - Penetration %"))</formula>
    </cfRule>
    <cfRule type="expression" rank="0" priority="191" equalAverage="0" aboveAverage="0" dxfId="2" stopIfTrue="1" text="" percent="0" bottom="0">
      <formula>AND(ISNUMBER(B70),COUNTIFS('Data - Monthly Metrics'!$A:$A,$B$4-1,'Data - Monthly Metrics'!$B:$B,B$8,'Data - Monthly Metrics'!$C:$C,"TKP",'Data - Monthly Metrics'!$D:$D,"Goal - Penetration %")&gt;0,B70&gt;=SUMIFS('Data - Monthly Metrics'!$E:$E,'Data - Monthly Metrics'!$A:$A,$B$4-1,'Data - Monthly Metrics'!$B:$B,B$8,'Data - Monthly Metrics'!$C:$C,"TKP",'Data - Monthly Metrics'!$D:$D,"Goal - Penetration %")-0.05)</formula>
    </cfRule>
    <cfRule type="expression" rank="0" priority="192" equalAverage="0" aboveAverage="0" dxfId="1" stopIfTrue="1" text="" percent="0" bottom="0">
      <formula>AND(ISNUMBER(B70),COUNTIFS('Data - Monthly Metrics'!$A:$A,$B$4-1,'Data - Monthly Metrics'!$B:$B,B$8,'Data - Monthly Metrics'!$C:$C,"TKP",'Data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Metrics'!$C:$C,"TKP",'Data - Monthly Metrics'!$D:$D,"Goal - Penetration %")&gt;0,C70&gt;=SUMIFS('Data - Monthly Metrics'!$E:$E,'Data - Monthly Metrics'!$A:$A,$B$4-1,'Data - Monthly Metrics'!$B:$B,C$8,'Data - Monthly Metrics'!$C:$C,"TKP",'Data - Monthly Metrics'!$D:$D,"Goal - Penetration %"))</formula>
    </cfRule>
    <cfRule type="expression" rank="0" priority="194" equalAverage="0" aboveAverage="0" dxfId="2" stopIfTrue="1" text="" percent="0" bottom="0">
      <formula>AND(ISNUMBER(C70),COUNTIFS('Data - Monthly Metrics'!$A:$A,$B$4-1,'Data - Monthly Metrics'!$B:$B,C$8,'Data - Monthly Metrics'!$C:$C,"TKP",'Data - Monthly Metrics'!$D:$D,"Goal - Penetration %")&gt;0,C70&gt;=SUMIFS('Data - Monthly Metrics'!$E:$E,'Data - Monthly Metrics'!$A:$A,$B$4-1,'Data - Monthly Metrics'!$B:$B,C$8,'Data - Monthly Metrics'!$C:$C,"TKP",'Data - Monthly Metrics'!$D:$D,"Goal - Penetration %")-0.05)</formula>
    </cfRule>
    <cfRule type="expression" rank="0" priority="195" equalAverage="0" aboveAverage="0" dxfId="1" stopIfTrue="1" text="" percent="0" bottom="0">
      <formula>AND(ISNUMBER(C70),COUNTIFS('Data - Monthly Metrics'!$A:$A,$B$4-1,'Data - Monthly Metrics'!$B:$B,C$8,'Data - Monthly Metrics'!$C:$C,"TKP",'Data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Metrics'!$C:$C,"TKP",'Data - Monthly Metrics'!$D:$D,"Goal - Penetration %")&gt;0,D70&gt;=SUMIFS('Data - Monthly Metrics'!$E:$E,'Data - Monthly Metrics'!$A:$A,$B$4-1,'Data - Monthly Metrics'!$B:$B,D$8,'Data - Monthly Metrics'!$C:$C,"TKP",'Data - Monthly Metrics'!$D:$D,"Goal - Penetration %"))</formula>
    </cfRule>
    <cfRule type="expression" rank="0" priority="197" equalAverage="0" aboveAverage="0" dxfId="2" stopIfTrue="1" text="" percent="0" bottom="0">
      <formula>AND(ISNUMBER(D70),COUNTIFS('Data - Monthly Metrics'!$A:$A,$B$4-1,'Data - Monthly Metrics'!$B:$B,D$8,'Data - Monthly Metrics'!$C:$C,"TKP",'Data - Monthly Metrics'!$D:$D,"Goal - Penetration %")&gt;0,D70&gt;=SUMIFS('Data - Monthly Metrics'!$E:$E,'Data - Monthly Metrics'!$A:$A,$B$4-1,'Data - Monthly Metrics'!$B:$B,D$8,'Data - Monthly Metrics'!$C:$C,"TKP",'Data - Monthly Metrics'!$D:$D,"Goal - Penetration %")-0.05)</formula>
    </cfRule>
    <cfRule type="expression" rank="0" priority="198" equalAverage="0" aboveAverage="0" dxfId="1" stopIfTrue="1" text="" percent="0" bottom="0">
      <formula>AND(ISNUMBER(D70),COUNTIFS('Data - Monthly Metrics'!$A:$A,$B$4-1,'Data - Monthly Metrics'!$B:$B,D$8,'Data - Monthly Metrics'!$C:$C,"TKP",'Data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Metrics'!$C:$C,"TKP",'Data - Monthly Metrics'!$D:$D,"Goal - Penetration %")&gt;0,F70&gt;=SUMIFS('Data - Monthly Metrics'!$E:$E,'Data - Monthly Metrics'!$A:$A,$B$4,'Data - Monthly Metrics'!$B:$B,F$8,'Data - Monthly Metrics'!$C:$C,"TKP",'Data - Monthly Metrics'!$D:$D,"Goal - Penetration %"))</formula>
    </cfRule>
    <cfRule type="expression" rank="0" priority="200" equalAverage="0" aboveAverage="0" dxfId="2" stopIfTrue="1" text="" percent="0" bottom="0">
      <formula>AND(ISNUMBER(F70),COUNTIFS('Data - Monthly Metrics'!$A:$A,$B$4,'Data - Monthly Metrics'!$B:$B,F$8,'Data - Monthly Metrics'!$C:$C,"TKP",'Data - Monthly Metrics'!$D:$D,"Goal - Penetration %")&gt;0,F70&gt;=SUMIFS('Data - Monthly Metrics'!$E:$E,'Data - Monthly Metrics'!$A:$A,$B$4,'Data - Monthly Metrics'!$B:$B,F$8,'Data - Monthly Metrics'!$C:$C,"TKP",'Data - Monthly Metrics'!$D:$D,"Goal - Penetration %")-0.05)</formula>
    </cfRule>
    <cfRule type="expression" rank="0" priority="201" equalAverage="0" aboveAverage="0" dxfId="1" stopIfTrue="1" text="" percent="0" bottom="0">
      <formula>AND(ISNUMBER(F70),COUNTIFS('Data - Monthly Metrics'!$A:$A,$B$4,'Data - Monthly Metrics'!$B:$B,F$8,'Data - Monthly Metrics'!$C:$C,"TKP",'Data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Metrics'!$C:$C,"TKP",'Data - Monthly Metrics'!$D:$D,"Goal - Penetration %")&gt;0,G70&gt;=SUMIFS('Data - Monthly Metrics'!$E:$E,'Data - Monthly Metrics'!$A:$A,$B$4,'Data - Monthly Metrics'!$B:$B,G$8,'Data - Monthly Metrics'!$C:$C,"TKP",'Data - Monthly Metrics'!$D:$D,"Goal - Penetration %"))</formula>
    </cfRule>
    <cfRule type="expression" rank="0" priority="203" equalAverage="0" aboveAverage="0" dxfId="2" stopIfTrue="1" text="" percent="0" bottom="0">
      <formula>AND(ISNUMBER(G70),COUNTIFS('Data - Monthly Metrics'!$A:$A,$B$4,'Data - Monthly Metrics'!$B:$B,G$8,'Data - Monthly Metrics'!$C:$C,"TKP",'Data - Monthly Metrics'!$D:$D,"Goal - Penetration %")&gt;0,G70&gt;=SUMIFS('Data - Monthly Metrics'!$E:$E,'Data - Monthly Metrics'!$A:$A,$B$4,'Data - Monthly Metrics'!$B:$B,G$8,'Data - Monthly Metrics'!$C:$C,"TKP",'Data - Monthly Metrics'!$D:$D,"Goal - Penetration %")-0.05)</formula>
    </cfRule>
    <cfRule type="expression" rank="0" priority="204" equalAverage="0" aboveAverage="0" dxfId="1" stopIfTrue="1" text="" percent="0" bottom="0">
      <formula>AND(ISNUMBER(G70),COUNTIFS('Data - Monthly Metrics'!$A:$A,$B$4,'Data - Monthly Metrics'!$B:$B,G$8,'Data - Monthly Metrics'!$C:$C,"TKP",'Data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Metrics'!$C:$C,"TKP",'Data - Monthly Metrics'!$D:$D,"Goal - Penetration %")&gt;0,H70&gt;=SUMIFS('Data - Monthly Metrics'!$E:$E,'Data - Monthly Metrics'!$A:$A,$B$4,'Data - Monthly Metrics'!$B:$B,H$8,'Data - Monthly Metrics'!$C:$C,"TKP",'Data - Monthly Metrics'!$D:$D,"Goal - Penetration %"))</formula>
    </cfRule>
    <cfRule type="expression" rank="0" priority="206" equalAverage="0" aboveAverage="0" dxfId="2" stopIfTrue="1" text="" percent="0" bottom="0">
      <formula>AND(ISNUMBER(H70),COUNTIFS('Data - Monthly Metrics'!$A:$A,$B$4,'Data - Monthly Metrics'!$B:$B,H$8,'Data - Monthly Metrics'!$C:$C,"TKP",'Data - Monthly Metrics'!$D:$D,"Goal - Penetration %")&gt;0,H70&gt;=SUMIFS('Data - Monthly Metrics'!$E:$E,'Data - Monthly Metrics'!$A:$A,$B$4,'Data - Monthly Metrics'!$B:$B,H$8,'Data - Monthly Metrics'!$C:$C,"TKP",'Data - Monthly Metrics'!$D:$D,"Goal - Penetration %")-0.05)</formula>
    </cfRule>
    <cfRule type="expression" rank="0" priority="207" equalAverage="0" aboveAverage="0" dxfId="1" stopIfTrue="1" text="" percent="0" bottom="0">
      <formula>AND(ISNUMBER(H70),COUNTIFS('Data - Monthly Metrics'!$A:$A,$B$4,'Data - Monthly Metrics'!$B:$B,H$8,'Data - Monthly Metrics'!$C:$C,"TKP",'Data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Metrics'!$C:$C,"TKP",'Data - Monthly Metrics'!$D:$D,"Goal - Penetration %")&gt;0,J70&gt;=SUMIFS('Data - Monthly Metrics'!$E:$E,'Data - Monthly Metrics'!$A:$A,$B$4,'Data - Monthly Metrics'!$B:$B,J$8,'Data - Monthly Metrics'!$C:$C,"TKP",'Data - Monthly Metrics'!$D:$D,"Goal - Penetration %"))</formula>
    </cfRule>
    <cfRule type="expression" rank="0" priority="209" equalAverage="0" aboveAverage="0" dxfId="2" stopIfTrue="1" text="" percent="0" bottom="0">
      <formula>AND(ISNUMBER(J70),COUNTIFS('Data - Monthly Metrics'!$A:$A,$B$4,'Data - Monthly Metrics'!$B:$B,J$8,'Data - Monthly Metrics'!$C:$C,"TKP",'Data - Monthly Metrics'!$D:$D,"Goal - Penetration %")&gt;0,J70&gt;=SUMIFS('Data - Monthly Metrics'!$E:$E,'Data - Monthly Metrics'!$A:$A,$B$4,'Data - Monthly Metrics'!$B:$B,J$8,'Data - Monthly Metrics'!$C:$C,"TKP",'Data - Monthly Metrics'!$D:$D,"Goal - Penetration %")-0.05)</formula>
    </cfRule>
    <cfRule type="expression" rank="0" priority="210" equalAverage="0" aboveAverage="0" dxfId="1" stopIfTrue="1" text="" percent="0" bottom="0">
      <formula>AND(ISNUMBER(J70),COUNTIFS('Data - Monthly Metrics'!$A:$A,$B$4,'Data - Monthly Metrics'!$B:$B,J$8,'Data - Monthly Metrics'!$C:$C,"TKP",'Data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Metrics'!$C:$C,"TKP",'Data - Monthly Metrics'!$D:$D,"Goal - Penetration %")&gt;0,K70&gt;=SUMIFS('Data - Monthly Metrics'!$E:$E,'Data - Monthly Metrics'!$A:$A,$B$4,'Data - Monthly Metrics'!$B:$B,K$8,'Data - Monthly Metrics'!$C:$C,"TKP",'Data - Monthly Metrics'!$D:$D,"Goal - Penetration %"))</formula>
    </cfRule>
    <cfRule type="expression" rank="0" priority="212" equalAverage="0" aboveAverage="0" dxfId="2" stopIfTrue="1" text="" percent="0" bottom="0">
      <formula>AND(ISNUMBER(K70),COUNTIFS('Data - Monthly Metrics'!$A:$A,$B$4,'Data - Monthly Metrics'!$B:$B,K$8,'Data - Monthly Metrics'!$C:$C,"TKP",'Data - Monthly Metrics'!$D:$D,"Goal - Penetration %")&gt;0,K70&gt;=SUMIFS('Data - Monthly Metrics'!$E:$E,'Data - Monthly Metrics'!$A:$A,$B$4,'Data - Monthly Metrics'!$B:$B,K$8,'Data - Monthly Metrics'!$C:$C,"TKP",'Data - Monthly Metrics'!$D:$D,"Goal - Penetration %")-0.05)</formula>
    </cfRule>
    <cfRule type="expression" rank="0" priority="213" equalAverage="0" aboveAverage="0" dxfId="1" stopIfTrue="1" text="" percent="0" bottom="0">
      <formula>AND(ISNUMBER(K70),COUNTIFS('Data - Monthly Metrics'!$A:$A,$B$4,'Data - Monthly Metrics'!$B:$B,K$8,'Data - Monthly Metrics'!$C:$C,"TKP",'Data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Metrics'!$C:$C,"TKP",'Data - Monthly Metrics'!$D:$D,"Goal - Penetration %")&gt;0,L70&gt;=SUMIFS('Data - Monthly Metrics'!$E:$E,'Data - Monthly Metrics'!$A:$A,$B$4,'Data - Monthly Metrics'!$B:$B,L$8,'Data - Monthly Metrics'!$C:$C,"TKP",'Data - Monthly Metrics'!$D:$D,"Goal - Penetration %"))</formula>
    </cfRule>
    <cfRule type="expression" rank="0" priority="215" equalAverage="0" aboveAverage="0" dxfId="2" stopIfTrue="1" text="" percent="0" bottom="0">
      <formula>AND(ISNUMBER(L70),COUNTIFS('Data - Monthly Metrics'!$A:$A,$B$4,'Data - Monthly Metrics'!$B:$B,L$8,'Data - Monthly Metrics'!$C:$C,"TKP",'Data - Monthly Metrics'!$D:$D,"Goal - Penetration %")&gt;0,L70&gt;=SUMIFS('Data - Monthly Metrics'!$E:$E,'Data - Monthly Metrics'!$A:$A,$B$4,'Data - Monthly Metrics'!$B:$B,L$8,'Data - Monthly Metrics'!$C:$C,"TKP",'Data - Monthly Metrics'!$D:$D,"Goal - Penetration %")-0.05)</formula>
    </cfRule>
    <cfRule type="expression" rank="0" priority="216" equalAverage="0" aboveAverage="0" dxfId="1" stopIfTrue="1" text="" percent="0" bottom="0">
      <formula>AND(ISNUMBER(L70),COUNTIFS('Data - Monthly Metrics'!$A:$A,$B$4,'Data - Monthly Metrics'!$B:$B,L$8,'Data - Monthly Metrics'!$C:$C,"TKP",'Data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Metrics'!$C:$C,"TKP",'Data - Monthly Metrics'!$D:$D,"Goal - Penetration %")&gt;0,N70&gt;=SUMIFS('Data - Monthly Metrics'!$E:$E,'Data - Monthly Metrics'!$A:$A,$B$4,'Data - Monthly Metrics'!$B:$B,N$8,'Data - Monthly Metrics'!$C:$C,"TKP",'Data - Monthly Metrics'!$D:$D,"Goal - Penetration %"))</formula>
    </cfRule>
    <cfRule type="expression" rank="0" priority="218" equalAverage="0" aboveAverage="0" dxfId="2" stopIfTrue="1" text="" percent="0" bottom="0">
      <formula>AND(ISNUMBER(N70),COUNTIFS('Data - Monthly Metrics'!$A:$A,$B$4,'Data - Monthly Metrics'!$B:$B,N$8,'Data - Monthly Metrics'!$C:$C,"TKP",'Data - Monthly Metrics'!$D:$D,"Goal - Penetration %")&gt;0,N70&gt;=SUMIFS('Data - Monthly Metrics'!$E:$E,'Data - Monthly Metrics'!$A:$A,$B$4,'Data - Monthly Metrics'!$B:$B,N$8,'Data - Monthly Metrics'!$C:$C,"TKP",'Data - Monthly Metrics'!$D:$D,"Goal - Penetration %")-0.05)</formula>
    </cfRule>
    <cfRule type="expression" rank="0" priority="219" equalAverage="0" aboveAverage="0" dxfId="1" stopIfTrue="1" text="" percent="0" bottom="0">
      <formula>AND(ISNUMBER(N70),COUNTIFS('Data - Monthly Metrics'!$A:$A,$B$4,'Data - Monthly Metrics'!$B:$B,N$8,'Data - Monthly Metrics'!$C:$C,"TKP",'Data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Metrics'!$C:$C,"TKP",'Data - Monthly Metrics'!$D:$D,"Goal - Penetration %")&gt;0,O70&gt;=SUMIFS('Data - Monthly Metrics'!$E:$E,'Data - Monthly Metrics'!$A:$A,$B$4,'Data - Monthly Metrics'!$B:$B,O$8,'Data - Monthly Metrics'!$C:$C,"TKP",'Data - Monthly Metrics'!$D:$D,"Goal - Penetration %"))</formula>
    </cfRule>
    <cfRule type="expression" rank="0" priority="221" equalAverage="0" aboveAverage="0" dxfId="2" stopIfTrue="1" text="" percent="0" bottom="0">
      <formula>AND(ISNUMBER(O70),COUNTIFS('Data - Monthly Metrics'!$A:$A,$B$4,'Data - Monthly Metrics'!$B:$B,O$8,'Data - Monthly Metrics'!$C:$C,"TKP",'Data - Monthly Metrics'!$D:$D,"Goal - Penetration %")&gt;0,O70&gt;=SUMIFS('Data - Monthly Metrics'!$E:$E,'Data - Monthly Metrics'!$A:$A,$B$4,'Data - Monthly Metrics'!$B:$B,O$8,'Data - Monthly Metrics'!$C:$C,"TKP",'Data - Monthly Metrics'!$D:$D,"Goal - Penetration %")-0.05)</formula>
    </cfRule>
    <cfRule type="expression" rank="0" priority="222" equalAverage="0" aboveAverage="0" dxfId="1" stopIfTrue="1" text="" percent="0" bottom="0">
      <formula>AND(ISNUMBER(O70),COUNTIFS('Data - Monthly Metrics'!$A:$A,$B$4,'Data - Monthly Metrics'!$B:$B,O$8,'Data - Monthly Metrics'!$C:$C,"TKP",'Data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Metrics'!$C:$C,"TKP",'Data - Monthly Metrics'!$D:$D,"Goal - Penetration %")&gt;0,P70&gt;=SUMIFS('Data - Monthly Metrics'!$E:$E,'Data - Monthly Metrics'!$A:$A,$B$4,'Data - Monthly Metrics'!$B:$B,P$8,'Data - Monthly Metrics'!$C:$C,"TKP",'Data - Monthly Metrics'!$D:$D,"Goal - Penetration %"))</formula>
    </cfRule>
    <cfRule type="expression" rank="0" priority="224" equalAverage="0" aboveAverage="0" dxfId="2" stopIfTrue="1" text="" percent="0" bottom="0">
      <formula>AND(ISNUMBER(P70),COUNTIFS('Data - Monthly Metrics'!$A:$A,$B$4,'Data - Monthly Metrics'!$B:$B,P$8,'Data - Monthly Metrics'!$C:$C,"TKP",'Data - Monthly Metrics'!$D:$D,"Goal - Penetration %")&gt;0,P70&gt;=SUMIFS('Data - Monthly Metrics'!$E:$E,'Data - Monthly Metrics'!$A:$A,$B$4,'Data - Monthly Metrics'!$B:$B,P$8,'Data - Monthly Metrics'!$C:$C,"TKP",'Data - Monthly Metrics'!$D:$D,"Goal - Penetration %")-0.05)</formula>
    </cfRule>
    <cfRule type="expression" rank="0" priority="225" equalAverage="0" aboveAverage="0" dxfId="1" stopIfTrue="1" text="" percent="0" bottom="0">
      <formula>AND(ISNUMBER(P70),COUNTIFS('Data - Monthly Metrics'!$A:$A,$B$4,'Data - Monthly Metrics'!$B:$B,P$8,'Data - Monthly Metrics'!$C:$C,"TKP",'Data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Metrics'!$C:$C,"TKP",'Data - Monthly Metrics'!$D:$D,"Goal - Penetration %")&gt;0,B105&gt;=SUMIFS('Data - Monthly Metrics'!$E:$E,'Data - Monthly Metrics'!$A:$A,$B$4-1,'Data - Monthly Metrics'!$B:$B,B$8,'Data - Monthly Metrics'!$C:$C,"TKP",'Data - Monthly Metrics'!$D:$D,"Goal - Penetration %"))</formula>
    </cfRule>
    <cfRule type="expression" rank="0" priority="227" equalAverage="0" aboveAverage="0" dxfId="2" stopIfTrue="1" text="" percent="0" bottom="0">
      <formula>AND(ISNUMBER(B105),COUNTIFS('Data - Monthly Metrics'!$A:$A,$B$4-1,'Data - Monthly Metrics'!$B:$B,B$8,'Data - Monthly Metrics'!$C:$C,"TKP",'Data - Monthly Metrics'!$D:$D,"Goal - Penetration %")&gt;0,B105&gt;=SUMIFS('Data - Monthly Metrics'!$E:$E,'Data - Monthly Metrics'!$A:$A,$B$4-1,'Data - Monthly Metrics'!$B:$B,B$8,'Data - Monthly Metrics'!$C:$C,"TKP",'Data - Monthly Metrics'!$D:$D,"Goal - Penetration %")-0.05)</formula>
    </cfRule>
    <cfRule type="expression" rank="0" priority="228" equalAverage="0" aboveAverage="0" dxfId="1" stopIfTrue="1" text="" percent="0" bottom="0">
      <formula>AND(ISNUMBER(B105),COUNTIFS('Data - Monthly Metrics'!$A:$A,$B$4-1,'Data - Monthly Metrics'!$B:$B,B$8,'Data - Monthly Metrics'!$C:$C,"TKP",'Data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Metrics'!$C:$C,"TKP",'Data - Monthly Metrics'!$D:$D,"Goal - Penetration %")&gt;0,C105&gt;=SUMIFS('Data - Monthly Metrics'!$E:$E,'Data - Monthly Metrics'!$A:$A,$B$4-1,'Data - Monthly Metrics'!$B:$B,C$8,'Data - Monthly Metrics'!$C:$C,"TKP",'Data - Monthly Metrics'!$D:$D,"Goal - Penetration %"))</formula>
    </cfRule>
    <cfRule type="expression" rank="0" priority="230" equalAverage="0" aboveAverage="0" dxfId="2" stopIfTrue="1" text="" percent="0" bottom="0">
      <formula>AND(ISNUMBER(C105),COUNTIFS('Data - Monthly Metrics'!$A:$A,$B$4-1,'Data - Monthly Metrics'!$B:$B,C$8,'Data - Monthly Metrics'!$C:$C,"TKP",'Data - Monthly Metrics'!$D:$D,"Goal - Penetration %")&gt;0,C105&gt;=SUMIFS('Data - Monthly Metrics'!$E:$E,'Data - Monthly Metrics'!$A:$A,$B$4-1,'Data - Monthly Metrics'!$B:$B,C$8,'Data - Monthly Metrics'!$C:$C,"TKP",'Data - Monthly Metrics'!$D:$D,"Goal - Penetration %")-0.05)</formula>
    </cfRule>
    <cfRule type="expression" rank="0" priority="231" equalAverage="0" aboveAverage="0" dxfId="1" stopIfTrue="1" text="" percent="0" bottom="0">
      <formula>AND(ISNUMBER(C105),COUNTIFS('Data - Monthly Metrics'!$A:$A,$B$4-1,'Data - Monthly Metrics'!$B:$B,C$8,'Data - Monthly Metrics'!$C:$C,"TKP",'Data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Metrics'!$C:$C,"TKP",'Data - Monthly Metrics'!$D:$D,"Goal - Penetration %")&gt;0,D105&gt;=SUMIFS('Data - Monthly Metrics'!$E:$E,'Data - Monthly Metrics'!$A:$A,$B$4-1,'Data - Monthly Metrics'!$B:$B,D$8,'Data - Monthly Metrics'!$C:$C,"TKP",'Data - Monthly Metrics'!$D:$D,"Goal - Penetration %"))</formula>
    </cfRule>
    <cfRule type="expression" rank="0" priority="233" equalAverage="0" aboveAverage="0" dxfId="2" stopIfTrue="1" text="" percent="0" bottom="0">
      <formula>AND(ISNUMBER(D105),COUNTIFS('Data - Monthly Metrics'!$A:$A,$B$4-1,'Data - Monthly Metrics'!$B:$B,D$8,'Data - Monthly Metrics'!$C:$C,"TKP",'Data - Monthly Metrics'!$D:$D,"Goal - Penetration %")&gt;0,D105&gt;=SUMIFS('Data - Monthly Metrics'!$E:$E,'Data - Monthly Metrics'!$A:$A,$B$4-1,'Data - Monthly Metrics'!$B:$B,D$8,'Data - Monthly Metrics'!$C:$C,"TKP",'Data - Monthly Metrics'!$D:$D,"Goal - Penetration %")-0.05)</formula>
    </cfRule>
    <cfRule type="expression" rank="0" priority="234" equalAverage="0" aboveAverage="0" dxfId="1" stopIfTrue="1" text="" percent="0" bottom="0">
      <formula>AND(ISNUMBER(D105),COUNTIFS('Data - Monthly Metrics'!$A:$A,$B$4-1,'Data - Monthly Metrics'!$B:$B,D$8,'Data - Monthly Metrics'!$C:$C,"TKP",'Data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Metrics'!$C:$C,"TKP",'Data - Monthly Metrics'!$D:$D,"Goal - Penetration %")&gt;0,F105&gt;=SUMIFS('Data - Monthly Metrics'!$E:$E,'Data - Monthly Metrics'!$A:$A,$B$4,'Data - Monthly Metrics'!$B:$B,F$8,'Data - Monthly Metrics'!$C:$C,"TKP",'Data - Monthly Metrics'!$D:$D,"Goal - Penetration %"))</formula>
    </cfRule>
    <cfRule type="expression" rank="0" priority="236" equalAverage="0" aboveAverage="0" dxfId="2" stopIfTrue="1" text="" percent="0" bottom="0">
      <formula>AND(ISNUMBER(F105),COUNTIFS('Data - Monthly Metrics'!$A:$A,$B$4,'Data - Monthly Metrics'!$B:$B,F$8,'Data - Monthly Metrics'!$C:$C,"TKP",'Data - Monthly Metrics'!$D:$D,"Goal - Penetration %")&gt;0,F105&gt;=SUMIFS('Data - Monthly Metrics'!$E:$E,'Data - Monthly Metrics'!$A:$A,$B$4,'Data - Monthly Metrics'!$B:$B,F$8,'Data - Monthly Metrics'!$C:$C,"TKP",'Data - Monthly Metrics'!$D:$D,"Goal - Penetration %")-0.05)</formula>
    </cfRule>
    <cfRule type="expression" rank="0" priority="237" equalAverage="0" aboveAverage="0" dxfId="1" stopIfTrue="1" text="" percent="0" bottom="0">
      <formula>AND(ISNUMBER(F105),COUNTIFS('Data - Monthly Metrics'!$A:$A,$B$4,'Data - Monthly Metrics'!$B:$B,F$8,'Data - Monthly Metrics'!$C:$C,"TKP",'Data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Metrics'!$C:$C,"TKP",'Data - Monthly Metrics'!$D:$D,"Goal - Penetration %")&gt;0,G105&gt;=SUMIFS('Data - Monthly Metrics'!$E:$E,'Data - Monthly Metrics'!$A:$A,$B$4,'Data - Monthly Metrics'!$B:$B,G$8,'Data - Monthly Metrics'!$C:$C,"TKP",'Data - Monthly Metrics'!$D:$D,"Goal - Penetration %"))</formula>
    </cfRule>
    <cfRule type="expression" rank="0" priority="239" equalAverage="0" aboveAverage="0" dxfId="2" stopIfTrue="1" text="" percent="0" bottom="0">
      <formula>AND(ISNUMBER(G105),COUNTIFS('Data - Monthly Metrics'!$A:$A,$B$4,'Data - Monthly Metrics'!$B:$B,G$8,'Data - Monthly Metrics'!$C:$C,"TKP",'Data - Monthly Metrics'!$D:$D,"Goal - Penetration %")&gt;0,G105&gt;=SUMIFS('Data - Monthly Metrics'!$E:$E,'Data - Monthly Metrics'!$A:$A,$B$4,'Data - Monthly Metrics'!$B:$B,G$8,'Data - Monthly Metrics'!$C:$C,"TKP",'Data - Monthly Metrics'!$D:$D,"Goal - Penetration %")-0.05)</formula>
    </cfRule>
    <cfRule type="expression" rank="0" priority="240" equalAverage="0" aboveAverage="0" dxfId="1" stopIfTrue="1" text="" percent="0" bottom="0">
      <formula>AND(ISNUMBER(G105),COUNTIFS('Data - Monthly Metrics'!$A:$A,$B$4,'Data - Monthly Metrics'!$B:$B,G$8,'Data - Monthly Metrics'!$C:$C,"TKP",'Data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Metrics'!$C:$C,"TKP",'Data - Monthly Metrics'!$D:$D,"Goal - Penetration %")&gt;0,H105&gt;=SUMIFS('Data - Monthly Metrics'!$E:$E,'Data - Monthly Metrics'!$A:$A,$B$4,'Data - Monthly Metrics'!$B:$B,H$8,'Data - Monthly Metrics'!$C:$C,"TKP",'Data - Monthly Metrics'!$D:$D,"Goal - Penetration %"))</formula>
    </cfRule>
    <cfRule type="expression" rank="0" priority="242" equalAverage="0" aboveAverage="0" dxfId="2" stopIfTrue="1" text="" percent="0" bottom="0">
      <formula>AND(ISNUMBER(H105),COUNTIFS('Data - Monthly Metrics'!$A:$A,$B$4,'Data - Monthly Metrics'!$B:$B,H$8,'Data - Monthly Metrics'!$C:$C,"TKP",'Data - Monthly Metrics'!$D:$D,"Goal - Penetration %")&gt;0,H105&gt;=SUMIFS('Data - Monthly Metrics'!$E:$E,'Data - Monthly Metrics'!$A:$A,$B$4,'Data - Monthly Metrics'!$B:$B,H$8,'Data - Monthly Metrics'!$C:$C,"TKP",'Data - Monthly Metrics'!$D:$D,"Goal - Penetration %")-0.05)</formula>
    </cfRule>
    <cfRule type="expression" rank="0" priority="243" equalAverage="0" aboveAverage="0" dxfId="1" stopIfTrue="1" text="" percent="0" bottom="0">
      <formula>AND(ISNUMBER(H105),COUNTIFS('Data - Monthly Metrics'!$A:$A,$B$4,'Data - Monthly Metrics'!$B:$B,H$8,'Data - Monthly Metrics'!$C:$C,"TKP",'Data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Metrics'!$C:$C,"TKP",'Data - Monthly Metrics'!$D:$D,"Goal - Penetration %")&gt;0,J105&gt;=SUMIFS('Data - Monthly Metrics'!$E:$E,'Data - Monthly Metrics'!$A:$A,$B$4,'Data - Monthly Metrics'!$B:$B,J$8,'Data - Monthly Metrics'!$C:$C,"TKP",'Data - Monthly Metrics'!$D:$D,"Goal - Penetration %"))</formula>
    </cfRule>
    <cfRule type="expression" rank="0" priority="245" equalAverage="0" aboveAverage="0" dxfId="2" stopIfTrue="1" text="" percent="0" bottom="0">
      <formula>AND(ISNUMBER(J105),COUNTIFS('Data - Monthly Metrics'!$A:$A,$B$4,'Data - Monthly Metrics'!$B:$B,J$8,'Data - Monthly Metrics'!$C:$C,"TKP",'Data - Monthly Metrics'!$D:$D,"Goal - Penetration %")&gt;0,J105&gt;=SUMIFS('Data - Monthly Metrics'!$E:$E,'Data - Monthly Metrics'!$A:$A,$B$4,'Data - Monthly Metrics'!$B:$B,J$8,'Data - Monthly Metrics'!$C:$C,"TKP",'Data - Monthly Metrics'!$D:$D,"Goal - Penetration %")-0.05)</formula>
    </cfRule>
    <cfRule type="expression" rank="0" priority="246" equalAverage="0" aboveAverage="0" dxfId="1" stopIfTrue="1" text="" percent="0" bottom="0">
      <formula>AND(ISNUMBER(J105),COUNTIFS('Data - Monthly Metrics'!$A:$A,$B$4,'Data - Monthly Metrics'!$B:$B,J$8,'Data - Monthly Metrics'!$C:$C,"TKP",'Data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Metrics'!$C:$C,"TKP",'Data - Monthly Metrics'!$D:$D,"Goal - Penetration %")&gt;0,K105&gt;=SUMIFS('Data - Monthly Metrics'!$E:$E,'Data - Monthly Metrics'!$A:$A,$B$4,'Data - Monthly Metrics'!$B:$B,K$8,'Data - Monthly Metrics'!$C:$C,"TKP",'Data - Monthly Metrics'!$D:$D,"Goal - Penetration %"))</formula>
    </cfRule>
    <cfRule type="expression" rank="0" priority="248" equalAverage="0" aboveAverage="0" dxfId="2" stopIfTrue="1" text="" percent="0" bottom="0">
      <formula>AND(ISNUMBER(K105),COUNTIFS('Data - Monthly Metrics'!$A:$A,$B$4,'Data - Monthly Metrics'!$B:$B,K$8,'Data - Monthly Metrics'!$C:$C,"TKP",'Data - Monthly Metrics'!$D:$D,"Goal - Penetration %")&gt;0,K105&gt;=SUMIFS('Data - Monthly Metrics'!$E:$E,'Data - Monthly Metrics'!$A:$A,$B$4,'Data - Monthly Metrics'!$B:$B,K$8,'Data - Monthly Metrics'!$C:$C,"TKP",'Data - Monthly Metrics'!$D:$D,"Goal - Penetration %")-0.05)</formula>
    </cfRule>
    <cfRule type="expression" rank="0" priority="249" equalAverage="0" aboveAverage="0" dxfId="1" stopIfTrue="1" text="" percent="0" bottom="0">
      <formula>AND(ISNUMBER(K105),COUNTIFS('Data - Monthly Metrics'!$A:$A,$B$4,'Data - Monthly Metrics'!$B:$B,K$8,'Data - Monthly Metrics'!$C:$C,"TKP",'Data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Metrics'!$C:$C,"TKP",'Data - Monthly Metrics'!$D:$D,"Goal - Penetration %")&gt;0,L105&gt;=SUMIFS('Data - Monthly Metrics'!$E:$E,'Data - Monthly Metrics'!$A:$A,$B$4,'Data - Monthly Metrics'!$B:$B,L$8,'Data - Monthly Metrics'!$C:$C,"TKP",'Data - Monthly Metrics'!$D:$D,"Goal - Penetration %"))</formula>
    </cfRule>
    <cfRule type="expression" rank="0" priority="251" equalAverage="0" aboveAverage="0" dxfId="2" stopIfTrue="1" text="" percent="0" bottom="0">
      <formula>AND(ISNUMBER(L105),COUNTIFS('Data - Monthly Metrics'!$A:$A,$B$4,'Data - Monthly Metrics'!$B:$B,L$8,'Data - Monthly Metrics'!$C:$C,"TKP",'Data - Monthly Metrics'!$D:$D,"Goal - Penetration %")&gt;0,L105&gt;=SUMIFS('Data - Monthly Metrics'!$E:$E,'Data - Monthly Metrics'!$A:$A,$B$4,'Data - Monthly Metrics'!$B:$B,L$8,'Data - Monthly Metrics'!$C:$C,"TKP",'Data - Monthly Metrics'!$D:$D,"Goal - Penetration %")-0.05)</formula>
    </cfRule>
    <cfRule type="expression" rank="0" priority="252" equalAverage="0" aboveAverage="0" dxfId="1" stopIfTrue="1" text="" percent="0" bottom="0">
      <formula>AND(ISNUMBER(L105),COUNTIFS('Data - Monthly Metrics'!$A:$A,$B$4,'Data - Monthly Metrics'!$B:$B,L$8,'Data - Monthly Metrics'!$C:$C,"TKP",'Data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Metrics'!$C:$C,"TKP",'Data - Monthly Metrics'!$D:$D,"Goal - Penetration %")&gt;0,N105&gt;=SUMIFS('Data - Monthly Metrics'!$E:$E,'Data - Monthly Metrics'!$A:$A,$B$4,'Data - Monthly Metrics'!$B:$B,N$8,'Data - Monthly Metrics'!$C:$C,"TKP",'Data - Monthly Metrics'!$D:$D,"Goal - Penetration %"))</formula>
    </cfRule>
    <cfRule type="expression" rank="0" priority="254" equalAverage="0" aboveAverage="0" dxfId="2" stopIfTrue="1" text="" percent="0" bottom="0">
      <formula>AND(ISNUMBER(N105),COUNTIFS('Data - Monthly Metrics'!$A:$A,$B$4,'Data - Monthly Metrics'!$B:$B,N$8,'Data - Monthly Metrics'!$C:$C,"TKP",'Data - Monthly Metrics'!$D:$D,"Goal - Penetration %")&gt;0,N105&gt;=SUMIFS('Data - Monthly Metrics'!$E:$E,'Data - Monthly Metrics'!$A:$A,$B$4,'Data - Monthly Metrics'!$B:$B,N$8,'Data - Monthly Metrics'!$C:$C,"TKP",'Data - Monthly Metrics'!$D:$D,"Goal - Penetration %")-0.05)</formula>
    </cfRule>
    <cfRule type="expression" rank="0" priority="255" equalAverage="0" aboveAverage="0" dxfId="1" stopIfTrue="1" text="" percent="0" bottom="0">
      <formula>AND(ISNUMBER(N105),COUNTIFS('Data - Monthly Metrics'!$A:$A,$B$4,'Data - Monthly Metrics'!$B:$B,N$8,'Data - Monthly Metrics'!$C:$C,"TKP",'Data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Metrics'!$C:$C,"TKP",'Data - Monthly Metrics'!$D:$D,"Goal - Penetration %")&gt;0,O105&gt;=SUMIFS('Data - Monthly Metrics'!$E:$E,'Data - Monthly Metrics'!$A:$A,$B$4,'Data - Monthly Metrics'!$B:$B,O$8,'Data - Monthly Metrics'!$C:$C,"TKP",'Data - Monthly Metrics'!$D:$D,"Goal - Penetration %"))</formula>
    </cfRule>
    <cfRule type="expression" rank="0" priority="257" equalAverage="0" aboveAverage="0" dxfId="2" stopIfTrue="1" text="" percent="0" bottom="0">
      <formula>AND(ISNUMBER(O105),COUNTIFS('Data - Monthly Metrics'!$A:$A,$B$4,'Data - Monthly Metrics'!$B:$B,O$8,'Data - Monthly Metrics'!$C:$C,"TKP",'Data - Monthly Metrics'!$D:$D,"Goal - Penetration %")&gt;0,O105&gt;=SUMIFS('Data - Monthly Metrics'!$E:$E,'Data - Monthly Metrics'!$A:$A,$B$4,'Data - Monthly Metrics'!$B:$B,O$8,'Data - Monthly Metrics'!$C:$C,"TKP",'Data - Monthly Metrics'!$D:$D,"Goal - Penetration %")-0.05)</formula>
    </cfRule>
    <cfRule type="expression" rank="0" priority="258" equalAverage="0" aboveAverage="0" dxfId="1" stopIfTrue="1" text="" percent="0" bottom="0">
      <formula>AND(ISNUMBER(O105),COUNTIFS('Data - Monthly Metrics'!$A:$A,$B$4,'Data - Monthly Metrics'!$B:$B,O$8,'Data - Monthly Metrics'!$C:$C,"TKP",'Data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Metrics'!$C:$C,"TKP",'Data - Monthly Metrics'!$D:$D,"Goal - Penetration %")&gt;0,P105&gt;=SUMIFS('Data - Monthly Metrics'!$E:$E,'Data - Monthly Metrics'!$A:$A,$B$4,'Data - Monthly Metrics'!$B:$B,P$8,'Data - Monthly Metrics'!$C:$C,"TKP",'Data - Monthly Metrics'!$D:$D,"Goal - Penetration %"))</formula>
    </cfRule>
    <cfRule type="expression" rank="0" priority="260" equalAverage="0" aboveAverage="0" dxfId="2" stopIfTrue="1" text="" percent="0" bottom="0">
      <formula>AND(ISNUMBER(P105),COUNTIFS('Data - Monthly Metrics'!$A:$A,$B$4,'Data - Monthly Metrics'!$B:$B,P$8,'Data - Monthly Metrics'!$C:$C,"TKP",'Data - Monthly Metrics'!$D:$D,"Goal - Penetration %")&gt;0,P105&gt;=SUMIFS('Data - Monthly Metrics'!$E:$E,'Data - Monthly Metrics'!$A:$A,$B$4,'Data - Monthly Metrics'!$B:$B,P$8,'Data - Monthly Metrics'!$C:$C,"TKP",'Data - Monthly Metrics'!$D:$D,"Goal - Penetration %")-0.05)</formula>
    </cfRule>
    <cfRule type="expression" rank="0" priority="261" equalAverage="0" aboveAverage="0" dxfId="1" stopIfTrue="1" text="" percent="0" bottom="0">
      <formula>AND(ISNUMBER(P105),COUNTIFS('Data - Monthly Metrics'!$A:$A,$B$4,'Data - Monthly Metrics'!$B:$B,P$8,'Data - Monthly Metrics'!$C:$C,"TKP",'Data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Metrics'!$C:$C,"TKP",'Data - Monthly Metrics'!$D:$D,"Goal - Penetration %")&gt;0,B106&gt;=SUMIFS('Data - Monthly Metrics'!$E:$E,'Data - Monthly Metrics'!$A:$A,$B$4-1,'Data - Monthly Metrics'!$B:$B,B$8,'Data - Monthly Metrics'!$C:$C,"TKP",'Data - Monthly Metrics'!$D:$D,"Goal - Penetration %"))</formula>
    </cfRule>
    <cfRule type="expression" rank="0" priority="263" equalAverage="0" aboveAverage="0" dxfId="2" stopIfTrue="1" text="" percent="0" bottom="0">
      <formula>AND(ISNUMBER(B106),COUNTIFS('Data - Monthly Metrics'!$A:$A,$B$4-1,'Data - Monthly Metrics'!$B:$B,B$8,'Data - Monthly Metrics'!$C:$C,"TKP",'Data - Monthly Metrics'!$D:$D,"Goal - Penetration %")&gt;0,B106&gt;=SUMIFS('Data - Monthly Metrics'!$E:$E,'Data - Monthly Metrics'!$A:$A,$B$4-1,'Data - Monthly Metrics'!$B:$B,B$8,'Data - Monthly Metrics'!$C:$C,"TKP",'Data - Monthly Metrics'!$D:$D,"Goal - Penetration %")-0.05)</formula>
    </cfRule>
    <cfRule type="expression" rank="0" priority="264" equalAverage="0" aboveAverage="0" dxfId="1" stopIfTrue="1" text="" percent="0" bottom="0">
      <formula>AND(ISNUMBER(B106),COUNTIFS('Data - Monthly Metrics'!$A:$A,$B$4-1,'Data - Monthly Metrics'!$B:$B,B$8,'Data - Monthly Metrics'!$C:$C,"TKP",'Data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Metrics'!$C:$C,"TKP",'Data - Monthly Metrics'!$D:$D,"Goal - Penetration %")&gt;0,C106&gt;=SUMIFS('Data - Monthly Metrics'!$E:$E,'Data - Monthly Metrics'!$A:$A,$B$4-1,'Data - Monthly Metrics'!$B:$B,C$8,'Data - Monthly Metrics'!$C:$C,"TKP",'Data - Monthly Metrics'!$D:$D,"Goal - Penetration %"))</formula>
    </cfRule>
    <cfRule type="expression" rank="0" priority="266" equalAverage="0" aboveAverage="0" dxfId="2" stopIfTrue="1" text="" percent="0" bottom="0">
      <formula>AND(ISNUMBER(C106),COUNTIFS('Data - Monthly Metrics'!$A:$A,$B$4-1,'Data - Monthly Metrics'!$B:$B,C$8,'Data - Monthly Metrics'!$C:$C,"TKP",'Data - Monthly Metrics'!$D:$D,"Goal - Penetration %")&gt;0,C106&gt;=SUMIFS('Data - Monthly Metrics'!$E:$E,'Data - Monthly Metrics'!$A:$A,$B$4-1,'Data - Monthly Metrics'!$B:$B,C$8,'Data - Monthly Metrics'!$C:$C,"TKP",'Data - Monthly Metrics'!$D:$D,"Goal - Penetration %")-0.05)</formula>
    </cfRule>
    <cfRule type="expression" rank="0" priority="267" equalAverage="0" aboveAverage="0" dxfId="1" stopIfTrue="1" text="" percent="0" bottom="0">
      <formula>AND(ISNUMBER(C106),COUNTIFS('Data - Monthly Metrics'!$A:$A,$B$4-1,'Data - Monthly Metrics'!$B:$B,C$8,'Data - Monthly Metrics'!$C:$C,"TKP",'Data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Metrics'!$C:$C,"TKP",'Data - Monthly Metrics'!$D:$D,"Goal - Penetration %")&gt;0,D106&gt;=SUMIFS('Data - Monthly Metrics'!$E:$E,'Data - Monthly Metrics'!$A:$A,$B$4-1,'Data - Monthly Metrics'!$B:$B,D$8,'Data - Monthly Metrics'!$C:$C,"TKP",'Data - Monthly Metrics'!$D:$D,"Goal - Penetration %"))</formula>
    </cfRule>
    <cfRule type="expression" rank="0" priority="269" equalAverage="0" aboveAverage="0" dxfId="2" stopIfTrue="1" text="" percent="0" bottom="0">
      <formula>AND(ISNUMBER(D106),COUNTIFS('Data - Monthly Metrics'!$A:$A,$B$4-1,'Data - Monthly Metrics'!$B:$B,D$8,'Data - Monthly Metrics'!$C:$C,"TKP",'Data - Monthly Metrics'!$D:$D,"Goal - Penetration %")&gt;0,D106&gt;=SUMIFS('Data - Monthly Metrics'!$E:$E,'Data - Monthly Metrics'!$A:$A,$B$4-1,'Data - Monthly Metrics'!$B:$B,D$8,'Data - Monthly Metrics'!$C:$C,"TKP",'Data - Monthly Metrics'!$D:$D,"Goal - Penetration %")-0.05)</formula>
    </cfRule>
    <cfRule type="expression" rank="0" priority="270" equalAverage="0" aboveAverage="0" dxfId="1" stopIfTrue="1" text="" percent="0" bottom="0">
      <formula>AND(ISNUMBER(D106),COUNTIFS('Data - Monthly Metrics'!$A:$A,$B$4-1,'Data - Monthly Metrics'!$B:$B,D$8,'Data - Monthly Metrics'!$C:$C,"TKP",'Data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Metrics'!$C:$C,"TKP",'Data - Monthly Metrics'!$D:$D,"Goal - Penetration %")&gt;0,F106&gt;=SUMIFS('Data - Monthly Metrics'!$E:$E,'Data - Monthly Metrics'!$A:$A,$B$4,'Data - Monthly Metrics'!$B:$B,F$8,'Data - Monthly Metrics'!$C:$C,"TKP",'Data - Monthly Metrics'!$D:$D,"Goal - Penetration %"))</formula>
    </cfRule>
    <cfRule type="expression" rank="0" priority="272" equalAverage="0" aboveAverage="0" dxfId="2" stopIfTrue="1" text="" percent="0" bottom="0">
      <formula>AND(ISNUMBER(F106),COUNTIFS('Data - Monthly Metrics'!$A:$A,$B$4,'Data - Monthly Metrics'!$B:$B,F$8,'Data - Monthly Metrics'!$C:$C,"TKP",'Data - Monthly Metrics'!$D:$D,"Goal - Penetration %")&gt;0,F106&gt;=SUMIFS('Data - Monthly Metrics'!$E:$E,'Data - Monthly Metrics'!$A:$A,$B$4,'Data - Monthly Metrics'!$B:$B,F$8,'Data - Monthly Metrics'!$C:$C,"TKP",'Data - Monthly Metrics'!$D:$D,"Goal - Penetration %")-0.05)</formula>
    </cfRule>
    <cfRule type="expression" rank="0" priority="273" equalAverage="0" aboveAverage="0" dxfId="1" stopIfTrue="1" text="" percent="0" bottom="0">
      <formula>AND(ISNUMBER(F106),COUNTIFS('Data - Monthly Metrics'!$A:$A,$B$4,'Data - Monthly Metrics'!$B:$B,F$8,'Data - Monthly Metrics'!$C:$C,"TKP",'Data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Metrics'!$C:$C,"TKP",'Data - Monthly Metrics'!$D:$D,"Goal - Penetration %")&gt;0,G106&gt;=SUMIFS('Data - Monthly Metrics'!$E:$E,'Data - Monthly Metrics'!$A:$A,$B$4,'Data - Monthly Metrics'!$B:$B,G$8,'Data - Monthly Metrics'!$C:$C,"TKP",'Data - Monthly Metrics'!$D:$D,"Goal - Penetration %"))</formula>
    </cfRule>
    <cfRule type="expression" rank="0" priority="275" equalAverage="0" aboveAverage="0" dxfId="2" stopIfTrue="1" text="" percent="0" bottom="0">
      <formula>AND(ISNUMBER(G106),COUNTIFS('Data - Monthly Metrics'!$A:$A,$B$4,'Data - Monthly Metrics'!$B:$B,G$8,'Data - Monthly Metrics'!$C:$C,"TKP",'Data - Monthly Metrics'!$D:$D,"Goal - Penetration %")&gt;0,G106&gt;=SUMIFS('Data - Monthly Metrics'!$E:$E,'Data - Monthly Metrics'!$A:$A,$B$4,'Data - Monthly Metrics'!$B:$B,G$8,'Data - Monthly Metrics'!$C:$C,"TKP",'Data - Monthly Metrics'!$D:$D,"Goal - Penetration %")-0.05)</formula>
    </cfRule>
    <cfRule type="expression" rank="0" priority="276" equalAverage="0" aboveAverage="0" dxfId="1" stopIfTrue="1" text="" percent="0" bottom="0">
      <formula>AND(ISNUMBER(G106),COUNTIFS('Data - Monthly Metrics'!$A:$A,$B$4,'Data - Monthly Metrics'!$B:$B,G$8,'Data - Monthly Metrics'!$C:$C,"TKP",'Data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Metrics'!$C:$C,"TKP",'Data - Monthly Metrics'!$D:$D,"Goal - Penetration %")&gt;0,H106&gt;=SUMIFS('Data - Monthly Metrics'!$E:$E,'Data - Monthly Metrics'!$A:$A,$B$4,'Data - Monthly Metrics'!$B:$B,H$8,'Data - Monthly Metrics'!$C:$C,"TKP",'Data - Monthly Metrics'!$D:$D,"Goal - Penetration %"))</formula>
    </cfRule>
    <cfRule type="expression" rank="0" priority="278" equalAverage="0" aboveAverage="0" dxfId="2" stopIfTrue="1" text="" percent="0" bottom="0">
      <formula>AND(ISNUMBER(H106),COUNTIFS('Data - Monthly Metrics'!$A:$A,$B$4,'Data - Monthly Metrics'!$B:$B,H$8,'Data - Monthly Metrics'!$C:$C,"TKP",'Data - Monthly Metrics'!$D:$D,"Goal - Penetration %")&gt;0,H106&gt;=SUMIFS('Data - Monthly Metrics'!$E:$E,'Data - Monthly Metrics'!$A:$A,$B$4,'Data - Monthly Metrics'!$B:$B,H$8,'Data - Monthly Metrics'!$C:$C,"TKP",'Data - Monthly Metrics'!$D:$D,"Goal - Penetration %")-0.05)</formula>
    </cfRule>
    <cfRule type="expression" rank="0" priority="279" equalAverage="0" aboveAverage="0" dxfId="1" stopIfTrue="1" text="" percent="0" bottom="0">
      <formula>AND(ISNUMBER(H106),COUNTIFS('Data - Monthly Metrics'!$A:$A,$B$4,'Data - Monthly Metrics'!$B:$B,H$8,'Data - Monthly Metrics'!$C:$C,"TKP",'Data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Metrics'!$C:$C,"TKP",'Data - Monthly Metrics'!$D:$D,"Goal - Penetration %")&gt;0,J106&gt;=SUMIFS('Data - Monthly Metrics'!$E:$E,'Data - Monthly Metrics'!$A:$A,$B$4,'Data - Monthly Metrics'!$B:$B,J$8,'Data - Monthly Metrics'!$C:$C,"TKP",'Data - Monthly Metrics'!$D:$D,"Goal - Penetration %"))</formula>
    </cfRule>
    <cfRule type="expression" rank="0" priority="281" equalAverage="0" aboveAverage="0" dxfId="2" stopIfTrue="1" text="" percent="0" bottom="0">
      <formula>AND(ISNUMBER(J106),COUNTIFS('Data - Monthly Metrics'!$A:$A,$B$4,'Data - Monthly Metrics'!$B:$B,J$8,'Data - Monthly Metrics'!$C:$C,"TKP",'Data - Monthly Metrics'!$D:$D,"Goal - Penetration %")&gt;0,J106&gt;=SUMIFS('Data - Monthly Metrics'!$E:$E,'Data - Monthly Metrics'!$A:$A,$B$4,'Data - Monthly Metrics'!$B:$B,J$8,'Data - Monthly Metrics'!$C:$C,"TKP",'Data - Monthly Metrics'!$D:$D,"Goal - Penetration %")-0.05)</formula>
    </cfRule>
    <cfRule type="expression" rank="0" priority="282" equalAverage="0" aboveAverage="0" dxfId="1" stopIfTrue="1" text="" percent="0" bottom="0">
      <formula>AND(ISNUMBER(J106),COUNTIFS('Data - Monthly Metrics'!$A:$A,$B$4,'Data - Monthly Metrics'!$B:$B,J$8,'Data - Monthly Metrics'!$C:$C,"TKP",'Data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Metrics'!$C:$C,"TKP",'Data - Monthly Metrics'!$D:$D,"Goal - Penetration %")&gt;0,K106&gt;=SUMIFS('Data - Monthly Metrics'!$E:$E,'Data - Monthly Metrics'!$A:$A,$B$4,'Data - Monthly Metrics'!$B:$B,K$8,'Data - Monthly Metrics'!$C:$C,"TKP",'Data - Monthly Metrics'!$D:$D,"Goal - Penetration %"))</formula>
    </cfRule>
    <cfRule type="expression" rank="0" priority="284" equalAverage="0" aboveAverage="0" dxfId="2" stopIfTrue="1" text="" percent="0" bottom="0">
      <formula>AND(ISNUMBER(K106),COUNTIFS('Data - Monthly Metrics'!$A:$A,$B$4,'Data - Monthly Metrics'!$B:$B,K$8,'Data - Monthly Metrics'!$C:$C,"TKP",'Data - Monthly Metrics'!$D:$D,"Goal - Penetration %")&gt;0,K106&gt;=SUMIFS('Data - Monthly Metrics'!$E:$E,'Data - Monthly Metrics'!$A:$A,$B$4,'Data - Monthly Metrics'!$B:$B,K$8,'Data - Monthly Metrics'!$C:$C,"TKP",'Data - Monthly Metrics'!$D:$D,"Goal - Penetration %")-0.05)</formula>
    </cfRule>
    <cfRule type="expression" rank="0" priority="285" equalAverage="0" aboveAverage="0" dxfId="1" stopIfTrue="1" text="" percent="0" bottom="0">
      <formula>AND(ISNUMBER(K106),COUNTIFS('Data - Monthly Metrics'!$A:$A,$B$4,'Data - Monthly Metrics'!$B:$B,K$8,'Data - Monthly Metrics'!$C:$C,"TKP",'Data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Metrics'!$C:$C,"TKP",'Data - Monthly Metrics'!$D:$D,"Goal - Penetration %")&gt;0,L106&gt;=SUMIFS('Data - Monthly Metrics'!$E:$E,'Data - Monthly Metrics'!$A:$A,$B$4,'Data - Monthly Metrics'!$B:$B,L$8,'Data - Monthly Metrics'!$C:$C,"TKP",'Data - Monthly Metrics'!$D:$D,"Goal - Penetration %"))</formula>
    </cfRule>
    <cfRule type="expression" rank="0" priority="287" equalAverage="0" aboveAverage="0" dxfId="2" stopIfTrue="1" text="" percent="0" bottom="0">
      <formula>AND(ISNUMBER(L106),COUNTIFS('Data - Monthly Metrics'!$A:$A,$B$4,'Data - Monthly Metrics'!$B:$B,L$8,'Data - Monthly Metrics'!$C:$C,"TKP",'Data - Monthly Metrics'!$D:$D,"Goal - Penetration %")&gt;0,L106&gt;=SUMIFS('Data - Monthly Metrics'!$E:$E,'Data - Monthly Metrics'!$A:$A,$B$4,'Data - Monthly Metrics'!$B:$B,L$8,'Data - Monthly Metrics'!$C:$C,"TKP",'Data - Monthly Metrics'!$D:$D,"Goal - Penetration %")-0.05)</formula>
    </cfRule>
    <cfRule type="expression" rank="0" priority="288" equalAverage="0" aboveAverage="0" dxfId="1" stopIfTrue="1" text="" percent="0" bottom="0">
      <formula>AND(ISNUMBER(L106),COUNTIFS('Data - Monthly Metrics'!$A:$A,$B$4,'Data - Monthly Metrics'!$B:$B,L$8,'Data - Monthly Metrics'!$C:$C,"TKP",'Data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Metrics'!$C:$C,"TKP",'Data - Monthly Metrics'!$D:$D,"Goal - Penetration %")&gt;0,N106&gt;=SUMIFS('Data - Monthly Metrics'!$E:$E,'Data - Monthly Metrics'!$A:$A,$B$4,'Data - Monthly Metrics'!$B:$B,N$8,'Data - Monthly Metrics'!$C:$C,"TKP",'Data - Monthly Metrics'!$D:$D,"Goal - Penetration %"))</formula>
    </cfRule>
    <cfRule type="expression" rank="0" priority="290" equalAverage="0" aboveAverage="0" dxfId="2" stopIfTrue="1" text="" percent="0" bottom="0">
      <formula>AND(ISNUMBER(N106),COUNTIFS('Data - Monthly Metrics'!$A:$A,$B$4,'Data - Monthly Metrics'!$B:$B,N$8,'Data - Monthly Metrics'!$C:$C,"TKP",'Data - Monthly Metrics'!$D:$D,"Goal - Penetration %")&gt;0,N106&gt;=SUMIFS('Data - Monthly Metrics'!$E:$E,'Data - Monthly Metrics'!$A:$A,$B$4,'Data - Monthly Metrics'!$B:$B,N$8,'Data - Monthly Metrics'!$C:$C,"TKP",'Data - Monthly Metrics'!$D:$D,"Goal - Penetration %")-0.05)</formula>
    </cfRule>
    <cfRule type="expression" rank="0" priority="291" equalAverage="0" aboveAverage="0" dxfId="1" stopIfTrue="1" text="" percent="0" bottom="0">
      <formula>AND(ISNUMBER(N106),COUNTIFS('Data - Monthly Metrics'!$A:$A,$B$4,'Data - Monthly Metrics'!$B:$B,N$8,'Data - Monthly Metrics'!$C:$C,"TKP",'Data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Metrics'!$C:$C,"TKP",'Data - Monthly Metrics'!$D:$D,"Goal - Penetration %")&gt;0,O106&gt;=SUMIFS('Data - Monthly Metrics'!$E:$E,'Data - Monthly Metrics'!$A:$A,$B$4,'Data - Monthly Metrics'!$B:$B,O$8,'Data - Monthly Metrics'!$C:$C,"TKP",'Data - Monthly Metrics'!$D:$D,"Goal - Penetration %"))</formula>
    </cfRule>
    <cfRule type="expression" rank="0" priority="293" equalAverage="0" aboveAverage="0" dxfId="2" stopIfTrue="1" text="" percent="0" bottom="0">
      <formula>AND(ISNUMBER(O106),COUNTIFS('Data - Monthly Metrics'!$A:$A,$B$4,'Data - Monthly Metrics'!$B:$B,O$8,'Data - Monthly Metrics'!$C:$C,"TKP",'Data - Monthly Metrics'!$D:$D,"Goal - Penetration %")&gt;0,O106&gt;=SUMIFS('Data - Monthly Metrics'!$E:$E,'Data - Monthly Metrics'!$A:$A,$B$4,'Data - Monthly Metrics'!$B:$B,O$8,'Data - Monthly Metrics'!$C:$C,"TKP",'Data - Monthly Metrics'!$D:$D,"Goal - Penetration %")-0.05)</formula>
    </cfRule>
    <cfRule type="expression" rank="0" priority="294" equalAverage="0" aboveAverage="0" dxfId="1" stopIfTrue="1" text="" percent="0" bottom="0">
      <formula>AND(ISNUMBER(O106),COUNTIFS('Data - Monthly Metrics'!$A:$A,$B$4,'Data - Monthly Metrics'!$B:$B,O$8,'Data - Monthly Metrics'!$C:$C,"TKP",'Data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Metrics'!$C:$C,"TKP",'Data - Monthly Metrics'!$D:$D,"Goal - Penetration %")&gt;0,P106&gt;=SUMIFS('Data - Monthly Metrics'!$E:$E,'Data - Monthly Metrics'!$A:$A,$B$4,'Data - Monthly Metrics'!$B:$B,P$8,'Data - Monthly Metrics'!$C:$C,"TKP",'Data - Monthly Metrics'!$D:$D,"Goal - Penetration %"))</formula>
    </cfRule>
    <cfRule type="expression" rank="0" priority="296" equalAverage="0" aboveAverage="0" dxfId="2" stopIfTrue="1" text="" percent="0" bottom="0">
      <formula>AND(ISNUMBER(P106),COUNTIFS('Data - Monthly Metrics'!$A:$A,$B$4,'Data - Monthly Metrics'!$B:$B,P$8,'Data - Monthly Metrics'!$C:$C,"TKP",'Data - Monthly Metrics'!$D:$D,"Goal - Penetration %")&gt;0,P106&gt;=SUMIFS('Data - Monthly Metrics'!$E:$E,'Data - Monthly Metrics'!$A:$A,$B$4,'Data - Monthly Metrics'!$B:$B,P$8,'Data - Monthly Metrics'!$C:$C,"TKP",'Data - Monthly Metrics'!$D:$D,"Goal - Penetration %")-0.05)</formula>
    </cfRule>
    <cfRule type="expression" rank="0" priority="297" equalAverage="0" aboveAverage="0" dxfId="1" stopIfTrue="1" text="" percent="0" bottom="0">
      <formula>AND(ISNUMBER(P106),COUNTIFS('Data - Monthly Metrics'!$A:$A,$B$4,'Data - Monthly Metrics'!$B:$B,P$8,'Data - Monthly Metrics'!$C:$C,"TKP",'Data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Metrics'!$C:$C,"TKP",'Data - Monthly Metrics'!$D:$D,"Goal - Penetration %")&gt;0,B107&gt;=SUMIFS('Data - Monthly Metrics'!$E:$E,'Data - Monthly Metrics'!$A:$A,$B$4-1,'Data - Monthly Metrics'!$B:$B,B$8,'Data - Monthly Metrics'!$C:$C,"TKP",'Data - Monthly Metrics'!$D:$D,"Goal - Penetration %"))</formula>
    </cfRule>
    <cfRule type="expression" rank="0" priority="299" equalAverage="0" aboveAverage="0" dxfId="2" stopIfTrue="1" text="" percent="0" bottom="0">
      <formula>AND(ISNUMBER(B107),COUNTIFS('Data - Monthly Metrics'!$A:$A,$B$4-1,'Data - Monthly Metrics'!$B:$B,B$8,'Data - Monthly Metrics'!$C:$C,"TKP",'Data - Monthly Metrics'!$D:$D,"Goal - Penetration %")&gt;0,B107&gt;=SUMIFS('Data - Monthly Metrics'!$E:$E,'Data - Monthly Metrics'!$A:$A,$B$4-1,'Data - Monthly Metrics'!$B:$B,B$8,'Data - Monthly Metrics'!$C:$C,"TKP",'Data - Monthly Metrics'!$D:$D,"Goal - Penetration %")-0.05)</formula>
    </cfRule>
    <cfRule type="expression" rank="0" priority="300" equalAverage="0" aboveAverage="0" dxfId="1" stopIfTrue="1" text="" percent="0" bottom="0">
      <formula>AND(ISNUMBER(B107),COUNTIFS('Data - Monthly Metrics'!$A:$A,$B$4-1,'Data - Monthly Metrics'!$B:$B,B$8,'Data - Monthly Metrics'!$C:$C,"TKP",'Data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Metrics'!$C:$C,"TKP",'Data - Monthly Metrics'!$D:$D,"Goal - Penetration %")&gt;0,C107&gt;=SUMIFS('Data - Monthly Metrics'!$E:$E,'Data - Monthly Metrics'!$A:$A,$B$4-1,'Data - Monthly Metrics'!$B:$B,C$8,'Data - Monthly Metrics'!$C:$C,"TKP",'Data - Monthly Metrics'!$D:$D,"Goal - Penetration %"))</formula>
    </cfRule>
    <cfRule type="expression" rank="0" priority="302" equalAverage="0" aboveAverage="0" dxfId="2" stopIfTrue="1" text="" percent="0" bottom="0">
      <formula>AND(ISNUMBER(C107),COUNTIFS('Data - Monthly Metrics'!$A:$A,$B$4-1,'Data - Monthly Metrics'!$B:$B,C$8,'Data - Monthly Metrics'!$C:$C,"TKP",'Data - Monthly Metrics'!$D:$D,"Goal - Penetration %")&gt;0,C107&gt;=SUMIFS('Data - Monthly Metrics'!$E:$E,'Data - Monthly Metrics'!$A:$A,$B$4-1,'Data - Monthly Metrics'!$B:$B,C$8,'Data - Monthly Metrics'!$C:$C,"TKP",'Data - Monthly Metrics'!$D:$D,"Goal - Penetration %")-0.05)</formula>
    </cfRule>
    <cfRule type="expression" rank="0" priority="303" equalAverage="0" aboveAverage="0" dxfId="1" stopIfTrue="1" text="" percent="0" bottom="0">
      <formula>AND(ISNUMBER(C107),COUNTIFS('Data - Monthly Metrics'!$A:$A,$B$4-1,'Data - Monthly Metrics'!$B:$B,C$8,'Data - Monthly Metrics'!$C:$C,"TKP",'Data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Metrics'!$C:$C,"TKP",'Data - Monthly Metrics'!$D:$D,"Goal - Penetration %")&gt;0,D107&gt;=SUMIFS('Data - Monthly Metrics'!$E:$E,'Data - Monthly Metrics'!$A:$A,$B$4-1,'Data - Monthly Metrics'!$B:$B,D$8,'Data - Monthly Metrics'!$C:$C,"TKP",'Data - Monthly Metrics'!$D:$D,"Goal - Penetration %"))</formula>
    </cfRule>
    <cfRule type="expression" rank="0" priority="305" equalAverage="0" aboveAverage="0" dxfId="2" stopIfTrue="1" text="" percent="0" bottom="0">
      <formula>AND(ISNUMBER(D107),COUNTIFS('Data - Monthly Metrics'!$A:$A,$B$4-1,'Data - Monthly Metrics'!$B:$B,D$8,'Data - Monthly Metrics'!$C:$C,"TKP",'Data - Monthly Metrics'!$D:$D,"Goal - Penetration %")&gt;0,D107&gt;=SUMIFS('Data - Monthly Metrics'!$E:$E,'Data - Monthly Metrics'!$A:$A,$B$4-1,'Data - Monthly Metrics'!$B:$B,D$8,'Data - Monthly Metrics'!$C:$C,"TKP",'Data - Monthly Metrics'!$D:$D,"Goal - Penetration %")-0.05)</formula>
    </cfRule>
    <cfRule type="expression" rank="0" priority="306" equalAverage="0" aboveAverage="0" dxfId="1" stopIfTrue="1" text="" percent="0" bottom="0">
      <formula>AND(ISNUMBER(D107),COUNTIFS('Data - Monthly Metrics'!$A:$A,$B$4-1,'Data - Monthly Metrics'!$B:$B,D$8,'Data - Monthly Metrics'!$C:$C,"TKP",'Data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Metrics'!$C:$C,"TKP",'Data - Monthly Metrics'!$D:$D,"Goal - Penetration %")&gt;0,F107&gt;=SUMIFS('Data - Monthly Metrics'!$E:$E,'Data - Monthly Metrics'!$A:$A,$B$4,'Data - Monthly Metrics'!$B:$B,F$8,'Data - Monthly Metrics'!$C:$C,"TKP",'Data - Monthly Metrics'!$D:$D,"Goal - Penetration %"))</formula>
    </cfRule>
    <cfRule type="expression" rank="0" priority="308" equalAverage="0" aboveAverage="0" dxfId="2" stopIfTrue="1" text="" percent="0" bottom="0">
      <formula>AND(ISNUMBER(F107),COUNTIFS('Data - Monthly Metrics'!$A:$A,$B$4,'Data - Monthly Metrics'!$B:$B,F$8,'Data - Monthly Metrics'!$C:$C,"TKP",'Data - Monthly Metrics'!$D:$D,"Goal - Penetration %")&gt;0,F107&gt;=SUMIFS('Data - Monthly Metrics'!$E:$E,'Data - Monthly Metrics'!$A:$A,$B$4,'Data - Monthly Metrics'!$B:$B,F$8,'Data - Monthly Metrics'!$C:$C,"TKP",'Data - Monthly Metrics'!$D:$D,"Goal - Penetration %")-0.05)</formula>
    </cfRule>
    <cfRule type="expression" rank="0" priority="309" equalAverage="0" aboveAverage="0" dxfId="1" stopIfTrue="1" text="" percent="0" bottom="0">
      <formula>AND(ISNUMBER(F107),COUNTIFS('Data - Monthly Metrics'!$A:$A,$B$4,'Data - Monthly Metrics'!$B:$B,F$8,'Data - Monthly Metrics'!$C:$C,"TKP",'Data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Metrics'!$C:$C,"TKP",'Data - Monthly Metrics'!$D:$D,"Goal - Penetration %")&gt;0,G107&gt;=SUMIFS('Data - Monthly Metrics'!$E:$E,'Data - Monthly Metrics'!$A:$A,$B$4,'Data - Monthly Metrics'!$B:$B,G$8,'Data - Monthly Metrics'!$C:$C,"TKP",'Data - Monthly Metrics'!$D:$D,"Goal - Penetration %"))</formula>
    </cfRule>
    <cfRule type="expression" rank="0" priority="311" equalAverage="0" aboveAverage="0" dxfId="2" stopIfTrue="1" text="" percent="0" bottom="0">
      <formula>AND(ISNUMBER(G107),COUNTIFS('Data - Monthly Metrics'!$A:$A,$B$4,'Data - Monthly Metrics'!$B:$B,G$8,'Data - Monthly Metrics'!$C:$C,"TKP",'Data - Monthly Metrics'!$D:$D,"Goal - Penetration %")&gt;0,G107&gt;=SUMIFS('Data - Monthly Metrics'!$E:$E,'Data - Monthly Metrics'!$A:$A,$B$4,'Data - Monthly Metrics'!$B:$B,G$8,'Data - Monthly Metrics'!$C:$C,"TKP",'Data - Monthly Metrics'!$D:$D,"Goal - Penetration %")-0.05)</formula>
    </cfRule>
    <cfRule type="expression" rank="0" priority="312" equalAverage="0" aboveAverage="0" dxfId="1" stopIfTrue="1" text="" percent="0" bottom="0">
      <formula>AND(ISNUMBER(G107),COUNTIFS('Data - Monthly Metrics'!$A:$A,$B$4,'Data - Monthly Metrics'!$B:$B,G$8,'Data - Monthly Metrics'!$C:$C,"TKP",'Data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Metrics'!$C:$C,"TKP",'Data - Monthly Metrics'!$D:$D,"Goal - Penetration %")&gt;0,H107&gt;=SUMIFS('Data - Monthly Metrics'!$E:$E,'Data - Monthly Metrics'!$A:$A,$B$4,'Data - Monthly Metrics'!$B:$B,H$8,'Data - Monthly Metrics'!$C:$C,"TKP",'Data - Monthly Metrics'!$D:$D,"Goal - Penetration %"))</formula>
    </cfRule>
    <cfRule type="expression" rank="0" priority="314" equalAverage="0" aboveAverage="0" dxfId="2" stopIfTrue="1" text="" percent="0" bottom="0">
      <formula>AND(ISNUMBER(H107),COUNTIFS('Data - Monthly Metrics'!$A:$A,$B$4,'Data - Monthly Metrics'!$B:$B,H$8,'Data - Monthly Metrics'!$C:$C,"TKP",'Data - Monthly Metrics'!$D:$D,"Goal - Penetration %")&gt;0,H107&gt;=SUMIFS('Data - Monthly Metrics'!$E:$E,'Data - Monthly Metrics'!$A:$A,$B$4,'Data - Monthly Metrics'!$B:$B,H$8,'Data - Monthly Metrics'!$C:$C,"TKP",'Data - Monthly Metrics'!$D:$D,"Goal - Penetration %")-0.05)</formula>
    </cfRule>
    <cfRule type="expression" rank="0" priority="315" equalAverage="0" aboveAverage="0" dxfId="1" stopIfTrue="1" text="" percent="0" bottom="0">
      <formula>AND(ISNUMBER(H107),COUNTIFS('Data - Monthly Metrics'!$A:$A,$B$4,'Data - Monthly Metrics'!$B:$B,H$8,'Data - Monthly Metrics'!$C:$C,"TKP",'Data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Metrics'!$C:$C,"TKP",'Data - Monthly Metrics'!$D:$D,"Goal - Penetration %")&gt;0,J107&gt;=SUMIFS('Data - Monthly Metrics'!$E:$E,'Data - Monthly Metrics'!$A:$A,$B$4,'Data - Monthly Metrics'!$B:$B,J$8,'Data - Monthly Metrics'!$C:$C,"TKP",'Data - Monthly Metrics'!$D:$D,"Goal - Penetration %"))</formula>
    </cfRule>
    <cfRule type="expression" rank="0" priority="317" equalAverage="0" aboveAverage="0" dxfId="2" stopIfTrue="1" text="" percent="0" bottom="0">
      <formula>AND(ISNUMBER(J107),COUNTIFS('Data - Monthly Metrics'!$A:$A,$B$4,'Data - Monthly Metrics'!$B:$B,J$8,'Data - Monthly Metrics'!$C:$C,"TKP",'Data - Monthly Metrics'!$D:$D,"Goal - Penetration %")&gt;0,J107&gt;=SUMIFS('Data - Monthly Metrics'!$E:$E,'Data - Monthly Metrics'!$A:$A,$B$4,'Data - Monthly Metrics'!$B:$B,J$8,'Data - Monthly Metrics'!$C:$C,"TKP",'Data - Monthly Metrics'!$D:$D,"Goal - Penetration %")-0.05)</formula>
    </cfRule>
    <cfRule type="expression" rank="0" priority="318" equalAverage="0" aboveAverage="0" dxfId="1" stopIfTrue="1" text="" percent="0" bottom="0">
      <formula>AND(ISNUMBER(J107),COUNTIFS('Data - Monthly Metrics'!$A:$A,$B$4,'Data - Monthly Metrics'!$B:$B,J$8,'Data - Monthly Metrics'!$C:$C,"TKP",'Data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Metrics'!$C:$C,"TKP",'Data - Monthly Metrics'!$D:$D,"Goal - Penetration %")&gt;0,K107&gt;=SUMIFS('Data - Monthly Metrics'!$E:$E,'Data - Monthly Metrics'!$A:$A,$B$4,'Data - Monthly Metrics'!$B:$B,K$8,'Data - Monthly Metrics'!$C:$C,"TKP",'Data - Monthly Metrics'!$D:$D,"Goal - Penetration %"))</formula>
    </cfRule>
    <cfRule type="expression" rank="0" priority="320" equalAverage="0" aboveAverage="0" dxfId="2" stopIfTrue="1" text="" percent="0" bottom="0">
      <formula>AND(ISNUMBER(K107),COUNTIFS('Data - Monthly Metrics'!$A:$A,$B$4,'Data - Monthly Metrics'!$B:$B,K$8,'Data - Monthly Metrics'!$C:$C,"TKP",'Data - Monthly Metrics'!$D:$D,"Goal - Penetration %")&gt;0,K107&gt;=SUMIFS('Data - Monthly Metrics'!$E:$E,'Data - Monthly Metrics'!$A:$A,$B$4,'Data - Monthly Metrics'!$B:$B,K$8,'Data - Monthly Metrics'!$C:$C,"TKP",'Data - Monthly Metrics'!$D:$D,"Goal - Penetration %")-0.05)</formula>
    </cfRule>
    <cfRule type="expression" rank="0" priority="321" equalAverage="0" aboveAverage="0" dxfId="1" stopIfTrue="1" text="" percent="0" bottom="0">
      <formula>AND(ISNUMBER(K107),COUNTIFS('Data - Monthly Metrics'!$A:$A,$B$4,'Data - Monthly Metrics'!$B:$B,K$8,'Data - Monthly Metrics'!$C:$C,"TKP",'Data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Metrics'!$C:$C,"TKP",'Data - Monthly Metrics'!$D:$D,"Goal - Penetration %")&gt;0,L107&gt;=SUMIFS('Data - Monthly Metrics'!$E:$E,'Data - Monthly Metrics'!$A:$A,$B$4,'Data - Monthly Metrics'!$B:$B,L$8,'Data - Monthly Metrics'!$C:$C,"TKP",'Data - Monthly Metrics'!$D:$D,"Goal - Penetration %"))</formula>
    </cfRule>
    <cfRule type="expression" rank="0" priority="323" equalAverage="0" aboveAverage="0" dxfId="2" stopIfTrue="1" text="" percent="0" bottom="0">
      <formula>AND(ISNUMBER(L107),COUNTIFS('Data - Monthly Metrics'!$A:$A,$B$4,'Data - Monthly Metrics'!$B:$B,L$8,'Data - Monthly Metrics'!$C:$C,"TKP",'Data - Monthly Metrics'!$D:$D,"Goal - Penetration %")&gt;0,L107&gt;=SUMIFS('Data - Monthly Metrics'!$E:$E,'Data - Monthly Metrics'!$A:$A,$B$4,'Data - Monthly Metrics'!$B:$B,L$8,'Data - Monthly Metrics'!$C:$C,"TKP",'Data - Monthly Metrics'!$D:$D,"Goal - Penetration %")-0.05)</formula>
    </cfRule>
    <cfRule type="expression" rank="0" priority="324" equalAverage="0" aboveAverage="0" dxfId="1" stopIfTrue="1" text="" percent="0" bottom="0">
      <formula>AND(ISNUMBER(L107),COUNTIFS('Data - Monthly Metrics'!$A:$A,$B$4,'Data - Monthly Metrics'!$B:$B,L$8,'Data - Monthly Metrics'!$C:$C,"TKP",'Data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Metrics'!$C:$C,"TKP",'Data - Monthly Metrics'!$D:$D,"Goal - Penetration %")&gt;0,N107&gt;=SUMIFS('Data - Monthly Metrics'!$E:$E,'Data - Monthly Metrics'!$A:$A,$B$4,'Data - Monthly Metrics'!$B:$B,N$8,'Data - Monthly Metrics'!$C:$C,"TKP",'Data - Monthly Metrics'!$D:$D,"Goal - Penetration %"))</formula>
    </cfRule>
    <cfRule type="expression" rank="0" priority="326" equalAverage="0" aboveAverage="0" dxfId="2" stopIfTrue="1" text="" percent="0" bottom="0">
      <formula>AND(ISNUMBER(N107),COUNTIFS('Data - Monthly Metrics'!$A:$A,$B$4,'Data - Monthly Metrics'!$B:$B,N$8,'Data - Monthly Metrics'!$C:$C,"TKP",'Data - Monthly Metrics'!$D:$D,"Goal - Penetration %")&gt;0,N107&gt;=SUMIFS('Data - Monthly Metrics'!$E:$E,'Data - Monthly Metrics'!$A:$A,$B$4,'Data - Monthly Metrics'!$B:$B,N$8,'Data - Monthly Metrics'!$C:$C,"TKP",'Data - Monthly Metrics'!$D:$D,"Goal - Penetration %")-0.05)</formula>
    </cfRule>
    <cfRule type="expression" rank="0" priority="327" equalAverage="0" aboveAverage="0" dxfId="1" stopIfTrue="1" text="" percent="0" bottom="0">
      <formula>AND(ISNUMBER(N107),COUNTIFS('Data - Monthly Metrics'!$A:$A,$B$4,'Data - Monthly Metrics'!$B:$B,N$8,'Data - Monthly Metrics'!$C:$C,"TKP",'Data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Metrics'!$C:$C,"TKP",'Data - Monthly Metrics'!$D:$D,"Goal - Penetration %")&gt;0,O107&gt;=SUMIFS('Data - Monthly Metrics'!$E:$E,'Data - Monthly Metrics'!$A:$A,$B$4,'Data - Monthly Metrics'!$B:$B,O$8,'Data - Monthly Metrics'!$C:$C,"TKP",'Data - Monthly Metrics'!$D:$D,"Goal - Penetration %"))</formula>
    </cfRule>
    <cfRule type="expression" rank="0" priority="329" equalAverage="0" aboveAverage="0" dxfId="2" stopIfTrue="1" text="" percent="0" bottom="0">
      <formula>AND(ISNUMBER(O107),COUNTIFS('Data - Monthly Metrics'!$A:$A,$B$4,'Data - Monthly Metrics'!$B:$B,O$8,'Data - Monthly Metrics'!$C:$C,"TKP",'Data - Monthly Metrics'!$D:$D,"Goal - Penetration %")&gt;0,O107&gt;=SUMIFS('Data - Monthly Metrics'!$E:$E,'Data - Monthly Metrics'!$A:$A,$B$4,'Data - Monthly Metrics'!$B:$B,O$8,'Data - Monthly Metrics'!$C:$C,"TKP",'Data - Monthly Metrics'!$D:$D,"Goal - Penetration %")-0.05)</formula>
    </cfRule>
    <cfRule type="expression" rank="0" priority="330" equalAverage="0" aboveAverage="0" dxfId="1" stopIfTrue="1" text="" percent="0" bottom="0">
      <formula>AND(ISNUMBER(O107),COUNTIFS('Data - Monthly Metrics'!$A:$A,$B$4,'Data - Monthly Metrics'!$B:$B,O$8,'Data - Monthly Metrics'!$C:$C,"TKP",'Data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Metrics'!$C:$C,"TKP",'Data - Monthly Metrics'!$D:$D,"Goal - Penetration %")&gt;0,P107&gt;=SUMIFS('Data - Monthly Metrics'!$E:$E,'Data - Monthly Metrics'!$A:$A,$B$4,'Data - Monthly Metrics'!$B:$B,P$8,'Data - Monthly Metrics'!$C:$C,"TKP",'Data - Monthly Metrics'!$D:$D,"Goal - Penetration %"))</formula>
    </cfRule>
    <cfRule type="expression" rank="0" priority="332" equalAverage="0" aboveAverage="0" dxfId="2" stopIfTrue="1" text="" percent="0" bottom="0">
      <formula>AND(ISNUMBER(P107),COUNTIFS('Data - Monthly Metrics'!$A:$A,$B$4,'Data - Monthly Metrics'!$B:$B,P$8,'Data - Monthly Metrics'!$C:$C,"TKP",'Data - Monthly Metrics'!$D:$D,"Goal - Penetration %")&gt;0,P107&gt;=SUMIFS('Data - Monthly Metrics'!$E:$E,'Data - Monthly Metrics'!$A:$A,$B$4,'Data - Monthly Metrics'!$B:$B,P$8,'Data - Monthly Metrics'!$C:$C,"TKP",'Data - Monthly Metrics'!$D:$D,"Goal - Penetration %")-0.05)</formula>
    </cfRule>
    <cfRule type="expression" rank="0" priority="333" equalAverage="0" aboveAverage="0" dxfId="1" stopIfTrue="1" text="" percent="0" bottom="0">
      <formula>AND(ISNUMBER(P107),COUNTIFS('Data - Monthly Metrics'!$A:$A,$B$4,'Data - Monthly Metrics'!$B:$B,P$8,'Data - Monthly Metrics'!$C:$C,"TKP",'Data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Metrics'!$C:$C,"TKP",'Data - Monthly Metrics'!$D:$D,"Goal - Retention %")&gt;0,B19&gt;=SUMIFS('Data - Monthly Metrics'!$E:$E,'Data - Monthly Metrics'!$A:$A,$B$4-1,'Data - Monthly Metrics'!$B:$B,B$8,'Data - Monthly Metrics'!$C:$C,"TKP",'Data - Monthly Metrics'!$D:$D,"Goal - Retention %"))</formula>
    </cfRule>
    <cfRule type="expression" rank="0" priority="335" equalAverage="0" aboveAverage="0" dxfId="2" stopIfTrue="1" text="" percent="0" bottom="0">
      <formula>AND(ISNUMBER(B19),COUNTIFS('Data - Monthly Metrics'!$A:$A,$B$4-1,'Data - Monthly Metrics'!$B:$B,B$8,'Data - Monthly Metrics'!$C:$C,"TKP",'Data - Monthly Metrics'!$D:$D,"Goal - Retention %")&gt;0,B19&gt;=SUMIFS('Data - Monthly Metrics'!$E:$E,'Data - Monthly Metrics'!$A:$A,$B$4-1,'Data - Monthly Metrics'!$B:$B,B$8,'Data - Monthly Metrics'!$C:$C,"TKP",'Data - Monthly Metrics'!$D:$D,"Goal - Retention %")-0.05)</formula>
    </cfRule>
    <cfRule type="expression" rank="0" priority="336" equalAverage="0" aboveAverage="0" dxfId="1" stopIfTrue="1" text="" percent="0" bottom="0">
      <formula>AND(ISNUMBER(B19),COUNTIFS('Data - Monthly Metrics'!$A:$A,$B$4-1,'Data - Monthly Metrics'!$B:$B,B$8,'Data - Monthly Metrics'!$C:$C,"TKP",'Data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Metrics'!$C:$C,"TKP",'Data - Monthly Metrics'!$D:$D,"Goal - Retention %")&gt;0,C19&gt;=SUMIFS('Data - Monthly Metrics'!$E:$E,'Data - Monthly Metrics'!$A:$A,$B$4-1,'Data - Monthly Metrics'!$B:$B,C$8,'Data - Monthly Metrics'!$C:$C,"TKP",'Data - Monthly Metrics'!$D:$D,"Goal - Retention %"))</formula>
    </cfRule>
    <cfRule type="expression" rank="0" priority="338" equalAverage="0" aboveAverage="0" dxfId="2" stopIfTrue="1" text="" percent="0" bottom="0">
      <formula>AND(ISNUMBER(C19),COUNTIFS('Data - Monthly Metrics'!$A:$A,$B$4-1,'Data - Monthly Metrics'!$B:$B,C$8,'Data - Monthly Metrics'!$C:$C,"TKP",'Data - Monthly Metrics'!$D:$D,"Goal - Retention %")&gt;0,C19&gt;=SUMIFS('Data - Monthly Metrics'!$E:$E,'Data - Monthly Metrics'!$A:$A,$B$4-1,'Data - Monthly Metrics'!$B:$B,C$8,'Data - Monthly Metrics'!$C:$C,"TKP",'Data - Monthly Metrics'!$D:$D,"Goal - Retention %")-0.05)</formula>
    </cfRule>
    <cfRule type="expression" rank="0" priority="339" equalAverage="0" aboveAverage="0" dxfId="1" stopIfTrue="1" text="" percent="0" bottom="0">
      <formula>AND(ISNUMBER(C19),COUNTIFS('Data - Monthly Metrics'!$A:$A,$B$4-1,'Data - Monthly Metrics'!$B:$B,C$8,'Data - Monthly Metrics'!$C:$C,"TKP",'Data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Metrics'!$C:$C,"TKP",'Data - Monthly Metrics'!$D:$D,"Goal - Retention %")&gt;0,D19&gt;=SUMIFS('Data - Monthly Metrics'!$E:$E,'Data - Monthly Metrics'!$A:$A,$B$4-1,'Data - Monthly Metrics'!$B:$B,D$8,'Data - Monthly Metrics'!$C:$C,"TKP",'Data - Monthly Metrics'!$D:$D,"Goal - Retention %"))</formula>
    </cfRule>
    <cfRule type="expression" rank="0" priority="341" equalAverage="0" aboveAverage="0" dxfId="2" stopIfTrue="1" text="" percent="0" bottom="0">
      <formula>AND(ISNUMBER(D19),COUNTIFS('Data - Monthly Metrics'!$A:$A,$B$4-1,'Data - Monthly Metrics'!$B:$B,D$8,'Data - Monthly Metrics'!$C:$C,"TKP",'Data - Monthly Metrics'!$D:$D,"Goal - Retention %")&gt;0,D19&gt;=SUMIFS('Data - Monthly Metrics'!$E:$E,'Data - Monthly Metrics'!$A:$A,$B$4-1,'Data - Monthly Metrics'!$B:$B,D$8,'Data - Monthly Metrics'!$C:$C,"TKP",'Data - Monthly Metrics'!$D:$D,"Goal - Retention %")-0.05)</formula>
    </cfRule>
    <cfRule type="expression" rank="0" priority="342" equalAverage="0" aboveAverage="0" dxfId="1" stopIfTrue="1" text="" percent="0" bottom="0">
      <formula>AND(ISNUMBER(D19),COUNTIFS('Data - Monthly Metrics'!$A:$A,$B$4-1,'Data - Monthly Metrics'!$B:$B,D$8,'Data - Monthly Metrics'!$C:$C,"TKP",'Data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Metrics'!$C:$C,"TKP",'Data - Monthly Metrics'!$D:$D,"Goal - Retention %")&gt;0,F19&gt;=SUMIFS('Data - Monthly Metrics'!$E:$E,'Data - Monthly Metrics'!$A:$A,$B$4,'Data - Monthly Metrics'!$B:$B,F$8,'Data - Monthly Metrics'!$C:$C,"TKP",'Data - Monthly Metrics'!$D:$D,"Goal - Retention %"))</formula>
    </cfRule>
    <cfRule type="expression" rank="0" priority="344" equalAverage="0" aboveAverage="0" dxfId="2" stopIfTrue="1" text="" percent="0" bottom="0">
      <formula>AND(ISNUMBER(F19),COUNTIFS('Data - Monthly Metrics'!$A:$A,$B$4,'Data - Monthly Metrics'!$B:$B,F$8,'Data - Monthly Metrics'!$C:$C,"TKP",'Data - Monthly Metrics'!$D:$D,"Goal - Retention %")&gt;0,F19&gt;=SUMIFS('Data - Monthly Metrics'!$E:$E,'Data - Monthly Metrics'!$A:$A,$B$4,'Data - Monthly Metrics'!$B:$B,F$8,'Data - Monthly Metrics'!$C:$C,"TKP",'Data - Monthly Metrics'!$D:$D,"Goal - Retention %")-0.05)</formula>
    </cfRule>
    <cfRule type="expression" rank="0" priority="345" equalAverage="0" aboveAverage="0" dxfId="1" stopIfTrue="1" text="" percent="0" bottom="0">
      <formula>AND(ISNUMBER(F19),COUNTIFS('Data - Monthly Metrics'!$A:$A,$B$4,'Data - Monthly Metrics'!$B:$B,F$8,'Data - Monthly Metrics'!$C:$C,"TKP",'Data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Metrics'!$C:$C,"TKP",'Data - Monthly Metrics'!$D:$D,"Goal - Retention %")&gt;0,G19&gt;=SUMIFS('Data - Monthly Metrics'!$E:$E,'Data - Monthly Metrics'!$A:$A,$B$4,'Data - Monthly Metrics'!$B:$B,G$8,'Data - Monthly Metrics'!$C:$C,"TKP",'Data - Monthly Metrics'!$D:$D,"Goal - Retention %"))</formula>
    </cfRule>
    <cfRule type="expression" rank="0" priority="347" equalAverage="0" aboveAverage="0" dxfId="2" stopIfTrue="1" text="" percent="0" bottom="0">
      <formula>AND(ISNUMBER(G19),COUNTIFS('Data - Monthly Metrics'!$A:$A,$B$4,'Data - Monthly Metrics'!$B:$B,G$8,'Data - Monthly Metrics'!$C:$C,"TKP",'Data - Monthly Metrics'!$D:$D,"Goal - Retention %")&gt;0,G19&gt;=SUMIFS('Data - Monthly Metrics'!$E:$E,'Data - Monthly Metrics'!$A:$A,$B$4,'Data - Monthly Metrics'!$B:$B,G$8,'Data - Monthly Metrics'!$C:$C,"TKP",'Data - Monthly Metrics'!$D:$D,"Goal - Retention %")-0.05)</formula>
    </cfRule>
    <cfRule type="expression" rank="0" priority="348" equalAverage="0" aboveAverage="0" dxfId="1" stopIfTrue="1" text="" percent="0" bottom="0">
      <formula>AND(ISNUMBER(G19),COUNTIFS('Data - Monthly Metrics'!$A:$A,$B$4,'Data - Monthly Metrics'!$B:$B,G$8,'Data - Monthly Metrics'!$C:$C,"TKP",'Data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Metrics'!$C:$C,"TKP",'Data - Monthly Metrics'!$D:$D,"Goal - Retention %")&gt;0,H19&gt;=SUMIFS('Data - Monthly Metrics'!$E:$E,'Data - Monthly Metrics'!$A:$A,$B$4,'Data - Monthly Metrics'!$B:$B,H$8,'Data - Monthly Metrics'!$C:$C,"TKP",'Data - Monthly Metrics'!$D:$D,"Goal - Retention %"))</formula>
    </cfRule>
    <cfRule type="expression" rank="0" priority="350" equalAverage="0" aboveAverage="0" dxfId="2" stopIfTrue="1" text="" percent="0" bottom="0">
      <formula>AND(ISNUMBER(H19),COUNTIFS('Data - Monthly Metrics'!$A:$A,$B$4,'Data - Monthly Metrics'!$B:$B,H$8,'Data - Monthly Metrics'!$C:$C,"TKP",'Data - Monthly Metrics'!$D:$D,"Goal - Retention %")&gt;0,H19&gt;=SUMIFS('Data - Monthly Metrics'!$E:$E,'Data - Monthly Metrics'!$A:$A,$B$4,'Data - Monthly Metrics'!$B:$B,H$8,'Data - Monthly Metrics'!$C:$C,"TKP",'Data - Monthly Metrics'!$D:$D,"Goal - Retention %")-0.05)</formula>
    </cfRule>
    <cfRule type="expression" rank="0" priority="351" equalAverage="0" aboveAverage="0" dxfId="1" stopIfTrue="1" text="" percent="0" bottom="0">
      <formula>AND(ISNUMBER(H19),COUNTIFS('Data - Monthly Metrics'!$A:$A,$B$4,'Data - Monthly Metrics'!$B:$B,H$8,'Data - Monthly Metrics'!$C:$C,"TKP",'Data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Metrics'!$C:$C,"TKP",'Data - Monthly Metrics'!$D:$D,"Goal - Retention %")&gt;0,J19&gt;=SUMIFS('Data - Monthly Metrics'!$E:$E,'Data - Monthly Metrics'!$A:$A,$B$4,'Data - Monthly Metrics'!$B:$B,J$8,'Data - Monthly Metrics'!$C:$C,"TKP",'Data - Monthly Metrics'!$D:$D,"Goal - Retention %"))</formula>
    </cfRule>
    <cfRule type="expression" rank="0" priority="353" equalAverage="0" aboveAverage="0" dxfId="2" stopIfTrue="1" text="" percent="0" bottom="0">
      <formula>AND(ISNUMBER(J19),COUNTIFS('Data - Monthly Metrics'!$A:$A,$B$4,'Data - Monthly Metrics'!$B:$B,J$8,'Data - Monthly Metrics'!$C:$C,"TKP",'Data - Monthly Metrics'!$D:$D,"Goal - Retention %")&gt;0,J19&gt;=SUMIFS('Data - Monthly Metrics'!$E:$E,'Data - Monthly Metrics'!$A:$A,$B$4,'Data - Monthly Metrics'!$B:$B,J$8,'Data - Monthly Metrics'!$C:$C,"TKP",'Data - Monthly Metrics'!$D:$D,"Goal - Retention %")-0.05)</formula>
    </cfRule>
    <cfRule type="expression" rank="0" priority="354" equalAverage="0" aboveAverage="0" dxfId="1" stopIfTrue="1" text="" percent="0" bottom="0">
      <formula>AND(ISNUMBER(J19),COUNTIFS('Data - Monthly Metrics'!$A:$A,$B$4,'Data - Monthly Metrics'!$B:$B,J$8,'Data - Monthly Metrics'!$C:$C,"TKP",'Data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Metrics'!$C:$C,"TKP",'Data - Monthly Metrics'!$D:$D,"Goal - Retention %")&gt;0,K19&gt;=SUMIFS('Data - Monthly Metrics'!$E:$E,'Data - Monthly Metrics'!$A:$A,$B$4,'Data - Monthly Metrics'!$B:$B,K$8,'Data - Monthly Metrics'!$C:$C,"TKP",'Data - Monthly Metrics'!$D:$D,"Goal - Retention %"))</formula>
    </cfRule>
    <cfRule type="expression" rank="0" priority="356" equalAverage="0" aboveAverage="0" dxfId="2" stopIfTrue="1" text="" percent="0" bottom="0">
      <formula>AND(ISNUMBER(K19),COUNTIFS('Data - Monthly Metrics'!$A:$A,$B$4,'Data - Monthly Metrics'!$B:$B,K$8,'Data - Monthly Metrics'!$C:$C,"TKP",'Data - Monthly Metrics'!$D:$D,"Goal - Retention %")&gt;0,K19&gt;=SUMIFS('Data - Monthly Metrics'!$E:$E,'Data - Monthly Metrics'!$A:$A,$B$4,'Data - Monthly Metrics'!$B:$B,K$8,'Data - Monthly Metrics'!$C:$C,"TKP",'Data - Monthly Metrics'!$D:$D,"Goal - Retention %")-0.05)</formula>
    </cfRule>
    <cfRule type="expression" rank="0" priority="357" equalAverage="0" aboveAverage="0" dxfId="1" stopIfTrue="1" text="" percent="0" bottom="0">
      <formula>AND(ISNUMBER(K19),COUNTIFS('Data - Monthly Metrics'!$A:$A,$B$4,'Data - Monthly Metrics'!$B:$B,K$8,'Data - Monthly Metrics'!$C:$C,"TKP",'Data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Metrics'!$C:$C,"TKP",'Data - Monthly Metrics'!$D:$D,"Goal - Retention %")&gt;0,L19&gt;=SUMIFS('Data - Monthly Metrics'!$E:$E,'Data - Monthly Metrics'!$A:$A,$B$4,'Data - Monthly Metrics'!$B:$B,L$8,'Data - Monthly Metrics'!$C:$C,"TKP",'Data - Monthly Metrics'!$D:$D,"Goal - Retention %"))</formula>
    </cfRule>
    <cfRule type="expression" rank="0" priority="359" equalAverage="0" aboveAverage="0" dxfId="2" stopIfTrue="1" text="" percent="0" bottom="0">
      <formula>AND(ISNUMBER(L19),COUNTIFS('Data - Monthly Metrics'!$A:$A,$B$4,'Data - Monthly Metrics'!$B:$B,L$8,'Data - Monthly Metrics'!$C:$C,"TKP",'Data - Monthly Metrics'!$D:$D,"Goal - Retention %")&gt;0,L19&gt;=SUMIFS('Data - Monthly Metrics'!$E:$E,'Data - Monthly Metrics'!$A:$A,$B$4,'Data - Monthly Metrics'!$B:$B,L$8,'Data - Monthly Metrics'!$C:$C,"TKP",'Data - Monthly Metrics'!$D:$D,"Goal - Retention %")-0.05)</formula>
    </cfRule>
    <cfRule type="expression" rank="0" priority="360" equalAverage="0" aboveAverage="0" dxfId="1" stopIfTrue="1" text="" percent="0" bottom="0">
      <formula>AND(ISNUMBER(L19),COUNTIFS('Data - Monthly Metrics'!$A:$A,$B$4,'Data - Monthly Metrics'!$B:$B,L$8,'Data - Monthly Metrics'!$C:$C,"TKP",'Data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Metrics'!$C:$C,"TKP",'Data - Monthly Metrics'!$D:$D,"Goal - Retention %")&gt;0,N19&gt;=SUMIFS('Data - Monthly Metrics'!$E:$E,'Data - Monthly Metrics'!$A:$A,$B$4,'Data - Monthly Metrics'!$B:$B,N$8,'Data - Monthly Metrics'!$C:$C,"TKP",'Data - Monthly Metrics'!$D:$D,"Goal - Retention %"))</formula>
    </cfRule>
    <cfRule type="expression" rank="0" priority="362" equalAverage="0" aboveAverage="0" dxfId="2" stopIfTrue="1" text="" percent="0" bottom="0">
      <formula>AND(ISNUMBER(N19),COUNTIFS('Data - Monthly Metrics'!$A:$A,$B$4,'Data - Monthly Metrics'!$B:$B,N$8,'Data - Monthly Metrics'!$C:$C,"TKP",'Data - Monthly Metrics'!$D:$D,"Goal - Retention %")&gt;0,N19&gt;=SUMIFS('Data - Monthly Metrics'!$E:$E,'Data - Monthly Metrics'!$A:$A,$B$4,'Data - Monthly Metrics'!$B:$B,N$8,'Data - Monthly Metrics'!$C:$C,"TKP",'Data - Monthly Metrics'!$D:$D,"Goal - Retention %")-0.05)</formula>
    </cfRule>
    <cfRule type="expression" rank="0" priority="363" equalAverage="0" aboveAverage="0" dxfId="1" stopIfTrue="1" text="" percent="0" bottom="0">
      <formula>AND(ISNUMBER(N19),COUNTIFS('Data - Monthly Metrics'!$A:$A,$B$4,'Data - Monthly Metrics'!$B:$B,N$8,'Data - Monthly Metrics'!$C:$C,"TKP",'Data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Metrics'!$C:$C,"TKP",'Data - Monthly Metrics'!$D:$D,"Goal - Retention %")&gt;0,O19&gt;=SUMIFS('Data - Monthly Metrics'!$E:$E,'Data - Monthly Metrics'!$A:$A,$B$4,'Data - Monthly Metrics'!$B:$B,O$8,'Data - Monthly Metrics'!$C:$C,"TKP",'Data - Monthly Metrics'!$D:$D,"Goal - Retention %"))</formula>
    </cfRule>
    <cfRule type="expression" rank="0" priority="365" equalAverage="0" aboveAverage="0" dxfId="2" stopIfTrue="1" text="" percent="0" bottom="0">
      <formula>AND(ISNUMBER(O19),COUNTIFS('Data - Monthly Metrics'!$A:$A,$B$4,'Data - Monthly Metrics'!$B:$B,O$8,'Data - Monthly Metrics'!$C:$C,"TKP",'Data - Monthly Metrics'!$D:$D,"Goal - Retention %")&gt;0,O19&gt;=SUMIFS('Data - Monthly Metrics'!$E:$E,'Data - Monthly Metrics'!$A:$A,$B$4,'Data - Monthly Metrics'!$B:$B,O$8,'Data - Monthly Metrics'!$C:$C,"TKP",'Data - Monthly Metrics'!$D:$D,"Goal - Retention %")-0.05)</formula>
    </cfRule>
    <cfRule type="expression" rank="0" priority="366" equalAverage="0" aboveAverage="0" dxfId="1" stopIfTrue="1" text="" percent="0" bottom="0">
      <formula>AND(ISNUMBER(O19),COUNTIFS('Data - Monthly Metrics'!$A:$A,$B$4,'Data - Monthly Metrics'!$B:$B,O$8,'Data - Monthly Metrics'!$C:$C,"TKP",'Data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Metrics'!$C:$C,"TKP",'Data - Monthly Metrics'!$D:$D,"Goal - Retention %")&gt;0,P19&gt;=SUMIFS('Data - Monthly Metrics'!$E:$E,'Data - Monthly Metrics'!$A:$A,$B$4,'Data - Monthly Metrics'!$B:$B,P$8,'Data - Monthly Metrics'!$C:$C,"TKP",'Data - Monthly Metrics'!$D:$D,"Goal - Retention %"))</formula>
    </cfRule>
    <cfRule type="expression" rank="0" priority="368" equalAverage="0" aboveAverage="0" dxfId="2" stopIfTrue="1" text="" percent="0" bottom="0">
      <formula>AND(ISNUMBER(P19),COUNTIFS('Data - Monthly Metrics'!$A:$A,$B$4,'Data - Monthly Metrics'!$B:$B,P$8,'Data - Monthly Metrics'!$C:$C,"TKP",'Data - Monthly Metrics'!$D:$D,"Goal - Retention %")&gt;0,P19&gt;=SUMIFS('Data - Monthly Metrics'!$E:$E,'Data - Monthly Metrics'!$A:$A,$B$4,'Data - Monthly Metrics'!$B:$B,P$8,'Data - Monthly Metrics'!$C:$C,"TKP",'Data - Monthly Metrics'!$D:$D,"Goal - Retention %")-0.05)</formula>
    </cfRule>
    <cfRule type="expression" rank="0" priority="369" equalAverage="0" aboveAverage="0" dxfId="1" stopIfTrue="1" text="" percent="0" bottom="0">
      <formula>AND(ISNUMBER(P19),COUNTIFS('Data - Monthly Metrics'!$A:$A,$B$4,'Data - Monthly Metrics'!$B:$B,P$8,'Data - Monthly Metrics'!$C:$C,"TKP",'Data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Metrics'!$C:$C,"TKP",'Data - Monthly Metrics'!$D:$D,"Goal - Retention %")&gt;0,B28&gt;=SUMIFS('Data - Monthly Metrics'!$E:$E,'Data - Monthly Metrics'!$A:$A,$B$4-1,'Data - Monthly Metrics'!$B:$B,B$8,'Data - Monthly Metrics'!$C:$C,"TKP",'Data - Monthly Metrics'!$D:$D,"Goal - Retention %"))</formula>
    </cfRule>
    <cfRule type="expression" rank="0" priority="371" equalAverage="0" aboveAverage="0" dxfId="2" stopIfTrue="1" text="" percent="0" bottom="0">
      <formula>AND(ISNUMBER(B28),COUNTIFS('Data - Monthly Metrics'!$A:$A,$B$4-1,'Data - Monthly Metrics'!$B:$B,B$8,'Data - Monthly Metrics'!$C:$C,"TKP",'Data - Monthly Metrics'!$D:$D,"Goal - Retention %")&gt;0,B28&gt;=SUMIFS('Data - Monthly Metrics'!$E:$E,'Data - Monthly Metrics'!$A:$A,$B$4-1,'Data - Monthly Metrics'!$B:$B,B$8,'Data - Monthly Metrics'!$C:$C,"TKP",'Data - Monthly Metrics'!$D:$D,"Goal - Retention %")-0.05)</formula>
    </cfRule>
    <cfRule type="expression" rank="0" priority="372" equalAverage="0" aboveAverage="0" dxfId="1" stopIfTrue="1" text="" percent="0" bottom="0">
      <formula>AND(ISNUMBER(B28),COUNTIFS('Data - Monthly Metrics'!$A:$A,$B$4-1,'Data - Monthly Metrics'!$B:$B,B$8,'Data - Monthly Metrics'!$C:$C,"TKP",'Data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Metrics'!$C:$C,"TKP",'Data - Monthly Metrics'!$D:$D,"Goal - Retention %")&gt;0,C28&gt;=SUMIFS('Data - Monthly Metrics'!$E:$E,'Data - Monthly Metrics'!$A:$A,$B$4-1,'Data - Monthly Metrics'!$B:$B,C$8,'Data - Monthly Metrics'!$C:$C,"TKP",'Data - Monthly Metrics'!$D:$D,"Goal - Retention %"))</formula>
    </cfRule>
    <cfRule type="expression" rank="0" priority="374" equalAverage="0" aboveAverage="0" dxfId="2" stopIfTrue="1" text="" percent="0" bottom="0">
      <formula>AND(ISNUMBER(C28),COUNTIFS('Data - Monthly Metrics'!$A:$A,$B$4-1,'Data - Monthly Metrics'!$B:$B,C$8,'Data - Monthly Metrics'!$C:$C,"TKP",'Data - Monthly Metrics'!$D:$D,"Goal - Retention %")&gt;0,C28&gt;=SUMIFS('Data - Monthly Metrics'!$E:$E,'Data - Monthly Metrics'!$A:$A,$B$4-1,'Data - Monthly Metrics'!$B:$B,C$8,'Data - Monthly Metrics'!$C:$C,"TKP",'Data - Monthly Metrics'!$D:$D,"Goal - Retention %")-0.05)</formula>
    </cfRule>
    <cfRule type="expression" rank="0" priority="375" equalAverage="0" aboveAverage="0" dxfId="1" stopIfTrue="1" text="" percent="0" bottom="0">
      <formula>AND(ISNUMBER(C28),COUNTIFS('Data - Monthly Metrics'!$A:$A,$B$4-1,'Data - Monthly Metrics'!$B:$B,C$8,'Data - Monthly Metrics'!$C:$C,"TKP",'Data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Metrics'!$C:$C,"TKP",'Data - Monthly Metrics'!$D:$D,"Goal - Retention %")&gt;0,D28&gt;=SUMIFS('Data - Monthly Metrics'!$E:$E,'Data - Monthly Metrics'!$A:$A,$B$4-1,'Data - Monthly Metrics'!$B:$B,D$8,'Data - Monthly Metrics'!$C:$C,"TKP",'Data - Monthly Metrics'!$D:$D,"Goal - Retention %"))</formula>
    </cfRule>
    <cfRule type="expression" rank="0" priority="377" equalAverage="0" aboveAverage="0" dxfId="2" stopIfTrue="1" text="" percent="0" bottom="0">
      <formula>AND(ISNUMBER(D28),COUNTIFS('Data - Monthly Metrics'!$A:$A,$B$4-1,'Data - Monthly Metrics'!$B:$B,D$8,'Data - Monthly Metrics'!$C:$C,"TKP",'Data - Monthly Metrics'!$D:$D,"Goal - Retention %")&gt;0,D28&gt;=SUMIFS('Data - Monthly Metrics'!$E:$E,'Data - Monthly Metrics'!$A:$A,$B$4-1,'Data - Monthly Metrics'!$B:$B,D$8,'Data - Monthly Metrics'!$C:$C,"TKP",'Data - Monthly Metrics'!$D:$D,"Goal - Retention %")-0.05)</formula>
    </cfRule>
    <cfRule type="expression" rank="0" priority="378" equalAverage="0" aboveAverage="0" dxfId="1" stopIfTrue="1" text="" percent="0" bottom="0">
      <formula>AND(ISNUMBER(D28),COUNTIFS('Data - Monthly Metrics'!$A:$A,$B$4-1,'Data - Monthly Metrics'!$B:$B,D$8,'Data - Monthly Metrics'!$C:$C,"TKP",'Data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Metrics'!$C:$C,"TKP",'Data - Monthly Metrics'!$D:$D,"Goal - Retention %")&gt;0,F28&gt;=SUMIFS('Data - Monthly Metrics'!$E:$E,'Data - Monthly Metrics'!$A:$A,$B$4,'Data - Monthly Metrics'!$B:$B,F$8,'Data - Monthly Metrics'!$C:$C,"TKP",'Data - Monthly Metrics'!$D:$D,"Goal - Retention %"))</formula>
    </cfRule>
    <cfRule type="expression" rank="0" priority="380" equalAverage="0" aboveAverage="0" dxfId="2" stopIfTrue="1" text="" percent="0" bottom="0">
      <formula>AND(ISNUMBER(F28),COUNTIFS('Data - Monthly Metrics'!$A:$A,$B$4,'Data - Monthly Metrics'!$B:$B,F$8,'Data - Monthly Metrics'!$C:$C,"TKP",'Data - Monthly Metrics'!$D:$D,"Goal - Retention %")&gt;0,F28&gt;=SUMIFS('Data - Monthly Metrics'!$E:$E,'Data - Monthly Metrics'!$A:$A,$B$4,'Data - Monthly Metrics'!$B:$B,F$8,'Data - Monthly Metrics'!$C:$C,"TKP",'Data - Monthly Metrics'!$D:$D,"Goal - Retention %")-0.05)</formula>
    </cfRule>
    <cfRule type="expression" rank="0" priority="381" equalAverage="0" aboveAverage="0" dxfId="1" stopIfTrue="1" text="" percent="0" bottom="0">
      <formula>AND(ISNUMBER(F28),COUNTIFS('Data - Monthly Metrics'!$A:$A,$B$4,'Data - Monthly Metrics'!$B:$B,F$8,'Data - Monthly Metrics'!$C:$C,"TKP",'Data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Metrics'!$C:$C,"TKP",'Data - Monthly Metrics'!$D:$D,"Goal - Retention %")&gt;0,G28&gt;=SUMIFS('Data - Monthly Metrics'!$E:$E,'Data - Monthly Metrics'!$A:$A,$B$4,'Data - Monthly Metrics'!$B:$B,G$8,'Data - Monthly Metrics'!$C:$C,"TKP",'Data - Monthly Metrics'!$D:$D,"Goal - Retention %"))</formula>
    </cfRule>
    <cfRule type="expression" rank="0" priority="383" equalAverage="0" aboveAverage="0" dxfId="2" stopIfTrue="1" text="" percent="0" bottom="0">
      <formula>AND(ISNUMBER(G28),COUNTIFS('Data - Monthly Metrics'!$A:$A,$B$4,'Data - Monthly Metrics'!$B:$B,G$8,'Data - Monthly Metrics'!$C:$C,"TKP",'Data - Monthly Metrics'!$D:$D,"Goal - Retention %")&gt;0,G28&gt;=SUMIFS('Data - Monthly Metrics'!$E:$E,'Data - Monthly Metrics'!$A:$A,$B$4,'Data - Monthly Metrics'!$B:$B,G$8,'Data - Monthly Metrics'!$C:$C,"TKP",'Data - Monthly Metrics'!$D:$D,"Goal - Retention %")-0.05)</formula>
    </cfRule>
    <cfRule type="expression" rank="0" priority="384" equalAverage="0" aboveAverage="0" dxfId="1" stopIfTrue="1" text="" percent="0" bottom="0">
      <formula>AND(ISNUMBER(G28),COUNTIFS('Data - Monthly Metrics'!$A:$A,$B$4,'Data - Monthly Metrics'!$B:$B,G$8,'Data - Monthly Metrics'!$C:$C,"TKP",'Data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Metrics'!$C:$C,"TKP",'Data - Monthly Metrics'!$D:$D,"Goal - Retention %")&gt;0,H28&gt;=SUMIFS('Data - Monthly Metrics'!$E:$E,'Data - Monthly Metrics'!$A:$A,$B$4,'Data - Monthly Metrics'!$B:$B,H$8,'Data - Monthly Metrics'!$C:$C,"TKP",'Data - Monthly Metrics'!$D:$D,"Goal - Retention %"))</formula>
    </cfRule>
    <cfRule type="expression" rank="0" priority="386" equalAverage="0" aboveAverage="0" dxfId="2" stopIfTrue="1" text="" percent="0" bottom="0">
      <formula>AND(ISNUMBER(H28),COUNTIFS('Data - Monthly Metrics'!$A:$A,$B$4,'Data - Monthly Metrics'!$B:$B,H$8,'Data - Monthly Metrics'!$C:$C,"TKP",'Data - Monthly Metrics'!$D:$D,"Goal - Retention %")&gt;0,H28&gt;=SUMIFS('Data - Monthly Metrics'!$E:$E,'Data - Monthly Metrics'!$A:$A,$B$4,'Data - Monthly Metrics'!$B:$B,H$8,'Data - Monthly Metrics'!$C:$C,"TKP",'Data - Monthly Metrics'!$D:$D,"Goal - Retention %")-0.05)</formula>
    </cfRule>
    <cfRule type="expression" rank="0" priority="387" equalAverage="0" aboveAverage="0" dxfId="1" stopIfTrue="1" text="" percent="0" bottom="0">
      <formula>AND(ISNUMBER(H28),COUNTIFS('Data - Monthly Metrics'!$A:$A,$B$4,'Data - Monthly Metrics'!$B:$B,H$8,'Data - Monthly Metrics'!$C:$C,"TKP",'Data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Metrics'!$C:$C,"TKP",'Data - Monthly Metrics'!$D:$D,"Goal - Retention %")&gt;0,J28&gt;=SUMIFS('Data - Monthly Metrics'!$E:$E,'Data - Monthly Metrics'!$A:$A,$B$4,'Data - Monthly Metrics'!$B:$B,J$8,'Data - Monthly Metrics'!$C:$C,"TKP",'Data - Monthly Metrics'!$D:$D,"Goal - Retention %"))</formula>
    </cfRule>
    <cfRule type="expression" rank="0" priority="389" equalAverage="0" aboveAverage="0" dxfId="2" stopIfTrue="1" text="" percent="0" bottom="0">
      <formula>AND(ISNUMBER(J28),COUNTIFS('Data - Monthly Metrics'!$A:$A,$B$4,'Data - Monthly Metrics'!$B:$B,J$8,'Data - Monthly Metrics'!$C:$C,"TKP",'Data - Monthly Metrics'!$D:$D,"Goal - Retention %")&gt;0,J28&gt;=SUMIFS('Data - Monthly Metrics'!$E:$E,'Data - Monthly Metrics'!$A:$A,$B$4,'Data - Monthly Metrics'!$B:$B,J$8,'Data - Monthly Metrics'!$C:$C,"TKP",'Data - Monthly Metrics'!$D:$D,"Goal - Retention %")-0.05)</formula>
    </cfRule>
    <cfRule type="expression" rank="0" priority="390" equalAverage="0" aboveAverage="0" dxfId="1" stopIfTrue="1" text="" percent="0" bottom="0">
      <formula>AND(ISNUMBER(J28),COUNTIFS('Data - Monthly Metrics'!$A:$A,$B$4,'Data - Monthly Metrics'!$B:$B,J$8,'Data - Monthly Metrics'!$C:$C,"TKP",'Data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Metrics'!$C:$C,"TKP",'Data - Monthly Metrics'!$D:$D,"Goal - Retention %")&gt;0,K28&gt;=SUMIFS('Data - Monthly Metrics'!$E:$E,'Data - Monthly Metrics'!$A:$A,$B$4,'Data - Monthly Metrics'!$B:$B,K$8,'Data - Monthly Metrics'!$C:$C,"TKP",'Data - Monthly Metrics'!$D:$D,"Goal - Retention %"))</formula>
    </cfRule>
    <cfRule type="expression" rank="0" priority="392" equalAverage="0" aboveAverage="0" dxfId="2" stopIfTrue="1" text="" percent="0" bottom="0">
      <formula>AND(ISNUMBER(K28),COUNTIFS('Data - Monthly Metrics'!$A:$A,$B$4,'Data - Monthly Metrics'!$B:$B,K$8,'Data - Monthly Metrics'!$C:$C,"TKP",'Data - Monthly Metrics'!$D:$D,"Goal - Retention %")&gt;0,K28&gt;=SUMIFS('Data - Monthly Metrics'!$E:$E,'Data - Monthly Metrics'!$A:$A,$B$4,'Data - Monthly Metrics'!$B:$B,K$8,'Data - Monthly Metrics'!$C:$C,"TKP",'Data - Monthly Metrics'!$D:$D,"Goal - Retention %")-0.05)</formula>
    </cfRule>
    <cfRule type="expression" rank="0" priority="393" equalAverage="0" aboveAverage="0" dxfId="1" stopIfTrue="1" text="" percent="0" bottom="0">
      <formula>AND(ISNUMBER(K28),COUNTIFS('Data - Monthly Metrics'!$A:$A,$B$4,'Data - Monthly Metrics'!$B:$B,K$8,'Data - Monthly Metrics'!$C:$C,"TKP",'Data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Metrics'!$C:$C,"TKP",'Data - Monthly Metrics'!$D:$D,"Goal - Retention %")&gt;0,L28&gt;=SUMIFS('Data - Monthly Metrics'!$E:$E,'Data - Monthly Metrics'!$A:$A,$B$4,'Data - Monthly Metrics'!$B:$B,L$8,'Data - Monthly Metrics'!$C:$C,"TKP",'Data - Monthly Metrics'!$D:$D,"Goal - Retention %"))</formula>
    </cfRule>
    <cfRule type="expression" rank="0" priority="395" equalAverage="0" aboveAverage="0" dxfId="2" stopIfTrue="1" text="" percent="0" bottom="0">
      <formula>AND(ISNUMBER(L28),COUNTIFS('Data - Monthly Metrics'!$A:$A,$B$4,'Data - Monthly Metrics'!$B:$B,L$8,'Data - Monthly Metrics'!$C:$C,"TKP",'Data - Monthly Metrics'!$D:$D,"Goal - Retention %")&gt;0,L28&gt;=SUMIFS('Data - Monthly Metrics'!$E:$E,'Data - Monthly Metrics'!$A:$A,$B$4,'Data - Monthly Metrics'!$B:$B,L$8,'Data - Monthly Metrics'!$C:$C,"TKP",'Data - Monthly Metrics'!$D:$D,"Goal - Retention %")-0.05)</formula>
    </cfRule>
    <cfRule type="expression" rank="0" priority="396" equalAverage="0" aboveAverage="0" dxfId="1" stopIfTrue="1" text="" percent="0" bottom="0">
      <formula>AND(ISNUMBER(L28),COUNTIFS('Data - Monthly Metrics'!$A:$A,$B$4,'Data - Monthly Metrics'!$B:$B,L$8,'Data - Monthly Metrics'!$C:$C,"TKP",'Data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Metrics'!$C:$C,"TKP",'Data - Monthly Metrics'!$D:$D,"Goal - Retention %")&gt;0,N28&gt;=SUMIFS('Data - Monthly Metrics'!$E:$E,'Data - Monthly Metrics'!$A:$A,$B$4,'Data - Monthly Metrics'!$B:$B,N$8,'Data - Monthly Metrics'!$C:$C,"TKP",'Data - Monthly Metrics'!$D:$D,"Goal - Retention %"))</formula>
    </cfRule>
    <cfRule type="expression" rank="0" priority="398" equalAverage="0" aboveAverage="0" dxfId="2" stopIfTrue="1" text="" percent="0" bottom="0">
      <formula>AND(ISNUMBER(N28),COUNTIFS('Data - Monthly Metrics'!$A:$A,$B$4,'Data - Monthly Metrics'!$B:$B,N$8,'Data - Monthly Metrics'!$C:$C,"TKP",'Data - Monthly Metrics'!$D:$D,"Goal - Retention %")&gt;0,N28&gt;=SUMIFS('Data - Monthly Metrics'!$E:$E,'Data - Monthly Metrics'!$A:$A,$B$4,'Data - Monthly Metrics'!$B:$B,N$8,'Data - Monthly Metrics'!$C:$C,"TKP",'Data - Monthly Metrics'!$D:$D,"Goal - Retention %")-0.05)</formula>
    </cfRule>
    <cfRule type="expression" rank="0" priority="399" equalAverage="0" aboveAverage="0" dxfId="1" stopIfTrue="1" text="" percent="0" bottom="0">
      <formula>AND(ISNUMBER(N28),COUNTIFS('Data - Monthly Metrics'!$A:$A,$B$4,'Data - Monthly Metrics'!$B:$B,N$8,'Data - Monthly Metrics'!$C:$C,"TKP",'Data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Metrics'!$C:$C,"TKP",'Data - Monthly Metrics'!$D:$D,"Goal - Retention %")&gt;0,O28&gt;=SUMIFS('Data - Monthly Metrics'!$E:$E,'Data - Monthly Metrics'!$A:$A,$B$4,'Data - Monthly Metrics'!$B:$B,O$8,'Data - Monthly Metrics'!$C:$C,"TKP",'Data - Monthly Metrics'!$D:$D,"Goal - Retention %"))</formula>
    </cfRule>
    <cfRule type="expression" rank="0" priority="401" equalAverage="0" aboveAverage="0" dxfId="2" stopIfTrue="1" text="" percent="0" bottom="0">
      <formula>AND(ISNUMBER(O28),COUNTIFS('Data - Monthly Metrics'!$A:$A,$B$4,'Data - Monthly Metrics'!$B:$B,O$8,'Data - Monthly Metrics'!$C:$C,"TKP",'Data - Monthly Metrics'!$D:$D,"Goal - Retention %")&gt;0,O28&gt;=SUMIFS('Data - Monthly Metrics'!$E:$E,'Data - Monthly Metrics'!$A:$A,$B$4,'Data - Monthly Metrics'!$B:$B,O$8,'Data - Monthly Metrics'!$C:$C,"TKP",'Data - Monthly Metrics'!$D:$D,"Goal - Retention %")-0.05)</formula>
    </cfRule>
    <cfRule type="expression" rank="0" priority="402" equalAverage="0" aboveAverage="0" dxfId="1" stopIfTrue="1" text="" percent="0" bottom="0">
      <formula>AND(ISNUMBER(O28),COUNTIFS('Data - Monthly Metrics'!$A:$A,$B$4,'Data - Monthly Metrics'!$B:$B,O$8,'Data - Monthly Metrics'!$C:$C,"TKP",'Data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Metrics'!$C:$C,"TKP",'Data - Monthly Metrics'!$D:$D,"Goal - Retention %")&gt;0,P28&gt;=SUMIFS('Data - Monthly Metrics'!$E:$E,'Data - Monthly Metrics'!$A:$A,$B$4,'Data - Monthly Metrics'!$B:$B,P$8,'Data - Monthly Metrics'!$C:$C,"TKP",'Data - Monthly Metrics'!$D:$D,"Goal - Retention %"))</formula>
    </cfRule>
    <cfRule type="expression" rank="0" priority="404" equalAverage="0" aboveAverage="0" dxfId="2" stopIfTrue="1" text="" percent="0" bottom="0">
      <formula>AND(ISNUMBER(P28),COUNTIFS('Data - Monthly Metrics'!$A:$A,$B$4,'Data - Monthly Metrics'!$B:$B,P$8,'Data - Monthly Metrics'!$C:$C,"TKP",'Data - Monthly Metrics'!$D:$D,"Goal - Retention %")&gt;0,P28&gt;=SUMIFS('Data - Monthly Metrics'!$E:$E,'Data - Monthly Metrics'!$A:$A,$B$4,'Data - Monthly Metrics'!$B:$B,P$8,'Data - Monthly Metrics'!$C:$C,"TKP",'Data - Monthly Metrics'!$D:$D,"Goal - Retention %")-0.05)</formula>
    </cfRule>
    <cfRule type="expression" rank="0" priority="405" equalAverage="0" aboveAverage="0" dxfId="1" stopIfTrue="1" text="" percent="0" bottom="0">
      <formula>AND(ISNUMBER(P28),COUNTIFS('Data - Monthly Metrics'!$A:$A,$B$4,'Data - Monthly Metrics'!$B:$B,P$8,'Data - Monthly Metrics'!$C:$C,"TKP",'Data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Metrics'!$C:$C,"TKP",'Data - Monthly Metrics'!$D:$D,"Goal - Penetration %")&gt;0,B29&gt;=SUMIFS('Data - Monthly Metrics'!$E:$E,'Data - Monthly Metrics'!$A:$A,$B$4-1,'Data - Monthly Metrics'!$B:$B,B$8,'Data - Monthly Metrics'!$C:$C,"TKP",'Data - Monthly Metrics'!$D:$D,"Goal - Penetration %"))</formula>
    </cfRule>
    <cfRule type="expression" rank="0" priority="407" equalAverage="0" aboveAverage="0" dxfId="2" stopIfTrue="1" text="" percent="0" bottom="0">
      <formula>AND(ISNUMBER(B29),COUNTIFS('Data - Monthly Metrics'!$A:$A,$B$4-1,'Data - Monthly Metrics'!$B:$B,B$8,'Data - Monthly Metrics'!$C:$C,"TKP",'Data - Monthly Metrics'!$D:$D,"Goal - Penetration %")&gt;0,B29&gt;=SUMIFS('Data - Monthly Metrics'!$E:$E,'Data - Monthly Metrics'!$A:$A,$B$4-1,'Data - Monthly Metrics'!$B:$B,B$8,'Data - Monthly Metrics'!$C:$C,"TKP",'Data - Monthly Metrics'!$D:$D,"Goal - Penetration %")-0.05)</formula>
    </cfRule>
    <cfRule type="expression" rank="0" priority="408" equalAverage="0" aboveAverage="0" dxfId="1" stopIfTrue="1" text="" percent="0" bottom="0">
      <formula>AND(ISNUMBER(B29),COUNTIFS('Data - Monthly Metrics'!$A:$A,$B$4-1,'Data - Monthly Metrics'!$B:$B,B$8,'Data - Monthly Metrics'!$C:$C,"TKP",'Data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Metrics'!$C:$C,"TKP",'Data - Monthly Metrics'!$D:$D,"Goal - Penetration %")&gt;0,C29&gt;=SUMIFS('Data - Monthly Metrics'!$E:$E,'Data - Monthly Metrics'!$A:$A,$B$4-1,'Data - Monthly Metrics'!$B:$B,C$8,'Data - Monthly Metrics'!$C:$C,"TKP",'Data - Monthly Metrics'!$D:$D,"Goal - Penetration %"))</formula>
    </cfRule>
    <cfRule type="expression" rank="0" priority="410" equalAverage="0" aboveAverage="0" dxfId="2" stopIfTrue="1" text="" percent="0" bottom="0">
      <formula>AND(ISNUMBER(C29),COUNTIFS('Data - Monthly Metrics'!$A:$A,$B$4-1,'Data - Monthly Metrics'!$B:$B,C$8,'Data - Monthly Metrics'!$C:$C,"TKP",'Data - Monthly Metrics'!$D:$D,"Goal - Penetration %")&gt;0,C29&gt;=SUMIFS('Data - Monthly Metrics'!$E:$E,'Data - Monthly Metrics'!$A:$A,$B$4-1,'Data - Monthly Metrics'!$B:$B,C$8,'Data - Monthly Metrics'!$C:$C,"TKP",'Data - Monthly Metrics'!$D:$D,"Goal - Penetration %")-0.05)</formula>
    </cfRule>
    <cfRule type="expression" rank="0" priority="411" equalAverage="0" aboveAverage="0" dxfId="1" stopIfTrue="1" text="" percent="0" bottom="0">
      <formula>AND(ISNUMBER(C29),COUNTIFS('Data - Monthly Metrics'!$A:$A,$B$4-1,'Data - Monthly Metrics'!$B:$B,C$8,'Data - Monthly Metrics'!$C:$C,"TKP",'Data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Metrics'!$C:$C,"TKP",'Data - Monthly Metrics'!$D:$D,"Goal - Penetration %")&gt;0,D29&gt;=SUMIFS('Data - Monthly Metrics'!$E:$E,'Data - Monthly Metrics'!$A:$A,$B$4-1,'Data - Monthly Metrics'!$B:$B,D$8,'Data - Monthly Metrics'!$C:$C,"TKP",'Data - Monthly Metrics'!$D:$D,"Goal - Penetration %"))</formula>
    </cfRule>
    <cfRule type="expression" rank="0" priority="413" equalAverage="0" aboveAverage="0" dxfId="2" stopIfTrue="1" text="" percent="0" bottom="0">
      <formula>AND(ISNUMBER(D29),COUNTIFS('Data - Monthly Metrics'!$A:$A,$B$4-1,'Data - Monthly Metrics'!$B:$B,D$8,'Data - Monthly Metrics'!$C:$C,"TKP",'Data - Monthly Metrics'!$D:$D,"Goal - Penetration %")&gt;0,D29&gt;=SUMIFS('Data - Monthly Metrics'!$E:$E,'Data - Monthly Metrics'!$A:$A,$B$4-1,'Data - Monthly Metrics'!$B:$B,D$8,'Data - Monthly Metrics'!$C:$C,"TKP",'Data - Monthly Metrics'!$D:$D,"Goal - Penetration %")-0.05)</formula>
    </cfRule>
    <cfRule type="expression" rank="0" priority="414" equalAverage="0" aboveAverage="0" dxfId="1" stopIfTrue="1" text="" percent="0" bottom="0">
      <formula>AND(ISNUMBER(D29),COUNTIFS('Data - Monthly Metrics'!$A:$A,$B$4-1,'Data - Monthly Metrics'!$B:$B,D$8,'Data - Monthly Metrics'!$C:$C,"TKP",'Data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Metrics'!$C:$C,"TKP",'Data - Monthly Metrics'!$D:$D,"Goal - Penetration %")&gt;0,F29&gt;=SUMIFS('Data - Monthly Metrics'!$E:$E,'Data - Monthly Metrics'!$A:$A,$B$4,'Data - Monthly Metrics'!$B:$B,F$8,'Data - Monthly Metrics'!$C:$C,"TKP",'Data - Monthly Metrics'!$D:$D,"Goal - Penetration %"))</formula>
    </cfRule>
    <cfRule type="expression" rank="0" priority="416" equalAverage="0" aboveAverage="0" dxfId="2" stopIfTrue="1" text="" percent="0" bottom="0">
      <formula>AND(ISNUMBER(F29),COUNTIFS('Data - Monthly Metrics'!$A:$A,$B$4,'Data - Monthly Metrics'!$B:$B,F$8,'Data - Monthly Metrics'!$C:$C,"TKP",'Data - Monthly Metrics'!$D:$D,"Goal - Penetration %")&gt;0,F29&gt;=SUMIFS('Data - Monthly Metrics'!$E:$E,'Data - Monthly Metrics'!$A:$A,$B$4,'Data - Monthly Metrics'!$B:$B,F$8,'Data - Monthly Metrics'!$C:$C,"TKP",'Data - Monthly Metrics'!$D:$D,"Goal - Penetration %")-0.05)</formula>
    </cfRule>
    <cfRule type="expression" rank="0" priority="417" equalAverage="0" aboveAverage="0" dxfId="1" stopIfTrue="1" text="" percent="0" bottom="0">
      <formula>AND(ISNUMBER(F29),COUNTIFS('Data - Monthly Metrics'!$A:$A,$B$4,'Data - Monthly Metrics'!$B:$B,F$8,'Data - Monthly Metrics'!$C:$C,"TKP",'Data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Metrics'!$C:$C,"TKP",'Data - Monthly Metrics'!$D:$D,"Goal - Penetration %")&gt;0,G29&gt;=SUMIFS('Data - Monthly Metrics'!$E:$E,'Data - Monthly Metrics'!$A:$A,$B$4,'Data - Monthly Metrics'!$B:$B,G$8,'Data - Monthly Metrics'!$C:$C,"TKP",'Data - Monthly Metrics'!$D:$D,"Goal - Penetration %"))</formula>
    </cfRule>
    <cfRule type="expression" rank="0" priority="419" equalAverage="0" aboveAverage="0" dxfId="2" stopIfTrue="1" text="" percent="0" bottom="0">
      <formula>AND(ISNUMBER(G29),COUNTIFS('Data - Monthly Metrics'!$A:$A,$B$4,'Data - Monthly Metrics'!$B:$B,G$8,'Data - Monthly Metrics'!$C:$C,"TKP",'Data - Monthly Metrics'!$D:$D,"Goal - Penetration %")&gt;0,G29&gt;=SUMIFS('Data - Monthly Metrics'!$E:$E,'Data - Monthly Metrics'!$A:$A,$B$4,'Data - Monthly Metrics'!$B:$B,G$8,'Data - Monthly Metrics'!$C:$C,"TKP",'Data - Monthly Metrics'!$D:$D,"Goal - Penetration %")-0.05)</formula>
    </cfRule>
    <cfRule type="expression" rank="0" priority="420" equalAverage="0" aboveAverage="0" dxfId="1" stopIfTrue="1" text="" percent="0" bottom="0">
      <formula>AND(ISNUMBER(G29),COUNTIFS('Data - Monthly Metrics'!$A:$A,$B$4,'Data - Monthly Metrics'!$B:$B,G$8,'Data - Monthly Metrics'!$C:$C,"TKP",'Data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Metrics'!$C:$C,"TKP",'Data - Monthly Metrics'!$D:$D,"Goal - Penetration %")&gt;0,H29&gt;=SUMIFS('Data - Monthly Metrics'!$E:$E,'Data - Monthly Metrics'!$A:$A,$B$4,'Data - Monthly Metrics'!$B:$B,H$8,'Data - Monthly Metrics'!$C:$C,"TKP",'Data - Monthly Metrics'!$D:$D,"Goal - Penetration %"))</formula>
    </cfRule>
    <cfRule type="expression" rank="0" priority="422" equalAverage="0" aboveAverage="0" dxfId="2" stopIfTrue="1" text="" percent="0" bottom="0">
      <formula>AND(ISNUMBER(H29),COUNTIFS('Data - Monthly Metrics'!$A:$A,$B$4,'Data - Monthly Metrics'!$B:$B,H$8,'Data - Monthly Metrics'!$C:$C,"TKP",'Data - Monthly Metrics'!$D:$D,"Goal - Penetration %")&gt;0,H29&gt;=SUMIFS('Data - Monthly Metrics'!$E:$E,'Data - Monthly Metrics'!$A:$A,$B$4,'Data - Monthly Metrics'!$B:$B,H$8,'Data - Monthly Metrics'!$C:$C,"TKP",'Data - Monthly Metrics'!$D:$D,"Goal - Penetration %")-0.05)</formula>
    </cfRule>
    <cfRule type="expression" rank="0" priority="423" equalAverage="0" aboveAverage="0" dxfId="1" stopIfTrue="1" text="" percent="0" bottom="0">
      <formula>AND(ISNUMBER(H29),COUNTIFS('Data - Monthly Metrics'!$A:$A,$B$4,'Data - Monthly Metrics'!$B:$B,H$8,'Data - Monthly Metrics'!$C:$C,"TKP",'Data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Metrics'!$C:$C,"TKP",'Data - Monthly Metrics'!$D:$D,"Goal - Penetration %")&gt;0,J29&gt;=SUMIFS('Data - Monthly Metrics'!$E:$E,'Data - Monthly Metrics'!$A:$A,$B$4,'Data - Monthly Metrics'!$B:$B,J$8,'Data - Monthly Metrics'!$C:$C,"TKP",'Data - Monthly Metrics'!$D:$D,"Goal - Penetration %"))</formula>
    </cfRule>
    <cfRule type="expression" rank="0" priority="425" equalAverage="0" aboveAverage="0" dxfId="2" stopIfTrue="1" text="" percent="0" bottom="0">
      <formula>AND(ISNUMBER(J29),COUNTIFS('Data - Monthly Metrics'!$A:$A,$B$4,'Data - Monthly Metrics'!$B:$B,J$8,'Data - Monthly Metrics'!$C:$C,"TKP",'Data - Monthly Metrics'!$D:$D,"Goal - Penetration %")&gt;0,J29&gt;=SUMIFS('Data - Monthly Metrics'!$E:$E,'Data - Monthly Metrics'!$A:$A,$B$4,'Data - Monthly Metrics'!$B:$B,J$8,'Data - Monthly Metrics'!$C:$C,"TKP",'Data - Monthly Metrics'!$D:$D,"Goal - Penetration %")-0.05)</formula>
    </cfRule>
    <cfRule type="expression" rank="0" priority="426" equalAverage="0" aboveAverage="0" dxfId="1" stopIfTrue="1" text="" percent="0" bottom="0">
      <formula>AND(ISNUMBER(J29),COUNTIFS('Data - Monthly Metrics'!$A:$A,$B$4,'Data - Monthly Metrics'!$B:$B,J$8,'Data - Monthly Metrics'!$C:$C,"TKP",'Data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Metrics'!$C:$C,"TKP",'Data - Monthly Metrics'!$D:$D,"Goal - Penetration %")&gt;0,K29&gt;=SUMIFS('Data - Monthly Metrics'!$E:$E,'Data - Monthly Metrics'!$A:$A,$B$4,'Data - Monthly Metrics'!$B:$B,K$8,'Data - Monthly Metrics'!$C:$C,"TKP",'Data - Monthly Metrics'!$D:$D,"Goal - Penetration %"))</formula>
    </cfRule>
    <cfRule type="expression" rank="0" priority="428" equalAverage="0" aboveAverage="0" dxfId="2" stopIfTrue="1" text="" percent="0" bottom="0">
      <formula>AND(ISNUMBER(K29),COUNTIFS('Data - Monthly Metrics'!$A:$A,$B$4,'Data - Monthly Metrics'!$B:$B,K$8,'Data - Monthly Metrics'!$C:$C,"TKP",'Data - Monthly Metrics'!$D:$D,"Goal - Penetration %")&gt;0,K29&gt;=SUMIFS('Data - Monthly Metrics'!$E:$E,'Data - Monthly Metrics'!$A:$A,$B$4,'Data - Monthly Metrics'!$B:$B,K$8,'Data - Monthly Metrics'!$C:$C,"TKP",'Data - Monthly Metrics'!$D:$D,"Goal - Penetration %")-0.05)</formula>
    </cfRule>
    <cfRule type="expression" rank="0" priority="429" equalAverage="0" aboveAverage="0" dxfId="1" stopIfTrue="1" text="" percent="0" bottom="0">
      <formula>AND(ISNUMBER(K29),COUNTIFS('Data - Monthly Metrics'!$A:$A,$B$4,'Data - Monthly Metrics'!$B:$B,K$8,'Data - Monthly Metrics'!$C:$C,"TKP",'Data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Metrics'!$C:$C,"TKP",'Data - Monthly Metrics'!$D:$D,"Goal - Penetration %")&gt;0,L29&gt;=SUMIFS('Data - Monthly Metrics'!$E:$E,'Data - Monthly Metrics'!$A:$A,$B$4,'Data - Monthly Metrics'!$B:$B,L$8,'Data - Monthly Metrics'!$C:$C,"TKP",'Data - Monthly Metrics'!$D:$D,"Goal - Penetration %"))</formula>
    </cfRule>
    <cfRule type="expression" rank="0" priority="431" equalAverage="0" aboveAverage="0" dxfId="2" stopIfTrue="1" text="" percent="0" bottom="0">
      <formula>AND(ISNUMBER(L29),COUNTIFS('Data - Monthly Metrics'!$A:$A,$B$4,'Data - Monthly Metrics'!$B:$B,L$8,'Data - Monthly Metrics'!$C:$C,"TKP",'Data - Monthly Metrics'!$D:$D,"Goal - Penetration %")&gt;0,L29&gt;=SUMIFS('Data - Monthly Metrics'!$E:$E,'Data - Monthly Metrics'!$A:$A,$B$4,'Data - Monthly Metrics'!$B:$B,L$8,'Data - Monthly Metrics'!$C:$C,"TKP",'Data - Monthly Metrics'!$D:$D,"Goal - Penetration %")-0.05)</formula>
    </cfRule>
    <cfRule type="expression" rank="0" priority="432" equalAverage="0" aboveAverage="0" dxfId="1" stopIfTrue="1" text="" percent="0" bottom="0">
      <formula>AND(ISNUMBER(L29),COUNTIFS('Data - Monthly Metrics'!$A:$A,$B$4,'Data - Monthly Metrics'!$B:$B,L$8,'Data - Monthly Metrics'!$C:$C,"TKP",'Data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Metrics'!$C:$C,"TKP",'Data - Monthly Metrics'!$D:$D,"Goal - Penetration %")&gt;0,N29&gt;=SUMIFS('Data - Monthly Metrics'!$E:$E,'Data - Monthly Metrics'!$A:$A,$B$4,'Data - Monthly Metrics'!$B:$B,N$8,'Data - Monthly Metrics'!$C:$C,"TKP",'Data - Monthly Metrics'!$D:$D,"Goal - Penetration %"))</formula>
    </cfRule>
    <cfRule type="expression" rank="0" priority="434" equalAverage="0" aboveAverage="0" dxfId="2" stopIfTrue="1" text="" percent="0" bottom="0">
      <formula>AND(ISNUMBER(N29),COUNTIFS('Data - Monthly Metrics'!$A:$A,$B$4,'Data - Monthly Metrics'!$B:$B,N$8,'Data - Monthly Metrics'!$C:$C,"TKP",'Data - Monthly Metrics'!$D:$D,"Goal - Penetration %")&gt;0,N29&gt;=SUMIFS('Data - Monthly Metrics'!$E:$E,'Data - Monthly Metrics'!$A:$A,$B$4,'Data - Monthly Metrics'!$B:$B,N$8,'Data - Monthly Metrics'!$C:$C,"TKP",'Data - Monthly Metrics'!$D:$D,"Goal - Penetration %")-0.05)</formula>
    </cfRule>
    <cfRule type="expression" rank="0" priority="435" equalAverage="0" aboveAverage="0" dxfId="1" stopIfTrue="1" text="" percent="0" bottom="0">
      <formula>AND(ISNUMBER(N29),COUNTIFS('Data - Monthly Metrics'!$A:$A,$B$4,'Data - Monthly Metrics'!$B:$B,N$8,'Data - Monthly Metrics'!$C:$C,"TKP",'Data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Metrics'!$C:$C,"TKP",'Data - Monthly Metrics'!$D:$D,"Goal - Penetration %")&gt;0,O29&gt;=SUMIFS('Data - Monthly Metrics'!$E:$E,'Data - Monthly Metrics'!$A:$A,$B$4,'Data - Monthly Metrics'!$B:$B,O$8,'Data - Monthly Metrics'!$C:$C,"TKP",'Data - Monthly Metrics'!$D:$D,"Goal - Penetration %"))</formula>
    </cfRule>
    <cfRule type="expression" rank="0" priority="437" equalAverage="0" aboveAverage="0" dxfId="2" stopIfTrue="1" text="" percent="0" bottom="0">
      <formula>AND(ISNUMBER(O29),COUNTIFS('Data - Monthly Metrics'!$A:$A,$B$4,'Data - Monthly Metrics'!$B:$B,O$8,'Data - Monthly Metrics'!$C:$C,"TKP",'Data - Monthly Metrics'!$D:$D,"Goal - Penetration %")&gt;0,O29&gt;=SUMIFS('Data - Monthly Metrics'!$E:$E,'Data - Monthly Metrics'!$A:$A,$B$4,'Data - Monthly Metrics'!$B:$B,O$8,'Data - Monthly Metrics'!$C:$C,"TKP",'Data - Monthly Metrics'!$D:$D,"Goal - Penetration %")-0.05)</formula>
    </cfRule>
    <cfRule type="expression" rank="0" priority="438" equalAverage="0" aboveAverage="0" dxfId="1" stopIfTrue="1" text="" percent="0" bottom="0">
      <formula>AND(ISNUMBER(O29),COUNTIFS('Data - Monthly Metrics'!$A:$A,$B$4,'Data - Monthly Metrics'!$B:$B,O$8,'Data - Monthly Metrics'!$C:$C,"TKP",'Data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Metrics'!$C:$C,"TKP",'Data - Monthly Metrics'!$D:$D,"Goal - Penetration %")&gt;0,P29&gt;=SUMIFS('Data - Monthly Metrics'!$E:$E,'Data - Monthly Metrics'!$A:$A,$B$4,'Data - Monthly Metrics'!$B:$B,P$8,'Data - Monthly Metrics'!$C:$C,"TKP",'Data - Monthly Metrics'!$D:$D,"Goal - Penetration %"))</formula>
    </cfRule>
    <cfRule type="expression" rank="0" priority="440" equalAverage="0" aboveAverage="0" dxfId="2" stopIfTrue="1" text="" percent="0" bottom="0">
      <formula>AND(ISNUMBER(P29),COUNTIFS('Data - Monthly Metrics'!$A:$A,$B$4,'Data - Monthly Metrics'!$B:$B,P$8,'Data - Monthly Metrics'!$C:$C,"TKP",'Data - Monthly Metrics'!$D:$D,"Goal - Penetration %")&gt;0,P29&gt;=SUMIFS('Data - Monthly Metrics'!$E:$E,'Data - Monthly Metrics'!$A:$A,$B$4,'Data - Monthly Metrics'!$B:$B,P$8,'Data - Monthly Metrics'!$C:$C,"TKP",'Data - Monthly Metrics'!$D:$D,"Goal - Penetration %")-0.05)</formula>
    </cfRule>
    <cfRule type="expression" rank="0" priority="441" equalAverage="0" aboveAverage="0" dxfId="1" stopIfTrue="1" text="" percent="0" bottom="0">
      <formula>AND(ISNUMBER(P29),COUNTIFS('Data - Monthly Metrics'!$A:$A,$B$4,'Data - Monthly Metrics'!$B:$B,P$8,'Data - Monthly Metrics'!$C:$C,"TKP",'Data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Metrics'!$C:$C,"TKP",'Data - Monthly Metrics'!$D:$D,"Goal - Penetration %")&gt;0,B30&gt;=SUMIFS('Data - Monthly Metrics'!$E:$E,'Data - Monthly Metrics'!$A:$A,$B$4-1,'Data - Monthly Metrics'!$B:$B,B$8,'Data - Monthly Metrics'!$C:$C,"TKP",'Data - Monthly Metrics'!$D:$D,"Goal - Penetration %"))</formula>
    </cfRule>
    <cfRule type="expression" rank="0" priority="443" equalAverage="0" aboveAverage="0" dxfId="2" stopIfTrue="1" text="" percent="0" bottom="0">
      <formula>AND(ISNUMBER(B30),COUNTIFS('Data - Monthly Metrics'!$A:$A,$B$4-1,'Data - Monthly Metrics'!$B:$B,B$8,'Data - Monthly Metrics'!$C:$C,"TKP",'Data - Monthly Metrics'!$D:$D,"Goal - Penetration %")&gt;0,B30&gt;=SUMIFS('Data - Monthly Metrics'!$E:$E,'Data - Monthly Metrics'!$A:$A,$B$4-1,'Data - Monthly Metrics'!$B:$B,B$8,'Data - Monthly Metrics'!$C:$C,"TKP",'Data - Monthly Metrics'!$D:$D,"Goal - Penetration %")-0.05)</formula>
    </cfRule>
    <cfRule type="expression" rank="0" priority="444" equalAverage="0" aboveAverage="0" dxfId="1" stopIfTrue="1" text="" percent="0" bottom="0">
      <formula>AND(ISNUMBER(B30),COUNTIFS('Data - Monthly Metrics'!$A:$A,$B$4-1,'Data - Monthly Metrics'!$B:$B,B$8,'Data - Monthly Metrics'!$C:$C,"TKP",'Data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Metrics'!$C:$C,"TKP",'Data - Monthly Metrics'!$D:$D,"Goal - Penetration %")&gt;0,C30&gt;=SUMIFS('Data - Monthly Metrics'!$E:$E,'Data - Monthly Metrics'!$A:$A,$B$4-1,'Data - Monthly Metrics'!$B:$B,C$8,'Data - Monthly Metrics'!$C:$C,"TKP",'Data - Monthly Metrics'!$D:$D,"Goal - Penetration %"))</formula>
    </cfRule>
    <cfRule type="expression" rank="0" priority="446" equalAverage="0" aboveAverage="0" dxfId="2" stopIfTrue="1" text="" percent="0" bottom="0">
      <formula>AND(ISNUMBER(C30),COUNTIFS('Data - Monthly Metrics'!$A:$A,$B$4-1,'Data - Monthly Metrics'!$B:$B,C$8,'Data - Monthly Metrics'!$C:$C,"TKP",'Data - Monthly Metrics'!$D:$D,"Goal - Penetration %")&gt;0,C30&gt;=SUMIFS('Data - Monthly Metrics'!$E:$E,'Data - Monthly Metrics'!$A:$A,$B$4-1,'Data - Monthly Metrics'!$B:$B,C$8,'Data - Monthly Metrics'!$C:$C,"TKP",'Data - Monthly Metrics'!$D:$D,"Goal - Penetration %")-0.05)</formula>
    </cfRule>
    <cfRule type="expression" rank="0" priority="447" equalAverage="0" aboveAverage="0" dxfId="1" stopIfTrue="1" text="" percent="0" bottom="0">
      <formula>AND(ISNUMBER(C30),COUNTIFS('Data - Monthly Metrics'!$A:$A,$B$4-1,'Data - Monthly Metrics'!$B:$B,C$8,'Data - Monthly Metrics'!$C:$C,"TKP",'Data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Metrics'!$C:$C,"TKP",'Data - Monthly Metrics'!$D:$D,"Goal - Penetration %")&gt;0,D30&gt;=SUMIFS('Data - Monthly Metrics'!$E:$E,'Data - Monthly Metrics'!$A:$A,$B$4-1,'Data - Monthly Metrics'!$B:$B,D$8,'Data - Monthly Metrics'!$C:$C,"TKP",'Data - Monthly Metrics'!$D:$D,"Goal - Penetration %"))</formula>
    </cfRule>
    <cfRule type="expression" rank="0" priority="449" equalAverage="0" aboveAverage="0" dxfId="2" stopIfTrue="1" text="" percent="0" bottom="0">
      <formula>AND(ISNUMBER(D30),COUNTIFS('Data - Monthly Metrics'!$A:$A,$B$4-1,'Data - Monthly Metrics'!$B:$B,D$8,'Data - Monthly Metrics'!$C:$C,"TKP",'Data - Monthly Metrics'!$D:$D,"Goal - Penetration %")&gt;0,D30&gt;=SUMIFS('Data - Monthly Metrics'!$E:$E,'Data - Monthly Metrics'!$A:$A,$B$4-1,'Data - Monthly Metrics'!$B:$B,D$8,'Data - Monthly Metrics'!$C:$C,"TKP",'Data - Monthly Metrics'!$D:$D,"Goal - Penetration %")-0.05)</formula>
    </cfRule>
    <cfRule type="expression" rank="0" priority="450" equalAverage="0" aboveAverage="0" dxfId="1" stopIfTrue="1" text="" percent="0" bottom="0">
      <formula>AND(ISNUMBER(D30),COUNTIFS('Data - Monthly Metrics'!$A:$A,$B$4-1,'Data - Monthly Metrics'!$B:$B,D$8,'Data - Monthly Metrics'!$C:$C,"TKP",'Data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Metrics'!$C:$C,"TKP",'Data - Monthly Metrics'!$D:$D,"Goal - Penetration %")&gt;0,F30&gt;=SUMIFS('Data - Monthly Metrics'!$E:$E,'Data - Monthly Metrics'!$A:$A,$B$4,'Data - Monthly Metrics'!$B:$B,F$8,'Data - Monthly Metrics'!$C:$C,"TKP",'Data - Monthly Metrics'!$D:$D,"Goal - Penetration %"))</formula>
    </cfRule>
    <cfRule type="expression" rank="0" priority="452" equalAverage="0" aboveAverage="0" dxfId="2" stopIfTrue="1" text="" percent="0" bottom="0">
      <formula>AND(ISNUMBER(F30),COUNTIFS('Data - Monthly Metrics'!$A:$A,$B$4,'Data - Monthly Metrics'!$B:$B,F$8,'Data - Monthly Metrics'!$C:$C,"TKP",'Data - Monthly Metrics'!$D:$D,"Goal - Penetration %")&gt;0,F30&gt;=SUMIFS('Data - Monthly Metrics'!$E:$E,'Data - Monthly Metrics'!$A:$A,$B$4,'Data - Monthly Metrics'!$B:$B,F$8,'Data - Monthly Metrics'!$C:$C,"TKP",'Data - Monthly Metrics'!$D:$D,"Goal - Penetration %")-0.05)</formula>
    </cfRule>
    <cfRule type="expression" rank="0" priority="453" equalAverage="0" aboveAverage="0" dxfId="1" stopIfTrue="1" text="" percent="0" bottom="0">
      <formula>AND(ISNUMBER(F30),COUNTIFS('Data - Monthly Metrics'!$A:$A,$B$4,'Data - Monthly Metrics'!$B:$B,F$8,'Data - Monthly Metrics'!$C:$C,"TKP",'Data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Metrics'!$C:$C,"TKP",'Data - Monthly Metrics'!$D:$D,"Goal - Penetration %")&gt;0,G30&gt;=SUMIFS('Data - Monthly Metrics'!$E:$E,'Data - Monthly Metrics'!$A:$A,$B$4,'Data - Monthly Metrics'!$B:$B,G$8,'Data - Monthly Metrics'!$C:$C,"TKP",'Data - Monthly Metrics'!$D:$D,"Goal - Penetration %"))</formula>
    </cfRule>
    <cfRule type="expression" rank="0" priority="455" equalAverage="0" aboveAverage="0" dxfId="2" stopIfTrue="1" text="" percent="0" bottom="0">
      <formula>AND(ISNUMBER(G30),COUNTIFS('Data - Monthly Metrics'!$A:$A,$B$4,'Data - Monthly Metrics'!$B:$B,G$8,'Data - Monthly Metrics'!$C:$C,"TKP",'Data - Monthly Metrics'!$D:$D,"Goal - Penetration %")&gt;0,G30&gt;=SUMIFS('Data - Monthly Metrics'!$E:$E,'Data - Monthly Metrics'!$A:$A,$B$4,'Data - Monthly Metrics'!$B:$B,G$8,'Data - Monthly Metrics'!$C:$C,"TKP",'Data - Monthly Metrics'!$D:$D,"Goal - Penetration %")-0.05)</formula>
    </cfRule>
    <cfRule type="expression" rank="0" priority="456" equalAverage="0" aboveAverage="0" dxfId="1" stopIfTrue="1" text="" percent="0" bottom="0">
      <formula>AND(ISNUMBER(G30),COUNTIFS('Data - Monthly Metrics'!$A:$A,$B$4,'Data - Monthly Metrics'!$B:$B,G$8,'Data - Monthly Metrics'!$C:$C,"TKP",'Data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Metrics'!$C:$C,"TKP",'Data - Monthly Metrics'!$D:$D,"Goal - Penetration %")&gt;0,H30&gt;=SUMIFS('Data - Monthly Metrics'!$E:$E,'Data - Monthly Metrics'!$A:$A,$B$4,'Data - Monthly Metrics'!$B:$B,H$8,'Data - Monthly Metrics'!$C:$C,"TKP",'Data - Monthly Metrics'!$D:$D,"Goal - Penetration %"))</formula>
    </cfRule>
    <cfRule type="expression" rank="0" priority="458" equalAverage="0" aboveAverage="0" dxfId="2" stopIfTrue="1" text="" percent="0" bottom="0">
      <formula>AND(ISNUMBER(H30),COUNTIFS('Data - Monthly Metrics'!$A:$A,$B$4,'Data - Monthly Metrics'!$B:$B,H$8,'Data - Monthly Metrics'!$C:$C,"TKP",'Data - Monthly Metrics'!$D:$D,"Goal - Penetration %")&gt;0,H30&gt;=SUMIFS('Data - Monthly Metrics'!$E:$E,'Data - Monthly Metrics'!$A:$A,$B$4,'Data - Monthly Metrics'!$B:$B,H$8,'Data - Monthly Metrics'!$C:$C,"TKP",'Data - Monthly Metrics'!$D:$D,"Goal - Penetration %")-0.05)</formula>
    </cfRule>
    <cfRule type="expression" rank="0" priority="459" equalAverage="0" aboveAverage="0" dxfId="1" stopIfTrue="1" text="" percent="0" bottom="0">
      <formula>AND(ISNUMBER(H30),COUNTIFS('Data - Monthly Metrics'!$A:$A,$B$4,'Data - Monthly Metrics'!$B:$B,H$8,'Data - Monthly Metrics'!$C:$C,"TKP",'Data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Metrics'!$C:$C,"TKP",'Data - Monthly Metrics'!$D:$D,"Goal - Penetration %")&gt;0,J30&gt;=SUMIFS('Data - Monthly Metrics'!$E:$E,'Data - Monthly Metrics'!$A:$A,$B$4,'Data - Monthly Metrics'!$B:$B,J$8,'Data - Monthly Metrics'!$C:$C,"TKP",'Data - Monthly Metrics'!$D:$D,"Goal - Penetration %"))</formula>
    </cfRule>
    <cfRule type="expression" rank="0" priority="461" equalAverage="0" aboveAverage="0" dxfId="2" stopIfTrue="1" text="" percent="0" bottom="0">
      <formula>AND(ISNUMBER(J30),COUNTIFS('Data - Monthly Metrics'!$A:$A,$B$4,'Data - Monthly Metrics'!$B:$B,J$8,'Data - Monthly Metrics'!$C:$C,"TKP",'Data - Monthly Metrics'!$D:$D,"Goal - Penetration %")&gt;0,J30&gt;=SUMIFS('Data - Monthly Metrics'!$E:$E,'Data - Monthly Metrics'!$A:$A,$B$4,'Data - Monthly Metrics'!$B:$B,J$8,'Data - Monthly Metrics'!$C:$C,"TKP",'Data - Monthly Metrics'!$D:$D,"Goal - Penetration %")-0.05)</formula>
    </cfRule>
    <cfRule type="expression" rank="0" priority="462" equalAverage="0" aboveAverage="0" dxfId="1" stopIfTrue="1" text="" percent="0" bottom="0">
      <formula>AND(ISNUMBER(J30),COUNTIFS('Data - Monthly Metrics'!$A:$A,$B$4,'Data - Monthly Metrics'!$B:$B,J$8,'Data - Monthly Metrics'!$C:$C,"TKP",'Data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Metrics'!$C:$C,"TKP",'Data - Monthly Metrics'!$D:$D,"Goal - Penetration %")&gt;0,K30&gt;=SUMIFS('Data - Monthly Metrics'!$E:$E,'Data - Monthly Metrics'!$A:$A,$B$4,'Data - Monthly Metrics'!$B:$B,K$8,'Data - Monthly Metrics'!$C:$C,"TKP",'Data - Monthly Metrics'!$D:$D,"Goal - Penetration %"))</formula>
    </cfRule>
    <cfRule type="expression" rank="0" priority="464" equalAverage="0" aboveAverage="0" dxfId="2" stopIfTrue="1" text="" percent="0" bottom="0">
      <formula>AND(ISNUMBER(K30),COUNTIFS('Data - Monthly Metrics'!$A:$A,$B$4,'Data - Monthly Metrics'!$B:$B,K$8,'Data - Monthly Metrics'!$C:$C,"TKP",'Data - Monthly Metrics'!$D:$D,"Goal - Penetration %")&gt;0,K30&gt;=SUMIFS('Data - Monthly Metrics'!$E:$E,'Data - Monthly Metrics'!$A:$A,$B$4,'Data - Monthly Metrics'!$B:$B,K$8,'Data - Monthly Metrics'!$C:$C,"TKP",'Data - Monthly Metrics'!$D:$D,"Goal - Penetration %")-0.05)</formula>
    </cfRule>
    <cfRule type="expression" rank="0" priority="465" equalAverage="0" aboveAverage="0" dxfId="1" stopIfTrue="1" text="" percent="0" bottom="0">
      <formula>AND(ISNUMBER(K30),COUNTIFS('Data - Monthly Metrics'!$A:$A,$B$4,'Data - Monthly Metrics'!$B:$B,K$8,'Data - Monthly Metrics'!$C:$C,"TKP",'Data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Metrics'!$C:$C,"TKP",'Data - Monthly Metrics'!$D:$D,"Goal - Penetration %")&gt;0,L30&gt;=SUMIFS('Data - Monthly Metrics'!$E:$E,'Data - Monthly Metrics'!$A:$A,$B$4,'Data - Monthly Metrics'!$B:$B,L$8,'Data - Monthly Metrics'!$C:$C,"TKP",'Data - Monthly Metrics'!$D:$D,"Goal - Penetration %"))</formula>
    </cfRule>
    <cfRule type="expression" rank="0" priority="467" equalAverage="0" aboveAverage="0" dxfId="2" stopIfTrue="1" text="" percent="0" bottom="0">
      <formula>AND(ISNUMBER(L30),COUNTIFS('Data - Monthly Metrics'!$A:$A,$B$4,'Data - Monthly Metrics'!$B:$B,L$8,'Data - Monthly Metrics'!$C:$C,"TKP",'Data - Monthly Metrics'!$D:$D,"Goal - Penetration %")&gt;0,L30&gt;=SUMIFS('Data - Monthly Metrics'!$E:$E,'Data - Monthly Metrics'!$A:$A,$B$4,'Data - Monthly Metrics'!$B:$B,L$8,'Data - Monthly Metrics'!$C:$C,"TKP",'Data - Monthly Metrics'!$D:$D,"Goal - Penetration %")-0.05)</formula>
    </cfRule>
    <cfRule type="expression" rank="0" priority="468" equalAverage="0" aboveAverage="0" dxfId="1" stopIfTrue="1" text="" percent="0" bottom="0">
      <formula>AND(ISNUMBER(L30),COUNTIFS('Data - Monthly Metrics'!$A:$A,$B$4,'Data - Monthly Metrics'!$B:$B,L$8,'Data - Monthly Metrics'!$C:$C,"TKP",'Data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Metrics'!$C:$C,"TKP",'Data - Monthly Metrics'!$D:$D,"Goal - Penetration %")&gt;0,N30&gt;=SUMIFS('Data - Monthly Metrics'!$E:$E,'Data - Monthly Metrics'!$A:$A,$B$4,'Data - Monthly Metrics'!$B:$B,N$8,'Data - Monthly Metrics'!$C:$C,"TKP",'Data - Monthly Metrics'!$D:$D,"Goal - Penetration %"))</formula>
    </cfRule>
    <cfRule type="expression" rank="0" priority="470" equalAverage="0" aboveAverage="0" dxfId="2" stopIfTrue="1" text="" percent="0" bottom="0">
      <formula>AND(ISNUMBER(N30),COUNTIFS('Data - Monthly Metrics'!$A:$A,$B$4,'Data - Monthly Metrics'!$B:$B,N$8,'Data - Monthly Metrics'!$C:$C,"TKP",'Data - Monthly Metrics'!$D:$D,"Goal - Penetration %")&gt;0,N30&gt;=SUMIFS('Data - Monthly Metrics'!$E:$E,'Data - Monthly Metrics'!$A:$A,$B$4,'Data - Monthly Metrics'!$B:$B,N$8,'Data - Monthly Metrics'!$C:$C,"TKP",'Data - Monthly Metrics'!$D:$D,"Goal - Penetration %")-0.05)</formula>
    </cfRule>
    <cfRule type="expression" rank="0" priority="471" equalAverage="0" aboveAverage="0" dxfId="1" stopIfTrue="1" text="" percent="0" bottom="0">
      <formula>AND(ISNUMBER(N30),COUNTIFS('Data - Monthly Metrics'!$A:$A,$B$4,'Data - Monthly Metrics'!$B:$B,N$8,'Data - Monthly Metrics'!$C:$C,"TKP",'Data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Metrics'!$C:$C,"TKP",'Data - Monthly Metrics'!$D:$D,"Goal - Penetration %")&gt;0,O30&gt;=SUMIFS('Data - Monthly Metrics'!$E:$E,'Data - Monthly Metrics'!$A:$A,$B$4,'Data - Monthly Metrics'!$B:$B,O$8,'Data - Monthly Metrics'!$C:$C,"TKP",'Data - Monthly Metrics'!$D:$D,"Goal - Penetration %"))</formula>
    </cfRule>
    <cfRule type="expression" rank="0" priority="473" equalAverage="0" aboveAverage="0" dxfId="2" stopIfTrue="1" text="" percent="0" bottom="0">
      <formula>AND(ISNUMBER(O30),COUNTIFS('Data - Monthly Metrics'!$A:$A,$B$4,'Data - Monthly Metrics'!$B:$B,O$8,'Data - Monthly Metrics'!$C:$C,"TKP",'Data - Monthly Metrics'!$D:$D,"Goal - Penetration %")&gt;0,O30&gt;=SUMIFS('Data - Monthly Metrics'!$E:$E,'Data - Monthly Metrics'!$A:$A,$B$4,'Data - Monthly Metrics'!$B:$B,O$8,'Data - Monthly Metrics'!$C:$C,"TKP",'Data - Monthly Metrics'!$D:$D,"Goal - Penetration %")-0.05)</formula>
    </cfRule>
    <cfRule type="expression" rank="0" priority="474" equalAverage="0" aboveAverage="0" dxfId="1" stopIfTrue="1" text="" percent="0" bottom="0">
      <formula>AND(ISNUMBER(O30),COUNTIFS('Data - Monthly Metrics'!$A:$A,$B$4,'Data - Monthly Metrics'!$B:$B,O$8,'Data - Monthly Metrics'!$C:$C,"TKP",'Data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Metrics'!$C:$C,"TKP",'Data - Monthly Metrics'!$D:$D,"Goal - Penetration %")&gt;0,P30&gt;=SUMIFS('Data - Monthly Metrics'!$E:$E,'Data - Monthly Metrics'!$A:$A,$B$4,'Data - Monthly Metrics'!$B:$B,P$8,'Data - Monthly Metrics'!$C:$C,"TKP",'Data - Monthly Metrics'!$D:$D,"Goal - Penetration %"))</formula>
    </cfRule>
    <cfRule type="expression" rank="0" priority="476" equalAverage="0" aboveAverage="0" dxfId="2" stopIfTrue="1" text="" percent="0" bottom="0">
      <formula>AND(ISNUMBER(P30),COUNTIFS('Data - Monthly Metrics'!$A:$A,$B$4,'Data - Monthly Metrics'!$B:$B,P$8,'Data - Monthly Metrics'!$C:$C,"TKP",'Data - Monthly Metrics'!$D:$D,"Goal - Penetration %")&gt;0,P30&gt;=SUMIFS('Data - Monthly Metrics'!$E:$E,'Data - Monthly Metrics'!$A:$A,$B$4,'Data - Monthly Metrics'!$B:$B,P$8,'Data - Monthly Metrics'!$C:$C,"TKP",'Data - Monthly Metrics'!$D:$D,"Goal - Penetration %")-0.05)</formula>
    </cfRule>
    <cfRule type="expression" rank="0" priority="477" equalAverage="0" aboveAverage="0" dxfId="1" stopIfTrue="1" text="" percent="0" bottom="0">
      <formula>AND(ISNUMBER(P30),COUNTIFS('Data - Monthly Metrics'!$A:$A,$B$4,'Data - Monthly Metrics'!$B:$B,P$8,'Data - Monthly Metrics'!$C:$C,"TKP",'Data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Metrics'!$C:$C,"TKP",'Data - Monthly Metrics'!$D:$D,"Goal - Penetration %")&gt;0,B31&gt;=SUMIFS('Data - Monthly Metrics'!$E:$E,'Data - Monthly Metrics'!$A:$A,$B$4-1,'Data - Monthly Metrics'!$B:$B,B$8,'Data - Monthly Metrics'!$C:$C,"TKP",'Data - Monthly Metrics'!$D:$D,"Goal - Penetration %"))</formula>
    </cfRule>
    <cfRule type="expression" rank="0" priority="479" equalAverage="0" aboveAverage="0" dxfId="2" stopIfTrue="1" text="" percent="0" bottom="0">
      <formula>AND(ISNUMBER(B31),COUNTIFS('Data - Monthly Metrics'!$A:$A,$B$4-1,'Data - Monthly Metrics'!$B:$B,B$8,'Data - Monthly Metrics'!$C:$C,"TKP",'Data - Monthly Metrics'!$D:$D,"Goal - Penetration %")&gt;0,B31&gt;=SUMIFS('Data - Monthly Metrics'!$E:$E,'Data - Monthly Metrics'!$A:$A,$B$4-1,'Data - Monthly Metrics'!$B:$B,B$8,'Data - Monthly Metrics'!$C:$C,"TKP",'Data - Monthly Metrics'!$D:$D,"Goal - Penetration %")-0.05)</formula>
    </cfRule>
    <cfRule type="expression" rank="0" priority="480" equalAverage="0" aboveAverage="0" dxfId="1" stopIfTrue="1" text="" percent="0" bottom="0">
      <formula>AND(ISNUMBER(B31),COUNTIFS('Data - Monthly Metrics'!$A:$A,$B$4-1,'Data - Monthly Metrics'!$B:$B,B$8,'Data - Monthly Metrics'!$C:$C,"TKP",'Data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Metrics'!$C:$C,"TKP",'Data - Monthly Metrics'!$D:$D,"Goal - Penetration %")&gt;0,C31&gt;=SUMIFS('Data - Monthly Metrics'!$E:$E,'Data - Monthly Metrics'!$A:$A,$B$4-1,'Data - Monthly Metrics'!$B:$B,C$8,'Data - Monthly Metrics'!$C:$C,"TKP",'Data - Monthly Metrics'!$D:$D,"Goal - Penetration %"))</formula>
    </cfRule>
    <cfRule type="expression" rank="0" priority="482" equalAverage="0" aboveAverage="0" dxfId="2" stopIfTrue="1" text="" percent="0" bottom="0">
      <formula>AND(ISNUMBER(C31),COUNTIFS('Data - Monthly Metrics'!$A:$A,$B$4-1,'Data - Monthly Metrics'!$B:$B,C$8,'Data - Monthly Metrics'!$C:$C,"TKP",'Data - Monthly Metrics'!$D:$D,"Goal - Penetration %")&gt;0,C31&gt;=SUMIFS('Data - Monthly Metrics'!$E:$E,'Data - Monthly Metrics'!$A:$A,$B$4-1,'Data - Monthly Metrics'!$B:$B,C$8,'Data - Monthly Metrics'!$C:$C,"TKP",'Data - Monthly Metrics'!$D:$D,"Goal - Penetration %")-0.05)</formula>
    </cfRule>
    <cfRule type="expression" rank="0" priority="483" equalAverage="0" aboveAverage="0" dxfId="1" stopIfTrue="1" text="" percent="0" bottom="0">
      <formula>AND(ISNUMBER(C31),COUNTIFS('Data - Monthly Metrics'!$A:$A,$B$4-1,'Data - Monthly Metrics'!$B:$B,C$8,'Data - Monthly Metrics'!$C:$C,"TKP",'Data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Metrics'!$C:$C,"TKP",'Data - Monthly Metrics'!$D:$D,"Goal - Penetration %")&gt;0,D31&gt;=SUMIFS('Data - Monthly Metrics'!$E:$E,'Data - Monthly Metrics'!$A:$A,$B$4-1,'Data - Monthly Metrics'!$B:$B,D$8,'Data - Monthly Metrics'!$C:$C,"TKP",'Data - Monthly Metrics'!$D:$D,"Goal - Penetration %"))</formula>
    </cfRule>
    <cfRule type="expression" rank="0" priority="485" equalAverage="0" aboveAverage="0" dxfId="2" stopIfTrue="1" text="" percent="0" bottom="0">
      <formula>AND(ISNUMBER(D31),COUNTIFS('Data - Monthly Metrics'!$A:$A,$B$4-1,'Data - Monthly Metrics'!$B:$B,D$8,'Data - Monthly Metrics'!$C:$C,"TKP",'Data - Monthly Metrics'!$D:$D,"Goal - Penetration %")&gt;0,D31&gt;=SUMIFS('Data - Monthly Metrics'!$E:$E,'Data - Monthly Metrics'!$A:$A,$B$4-1,'Data - Monthly Metrics'!$B:$B,D$8,'Data - Monthly Metrics'!$C:$C,"TKP",'Data - Monthly Metrics'!$D:$D,"Goal - Penetration %")-0.05)</formula>
    </cfRule>
    <cfRule type="expression" rank="0" priority="486" equalAverage="0" aboveAverage="0" dxfId="1" stopIfTrue="1" text="" percent="0" bottom="0">
      <formula>AND(ISNUMBER(D31),COUNTIFS('Data - Monthly Metrics'!$A:$A,$B$4-1,'Data - Monthly Metrics'!$B:$B,D$8,'Data - Monthly Metrics'!$C:$C,"TKP",'Data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Metrics'!$C:$C,"TKP",'Data - Monthly Metrics'!$D:$D,"Goal - Penetration %")&gt;0,F31&gt;=SUMIFS('Data - Monthly Metrics'!$E:$E,'Data - Monthly Metrics'!$A:$A,$B$4,'Data - Monthly Metrics'!$B:$B,F$8,'Data - Monthly Metrics'!$C:$C,"TKP",'Data - Monthly Metrics'!$D:$D,"Goal - Penetration %"))</formula>
    </cfRule>
    <cfRule type="expression" rank="0" priority="488" equalAverage="0" aboveAverage="0" dxfId="2" stopIfTrue="1" text="" percent="0" bottom="0">
      <formula>AND(ISNUMBER(F31),COUNTIFS('Data - Monthly Metrics'!$A:$A,$B$4,'Data - Monthly Metrics'!$B:$B,F$8,'Data - Monthly Metrics'!$C:$C,"TKP",'Data - Monthly Metrics'!$D:$D,"Goal - Penetration %")&gt;0,F31&gt;=SUMIFS('Data - Monthly Metrics'!$E:$E,'Data - Monthly Metrics'!$A:$A,$B$4,'Data - Monthly Metrics'!$B:$B,F$8,'Data - Monthly Metrics'!$C:$C,"TKP",'Data - Monthly Metrics'!$D:$D,"Goal - Penetration %")-0.05)</formula>
    </cfRule>
    <cfRule type="expression" rank="0" priority="489" equalAverage="0" aboveAverage="0" dxfId="1" stopIfTrue="1" text="" percent="0" bottom="0">
      <formula>AND(ISNUMBER(F31),COUNTIFS('Data - Monthly Metrics'!$A:$A,$B$4,'Data - Monthly Metrics'!$B:$B,F$8,'Data - Monthly Metrics'!$C:$C,"TKP",'Data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Metrics'!$C:$C,"TKP",'Data - Monthly Metrics'!$D:$D,"Goal - Penetration %")&gt;0,G31&gt;=SUMIFS('Data - Monthly Metrics'!$E:$E,'Data - Monthly Metrics'!$A:$A,$B$4,'Data - Monthly Metrics'!$B:$B,G$8,'Data - Monthly Metrics'!$C:$C,"TKP",'Data - Monthly Metrics'!$D:$D,"Goal - Penetration %"))</formula>
    </cfRule>
    <cfRule type="expression" rank="0" priority="491" equalAverage="0" aboveAverage="0" dxfId="2" stopIfTrue="1" text="" percent="0" bottom="0">
      <formula>AND(ISNUMBER(G31),COUNTIFS('Data - Monthly Metrics'!$A:$A,$B$4,'Data - Monthly Metrics'!$B:$B,G$8,'Data - Monthly Metrics'!$C:$C,"TKP",'Data - Monthly Metrics'!$D:$D,"Goal - Penetration %")&gt;0,G31&gt;=SUMIFS('Data - Monthly Metrics'!$E:$E,'Data - Monthly Metrics'!$A:$A,$B$4,'Data - Monthly Metrics'!$B:$B,G$8,'Data - Monthly Metrics'!$C:$C,"TKP",'Data - Monthly Metrics'!$D:$D,"Goal - Penetration %")-0.05)</formula>
    </cfRule>
    <cfRule type="expression" rank="0" priority="492" equalAverage="0" aboveAverage="0" dxfId="1" stopIfTrue="1" text="" percent="0" bottom="0">
      <formula>AND(ISNUMBER(G31),COUNTIFS('Data - Monthly Metrics'!$A:$A,$B$4,'Data - Monthly Metrics'!$B:$B,G$8,'Data - Monthly Metrics'!$C:$C,"TKP",'Data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Metrics'!$C:$C,"TKP",'Data - Monthly Metrics'!$D:$D,"Goal - Penetration %")&gt;0,H31&gt;=SUMIFS('Data - Monthly Metrics'!$E:$E,'Data - Monthly Metrics'!$A:$A,$B$4,'Data - Monthly Metrics'!$B:$B,H$8,'Data - Monthly Metrics'!$C:$C,"TKP",'Data - Monthly Metrics'!$D:$D,"Goal - Penetration %"))</formula>
    </cfRule>
    <cfRule type="expression" rank="0" priority="494" equalAverage="0" aboveAverage="0" dxfId="2" stopIfTrue="1" text="" percent="0" bottom="0">
      <formula>AND(ISNUMBER(H31),COUNTIFS('Data - Monthly Metrics'!$A:$A,$B$4,'Data - Monthly Metrics'!$B:$B,H$8,'Data - Monthly Metrics'!$C:$C,"TKP",'Data - Monthly Metrics'!$D:$D,"Goal - Penetration %")&gt;0,H31&gt;=SUMIFS('Data - Monthly Metrics'!$E:$E,'Data - Monthly Metrics'!$A:$A,$B$4,'Data - Monthly Metrics'!$B:$B,H$8,'Data - Monthly Metrics'!$C:$C,"TKP",'Data - Monthly Metrics'!$D:$D,"Goal - Penetration %")-0.05)</formula>
    </cfRule>
    <cfRule type="expression" rank="0" priority="495" equalAverage="0" aboveAverage="0" dxfId="1" stopIfTrue="1" text="" percent="0" bottom="0">
      <formula>AND(ISNUMBER(H31),COUNTIFS('Data - Monthly Metrics'!$A:$A,$B$4,'Data - Monthly Metrics'!$B:$B,H$8,'Data - Monthly Metrics'!$C:$C,"TKP",'Data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Metrics'!$C:$C,"TKP",'Data - Monthly Metrics'!$D:$D,"Goal - Penetration %")&gt;0,J31&gt;=SUMIFS('Data - Monthly Metrics'!$E:$E,'Data - Monthly Metrics'!$A:$A,$B$4,'Data - Monthly Metrics'!$B:$B,J$8,'Data - Monthly Metrics'!$C:$C,"TKP",'Data - Monthly Metrics'!$D:$D,"Goal - Penetration %"))</formula>
    </cfRule>
    <cfRule type="expression" rank="0" priority="497" equalAverage="0" aboveAverage="0" dxfId="2" stopIfTrue="1" text="" percent="0" bottom="0">
      <formula>AND(ISNUMBER(J31),COUNTIFS('Data - Monthly Metrics'!$A:$A,$B$4,'Data - Monthly Metrics'!$B:$B,J$8,'Data - Monthly Metrics'!$C:$C,"TKP",'Data - Monthly Metrics'!$D:$D,"Goal - Penetration %")&gt;0,J31&gt;=SUMIFS('Data - Monthly Metrics'!$E:$E,'Data - Monthly Metrics'!$A:$A,$B$4,'Data - Monthly Metrics'!$B:$B,J$8,'Data - Monthly Metrics'!$C:$C,"TKP",'Data - Monthly Metrics'!$D:$D,"Goal - Penetration %")-0.05)</formula>
    </cfRule>
    <cfRule type="expression" rank="0" priority="498" equalAverage="0" aboveAverage="0" dxfId="1" stopIfTrue="1" text="" percent="0" bottom="0">
      <formula>AND(ISNUMBER(J31),COUNTIFS('Data - Monthly Metrics'!$A:$A,$B$4,'Data - Monthly Metrics'!$B:$B,J$8,'Data - Monthly Metrics'!$C:$C,"TKP",'Data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Metrics'!$C:$C,"TKP",'Data - Monthly Metrics'!$D:$D,"Goal - Penetration %")&gt;0,K31&gt;=SUMIFS('Data - Monthly Metrics'!$E:$E,'Data - Monthly Metrics'!$A:$A,$B$4,'Data - Monthly Metrics'!$B:$B,K$8,'Data - Monthly Metrics'!$C:$C,"TKP",'Data - Monthly Metrics'!$D:$D,"Goal - Penetration %"))</formula>
    </cfRule>
    <cfRule type="expression" rank="0" priority="500" equalAverage="0" aboveAverage="0" dxfId="2" stopIfTrue="1" text="" percent="0" bottom="0">
      <formula>AND(ISNUMBER(K31),COUNTIFS('Data - Monthly Metrics'!$A:$A,$B$4,'Data - Monthly Metrics'!$B:$B,K$8,'Data - Monthly Metrics'!$C:$C,"TKP",'Data - Monthly Metrics'!$D:$D,"Goal - Penetration %")&gt;0,K31&gt;=SUMIFS('Data - Monthly Metrics'!$E:$E,'Data - Monthly Metrics'!$A:$A,$B$4,'Data - Monthly Metrics'!$B:$B,K$8,'Data - Monthly Metrics'!$C:$C,"TKP",'Data - Monthly Metrics'!$D:$D,"Goal - Penetration %")-0.05)</formula>
    </cfRule>
    <cfRule type="expression" rank="0" priority="501" equalAverage="0" aboveAverage="0" dxfId="1" stopIfTrue="1" text="" percent="0" bottom="0">
      <formula>AND(ISNUMBER(K31),COUNTIFS('Data - Monthly Metrics'!$A:$A,$B$4,'Data - Monthly Metrics'!$B:$B,K$8,'Data - Monthly Metrics'!$C:$C,"TKP",'Data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Metrics'!$C:$C,"TKP",'Data - Monthly Metrics'!$D:$D,"Goal - Penetration %")&gt;0,L31&gt;=SUMIFS('Data - Monthly Metrics'!$E:$E,'Data - Monthly Metrics'!$A:$A,$B$4,'Data - Monthly Metrics'!$B:$B,L$8,'Data - Monthly Metrics'!$C:$C,"TKP",'Data - Monthly Metrics'!$D:$D,"Goal - Penetration %"))</formula>
    </cfRule>
    <cfRule type="expression" rank="0" priority="503" equalAverage="0" aboveAverage="0" dxfId="2" stopIfTrue="1" text="" percent="0" bottom="0">
      <formula>AND(ISNUMBER(L31),COUNTIFS('Data - Monthly Metrics'!$A:$A,$B$4,'Data - Monthly Metrics'!$B:$B,L$8,'Data - Monthly Metrics'!$C:$C,"TKP",'Data - Monthly Metrics'!$D:$D,"Goal - Penetration %")&gt;0,L31&gt;=SUMIFS('Data - Monthly Metrics'!$E:$E,'Data - Monthly Metrics'!$A:$A,$B$4,'Data - Monthly Metrics'!$B:$B,L$8,'Data - Monthly Metrics'!$C:$C,"TKP",'Data - Monthly Metrics'!$D:$D,"Goal - Penetration %")-0.05)</formula>
    </cfRule>
    <cfRule type="expression" rank="0" priority="504" equalAverage="0" aboveAverage="0" dxfId="1" stopIfTrue="1" text="" percent="0" bottom="0">
      <formula>AND(ISNUMBER(L31),COUNTIFS('Data - Monthly Metrics'!$A:$A,$B$4,'Data - Monthly Metrics'!$B:$B,L$8,'Data - Monthly Metrics'!$C:$C,"TKP",'Data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Metrics'!$C:$C,"TKP",'Data - Monthly Metrics'!$D:$D,"Goal - Penetration %")&gt;0,N31&gt;=SUMIFS('Data - Monthly Metrics'!$E:$E,'Data - Monthly Metrics'!$A:$A,$B$4,'Data - Monthly Metrics'!$B:$B,N$8,'Data - Monthly Metrics'!$C:$C,"TKP",'Data - Monthly Metrics'!$D:$D,"Goal - Penetration %"))</formula>
    </cfRule>
    <cfRule type="expression" rank="0" priority="506" equalAverage="0" aboveAverage="0" dxfId="2" stopIfTrue="1" text="" percent="0" bottom="0">
      <formula>AND(ISNUMBER(N31),COUNTIFS('Data - Monthly Metrics'!$A:$A,$B$4,'Data - Monthly Metrics'!$B:$B,N$8,'Data - Monthly Metrics'!$C:$C,"TKP",'Data - Monthly Metrics'!$D:$D,"Goal - Penetration %")&gt;0,N31&gt;=SUMIFS('Data - Monthly Metrics'!$E:$E,'Data - Monthly Metrics'!$A:$A,$B$4,'Data - Monthly Metrics'!$B:$B,N$8,'Data - Monthly Metrics'!$C:$C,"TKP",'Data - Monthly Metrics'!$D:$D,"Goal - Penetration %")-0.05)</formula>
    </cfRule>
    <cfRule type="expression" rank="0" priority="507" equalAverage="0" aboveAverage="0" dxfId="1" stopIfTrue="1" text="" percent="0" bottom="0">
      <formula>AND(ISNUMBER(N31),COUNTIFS('Data - Monthly Metrics'!$A:$A,$B$4,'Data - Monthly Metrics'!$B:$B,N$8,'Data - Monthly Metrics'!$C:$C,"TKP",'Data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Metrics'!$C:$C,"TKP",'Data - Monthly Metrics'!$D:$D,"Goal - Penetration %")&gt;0,O31&gt;=SUMIFS('Data - Monthly Metrics'!$E:$E,'Data - Monthly Metrics'!$A:$A,$B$4,'Data - Monthly Metrics'!$B:$B,O$8,'Data - Monthly Metrics'!$C:$C,"TKP",'Data - Monthly Metrics'!$D:$D,"Goal - Penetration %"))</formula>
    </cfRule>
    <cfRule type="expression" rank="0" priority="509" equalAverage="0" aboveAverage="0" dxfId="2" stopIfTrue="1" text="" percent="0" bottom="0">
      <formula>AND(ISNUMBER(O31),COUNTIFS('Data - Monthly Metrics'!$A:$A,$B$4,'Data - Monthly Metrics'!$B:$B,O$8,'Data - Monthly Metrics'!$C:$C,"TKP",'Data - Monthly Metrics'!$D:$D,"Goal - Penetration %")&gt;0,O31&gt;=SUMIFS('Data - Monthly Metrics'!$E:$E,'Data - Monthly Metrics'!$A:$A,$B$4,'Data - Monthly Metrics'!$B:$B,O$8,'Data - Monthly Metrics'!$C:$C,"TKP",'Data - Monthly Metrics'!$D:$D,"Goal - Penetration %")-0.05)</formula>
    </cfRule>
    <cfRule type="expression" rank="0" priority="510" equalAverage="0" aboveAverage="0" dxfId="1" stopIfTrue="1" text="" percent="0" bottom="0">
      <formula>AND(ISNUMBER(O31),COUNTIFS('Data - Monthly Metrics'!$A:$A,$B$4,'Data - Monthly Metrics'!$B:$B,O$8,'Data - Monthly Metrics'!$C:$C,"TKP",'Data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Metrics'!$C:$C,"TKP",'Data - Monthly Metrics'!$D:$D,"Goal - Penetration %")&gt;0,P31&gt;=SUMIFS('Data - Monthly Metrics'!$E:$E,'Data - Monthly Metrics'!$A:$A,$B$4,'Data - Monthly Metrics'!$B:$B,P$8,'Data - Monthly Metrics'!$C:$C,"TKP",'Data - Monthly Metrics'!$D:$D,"Goal - Penetration %"))</formula>
    </cfRule>
    <cfRule type="expression" rank="0" priority="512" equalAverage="0" aboveAverage="0" dxfId="2" stopIfTrue="1" text="" percent="0" bottom="0">
      <formula>AND(ISNUMBER(P31),COUNTIFS('Data - Monthly Metrics'!$A:$A,$B$4,'Data - Monthly Metrics'!$B:$B,P$8,'Data - Monthly Metrics'!$C:$C,"TKP",'Data - Monthly Metrics'!$D:$D,"Goal - Penetration %")&gt;0,P31&gt;=SUMIFS('Data - Monthly Metrics'!$E:$E,'Data - Monthly Metrics'!$A:$A,$B$4,'Data - Monthly Metrics'!$B:$B,P$8,'Data - Monthly Metrics'!$C:$C,"TKP",'Data - Monthly Metrics'!$D:$D,"Goal - Penetration %")-0.05)</formula>
    </cfRule>
    <cfRule type="expression" rank="0" priority="513" equalAverage="0" aboveAverage="0" dxfId="1" stopIfTrue="1" text="" percent="0" bottom="0">
      <formula>AND(ISNUMBER(P31),COUNTIFS('Data - Monthly Metrics'!$A:$A,$B$4,'Data - Monthly Metrics'!$B:$B,P$8,'Data - Monthly Metrics'!$C:$C,"TKP",'Data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Southeast</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Metrics'!C:C,"Southeast",'Data - Monthly Metrics'!D:D,"New Sales Revenue - BOB/Promo ($)")=0,"-",SUMIFS('Data - Monthly Metrics'!E:E,'Data - Monthly Metrics'!A:A,$B$4-1,'Data - Monthly Metrics'!B:B,"Oct",'Data - Monthly Metrics'!C:C,"Southeast",'Data - Monthly Metrics'!D:D,"New Sales Revenue - BOB/Promo ($)"))</f>
        <v/>
      </c>
      <c r="C10" s="91">
        <f>IF(COUNTIFS('Data - Monthly Metrics'!A:A,$B$4-1,'Data - Monthly Metrics'!B:B,"Nov",'Data - Monthly Metrics'!C:C,"Southeast",'Data - Monthly Metrics'!D:D,"New Sales Revenue - BOB/Promo ($)")=0,"-",SUMIFS('Data - Monthly Metrics'!E:E,'Data - Monthly Metrics'!A:A,$B$4-1,'Data - Monthly Metrics'!B:B,"Nov",'Data - Monthly Metrics'!C:C,"Southeast",'Data - Monthly Metrics'!D:D,"New Sales Revenue - BOB/Promo ($)"))</f>
        <v/>
      </c>
      <c r="D10" s="91">
        <f>IF(COUNTIFS('Data - Monthly Metrics'!A:A,$B$4-1,'Data - Monthly Metrics'!B:B,"Dec",'Data - Monthly Metrics'!C:C,"Southeast",'Data - Monthly Metrics'!D:D,"New Sales Revenue - BOB/Promo ($)")=0,"-",SUMIFS('Data - Monthly Metrics'!E:E,'Data - Monthly Metrics'!A:A,$B$4-1,'Data - Monthly Metrics'!B:B,"Dec",'Data - Monthly Metrics'!C:C,"Southeast",'Data - Monthly Metrics'!D:D,"New Sales Revenue - BOB/Promo ($)"))</f>
        <v/>
      </c>
      <c r="E10" s="101">
        <f>SUM(B10,C10,D10)</f>
        <v/>
      </c>
      <c r="F10" s="91">
        <f>IF(COUNTIFS('Data - Monthly Metrics'!A:A,$B$4,'Data - Monthly Metrics'!B:B,"Jan",'Data - Monthly Metrics'!C:C,"Southeast",'Data - Monthly Metrics'!D:D,"New Sales Revenue - BOB/Promo ($)")=0,"-",SUMIFS('Data - Monthly Metrics'!E:E,'Data - Monthly Metrics'!A:A,$B$4,'Data - Monthly Metrics'!B:B,"Jan",'Data - Monthly Metrics'!C:C,"Southeast",'Data - Monthly Metrics'!D:D,"New Sales Revenue - BOB/Promo ($)"))</f>
        <v/>
      </c>
      <c r="G10" s="91">
        <f>IF(COUNTIFS('Data - Monthly Metrics'!A:A,$B$4,'Data - Monthly Metrics'!B:B,"Feb",'Data - Monthly Metrics'!C:C,"Southeast",'Data - Monthly Metrics'!D:D,"New Sales Revenue - BOB/Promo ($)")=0,"-",SUMIFS('Data - Monthly Metrics'!E:E,'Data - Monthly Metrics'!A:A,$B$4,'Data - Monthly Metrics'!B:B,"Feb",'Data - Monthly Metrics'!C:C,"Southeast",'Data - Monthly Metrics'!D:D,"New Sales Revenue - BOB/Promo ($)"))</f>
        <v/>
      </c>
      <c r="H10" s="91">
        <f>IF(COUNTIFS('Data - Monthly Metrics'!A:A,$B$4,'Data - Monthly Metrics'!B:B,"Mar",'Data - Monthly Metrics'!C:C,"Southeast",'Data - Monthly Metrics'!D:D,"New Sales Revenue - BOB/Promo ($)")=0,"-",SUMIFS('Data - Monthly Metrics'!E:E,'Data - Monthly Metrics'!A:A,$B$4,'Data - Monthly Metrics'!B:B,"Mar",'Data - Monthly Metrics'!C:C,"Southeast",'Data - Monthly Metrics'!D:D,"New Sales Revenue - BOB/Promo ($)"))</f>
        <v/>
      </c>
      <c r="I10" s="101">
        <f>SUM(F10,G10,H10)</f>
        <v/>
      </c>
      <c r="J10" s="91">
        <f>IF(COUNTIFS('Data - Monthly Metrics'!A:A,$B$4,'Data - Monthly Metrics'!B:B,"Apr",'Data - Monthly Metrics'!C:C,"Southeast",'Data - Monthly Metrics'!D:D,"New Sales Revenue - BOB/Promo ($)")=0,"-",SUMIFS('Data - Monthly Metrics'!E:E,'Data - Monthly Metrics'!A:A,$B$4,'Data - Monthly Metrics'!B:B,"Apr",'Data - Monthly Metrics'!C:C,"Southeast",'Data - Monthly Metrics'!D:D,"New Sales Revenue - BOB/Promo ($)"))</f>
        <v/>
      </c>
      <c r="K10" s="91">
        <f>IF(COUNTIFS('Data - Monthly Metrics'!A:A,$B$4,'Data - Monthly Metrics'!B:B,"May",'Data - Monthly Metrics'!C:C,"Southeast",'Data - Monthly Metrics'!D:D,"New Sales Revenue - BOB/Promo ($)")=0,"-",SUMIFS('Data - Monthly Metrics'!E:E,'Data - Monthly Metrics'!A:A,$B$4,'Data - Monthly Metrics'!B:B,"May",'Data - Monthly Metrics'!C:C,"Southeast",'Data - Monthly Metrics'!D:D,"New Sales Revenue - BOB/Promo ($)"))</f>
        <v/>
      </c>
      <c r="L10" s="91">
        <f>IF(COUNTIFS('Data - Monthly Metrics'!A:A,$B$4,'Data - Monthly Metrics'!B:B,"Jun",'Data - Monthly Metrics'!C:C,"Southeast",'Data - Monthly Metrics'!D:D,"New Sales Revenue - BOB/Promo ($)")=0,"-",SUMIFS('Data - Monthly Metrics'!E:E,'Data - Monthly Metrics'!A:A,$B$4,'Data - Monthly Metrics'!B:B,"Jun",'Data - Monthly Metrics'!C:C,"Southeast",'Data - Monthly Metrics'!D:D,"New Sales Revenue - BOB/Promo ($)"))</f>
        <v/>
      </c>
      <c r="M10" s="101">
        <f>SUM(J10,K10,L10)</f>
        <v/>
      </c>
      <c r="N10" s="91">
        <f>IF(COUNTIFS('Data - Monthly Metrics'!A:A,$B$4,'Data - Monthly Metrics'!B:B,"Jul",'Data - Monthly Metrics'!C:C,"Southeast",'Data - Monthly Metrics'!D:D,"New Sales Revenue - BOB/Promo ($)")=0,"-",SUMIFS('Data - Monthly Metrics'!E:E,'Data - Monthly Metrics'!A:A,$B$4,'Data - Monthly Metrics'!B:B,"Jul",'Data - Monthly Metrics'!C:C,"Southeast",'Data - Monthly Metrics'!D:D,"New Sales Revenue - BOB/Promo ($)"))</f>
        <v/>
      </c>
      <c r="O10" s="91">
        <f>IF(COUNTIFS('Data - Monthly Metrics'!A:A,$B$4,'Data - Monthly Metrics'!B:B,"Aug",'Data - Monthly Metrics'!C:C,"Southeast",'Data - Monthly Metrics'!D:D,"New Sales Revenue - BOB/Promo ($)")=0,"-",SUMIFS('Data - Monthly Metrics'!E:E,'Data - Monthly Metrics'!A:A,$B$4,'Data - Monthly Metrics'!B:B,"Aug",'Data - Monthly Metrics'!C:C,"Southeast",'Data - Monthly Metrics'!D:D,"New Sales Revenue - BOB/Promo ($)"))</f>
        <v/>
      </c>
      <c r="P10" s="91">
        <f>IF(COUNTIFS('Data - Monthly Metrics'!A:A,$B$4,'Data - Monthly Metrics'!B:B,"Sep",'Data - Monthly Metrics'!C:C,"Southeast",'Data - Monthly Metrics'!D:D,"New Sales Revenue - BOB/Promo ($)")=0,"-",SUMIFS('Data - Monthly Metrics'!E:E,'Data - Monthly Metrics'!A:A,$B$4,'Data - Monthly Metrics'!B:B,"Sep",'Data - Monthly Metrics'!C:C,"Southeast",'Data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Metrics'!C:C,"Southeast",'Data - Monthly Metrics'!D:D,"New Members - BOB (#)")=0,"-",SUMIFS('Data - Monthly Metrics'!E:E,'Data - Monthly Metrics'!A:A,$B$4-1,'Data - Monthly Metrics'!B:B,"Oct",'Data - Monthly Metrics'!C:C,"Southeast",'Data - Monthly Metrics'!D:D,"New Members - BOB (#)"))</f>
        <v/>
      </c>
      <c r="C11" s="93">
        <f>IF(COUNTIFS('Data - Monthly Metrics'!A:A,$B$4-1,'Data - Monthly Metrics'!B:B,"Nov",'Data - Monthly Metrics'!C:C,"Southeast",'Data - Monthly Metrics'!D:D,"New Members - BOB (#)")=0,"-",SUMIFS('Data - Monthly Metrics'!E:E,'Data - Monthly Metrics'!A:A,$B$4-1,'Data - Monthly Metrics'!B:B,"Nov",'Data - Monthly Metrics'!C:C,"Southeast",'Data - Monthly Metrics'!D:D,"New Members - BOB (#)"))</f>
        <v/>
      </c>
      <c r="D11" s="93">
        <f>IF(COUNTIFS('Data - Monthly Metrics'!A:A,$B$4-1,'Data - Monthly Metrics'!B:B,"Dec",'Data - Monthly Metrics'!C:C,"Southeast",'Data - Monthly Metrics'!D:D,"New Members - BOB (#)")=0,"-",SUMIFS('Data - Monthly Metrics'!E:E,'Data - Monthly Metrics'!A:A,$B$4-1,'Data - Monthly Metrics'!B:B,"Dec",'Data - Monthly Metrics'!C:C,"Southeast",'Data - Monthly Metrics'!D:D,"New Members - BOB (#)"))</f>
        <v/>
      </c>
      <c r="E11" s="103">
        <f>SUM(B11,C11,D11)</f>
        <v/>
      </c>
      <c r="F11" s="93">
        <f>IF(COUNTIFS('Data - Monthly Metrics'!A:A,$B$4,'Data - Monthly Metrics'!B:B,"Jan",'Data - Monthly Metrics'!C:C,"Southeast",'Data - Monthly Metrics'!D:D,"New Members - BOB (#)")=0,"-",SUMIFS('Data - Monthly Metrics'!E:E,'Data - Monthly Metrics'!A:A,$B$4,'Data - Monthly Metrics'!B:B,"Jan",'Data - Monthly Metrics'!C:C,"Southeast",'Data - Monthly Metrics'!D:D,"New Members - BOB (#)"))</f>
        <v/>
      </c>
      <c r="G11" s="93">
        <f>IF(COUNTIFS('Data - Monthly Metrics'!A:A,$B$4,'Data - Monthly Metrics'!B:B,"Feb",'Data - Monthly Metrics'!C:C,"Southeast",'Data - Monthly Metrics'!D:D,"New Members - BOB (#)")=0,"-",SUMIFS('Data - Monthly Metrics'!E:E,'Data - Monthly Metrics'!A:A,$B$4,'Data - Monthly Metrics'!B:B,"Feb",'Data - Monthly Metrics'!C:C,"Southeast",'Data - Monthly Metrics'!D:D,"New Members - BOB (#)"))</f>
        <v/>
      </c>
      <c r="H11" s="93">
        <f>IF(COUNTIFS('Data - Monthly Metrics'!A:A,$B$4,'Data - Monthly Metrics'!B:B,"Mar",'Data - Monthly Metrics'!C:C,"Southeast",'Data - Monthly Metrics'!D:D,"New Members - BOB (#)")=0,"-",SUMIFS('Data - Monthly Metrics'!E:E,'Data - Monthly Metrics'!A:A,$B$4,'Data - Monthly Metrics'!B:B,"Mar",'Data - Monthly Metrics'!C:C,"Southeast",'Data - Monthly Metrics'!D:D,"New Members - BOB (#)"))</f>
        <v/>
      </c>
      <c r="I11" s="103">
        <f>SUM(F11,G11,H11)</f>
        <v/>
      </c>
      <c r="J11" s="93">
        <f>IF(COUNTIFS('Data - Monthly Metrics'!A:A,$B$4,'Data - Monthly Metrics'!B:B,"Apr",'Data - Monthly Metrics'!C:C,"Southeast",'Data - Monthly Metrics'!D:D,"New Members - BOB (#)")=0,"-",SUMIFS('Data - Monthly Metrics'!E:E,'Data - Monthly Metrics'!A:A,$B$4,'Data - Monthly Metrics'!B:B,"Apr",'Data - Monthly Metrics'!C:C,"Southeast",'Data - Monthly Metrics'!D:D,"New Members - BOB (#)"))</f>
        <v/>
      </c>
      <c r="K11" s="93">
        <f>IF(COUNTIFS('Data - Monthly Metrics'!A:A,$B$4,'Data - Monthly Metrics'!B:B,"May",'Data - Monthly Metrics'!C:C,"Southeast",'Data - Monthly Metrics'!D:D,"New Members - BOB (#)")=0,"-",SUMIFS('Data - Monthly Metrics'!E:E,'Data - Monthly Metrics'!A:A,$B$4,'Data - Monthly Metrics'!B:B,"May",'Data - Monthly Metrics'!C:C,"Southeast",'Data - Monthly Metrics'!D:D,"New Members - BOB (#)"))</f>
        <v/>
      </c>
      <c r="L11" s="93">
        <f>IF(COUNTIFS('Data - Monthly Metrics'!A:A,$B$4,'Data - Monthly Metrics'!B:B,"Jun",'Data - Monthly Metrics'!C:C,"Southeast",'Data - Monthly Metrics'!D:D,"New Members - BOB (#)")=0,"-",SUMIFS('Data - Monthly Metrics'!E:E,'Data - Monthly Metrics'!A:A,$B$4,'Data - Monthly Metrics'!B:B,"Jun",'Data - Monthly Metrics'!C:C,"Southeast",'Data - Monthly Metrics'!D:D,"New Members - BOB (#)"))</f>
        <v/>
      </c>
      <c r="M11" s="103">
        <f>SUM(J11,K11,L11)</f>
        <v/>
      </c>
      <c r="N11" s="93">
        <f>IF(COUNTIFS('Data - Monthly Metrics'!A:A,$B$4,'Data - Monthly Metrics'!B:B,"Jul",'Data - Monthly Metrics'!C:C,"Southeast",'Data - Monthly Metrics'!D:D,"New Members - BOB (#)")=0,"-",SUMIFS('Data - Monthly Metrics'!E:E,'Data - Monthly Metrics'!A:A,$B$4,'Data - Monthly Metrics'!B:B,"Jul",'Data - Monthly Metrics'!C:C,"Southeast",'Data - Monthly Metrics'!D:D,"New Members - BOB (#)"))</f>
        <v/>
      </c>
      <c r="O11" s="93">
        <f>IF(COUNTIFS('Data - Monthly Metrics'!A:A,$B$4,'Data - Monthly Metrics'!B:B,"Aug",'Data - Monthly Metrics'!C:C,"Southeast",'Data - Monthly Metrics'!D:D,"New Members - BOB (#)")=0,"-",SUMIFS('Data - Monthly Metrics'!E:E,'Data - Monthly Metrics'!A:A,$B$4,'Data - Monthly Metrics'!B:B,"Aug",'Data - Monthly Metrics'!C:C,"Southeast",'Data - Monthly Metrics'!D:D,"New Members - BOB (#)"))</f>
        <v/>
      </c>
      <c r="P11" s="93">
        <f>IF(COUNTIFS('Data - Monthly Metrics'!A:A,$B$4,'Data - Monthly Metrics'!B:B,"Sep",'Data - Monthly Metrics'!C:C,"Southeast",'Data - Monthly Metrics'!D:D,"New Members - BOB (#)")=0,"-",SUMIFS('Data - Monthly Metrics'!E:E,'Data - Monthly Metrics'!A:A,$B$4,'Data - Monthly Metrics'!B:B,"Sep",'Data - Monthly Metrics'!C:C,"Southeast",'Data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Metrics'!C:C,"Southeast",'Data - Monthly Metrics'!D:D,"New Sales - Comped ($)")=0,"-",SUMIFS('Data - Monthly Metrics'!E:E,'Data - Monthly Metrics'!A:A,$B$4-1,'Data - Monthly Metrics'!B:B,"Oct",'Data - Monthly Metrics'!C:C,"Southeast",'Data - Monthly Metrics'!D:D,"New Sales - Comped ($)"))</f>
        <v/>
      </c>
      <c r="C12" s="91">
        <f>IF(COUNTIFS('Data - Monthly Metrics'!A:A,$B$4-1,'Data - Monthly Metrics'!B:B,"Nov",'Data - Monthly Metrics'!C:C,"Southeast",'Data - Monthly Metrics'!D:D,"New Sales - Comped ($)")=0,"-",SUMIFS('Data - Monthly Metrics'!E:E,'Data - Monthly Metrics'!A:A,$B$4-1,'Data - Monthly Metrics'!B:B,"Nov",'Data - Monthly Metrics'!C:C,"Southeast",'Data - Monthly Metrics'!D:D,"New Sales - Comped ($)"))</f>
        <v/>
      </c>
      <c r="D12" s="91">
        <f>IF(COUNTIFS('Data - Monthly Metrics'!A:A,$B$4-1,'Data - Monthly Metrics'!B:B,"Dec",'Data - Monthly Metrics'!C:C,"Southeast",'Data - Monthly Metrics'!D:D,"New Sales - Comped ($)")=0,"-",SUMIFS('Data - Monthly Metrics'!E:E,'Data - Monthly Metrics'!A:A,$B$4-1,'Data - Monthly Metrics'!B:B,"Dec",'Data - Monthly Metrics'!C:C,"Southeast",'Data - Monthly Metrics'!D:D,"New Sales - Comped ($)"))</f>
        <v/>
      </c>
      <c r="E12" s="101">
        <f>SUM(B12,C12,D12)</f>
        <v/>
      </c>
      <c r="F12" s="91">
        <f>IF(COUNTIFS('Data - Monthly Metrics'!A:A,$B$4,'Data - Monthly Metrics'!B:B,"Jan",'Data - Monthly Metrics'!C:C,"Southeast",'Data - Monthly Metrics'!D:D,"New Sales - Comped ($)")=0,"-",SUMIFS('Data - Monthly Metrics'!E:E,'Data - Monthly Metrics'!A:A,$B$4,'Data - Monthly Metrics'!B:B,"Jan",'Data - Monthly Metrics'!C:C,"Southeast",'Data - Monthly Metrics'!D:D,"New Sales - Comped ($)"))</f>
        <v/>
      </c>
      <c r="G12" s="91">
        <f>IF(COUNTIFS('Data - Monthly Metrics'!A:A,$B$4,'Data - Monthly Metrics'!B:B,"Feb",'Data - Monthly Metrics'!C:C,"Southeast",'Data - Monthly Metrics'!D:D,"New Sales - Comped ($)")=0,"-",SUMIFS('Data - Monthly Metrics'!E:E,'Data - Monthly Metrics'!A:A,$B$4,'Data - Monthly Metrics'!B:B,"Feb",'Data - Monthly Metrics'!C:C,"Southeast",'Data - Monthly Metrics'!D:D,"New Sales - Comped ($)"))</f>
        <v/>
      </c>
      <c r="H12" s="91">
        <f>IF(COUNTIFS('Data - Monthly Metrics'!A:A,$B$4,'Data - Monthly Metrics'!B:B,"Mar",'Data - Monthly Metrics'!C:C,"Southeast",'Data - Monthly Metrics'!D:D,"New Sales - Comped ($)")=0,"-",SUMIFS('Data - Monthly Metrics'!E:E,'Data - Monthly Metrics'!A:A,$B$4,'Data - Monthly Metrics'!B:B,"Mar",'Data - Monthly Metrics'!C:C,"Southeast",'Data - Monthly Metrics'!D:D,"New Sales - Comped ($)"))</f>
        <v/>
      </c>
      <c r="I12" s="101">
        <f>SUM(F12,G12,H12)</f>
        <v/>
      </c>
      <c r="J12" s="91">
        <f>IF(COUNTIFS('Data - Monthly Metrics'!A:A,$B$4,'Data - Monthly Metrics'!B:B,"Apr",'Data - Monthly Metrics'!C:C,"Southeast",'Data - Monthly Metrics'!D:D,"New Sales - Comped ($)")=0,"-",SUMIFS('Data - Monthly Metrics'!E:E,'Data - Monthly Metrics'!A:A,$B$4,'Data - Monthly Metrics'!B:B,"Apr",'Data - Monthly Metrics'!C:C,"Southeast",'Data - Monthly Metrics'!D:D,"New Sales - Comped ($)"))</f>
        <v/>
      </c>
      <c r="K12" s="91">
        <f>IF(COUNTIFS('Data - Monthly Metrics'!A:A,$B$4,'Data - Monthly Metrics'!B:B,"May",'Data - Monthly Metrics'!C:C,"Southeast",'Data - Monthly Metrics'!D:D,"New Sales - Comped ($)")=0,"-",SUMIFS('Data - Monthly Metrics'!E:E,'Data - Monthly Metrics'!A:A,$B$4,'Data - Monthly Metrics'!B:B,"May",'Data - Monthly Metrics'!C:C,"Southeast",'Data - Monthly Metrics'!D:D,"New Sales - Comped ($)"))</f>
        <v/>
      </c>
      <c r="L12" s="91">
        <f>IF(COUNTIFS('Data - Monthly Metrics'!A:A,$B$4,'Data - Monthly Metrics'!B:B,"Jun",'Data - Monthly Metrics'!C:C,"Southeast",'Data - Monthly Metrics'!D:D,"New Sales - Comped ($)")=0,"-",SUMIFS('Data - Monthly Metrics'!E:E,'Data - Monthly Metrics'!A:A,$B$4,'Data - Monthly Metrics'!B:B,"Jun",'Data - Monthly Metrics'!C:C,"Southeast",'Data - Monthly Metrics'!D:D,"New Sales - Comped ($)"))</f>
        <v/>
      </c>
      <c r="M12" s="101">
        <f>SUM(J12,K12,L12)</f>
        <v/>
      </c>
      <c r="N12" s="91">
        <f>IF(COUNTIFS('Data - Monthly Metrics'!A:A,$B$4,'Data - Monthly Metrics'!B:B,"Jul",'Data - Monthly Metrics'!C:C,"Southeast",'Data - Monthly Metrics'!D:D,"New Sales - Comped ($)")=0,"-",SUMIFS('Data - Monthly Metrics'!E:E,'Data - Monthly Metrics'!A:A,$B$4,'Data - Monthly Metrics'!B:B,"Jul",'Data - Monthly Metrics'!C:C,"Southeast",'Data - Monthly Metrics'!D:D,"New Sales - Comped ($)"))</f>
        <v/>
      </c>
      <c r="O12" s="91">
        <f>IF(COUNTIFS('Data - Monthly Metrics'!A:A,$B$4,'Data - Monthly Metrics'!B:B,"Aug",'Data - Monthly Metrics'!C:C,"Southeast",'Data - Monthly Metrics'!D:D,"New Sales - Comped ($)")=0,"-",SUMIFS('Data - Monthly Metrics'!E:E,'Data - Monthly Metrics'!A:A,$B$4,'Data - Monthly Metrics'!B:B,"Aug",'Data - Monthly Metrics'!C:C,"Southeast",'Data - Monthly Metrics'!D:D,"New Sales - Comped ($)"))</f>
        <v/>
      </c>
      <c r="P12" s="91">
        <f>IF(COUNTIFS('Data - Monthly Metrics'!A:A,$B$4,'Data - Monthly Metrics'!B:B,"Sep",'Data - Monthly Metrics'!C:C,"Southeast",'Data - Monthly Metrics'!D:D,"New Sales - Comped ($)")=0,"-",SUMIFS('Data - Monthly Metrics'!E:E,'Data - Monthly Metrics'!A:A,$B$4,'Data - Monthly Metrics'!B:B,"Sep",'Data - Monthly Metrics'!C:C,"Southeast",'Data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Metrics'!C:C,"Southeast",'Data - Monthly Metrics'!D:D,"Revenue Up for Renewal - Target ($)")+SUMIFS('Data - Monthly Metrics'!E:E,'Data - Monthly Metrics'!A:A,$B$4-1,'Data - Monthly Metrics'!B:B,"Oct",'Data - Monthly Metrics'!C:C,"Southeast",'Data - Monthly Metrics'!D:D,"Revenue Up for Renewal - Non-Target ($)")</f>
        <v/>
      </c>
      <c r="C22" s="110">
        <f>SUMIFS('Data - Monthly Metrics'!E:E,'Data - Monthly Metrics'!A:A,$B$4-1,'Data - Monthly Metrics'!B:B,"Nov",'Data - Monthly Metrics'!C:C,"Southeast",'Data - Monthly Metrics'!D:D,"Revenue Up for Renewal - Target ($)")+SUMIFS('Data - Monthly Metrics'!E:E,'Data - Monthly Metrics'!A:A,$B$4-1,'Data - Monthly Metrics'!B:B,"Nov",'Data - Monthly Metrics'!C:C,"Southeast",'Data - Monthly Metrics'!D:D,"Revenue Up for Renewal - Non-Target ($)")</f>
        <v/>
      </c>
      <c r="D22" s="110">
        <f>SUMIFS('Data - Monthly Metrics'!E:E,'Data - Monthly Metrics'!A:A,$B$4-1,'Data - Monthly Metrics'!B:B,"Dec",'Data - Monthly Metrics'!C:C,"Southeast",'Data - Monthly Metrics'!D:D,"Revenue Up for Renewal - Target ($)")+SUMIFS('Data - Monthly Metrics'!E:E,'Data - Monthly Metrics'!A:A,$B$4-1,'Data - Monthly Metrics'!B:B,"Dec",'Data - Monthly Metrics'!C:C,"Southeast",'Data - Monthly Metrics'!D:D,"Revenue Up for Renewal - Non-Target ($)")</f>
        <v/>
      </c>
      <c r="E22" s="111">
        <f>SUM(B22,C22,D22)</f>
        <v/>
      </c>
      <c r="F22" s="110">
        <f>SUMIFS('Data - Monthly Metrics'!E:E,'Data - Monthly Metrics'!A:A,$B$4,'Data - Monthly Metrics'!B:B,"Jan",'Data - Monthly Metrics'!C:C,"Southeast",'Data - Monthly Metrics'!D:D,"Revenue Up for Renewal - Target ($)")+SUMIFS('Data - Monthly Metrics'!E:E,'Data - Monthly Metrics'!A:A,$B$4,'Data - Monthly Metrics'!B:B,"Jan",'Data - Monthly Metrics'!C:C,"Southeast",'Data - Monthly Metrics'!D:D,"Revenue Up for Renewal - Non-Target ($)")</f>
        <v/>
      </c>
      <c r="G22" s="110">
        <f>SUMIFS('Data - Monthly Metrics'!E:E,'Data - Monthly Metrics'!A:A,$B$4,'Data - Monthly Metrics'!B:B,"Feb",'Data - Monthly Metrics'!C:C,"Southeast",'Data - Monthly Metrics'!D:D,"Revenue Up for Renewal - Target ($)")+SUMIFS('Data - Monthly Metrics'!E:E,'Data - Monthly Metrics'!A:A,$B$4,'Data - Monthly Metrics'!B:B,"Feb",'Data - Monthly Metrics'!C:C,"Southeast",'Data - Monthly Metrics'!D:D,"Revenue Up for Renewal - Non-Target ($)")</f>
        <v/>
      </c>
      <c r="H22" s="110">
        <f>SUMIFS('Data - Monthly Metrics'!E:E,'Data - Monthly Metrics'!A:A,$B$4,'Data - Monthly Metrics'!B:B,"Mar",'Data - Monthly Metrics'!C:C,"Southeast",'Data - Monthly Metrics'!D:D,"Revenue Up for Renewal - Target ($)")+SUMIFS('Data - Monthly Metrics'!E:E,'Data - Monthly Metrics'!A:A,$B$4,'Data - Monthly Metrics'!B:B,"Mar",'Data - Monthly Metrics'!C:C,"Southeast",'Data - Monthly Metrics'!D:D,"Revenue Up for Renewal - Non-Target ($)")</f>
        <v/>
      </c>
      <c r="I22" s="111">
        <f>SUM(F22,G22,H22)</f>
        <v/>
      </c>
      <c r="J22" s="110">
        <f>SUMIFS('Data - Monthly Metrics'!E:E,'Data - Monthly Metrics'!A:A,$B$4,'Data - Monthly Metrics'!B:B,"Apr",'Data - Monthly Metrics'!C:C,"Southeast",'Data - Monthly Metrics'!D:D,"Revenue Up for Renewal - Target ($)")+SUMIFS('Data - Monthly Metrics'!E:E,'Data - Monthly Metrics'!A:A,$B$4,'Data - Monthly Metrics'!B:B,"Apr",'Data - Monthly Metrics'!C:C,"Southeast",'Data - Monthly Metrics'!D:D,"Revenue Up for Renewal - Non-Target ($)")</f>
        <v/>
      </c>
      <c r="K22" s="110">
        <f>SUMIFS('Data - Monthly Metrics'!E:E,'Data - Monthly Metrics'!A:A,$B$4,'Data - Monthly Metrics'!B:B,"May",'Data - Monthly Metrics'!C:C,"Southeast",'Data - Monthly Metrics'!D:D,"Revenue Up for Renewal - Target ($)")+SUMIFS('Data - Monthly Metrics'!E:E,'Data - Monthly Metrics'!A:A,$B$4,'Data - Monthly Metrics'!B:B,"May",'Data - Monthly Metrics'!C:C,"Southeast",'Data - Monthly Metrics'!D:D,"Revenue Up for Renewal - Non-Target ($)")</f>
        <v/>
      </c>
      <c r="L22" s="110">
        <f>SUMIFS('Data - Monthly Metrics'!E:E,'Data - Monthly Metrics'!A:A,$B$4,'Data - Monthly Metrics'!B:B,"Jun",'Data - Monthly Metrics'!C:C,"Southeast",'Data - Monthly Metrics'!D:D,"Revenue Up for Renewal - Target ($)")+SUMIFS('Data - Monthly Metrics'!E:E,'Data - Monthly Metrics'!A:A,$B$4,'Data - Monthly Metrics'!B:B,"Jun",'Data - Monthly Metrics'!C:C,"Southeast",'Data - Monthly Metrics'!D:D,"Revenue Up for Renewal - Non-Target ($)")</f>
        <v/>
      </c>
      <c r="M22" s="111">
        <f>SUM(J22,K22,L22)</f>
        <v/>
      </c>
      <c r="N22" s="110">
        <f>SUMIFS('Data - Monthly Metrics'!E:E,'Data - Monthly Metrics'!A:A,$B$4,'Data - Monthly Metrics'!B:B,"Jul",'Data - Monthly Metrics'!C:C,"Southeast",'Data - Monthly Metrics'!D:D,"Revenue Up for Renewal - Target ($)")+SUMIFS('Data - Monthly Metrics'!E:E,'Data - Monthly Metrics'!A:A,$B$4,'Data - Monthly Metrics'!B:B,"Jul",'Data - Monthly Metrics'!C:C,"Southeast",'Data - Monthly Metrics'!D:D,"Revenue Up for Renewal - Non-Target ($)")</f>
        <v/>
      </c>
      <c r="O22" s="110">
        <f>SUMIFS('Data - Monthly Metrics'!E:E,'Data - Monthly Metrics'!A:A,$B$4,'Data - Monthly Metrics'!B:B,"Aug",'Data - Monthly Metrics'!C:C,"Southeast",'Data - Monthly Metrics'!D:D,"Revenue Up for Renewal - Target ($)")+SUMIFS('Data - Monthly Metrics'!E:E,'Data - Monthly Metrics'!A:A,$B$4,'Data - Monthly Metrics'!B:B,"Aug",'Data - Monthly Metrics'!C:C,"Southeast",'Data - Monthly Metrics'!D:D,"Revenue Up for Renewal - Non-Target ($)")</f>
        <v/>
      </c>
      <c r="P22" s="110">
        <f>SUMIFS('Data - Monthly Metrics'!E:E,'Data - Monthly Metrics'!A:A,$B$4,'Data - Monthly Metrics'!B:B,"Sep",'Data - Monthly Metrics'!C:C,"Southeast",'Data - Monthly Metrics'!D:D,"Revenue Up for Renewal - Target ($)")+SUMIFS('Data - Monthly Metrics'!E:E,'Data - Monthly Metrics'!A:A,$B$4,'Data - Monthly Metrics'!B:B,"Sep",'Data - Monthly Metrics'!C:C,"Southeast",'Data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Metrics'!C:C,"Southeast",'Data - Monthly Metrics'!D:D,"Revenue Retained - Target ($)")+SUMIFS('Data - Monthly Metrics'!E:E,'Data - Monthly Metrics'!A:A,$B$4-1,'Data - Monthly Metrics'!B:B,"Oct",'Data - Monthly Metrics'!C:C,"Southeast",'Data - Monthly Metrics'!D:D,"Revenue Retained - Non-Target ($)")</f>
        <v/>
      </c>
      <c r="C23" s="112">
        <f>SUMIFS('Data - Monthly Metrics'!E:E,'Data - Monthly Metrics'!A:A,$B$4-1,'Data - Monthly Metrics'!B:B,"Nov",'Data - Monthly Metrics'!C:C,"Southeast",'Data - Monthly Metrics'!D:D,"Revenue Retained - Target ($)")+SUMIFS('Data - Monthly Metrics'!E:E,'Data - Monthly Metrics'!A:A,$B$4-1,'Data - Monthly Metrics'!B:B,"Nov",'Data - Monthly Metrics'!C:C,"Southeast",'Data - Monthly Metrics'!D:D,"Revenue Retained - Non-Target ($)")</f>
        <v/>
      </c>
      <c r="D23" s="112">
        <f>SUMIFS('Data - Monthly Metrics'!E:E,'Data - Monthly Metrics'!A:A,$B$4-1,'Data - Monthly Metrics'!B:B,"Dec",'Data - Monthly Metrics'!C:C,"Southeast",'Data - Monthly Metrics'!D:D,"Revenue Retained - Target ($)")+SUMIFS('Data - Monthly Metrics'!E:E,'Data - Monthly Metrics'!A:A,$B$4-1,'Data - Monthly Metrics'!B:B,"Dec",'Data - Monthly Metrics'!C:C,"Southeast",'Data - Monthly Metrics'!D:D,"Revenue Retained - Non-Target ($)")</f>
        <v/>
      </c>
      <c r="E23" s="111">
        <f>SUM(B23,C23,D23)</f>
        <v/>
      </c>
      <c r="F23" s="112">
        <f>SUMIFS('Data - Monthly Metrics'!E:E,'Data - Monthly Metrics'!A:A,$B$4,'Data - Monthly Metrics'!B:B,"Jan",'Data - Monthly Metrics'!C:C,"Southeast",'Data - Monthly Metrics'!D:D,"Revenue Retained - Target ($)")+SUMIFS('Data - Monthly Metrics'!E:E,'Data - Monthly Metrics'!A:A,$B$4,'Data - Monthly Metrics'!B:B,"Jan",'Data - Monthly Metrics'!C:C,"Southeast",'Data - Monthly Metrics'!D:D,"Revenue Retained - Non-Target ($)")</f>
        <v/>
      </c>
      <c r="G23" s="112">
        <f>SUMIFS('Data - Monthly Metrics'!E:E,'Data - Monthly Metrics'!A:A,$B$4,'Data - Monthly Metrics'!B:B,"Feb",'Data - Monthly Metrics'!C:C,"Southeast",'Data - Monthly Metrics'!D:D,"Revenue Retained - Target ($)")+SUMIFS('Data - Monthly Metrics'!E:E,'Data - Monthly Metrics'!A:A,$B$4,'Data - Monthly Metrics'!B:B,"Feb",'Data - Monthly Metrics'!C:C,"Southeast",'Data - Monthly Metrics'!D:D,"Revenue Retained - Non-Target ($)")</f>
        <v/>
      </c>
      <c r="H23" s="112">
        <f>SUMIFS('Data - Monthly Metrics'!E:E,'Data - Monthly Metrics'!A:A,$B$4,'Data - Monthly Metrics'!B:B,"Mar",'Data - Monthly Metrics'!C:C,"Southeast",'Data - Monthly Metrics'!D:D,"Revenue Retained - Target ($)")+SUMIFS('Data - Monthly Metrics'!E:E,'Data - Monthly Metrics'!A:A,$B$4,'Data - Monthly Metrics'!B:B,"Mar",'Data - Monthly Metrics'!C:C,"Southeast",'Data - Monthly Metrics'!D:D,"Revenue Retained - Non-Target ($)")</f>
        <v/>
      </c>
      <c r="I23" s="111">
        <f>SUM(F23,G23,H23)</f>
        <v/>
      </c>
      <c r="J23" s="112">
        <f>SUMIFS('Data - Monthly Metrics'!E:E,'Data - Monthly Metrics'!A:A,$B$4,'Data - Monthly Metrics'!B:B,"Apr",'Data - Monthly Metrics'!C:C,"Southeast",'Data - Monthly Metrics'!D:D,"Revenue Retained - Target ($)")+SUMIFS('Data - Monthly Metrics'!E:E,'Data - Monthly Metrics'!A:A,$B$4,'Data - Monthly Metrics'!B:B,"Apr",'Data - Monthly Metrics'!C:C,"Southeast",'Data - Monthly Metrics'!D:D,"Revenue Retained - Non-Target ($)")</f>
        <v/>
      </c>
      <c r="K23" s="112">
        <f>SUMIFS('Data - Monthly Metrics'!E:E,'Data - Monthly Metrics'!A:A,$B$4,'Data - Monthly Metrics'!B:B,"May",'Data - Monthly Metrics'!C:C,"Southeast",'Data - Monthly Metrics'!D:D,"Revenue Retained - Target ($)")+SUMIFS('Data - Monthly Metrics'!E:E,'Data - Monthly Metrics'!A:A,$B$4,'Data - Monthly Metrics'!B:B,"May",'Data - Monthly Metrics'!C:C,"Southeast",'Data - Monthly Metrics'!D:D,"Revenue Retained - Non-Target ($)")</f>
        <v/>
      </c>
      <c r="L23" s="112">
        <f>SUMIFS('Data - Monthly Metrics'!E:E,'Data - Monthly Metrics'!A:A,$B$4,'Data - Monthly Metrics'!B:B,"Jun",'Data - Monthly Metrics'!C:C,"Southeast",'Data - Monthly Metrics'!D:D,"Revenue Retained - Target ($)")+SUMIFS('Data - Monthly Metrics'!E:E,'Data - Monthly Metrics'!A:A,$B$4,'Data - Monthly Metrics'!B:B,"Jun",'Data - Monthly Metrics'!C:C,"Southeast",'Data - Monthly Metrics'!D:D,"Revenue Retained - Non-Target ($)")</f>
        <v/>
      </c>
      <c r="M23" s="111">
        <f>SUM(J23,K23,L23)</f>
        <v/>
      </c>
      <c r="N23" s="112">
        <f>SUMIFS('Data - Monthly Metrics'!E:E,'Data - Monthly Metrics'!A:A,$B$4,'Data - Monthly Metrics'!B:B,"Jul",'Data - Monthly Metrics'!C:C,"Southeast",'Data - Monthly Metrics'!D:D,"Revenue Retained - Target ($)")+SUMIFS('Data - Monthly Metrics'!E:E,'Data - Monthly Metrics'!A:A,$B$4,'Data - Monthly Metrics'!B:B,"Jul",'Data - Monthly Metrics'!C:C,"Southeast",'Data - Monthly Metrics'!D:D,"Revenue Retained - Non-Target ($)")</f>
        <v/>
      </c>
      <c r="O23" s="112">
        <f>SUMIFS('Data - Monthly Metrics'!E:E,'Data - Monthly Metrics'!A:A,$B$4,'Data - Monthly Metrics'!B:B,"Aug",'Data - Monthly Metrics'!C:C,"Southeast",'Data - Monthly Metrics'!D:D,"Revenue Retained - Target ($)")+SUMIFS('Data - Monthly Metrics'!E:E,'Data - Monthly Metrics'!A:A,$B$4,'Data - Monthly Metrics'!B:B,"Aug",'Data - Monthly Metrics'!C:C,"Southeast",'Data - Monthly Metrics'!D:D,"Revenue Retained - Non-Target ($)")</f>
        <v/>
      </c>
      <c r="P23" s="112">
        <f>SUMIFS('Data - Monthly Metrics'!E:E,'Data - Monthly Metrics'!A:A,$B$4,'Data - Monthly Metrics'!B:B,"Sep",'Data - Monthly Metrics'!C:C,"Southeast",'Data - Monthly Metrics'!D:D,"Revenue Retained - Target ($)")+SUMIFS('Data - Monthly Metrics'!E:E,'Data - Monthly Metrics'!A:A,$B$4,'Data - Monthly Metrics'!B:B,"Sep",'Data - Monthly Metrics'!C:C,"Southeast",'Data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Metrics'!C:C,"Southeast",'Data - Monthly Metrics'!D:D,"Retention - Comped ($)")</f>
        <v/>
      </c>
      <c r="C24" s="112">
        <f>SUMIFS('Data - Monthly Metrics'!E:E,'Data - Monthly Metrics'!A:A,$B$4-1,'Data - Monthly Metrics'!B:B,"Nov",'Data - Monthly Metrics'!C:C,"Southeast",'Data - Monthly Metrics'!D:D,"Retention - Comped ($)")</f>
        <v/>
      </c>
      <c r="D24" s="112">
        <f>SUMIFS('Data - Monthly Metrics'!E:E,'Data - Monthly Metrics'!A:A,$B$4-1,'Data - Monthly Metrics'!B:B,"Dec",'Data - Monthly Metrics'!C:C,"Southeast",'Data - Monthly Metrics'!D:D,"Retention - Comped ($)")</f>
        <v/>
      </c>
      <c r="E24" s="111">
        <f>SUM(B24,C24,D24)</f>
        <v/>
      </c>
      <c r="F24" s="112">
        <f>SUMIFS('Data - Monthly Metrics'!E:E,'Data - Monthly Metrics'!A:A,$B$4,'Data - Monthly Metrics'!B:B,"Jan",'Data - Monthly Metrics'!C:C,"Southeast",'Data - Monthly Metrics'!D:D,"Retention - Comped ($)")</f>
        <v/>
      </c>
      <c r="G24" s="112">
        <f>SUMIFS('Data - Monthly Metrics'!E:E,'Data - Monthly Metrics'!A:A,$B$4,'Data - Monthly Metrics'!B:B,"Feb",'Data - Monthly Metrics'!C:C,"Southeast",'Data - Monthly Metrics'!D:D,"Retention - Comped ($)")</f>
        <v/>
      </c>
      <c r="H24" s="112">
        <f>SUMIFS('Data - Monthly Metrics'!E:E,'Data - Monthly Metrics'!A:A,$B$4,'Data - Monthly Metrics'!B:B,"Mar",'Data - Monthly Metrics'!C:C,"Southeast",'Data - Monthly Metrics'!D:D,"Retention - Comped ($)")</f>
        <v/>
      </c>
      <c r="I24" s="111">
        <f>SUM(F24,G24,H24)</f>
        <v/>
      </c>
      <c r="J24" s="112">
        <f>SUMIFS('Data - Monthly Metrics'!E:E,'Data - Monthly Metrics'!A:A,$B$4,'Data - Monthly Metrics'!B:B,"Apr",'Data - Monthly Metrics'!C:C,"Southeast",'Data - Monthly Metrics'!D:D,"Retention - Comped ($)")</f>
        <v/>
      </c>
      <c r="K24" s="112">
        <f>SUMIFS('Data - Monthly Metrics'!E:E,'Data - Monthly Metrics'!A:A,$B$4,'Data - Monthly Metrics'!B:B,"May",'Data - Monthly Metrics'!C:C,"Southeast",'Data - Monthly Metrics'!D:D,"Retention - Comped ($)")</f>
        <v/>
      </c>
      <c r="L24" s="112">
        <f>SUMIFS('Data - Monthly Metrics'!E:E,'Data - Monthly Metrics'!A:A,$B$4,'Data - Monthly Metrics'!B:B,"Jun",'Data - Monthly Metrics'!C:C,"Southeast",'Data - Monthly Metrics'!D:D,"Retention - Comped ($)")</f>
        <v/>
      </c>
      <c r="M24" s="111">
        <f>SUM(J24,K24,L24)</f>
        <v/>
      </c>
      <c r="N24" s="112">
        <f>SUMIFS('Data - Monthly Metrics'!E:E,'Data - Monthly Metrics'!A:A,$B$4,'Data - Monthly Metrics'!B:B,"Jul",'Data - Monthly Metrics'!C:C,"Southeast",'Data - Monthly Metrics'!D:D,"Retention - Comped ($)")</f>
        <v/>
      </c>
      <c r="O24" s="112">
        <f>SUMIFS('Data - Monthly Metrics'!E:E,'Data - Monthly Metrics'!A:A,$B$4,'Data - Monthly Metrics'!B:B,"Aug",'Data - Monthly Metrics'!C:C,"Southeast",'Data - Monthly Metrics'!D:D,"Retention - Comped ($)")</f>
        <v/>
      </c>
      <c r="P24" s="112">
        <f>SUMIFS('Data - Monthly Metrics'!E:E,'Data - Monthly Metrics'!A:A,$B$4,'Data - Monthly Metrics'!B:B,"Sep",'Data - Monthly Metrics'!C:C,"Southeast",'Data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Metrics'!C:C,"Southeast",'Data - Monthly Metrics'!D:D,"Retention - Comped (#)")</f>
        <v/>
      </c>
      <c r="C25" s="113">
        <f>SUMIFS('Data - Monthly Metrics'!E:E,'Data - Monthly Metrics'!A:A,$B$4-1,'Data - Monthly Metrics'!B:B,"Nov",'Data - Monthly Metrics'!C:C,"Southeast",'Data - Monthly Metrics'!D:D,"Retention - Comped (#)")</f>
        <v/>
      </c>
      <c r="D25" s="113">
        <f>SUMIFS('Data - Monthly Metrics'!E:E,'Data - Monthly Metrics'!A:A,$B$4-1,'Data - Monthly Metrics'!B:B,"Dec",'Data - Monthly Metrics'!C:C,"Southeast",'Data - Monthly Metrics'!D:D,"Retention - Comped (#)")</f>
        <v/>
      </c>
      <c r="E25" s="114">
        <f>SUM(B25,C25,D25)</f>
        <v/>
      </c>
      <c r="F25" s="113">
        <f>SUMIFS('Data - Monthly Metrics'!E:E,'Data - Monthly Metrics'!A:A,$B$4,'Data - Monthly Metrics'!B:B,"Jan",'Data - Monthly Metrics'!C:C,"Southeast",'Data - Monthly Metrics'!D:D,"Retention - Comped (#)")</f>
        <v/>
      </c>
      <c r="G25" s="113">
        <f>SUMIFS('Data - Monthly Metrics'!E:E,'Data - Monthly Metrics'!A:A,$B$4,'Data - Monthly Metrics'!B:B,"Feb",'Data - Monthly Metrics'!C:C,"Southeast",'Data - Monthly Metrics'!D:D,"Retention - Comped (#)")</f>
        <v/>
      </c>
      <c r="H25" s="113">
        <f>SUMIFS('Data - Monthly Metrics'!E:E,'Data - Monthly Metrics'!A:A,$B$4,'Data - Monthly Metrics'!B:B,"Mar",'Data - Monthly Metrics'!C:C,"Southeast",'Data - Monthly Metrics'!D:D,"Retention - Comped (#)")</f>
        <v/>
      </c>
      <c r="I25" s="114">
        <f>SUM(F25,G25,H25)</f>
        <v/>
      </c>
      <c r="J25" s="113">
        <f>SUMIFS('Data - Monthly Metrics'!E:E,'Data - Monthly Metrics'!A:A,$B$4,'Data - Monthly Metrics'!B:B,"Apr",'Data - Monthly Metrics'!C:C,"Southeast",'Data - Monthly Metrics'!D:D,"Retention - Comped (#)")</f>
        <v/>
      </c>
      <c r="K25" s="113">
        <f>SUMIFS('Data - Monthly Metrics'!E:E,'Data - Monthly Metrics'!A:A,$B$4,'Data - Monthly Metrics'!B:B,"May",'Data - Monthly Metrics'!C:C,"Southeast",'Data - Monthly Metrics'!D:D,"Retention - Comped (#)")</f>
        <v/>
      </c>
      <c r="L25" s="113">
        <f>SUMIFS('Data - Monthly Metrics'!E:E,'Data - Monthly Metrics'!A:A,$B$4,'Data - Monthly Metrics'!B:B,"Jun",'Data - Monthly Metrics'!C:C,"Southeast",'Data - Monthly Metrics'!D:D,"Retention - Comped (#)")</f>
        <v/>
      </c>
      <c r="M25" s="114">
        <f>SUM(J25,K25,L25)</f>
        <v/>
      </c>
      <c r="N25" s="113">
        <f>SUMIFS('Data - Monthly Metrics'!E:E,'Data - Monthly Metrics'!A:A,$B$4,'Data - Monthly Metrics'!B:B,"Jul",'Data - Monthly Metrics'!C:C,"Southeast",'Data - Monthly Metrics'!D:D,"Retention - Comped (#)")</f>
        <v/>
      </c>
      <c r="O25" s="113">
        <f>SUMIFS('Data - Monthly Metrics'!E:E,'Data - Monthly Metrics'!A:A,$B$4,'Data - Monthly Metrics'!B:B,"Aug",'Data - Monthly Metrics'!C:C,"Southeast",'Data - Monthly Metrics'!D:D,"Retention - Comped (#)")</f>
        <v/>
      </c>
      <c r="P25" s="113">
        <f>SUMIFS('Data - Monthly Metrics'!E:E,'Data - Monthly Metrics'!A:A,$B$4,'Data - Monthly Metrics'!B:B,"Sep",'Data - Monthly Metrics'!C:C,"Southeast",'Data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Metrics'!C:C,"Southeast",'Data - Monthly Metrics'!D:D,"Retention - BOB ($)")</f>
        <v/>
      </c>
      <c r="C26" s="112">
        <f>SUMIFS('Data - Monthly Metrics'!E:E,'Data - Monthly Metrics'!A:A,$B$4-1,'Data - Monthly Metrics'!B:B,"Nov",'Data - Monthly Metrics'!C:C,"Southeast",'Data - Monthly Metrics'!D:D,"Retention - BOB ($)")</f>
        <v/>
      </c>
      <c r="D26" s="112">
        <f>SUMIFS('Data - Monthly Metrics'!E:E,'Data - Monthly Metrics'!A:A,$B$4-1,'Data - Monthly Metrics'!B:B,"Dec",'Data - Monthly Metrics'!C:C,"Southeast",'Data - Monthly Metrics'!D:D,"Retention - BOB ($)")</f>
        <v/>
      </c>
      <c r="E26" s="111">
        <f>SUM(B26,C26,D26)</f>
        <v/>
      </c>
      <c r="F26" s="112">
        <f>SUMIFS('Data - Monthly Metrics'!E:E,'Data - Monthly Metrics'!A:A,$B$4,'Data - Monthly Metrics'!B:B,"Jan",'Data - Monthly Metrics'!C:C,"Southeast",'Data - Monthly Metrics'!D:D,"Retention - BOB ($)")</f>
        <v/>
      </c>
      <c r="G26" s="112">
        <f>SUMIFS('Data - Monthly Metrics'!E:E,'Data - Monthly Metrics'!A:A,$B$4,'Data - Monthly Metrics'!B:B,"Feb",'Data - Monthly Metrics'!C:C,"Southeast",'Data - Monthly Metrics'!D:D,"Retention - BOB ($)")</f>
        <v/>
      </c>
      <c r="H26" s="112">
        <f>SUMIFS('Data - Monthly Metrics'!E:E,'Data - Monthly Metrics'!A:A,$B$4,'Data - Monthly Metrics'!B:B,"Mar",'Data - Monthly Metrics'!C:C,"Southeast",'Data - Monthly Metrics'!D:D,"Retention - BOB ($)")</f>
        <v/>
      </c>
      <c r="I26" s="111">
        <f>SUM(F26,G26,H26)</f>
        <v/>
      </c>
      <c r="J26" s="112">
        <f>SUMIFS('Data - Monthly Metrics'!E:E,'Data - Monthly Metrics'!A:A,$B$4,'Data - Monthly Metrics'!B:B,"Apr",'Data - Monthly Metrics'!C:C,"Southeast",'Data - Monthly Metrics'!D:D,"Retention - BOB ($)")</f>
        <v/>
      </c>
      <c r="K26" s="112">
        <f>SUMIFS('Data - Monthly Metrics'!E:E,'Data - Monthly Metrics'!A:A,$B$4,'Data - Monthly Metrics'!B:B,"May",'Data - Monthly Metrics'!C:C,"Southeast",'Data - Monthly Metrics'!D:D,"Retention - BOB ($)")</f>
        <v/>
      </c>
      <c r="L26" s="112">
        <f>SUMIFS('Data - Monthly Metrics'!E:E,'Data - Monthly Metrics'!A:A,$B$4,'Data - Monthly Metrics'!B:B,"Jun",'Data - Monthly Metrics'!C:C,"Southeast",'Data - Monthly Metrics'!D:D,"Retention - BOB ($)")</f>
        <v/>
      </c>
      <c r="M26" s="111">
        <f>SUM(J26,K26,L26)</f>
        <v/>
      </c>
      <c r="N26" s="112">
        <f>SUMIFS('Data - Monthly Metrics'!E:E,'Data - Monthly Metrics'!A:A,$B$4,'Data - Monthly Metrics'!B:B,"Jul",'Data - Monthly Metrics'!C:C,"Southeast",'Data - Monthly Metrics'!D:D,"Retention - BOB ($)")</f>
        <v/>
      </c>
      <c r="O26" s="112">
        <f>SUMIFS('Data - Monthly Metrics'!E:E,'Data - Monthly Metrics'!A:A,$B$4,'Data - Monthly Metrics'!B:B,"Aug",'Data - Monthly Metrics'!C:C,"Southeast",'Data - Monthly Metrics'!D:D,"Retention - BOB ($)")</f>
        <v/>
      </c>
      <c r="P26" s="112">
        <f>SUMIFS('Data - Monthly Metrics'!E:E,'Data - Monthly Metrics'!A:A,$B$4,'Data - Monthly Metrics'!B:B,"Sep",'Data - Monthly Metrics'!C:C,"Southeast",'Data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Metrics'!C:C,"Southeast",'Data - Monthly Metrics'!D:D,"Retention - BOB (#)")</f>
        <v/>
      </c>
      <c r="C27" s="113">
        <f>SUMIFS('Data - Monthly Metrics'!E:E,'Data - Monthly Metrics'!A:A,$B$4-1,'Data - Monthly Metrics'!B:B,"Nov",'Data - Monthly Metrics'!C:C,"Southeast",'Data - Monthly Metrics'!D:D,"Retention - BOB (#)")</f>
        <v/>
      </c>
      <c r="D27" s="113">
        <f>SUMIFS('Data - Monthly Metrics'!E:E,'Data - Monthly Metrics'!A:A,$B$4-1,'Data - Monthly Metrics'!B:B,"Dec",'Data - Monthly Metrics'!C:C,"Southeast",'Data - Monthly Metrics'!D:D,"Retention - BOB (#)")</f>
        <v/>
      </c>
      <c r="E27" s="114">
        <f>SUM(B27,C27,D27)</f>
        <v/>
      </c>
      <c r="F27" s="113">
        <f>SUMIFS('Data - Monthly Metrics'!E:E,'Data - Monthly Metrics'!A:A,$B$4,'Data - Monthly Metrics'!B:B,"Jan",'Data - Monthly Metrics'!C:C,"Southeast",'Data - Monthly Metrics'!D:D,"Retention - BOB (#)")</f>
        <v/>
      </c>
      <c r="G27" s="113">
        <f>SUMIFS('Data - Monthly Metrics'!E:E,'Data - Monthly Metrics'!A:A,$B$4,'Data - Monthly Metrics'!B:B,"Feb",'Data - Monthly Metrics'!C:C,"Southeast",'Data - Monthly Metrics'!D:D,"Retention - BOB (#)")</f>
        <v/>
      </c>
      <c r="H27" s="113">
        <f>SUMIFS('Data - Monthly Metrics'!E:E,'Data - Monthly Metrics'!A:A,$B$4,'Data - Monthly Metrics'!B:B,"Mar",'Data - Monthly Metrics'!C:C,"Southeast",'Data - Monthly Metrics'!D:D,"Retention - BOB (#)")</f>
        <v/>
      </c>
      <c r="I27" s="114">
        <f>SUM(F27,G27,H27)</f>
        <v/>
      </c>
      <c r="J27" s="113">
        <f>SUMIFS('Data - Monthly Metrics'!E:E,'Data - Monthly Metrics'!A:A,$B$4,'Data - Monthly Metrics'!B:B,"Apr",'Data - Monthly Metrics'!C:C,"Southeast",'Data - Monthly Metrics'!D:D,"Retention - BOB (#)")</f>
        <v/>
      </c>
      <c r="K27" s="113">
        <f>SUMIFS('Data - Monthly Metrics'!E:E,'Data - Monthly Metrics'!A:A,$B$4,'Data - Monthly Metrics'!B:B,"May",'Data - Monthly Metrics'!C:C,"Southeast",'Data - Monthly Metrics'!D:D,"Retention - BOB (#)")</f>
        <v/>
      </c>
      <c r="L27" s="113">
        <f>SUMIFS('Data - Monthly Metrics'!E:E,'Data - Monthly Metrics'!A:A,$B$4,'Data - Monthly Metrics'!B:B,"Jun",'Data - Monthly Metrics'!C:C,"Southeast",'Data - Monthly Metrics'!D:D,"Retention - BOB (#)")</f>
        <v/>
      </c>
      <c r="M27" s="114">
        <f>SUM(J27,K27,L27)</f>
        <v/>
      </c>
      <c r="N27" s="113">
        <f>SUMIFS('Data - Monthly Metrics'!E:E,'Data - Monthly Metrics'!A:A,$B$4,'Data - Monthly Metrics'!B:B,"Jul",'Data - Monthly Metrics'!C:C,"Southeast",'Data - Monthly Metrics'!D:D,"Retention - BOB (#)")</f>
        <v/>
      </c>
      <c r="O27" s="113">
        <f>SUMIFS('Data - Monthly Metrics'!E:E,'Data - Monthly Metrics'!A:A,$B$4,'Data - Monthly Metrics'!B:B,"Aug",'Data - Monthly Metrics'!C:C,"Southeast",'Data - Monthly Metrics'!D:D,"Retention - BOB (#)")</f>
        <v/>
      </c>
      <c r="P27" s="113">
        <f>SUMIFS('Data - Monthly Metrics'!E:E,'Data - Monthly Metrics'!A:A,$B$4,'Data - Monthly Metrics'!B:B,"Sep",'Data - Monthly Metrics'!C:C,"Southeast",'Data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Metrics'!C:C,"Southeast",'Data - Monthly Metrics'!D:D,"Revenue Up for Renewal - Target ($)")+SUMIFS('Data - Monthly Metrics'!E:E,'Data - Monthly Metrics'!A:A,$B$4-1,'Data - Monthly Metrics'!B:B,"Oct",'Data - Monthly Metrics'!C:C,"Southeast",'Data - Monthly Metrics'!D:D,"Revenue Up for Renewal - Non-Target ($)"))=0,"-",(SUMIFS('Data - Monthly Metrics'!E:E,'Data - Monthly Metrics'!A:A,$B$4-1,'Data - Monthly Metrics'!B:B,"Oct",'Data - Monthly Metrics'!C:C,"Southeast",'Data - Monthly Metrics'!D:D,"Revenue Retained - Target ($)")+SUMIFS('Data - Monthly Metrics'!E:E,'Data - Monthly Metrics'!A:A,$B$4-1,'Data - Monthly Metrics'!B:B,"Oct",'Data - Monthly Metrics'!C:C,"Southeast",'Data - Monthly Metrics'!D:D,"Revenue Retained - Non-Target ($)"))/(SUMIFS('Data - Monthly Metrics'!E:E,'Data - Monthly Metrics'!A:A,$B$4-1,'Data - Monthly Metrics'!B:B,"Oct",'Data - Monthly Metrics'!C:C,"Southeast",'Data - Monthly Metrics'!D:D,"Revenue Up for Renewal - Target ($)")+SUMIFS('Data - Monthly Metrics'!E:E,'Data - Monthly Metrics'!A:A,$B$4-1,'Data - Monthly Metrics'!B:B,"Oct",'Data - Monthly Metrics'!C:C,"Southeast",'Data - Monthly Metrics'!D:D,"Revenue Up for Renewal - Non-Target ($)")))</f>
        <v/>
      </c>
      <c r="C28" s="115">
        <f>IF((SUMIFS('Data - Monthly Metrics'!E:E,'Data - Monthly Metrics'!A:A,$B$4-1,'Data - Monthly Metrics'!B:B,"Nov",'Data - Monthly Metrics'!C:C,"Southeast",'Data - Monthly Metrics'!D:D,"Revenue Up for Renewal - Target ($)")+SUMIFS('Data - Monthly Metrics'!E:E,'Data - Monthly Metrics'!A:A,$B$4-1,'Data - Monthly Metrics'!B:B,"Nov",'Data - Monthly Metrics'!C:C,"Southeast",'Data - Monthly Metrics'!D:D,"Revenue Up for Renewal - Non-Target ($)"))=0,"-",(SUMIFS('Data - Monthly Metrics'!E:E,'Data - Monthly Metrics'!A:A,$B$4-1,'Data - Monthly Metrics'!B:B,"Nov",'Data - Monthly Metrics'!C:C,"Southeast",'Data - Monthly Metrics'!D:D,"Revenue Retained - Target ($)")+SUMIFS('Data - Monthly Metrics'!E:E,'Data - Monthly Metrics'!A:A,$B$4-1,'Data - Monthly Metrics'!B:B,"Nov",'Data - Monthly Metrics'!C:C,"Southeast",'Data - Monthly Metrics'!D:D,"Revenue Retained - Non-Target ($)"))/(SUMIFS('Data - Monthly Metrics'!E:E,'Data - Monthly Metrics'!A:A,$B$4-1,'Data - Monthly Metrics'!B:B,"Nov",'Data - Monthly Metrics'!C:C,"Southeast",'Data - Monthly Metrics'!D:D,"Revenue Up for Renewal - Target ($)")+SUMIFS('Data - Monthly Metrics'!E:E,'Data - Monthly Metrics'!A:A,$B$4-1,'Data - Monthly Metrics'!B:B,"Nov",'Data - Monthly Metrics'!C:C,"Southeast",'Data - Monthly Metrics'!D:D,"Revenue Up for Renewal - Non-Target ($)")))</f>
        <v/>
      </c>
      <c r="D28" s="115">
        <f>IF((SUMIFS('Data - Monthly Metrics'!E:E,'Data - Monthly Metrics'!A:A,$B$4-1,'Data - Monthly Metrics'!B:B,"Dec",'Data - Monthly Metrics'!C:C,"Southeast",'Data - Monthly Metrics'!D:D,"Revenue Up for Renewal - Target ($)")+SUMIFS('Data - Monthly Metrics'!E:E,'Data - Monthly Metrics'!A:A,$B$4-1,'Data - Monthly Metrics'!B:B,"Dec",'Data - Monthly Metrics'!C:C,"Southeast",'Data - Monthly Metrics'!D:D,"Revenue Up for Renewal - Non-Target ($)"))=0,"-",(SUMIFS('Data - Monthly Metrics'!E:E,'Data - Monthly Metrics'!A:A,$B$4-1,'Data - Monthly Metrics'!B:B,"Dec",'Data - Monthly Metrics'!C:C,"Southeast",'Data - Monthly Metrics'!D:D,"Revenue Retained - Target ($)")+SUMIFS('Data - Monthly Metrics'!E:E,'Data - Monthly Metrics'!A:A,$B$4-1,'Data - Monthly Metrics'!B:B,"Dec",'Data - Monthly Metrics'!C:C,"Southeast",'Data - Monthly Metrics'!D:D,"Revenue Retained - Non-Target ($)"))/(SUMIFS('Data - Monthly Metrics'!E:E,'Data - Monthly Metrics'!A:A,$B$4-1,'Data - Monthly Metrics'!B:B,"Dec",'Data - Monthly Metrics'!C:C,"Southeast",'Data - Monthly Metrics'!D:D,"Revenue Up for Renewal - Target ($)")+SUMIFS('Data - Monthly Metrics'!E:E,'Data - Monthly Metrics'!A:A,$B$4-1,'Data - Monthly Metrics'!B:B,"Dec",'Data - Monthly Metrics'!C:C,"Southeast",'Data - Monthly Metrics'!D:D,"Revenue Up for Renewal - Non-Target ($)")))</f>
        <v/>
      </c>
      <c r="E28" s="116">
        <f>IF(E22=0,0,E23/E22)</f>
        <v/>
      </c>
      <c r="F28" s="115">
        <f>IF((SUMIFS('Data - Monthly Metrics'!E:E,'Data - Monthly Metrics'!A:A,$B$4,'Data - Monthly Metrics'!B:B,"Jan",'Data - Monthly Metrics'!C:C,"Southeast",'Data - Monthly Metrics'!D:D,"Revenue Up for Renewal - Target ($)")+SUMIFS('Data - Monthly Metrics'!E:E,'Data - Monthly Metrics'!A:A,$B$4,'Data - Monthly Metrics'!B:B,"Jan",'Data - Monthly Metrics'!C:C,"Southeast",'Data - Monthly Metrics'!D:D,"Revenue Up for Renewal - Non-Target ($)"))=0,"-",(SUMIFS('Data - Monthly Metrics'!E:E,'Data - Monthly Metrics'!A:A,$B$4,'Data - Monthly Metrics'!B:B,"Jan",'Data - Monthly Metrics'!C:C,"Southeast",'Data - Monthly Metrics'!D:D,"Revenue Retained - Target ($)")+SUMIFS('Data - Monthly Metrics'!E:E,'Data - Monthly Metrics'!A:A,$B$4,'Data - Monthly Metrics'!B:B,"Jan",'Data - Monthly Metrics'!C:C,"Southeast",'Data - Monthly Metrics'!D:D,"Revenue Retained - Non-Target ($)"))/(SUMIFS('Data - Monthly Metrics'!E:E,'Data - Monthly Metrics'!A:A,$B$4,'Data - Monthly Metrics'!B:B,"Jan",'Data - Monthly Metrics'!C:C,"Southeast",'Data - Monthly Metrics'!D:D,"Revenue Up for Renewal - Target ($)")+SUMIFS('Data - Monthly Metrics'!E:E,'Data - Monthly Metrics'!A:A,$B$4,'Data - Monthly Metrics'!B:B,"Jan",'Data - Monthly Metrics'!C:C,"Southeast",'Data - Monthly Metrics'!D:D,"Revenue Up for Renewal - Non-Target ($)")))</f>
        <v/>
      </c>
      <c r="G28" s="115">
        <f>IF((SUMIFS('Data - Monthly Metrics'!E:E,'Data - Monthly Metrics'!A:A,$B$4,'Data - Monthly Metrics'!B:B,"Feb",'Data - Monthly Metrics'!C:C,"Southeast",'Data - Monthly Metrics'!D:D,"Revenue Up for Renewal - Target ($)")+SUMIFS('Data - Monthly Metrics'!E:E,'Data - Monthly Metrics'!A:A,$B$4,'Data - Monthly Metrics'!B:B,"Feb",'Data - Monthly Metrics'!C:C,"Southeast",'Data - Monthly Metrics'!D:D,"Revenue Up for Renewal - Non-Target ($)"))=0,"-",(SUMIFS('Data - Monthly Metrics'!E:E,'Data - Monthly Metrics'!A:A,$B$4,'Data - Monthly Metrics'!B:B,"Feb",'Data - Monthly Metrics'!C:C,"Southeast",'Data - Monthly Metrics'!D:D,"Revenue Retained - Target ($)")+SUMIFS('Data - Monthly Metrics'!E:E,'Data - Monthly Metrics'!A:A,$B$4,'Data - Monthly Metrics'!B:B,"Feb",'Data - Monthly Metrics'!C:C,"Southeast",'Data - Monthly Metrics'!D:D,"Revenue Retained - Non-Target ($)"))/(SUMIFS('Data - Monthly Metrics'!E:E,'Data - Monthly Metrics'!A:A,$B$4,'Data - Monthly Metrics'!B:B,"Feb",'Data - Monthly Metrics'!C:C,"Southeast",'Data - Monthly Metrics'!D:D,"Revenue Up for Renewal - Target ($)")+SUMIFS('Data - Monthly Metrics'!E:E,'Data - Monthly Metrics'!A:A,$B$4,'Data - Monthly Metrics'!B:B,"Feb",'Data - Monthly Metrics'!C:C,"Southeast",'Data - Monthly Metrics'!D:D,"Revenue Up for Renewal - Non-Target ($)")))</f>
        <v/>
      </c>
      <c r="H28" s="115">
        <f>IF((SUMIFS('Data - Monthly Metrics'!E:E,'Data - Monthly Metrics'!A:A,$B$4,'Data - Monthly Metrics'!B:B,"Mar",'Data - Monthly Metrics'!C:C,"Southeast",'Data - Monthly Metrics'!D:D,"Revenue Up for Renewal - Target ($)")+SUMIFS('Data - Monthly Metrics'!E:E,'Data - Monthly Metrics'!A:A,$B$4,'Data - Monthly Metrics'!B:B,"Mar",'Data - Monthly Metrics'!C:C,"Southeast",'Data - Monthly Metrics'!D:D,"Revenue Up for Renewal - Non-Target ($)"))=0,"-",(SUMIFS('Data - Monthly Metrics'!E:E,'Data - Monthly Metrics'!A:A,$B$4,'Data - Monthly Metrics'!B:B,"Mar",'Data - Monthly Metrics'!C:C,"Southeast",'Data - Monthly Metrics'!D:D,"Revenue Retained - Target ($)")+SUMIFS('Data - Monthly Metrics'!E:E,'Data - Monthly Metrics'!A:A,$B$4,'Data - Monthly Metrics'!B:B,"Mar",'Data - Monthly Metrics'!C:C,"Southeast",'Data - Monthly Metrics'!D:D,"Revenue Retained - Non-Target ($)"))/(SUMIFS('Data - Monthly Metrics'!E:E,'Data - Monthly Metrics'!A:A,$B$4,'Data - Monthly Metrics'!B:B,"Mar",'Data - Monthly Metrics'!C:C,"Southeast",'Data - Monthly Metrics'!D:D,"Revenue Up for Renewal - Target ($)")+SUMIFS('Data - Monthly Metrics'!E:E,'Data - Monthly Metrics'!A:A,$B$4,'Data - Monthly Metrics'!B:B,"Mar",'Data - Monthly Metrics'!C:C,"Southeast",'Data - Monthly Metrics'!D:D,"Revenue Up for Renewal - Non-Target ($)")))</f>
        <v/>
      </c>
      <c r="I28" s="116">
        <f>IF(I22=0,0,I23/I22)</f>
        <v/>
      </c>
      <c r="J28" s="115">
        <f>IF((SUMIFS('Data - Monthly Metrics'!E:E,'Data - Monthly Metrics'!A:A,$B$4,'Data - Monthly Metrics'!B:B,"Apr",'Data - Monthly Metrics'!C:C,"Southeast",'Data - Monthly Metrics'!D:D,"Revenue Up for Renewal - Target ($)")+SUMIFS('Data - Monthly Metrics'!E:E,'Data - Monthly Metrics'!A:A,$B$4,'Data - Monthly Metrics'!B:B,"Apr",'Data - Monthly Metrics'!C:C,"Southeast",'Data - Monthly Metrics'!D:D,"Revenue Up for Renewal - Non-Target ($)"))=0,"-",(SUMIFS('Data - Monthly Metrics'!E:E,'Data - Monthly Metrics'!A:A,$B$4,'Data - Monthly Metrics'!B:B,"Apr",'Data - Monthly Metrics'!C:C,"Southeast",'Data - Monthly Metrics'!D:D,"Revenue Retained - Target ($)")+SUMIFS('Data - Monthly Metrics'!E:E,'Data - Monthly Metrics'!A:A,$B$4,'Data - Monthly Metrics'!B:B,"Apr",'Data - Monthly Metrics'!C:C,"Southeast",'Data - Monthly Metrics'!D:D,"Revenue Retained - Non-Target ($)"))/(SUMIFS('Data - Monthly Metrics'!E:E,'Data - Monthly Metrics'!A:A,$B$4,'Data - Monthly Metrics'!B:B,"Apr",'Data - Monthly Metrics'!C:C,"Southeast",'Data - Monthly Metrics'!D:D,"Revenue Up for Renewal - Target ($)")+SUMIFS('Data - Monthly Metrics'!E:E,'Data - Monthly Metrics'!A:A,$B$4,'Data - Monthly Metrics'!B:B,"Apr",'Data - Monthly Metrics'!C:C,"Southeast",'Data - Monthly Metrics'!D:D,"Revenue Up for Renewal - Non-Target ($)")))</f>
        <v/>
      </c>
      <c r="K28" s="115">
        <f>IF((SUMIFS('Data - Monthly Metrics'!E:E,'Data - Monthly Metrics'!A:A,$B$4,'Data - Monthly Metrics'!B:B,"May",'Data - Monthly Metrics'!C:C,"Southeast",'Data - Monthly Metrics'!D:D,"Revenue Up for Renewal - Target ($)")+SUMIFS('Data - Monthly Metrics'!E:E,'Data - Monthly Metrics'!A:A,$B$4,'Data - Monthly Metrics'!B:B,"May",'Data - Monthly Metrics'!C:C,"Southeast",'Data - Monthly Metrics'!D:D,"Revenue Up for Renewal - Non-Target ($)"))=0,"-",(SUMIFS('Data - Monthly Metrics'!E:E,'Data - Monthly Metrics'!A:A,$B$4,'Data - Monthly Metrics'!B:B,"May",'Data - Monthly Metrics'!C:C,"Southeast",'Data - Monthly Metrics'!D:D,"Revenue Retained - Target ($)")+SUMIFS('Data - Monthly Metrics'!E:E,'Data - Monthly Metrics'!A:A,$B$4,'Data - Monthly Metrics'!B:B,"May",'Data - Monthly Metrics'!C:C,"Southeast",'Data - Monthly Metrics'!D:D,"Revenue Retained - Non-Target ($)"))/(SUMIFS('Data - Monthly Metrics'!E:E,'Data - Monthly Metrics'!A:A,$B$4,'Data - Monthly Metrics'!B:B,"May",'Data - Monthly Metrics'!C:C,"Southeast",'Data - Monthly Metrics'!D:D,"Revenue Up for Renewal - Target ($)")+SUMIFS('Data - Monthly Metrics'!E:E,'Data - Monthly Metrics'!A:A,$B$4,'Data - Monthly Metrics'!B:B,"May",'Data - Monthly Metrics'!C:C,"Southeast",'Data - Monthly Metrics'!D:D,"Revenue Up for Renewal - Non-Target ($)")))</f>
        <v/>
      </c>
      <c r="L28" s="115">
        <f>IF((SUMIFS('Data - Monthly Metrics'!E:E,'Data - Monthly Metrics'!A:A,$B$4,'Data - Monthly Metrics'!B:B,"Jun",'Data - Monthly Metrics'!C:C,"Southeast",'Data - Monthly Metrics'!D:D,"Revenue Up for Renewal - Target ($)")+SUMIFS('Data - Monthly Metrics'!E:E,'Data - Monthly Metrics'!A:A,$B$4,'Data - Monthly Metrics'!B:B,"Jun",'Data - Monthly Metrics'!C:C,"Southeast",'Data - Monthly Metrics'!D:D,"Revenue Up for Renewal - Non-Target ($)"))=0,"-",(SUMIFS('Data - Monthly Metrics'!E:E,'Data - Monthly Metrics'!A:A,$B$4,'Data - Monthly Metrics'!B:B,"Jun",'Data - Monthly Metrics'!C:C,"Southeast",'Data - Monthly Metrics'!D:D,"Revenue Retained - Target ($)")+SUMIFS('Data - Monthly Metrics'!E:E,'Data - Monthly Metrics'!A:A,$B$4,'Data - Monthly Metrics'!B:B,"Jun",'Data - Monthly Metrics'!C:C,"Southeast",'Data - Monthly Metrics'!D:D,"Revenue Retained - Non-Target ($)"))/(SUMIFS('Data - Monthly Metrics'!E:E,'Data - Monthly Metrics'!A:A,$B$4,'Data - Monthly Metrics'!B:B,"Jun",'Data - Monthly Metrics'!C:C,"Southeast",'Data - Monthly Metrics'!D:D,"Revenue Up for Renewal - Target ($)")+SUMIFS('Data - Monthly Metrics'!E:E,'Data - Monthly Metrics'!A:A,$B$4,'Data - Monthly Metrics'!B:B,"Jun",'Data - Monthly Metrics'!C:C,"Southeast",'Data - Monthly Metrics'!D:D,"Revenue Up for Renewal - Non-Target ($)")))</f>
        <v/>
      </c>
      <c r="M28" s="116">
        <f>IF(M22=0,0,M23/M22)</f>
        <v/>
      </c>
      <c r="N28" s="115">
        <f>IF((SUMIFS('Data - Monthly Metrics'!E:E,'Data - Monthly Metrics'!A:A,$B$4,'Data - Monthly Metrics'!B:B,"Jul",'Data - Monthly Metrics'!C:C,"Southeast",'Data - Monthly Metrics'!D:D,"Revenue Up for Renewal - Target ($)")+SUMIFS('Data - Monthly Metrics'!E:E,'Data - Monthly Metrics'!A:A,$B$4,'Data - Monthly Metrics'!B:B,"Jul",'Data - Monthly Metrics'!C:C,"Southeast",'Data - Monthly Metrics'!D:D,"Revenue Up for Renewal - Non-Target ($)"))=0,"-",(SUMIFS('Data - Monthly Metrics'!E:E,'Data - Monthly Metrics'!A:A,$B$4,'Data - Monthly Metrics'!B:B,"Jul",'Data - Monthly Metrics'!C:C,"Southeast",'Data - Monthly Metrics'!D:D,"Revenue Retained - Target ($)")+SUMIFS('Data - Monthly Metrics'!E:E,'Data - Monthly Metrics'!A:A,$B$4,'Data - Monthly Metrics'!B:B,"Jul",'Data - Monthly Metrics'!C:C,"Southeast",'Data - Monthly Metrics'!D:D,"Revenue Retained - Non-Target ($)"))/(SUMIFS('Data - Monthly Metrics'!E:E,'Data - Monthly Metrics'!A:A,$B$4,'Data - Monthly Metrics'!B:B,"Jul",'Data - Monthly Metrics'!C:C,"Southeast",'Data - Monthly Metrics'!D:D,"Revenue Up for Renewal - Target ($)")+SUMIFS('Data - Monthly Metrics'!E:E,'Data - Monthly Metrics'!A:A,$B$4,'Data - Monthly Metrics'!B:B,"Jul",'Data - Monthly Metrics'!C:C,"Southeast",'Data - Monthly Metrics'!D:D,"Revenue Up for Renewal - Non-Target ($)")))</f>
        <v/>
      </c>
      <c r="O28" s="115">
        <f>IF((SUMIFS('Data - Monthly Metrics'!E:E,'Data - Monthly Metrics'!A:A,$B$4,'Data - Monthly Metrics'!B:B,"Aug",'Data - Monthly Metrics'!C:C,"Southeast",'Data - Monthly Metrics'!D:D,"Revenue Up for Renewal - Target ($)")+SUMIFS('Data - Monthly Metrics'!E:E,'Data - Monthly Metrics'!A:A,$B$4,'Data - Monthly Metrics'!B:B,"Aug",'Data - Monthly Metrics'!C:C,"Southeast",'Data - Monthly Metrics'!D:D,"Revenue Up for Renewal - Non-Target ($)"))=0,"-",(SUMIFS('Data - Monthly Metrics'!E:E,'Data - Monthly Metrics'!A:A,$B$4,'Data - Monthly Metrics'!B:B,"Aug",'Data - Monthly Metrics'!C:C,"Southeast",'Data - Monthly Metrics'!D:D,"Revenue Retained - Target ($)")+SUMIFS('Data - Monthly Metrics'!E:E,'Data - Monthly Metrics'!A:A,$B$4,'Data - Monthly Metrics'!B:B,"Aug",'Data - Monthly Metrics'!C:C,"Southeast",'Data - Monthly Metrics'!D:D,"Revenue Retained - Non-Target ($)"))/(SUMIFS('Data - Monthly Metrics'!E:E,'Data - Monthly Metrics'!A:A,$B$4,'Data - Monthly Metrics'!B:B,"Aug",'Data - Monthly Metrics'!C:C,"Southeast",'Data - Monthly Metrics'!D:D,"Revenue Up for Renewal - Target ($)")+SUMIFS('Data - Monthly Metrics'!E:E,'Data - Monthly Metrics'!A:A,$B$4,'Data - Monthly Metrics'!B:B,"Aug",'Data - Monthly Metrics'!C:C,"Southeast",'Data - Monthly Metrics'!D:D,"Revenue Up for Renewal - Non-Target ($)")))</f>
        <v/>
      </c>
      <c r="P28" s="115">
        <f>IF((SUMIFS('Data - Monthly Metrics'!E:E,'Data - Monthly Metrics'!A:A,$B$4,'Data - Monthly Metrics'!B:B,"Sep",'Data - Monthly Metrics'!C:C,"Southeast",'Data - Monthly Metrics'!D:D,"Revenue Up for Renewal - Target ($)")+SUMIFS('Data - Monthly Metrics'!E:E,'Data - Monthly Metrics'!A:A,$B$4,'Data - Monthly Metrics'!B:B,"Sep",'Data - Monthly Metrics'!C:C,"Southeast",'Data - Monthly Metrics'!D:D,"Revenue Up for Renewal - Non-Target ($)"))=0,"-",(SUMIFS('Data - Monthly Metrics'!E:E,'Data - Monthly Metrics'!A:A,$B$4,'Data - Monthly Metrics'!B:B,"Sep",'Data - Monthly Metrics'!C:C,"Southeast",'Data - Monthly Metrics'!D:D,"Revenue Retained - Target ($)")+SUMIFS('Data - Monthly Metrics'!E:E,'Data - Monthly Metrics'!A:A,$B$4,'Data - Monthly Metrics'!B:B,"Sep",'Data - Monthly Metrics'!C:C,"Southeast",'Data - Monthly Metrics'!D:D,"Revenue Retained - Non-Target ($)"))/(SUMIFS('Data - Monthly Metrics'!E:E,'Data - Monthly Metrics'!A:A,$B$4,'Data - Monthly Metrics'!B:B,"Sep",'Data - Monthly Metrics'!C:C,"Southeast",'Data - Monthly Metrics'!D:D,"Revenue Up for Renewal - Target ($)")+SUMIFS('Data - Monthly Metrics'!E:E,'Data - Monthly Metrics'!A:A,$B$4,'Data - Monthly Metrics'!B:B,"Sep",'Data - Monthly Metrics'!C:C,"Southeast",'Data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Metrics'!C:C,"Southeast",'Data - Monthly Metrics'!D:D,"Total Target Locations - Restaurant (#)")+SUMIFS('Data - Monthly Metrics'!E:E,'Data - Monthly Metrics'!A:A,$B$4-1,'Data - Monthly Metrics'!B:B,"Oct",'Data - Monthly Metrics'!C:C,"Southeast",'Data - Monthly Metrics'!D:D,"Non-Target Locations - Restaurant (#)"))=0,"-",(SUMIFS('Data - Monthly Metrics'!E:E,'Data - Monthly Metrics'!A:A,$B$4-1,'Data - Monthly Metrics'!B:B,"Oct",'Data - Monthly Metrics'!C:C,"Southeast",'Data - Monthly Metrics'!D:D,"Target Members - Restaurant (#)")+SUMIFS('Data - Monthly Metrics'!E:E,'Data - Monthly Metrics'!A:A,$B$4-1,'Data - Monthly Metrics'!B:B,"Oct",'Data - Monthly Metrics'!C:C,"Southeast",'Data - Monthly Metrics'!D:D,"Non-Target Members - Restaurant (#)"))/(SUMIFS('Data - Monthly Metrics'!E:E,'Data - Monthly Metrics'!A:A,$B$4-1,'Data - Monthly Metrics'!B:B,"Oct",'Data - Monthly Metrics'!C:C,"Southeast",'Data - Monthly Metrics'!D:D,"Total Target Locations - Restaurant (#)")+SUMIFS('Data - Monthly Metrics'!E:E,'Data - Monthly Metrics'!A:A,$B$4-1,'Data - Monthly Metrics'!B:B,"Oct",'Data - Monthly Metrics'!C:C,"Southeast",'Data - Monthly Metrics'!D:D,"Non-Target Locations - Restaurant (#)")))</f>
        <v/>
      </c>
      <c r="C29" s="115">
        <f>IF((SUMIFS('Data - Monthly Metrics'!E:E,'Data - Monthly Metrics'!A:A,$B$4-1,'Data - Monthly Metrics'!B:B,"Nov",'Data - Monthly Metrics'!C:C,"Southeast",'Data - Monthly Metrics'!D:D,"Total Target Locations - Restaurant (#)")+SUMIFS('Data - Monthly Metrics'!E:E,'Data - Monthly Metrics'!A:A,$B$4-1,'Data - Monthly Metrics'!B:B,"Nov",'Data - Monthly Metrics'!C:C,"Southeast",'Data - Monthly Metrics'!D:D,"Non-Target Locations - Restaurant (#)"))=0,"-",(SUMIFS('Data - Monthly Metrics'!E:E,'Data - Monthly Metrics'!A:A,$B$4-1,'Data - Monthly Metrics'!B:B,"Nov",'Data - Monthly Metrics'!C:C,"Southeast",'Data - Monthly Metrics'!D:D,"Target Members - Restaurant (#)")+SUMIFS('Data - Monthly Metrics'!E:E,'Data - Monthly Metrics'!A:A,$B$4-1,'Data - Monthly Metrics'!B:B,"Nov",'Data - Monthly Metrics'!C:C,"Southeast",'Data - Monthly Metrics'!D:D,"Non-Target Members - Restaurant (#)"))/(SUMIFS('Data - Monthly Metrics'!E:E,'Data - Monthly Metrics'!A:A,$B$4-1,'Data - Monthly Metrics'!B:B,"Nov",'Data - Monthly Metrics'!C:C,"Southeast",'Data - Monthly Metrics'!D:D,"Total Target Locations - Restaurant (#)")+SUMIFS('Data - Monthly Metrics'!E:E,'Data - Monthly Metrics'!A:A,$B$4-1,'Data - Monthly Metrics'!B:B,"Nov",'Data - Monthly Metrics'!C:C,"Southeast",'Data - Monthly Metrics'!D:D,"Non-Target Locations - Restaurant (#)")))</f>
        <v/>
      </c>
      <c r="D29" s="115">
        <f>IF((SUMIFS('Data - Monthly Metrics'!E:E,'Data - Monthly Metrics'!A:A,$B$4-1,'Data - Monthly Metrics'!B:B,"Dec",'Data - Monthly Metrics'!C:C,"Southeast",'Data - Monthly Metrics'!D:D,"Total Target Locations - Restaurant (#)")+SUMIFS('Data - Monthly Metrics'!E:E,'Data - Monthly Metrics'!A:A,$B$4-1,'Data - Monthly Metrics'!B:B,"Dec",'Data - Monthly Metrics'!C:C,"Southeast",'Data - Monthly Metrics'!D:D,"Non-Target Locations - Restaurant (#)"))=0,"-",(SUMIFS('Data - Monthly Metrics'!E:E,'Data - Monthly Metrics'!A:A,$B$4-1,'Data - Monthly Metrics'!B:B,"Dec",'Data - Monthly Metrics'!C:C,"Southeast",'Data - Monthly Metrics'!D:D,"Target Members - Restaurant (#)")+SUMIFS('Data - Monthly Metrics'!E:E,'Data - Monthly Metrics'!A:A,$B$4-1,'Data - Monthly Metrics'!B:B,"Dec",'Data - Monthly Metrics'!C:C,"Southeast",'Data - Monthly Metrics'!D:D,"Non-Target Members - Restaurant (#)"))/(SUMIFS('Data - Monthly Metrics'!E:E,'Data - Monthly Metrics'!A:A,$B$4-1,'Data - Monthly Metrics'!B:B,"Dec",'Data - Monthly Metrics'!C:C,"Southeast",'Data - Monthly Metrics'!D:D,"Total Target Locations - Restaurant (#)")+SUMIFS('Data - Monthly Metrics'!E:E,'Data - Monthly Metrics'!A:A,$B$4-1,'Data - Monthly Metrics'!B:B,"Dec",'Data - Monthly Metrics'!C:C,"Southeast",'Data - Monthly Metrics'!D:D,"Non-Target Locations - Restaurant (#)")))</f>
        <v/>
      </c>
      <c r="E29" s="116">
        <f>IF(ISNUMBER(D29),D29,IF(ISNUMBER(C29),C29,IF(ISNUMBER(B29),B29,"-")))</f>
        <v/>
      </c>
      <c r="F29" s="115">
        <f>IF((SUMIFS('Data - Monthly Metrics'!E:E,'Data - Monthly Metrics'!A:A,$B$4,'Data - Monthly Metrics'!B:B,"Jan",'Data - Monthly Metrics'!C:C,"Southeast",'Data - Monthly Metrics'!D:D,"Total Target Locations - Restaurant (#)")+SUMIFS('Data - Monthly Metrics'!E:E,'Data - Monthly Metrics'!A:A,$B$4,'Data - Monthly Metrics'!B:B,"Jan",'Data - Monthly Metrics'!C:C,"Southeast",'Data - Monthly Metrics'!D:D,"Non-Target Locations - Restaurant (#)"))=0,"-",(SUMIFS('Data - Monthly Metrics'!E:E,'Data - Monthly Metrics'!A:A,$B$4,'Data - Monthly Metrics'!B:B,"Jan",'Data - Monthly Metrics'!C:C,"Southeast",'Data - Monthly Metrics'!D:D,"Target Members - Restaurant (#)")+SUMIFS('Data - Monthly Metrics'!E:E,'Data - Monthly Metrics'!A:A,$B$4,'Data - Monthly Metrics'!B:B,"Jan",'Data - Monthly Metrics'!C:C,"Southeast",'Data - Monthly Metrics'!D:D,"Non-Target Members - Restaurant (#)"))/(SUMIFS('Data - Monthly Metrics'!E:E,'Data - Monthly Metrics'!A:A,$B$4,'Data - Monthly Metrics'!B:B,"Jan",'Data - Monthly Metrics'!C:C,"Southeast",'Data - Monthly Metrics'!D:D,"Total Target Locations - Restaurant (#)")+SUMIFS('Data - Monthly Metrics'!E:E,'Data - Monthly Metrics'!A:A,$B$4,'Data - Monthly Metrics'!B:B,"Jan",'Data - Monthly Metrics'!C:C,"Southeast",'Data - Monthly Metrics'!D:D,"Non-Target Locations - Restaurant (#)")))</f>
        <v/>
      </c>
      <c r="G29" s="115">
        <f>IF((SUMIFS('Data - Monthly Metrics'!E:E,'Data - Monthly Metrics'!A:A,$B$4,'Data - Monthly Metrics'!B:B,"Feb",'Data - Monthly Metrics'!C:C,"Southeast",'Data - Monthly Metrics'!D:D,"Total Target Locations - Restaurant (#)")+SUMIFS('Data - Monthly Metrics'!E:E,'Data - Monthly Metrics'!A:A,$B$4,'Data - Monthly Metrics'!B:B,"Feb",'Data - Monthly Metrics'!C:C,"Southeast",'Data - Monthly Metrics'!D:D,"Non-Target Locations - Restaurant (#)"))=0,"-",(SUMIFS('Data - Monthly Metrics'!E:E,'Data - Monthly Metrics'!A:A,$B$4,'Data - Monthly Metrics'!B:B,"Feb",'Data - Monthly Metrics'!C:C,"Southeast",'Data - Monthly Metrics'!D:D,"Target Members - Restaurant (#)")+SUMIFS('Data - Monthly Metrics'!E:E,'Data - Monthly Metrics'!A:A,$B$4,'Data - Monthly Metrics'!B:B,"Feb",'Data - Monthly Metrics'!C:C,"Southeast",'Data - Monthly Metrics'!D:D,"Non-Target Members - Restaurant (#)"))/(SUMIFS('Data - Monthly Metrics'!E:E,'Data - Monthly Metrics'!A:A,$B$4,'Data - Monthly Metrics'!B:B,"Feb",'Data - Monthly Metrics'!C:C,"Southeast",'Data - Monthly Metrics'!D:D,"Total Target Locations - Restaurant (#)")+SUMIFS('Data - Monthly Metrics'!E:E,'Data - Monthly Metrics'!A:A,$B$4,'Data - Monthly Metrics'!B:B,"Feb",'Data - Monthly Metrics'!C:C,"Southeast",'Data - Monthly Metrics'!D:D,"Non-Target Locations - Restaurant (#)")))</f>
        <v/>
      </c>
      <c r="H29" s="115">
        <f>IF((SUMIFS('Data - Monthly Metrics'!E:E,'Data - Monthly Metrics'!A:A,$B$4,'Data - Monthly Metrics'!B:B,"Mar",'Data - Monthly Metrics'!C:C,"Southeast",'Data - Monthly Metrics'!D:D,"Total Target Locations - Restaurant (#)")+SUMIFS('Data - Monthly Metrics'!E:E,'Data - Monthly Metrics'!A:A,$B$4,'Data - Monthly Metrics'!B:B,"Mar",'Data - Monthly Metrics'!C:C,"Southeast",'Data - Monthly Metrics'!D:D,"Non-Target Locations - Restaurant (#)"))=0,"-",(SUMIFS('Data - Monthly Metrics'!E:E,'Data - Monthly Metrics'!A:A,$B$4,'Data - Monthly Metrics'!B:B,"Mar",'Data - Monthly Metrics'!C:C,"Southeast",'Data - Monthly Metrics'!D:D,"Target Members - Restaurant (#)")+SUMIFS('Data - Monthly Metrics'!E:E,'Data - Monthly Metrics'!A:A,$B$4,'Data - Monthly Metrics'!B:B,"Mar",'Data - Monthly Metrics'!C:C,"Southeast",'Data - Monthly Metrics'!D:D,"Non-Target Members - Restaurant (#)"))/(SUMIFS('Data - Monthly Metrics'!E:E,'Data - Monthly Metrics'!A:A,$B$4,'Data - Monthly Metrics'!B:B,"Mar",'Data - Monthly Metrics'!C:C,"Southeast",'Data - Monthly Metrics'!D:D,"Total Target Locations - Restaurant (#)")+SUMIFS('Data - Monthly Metrics'!E:E,'Data - Monthly Metrics'!A:A,$B$4,'Data - Monthly Metrics'!B:B,"Mar",'Data - Monthly Metrics'!C:C,"Southeast",'Data - Monthly Metrics'!D:D,"Non-Target Locations - Restaurant (#)")))</f>
        <v/>
      </c>
      <c r="I29" s="116">
        <f>IF(ISNUMBER(H29),H29,IF(ISNUMBER(G29),G29,IF(ISNUMBER(F29),F29,"-")))</f>
        <v/>
      </c>
      <c r="J29" s="115">
        <f>IF((SUMIFS('Data - Monthly Metrics'!E:E,'Data - Monthly Metrics'!A:A,$B$4,'Data - Monthly Metrics'!B:B,"Apr",'Data - Monthly Metrics'!C:C,"Southeast",'Data - Monthly Metrics'!D:D,"Total Target Locations - Restaurant (#)")+SUMIFS('Data - Monthly Metrics'!E:E,'Data - Monthly Metrics'!A:A,$B$4,'Data - Monthly Metrics'!B:B,"Apr",'Data - Monthly Metrics'!C:C,"Southeast",'Data - Monthly Metrics'!D:D,"Non-Target Locations - Restaurant (#)"))=0,"-",(SUMIFS('Data - Monthly Metrics'!E:E,'Data - Monthly Metrics'!A:A,$B$4,'Data - Monthly Metrics'!B:B,"Apr",'Data - Monthly Metrics'!C:C,"Southeast",'Data - Monthly Metrics'!D:D,"Target Members - Restaurant (#)")+SUMIFS('Data - Monthly Metrics'!E:E,'Data - Monthly Metrics'!A:A,$B$4,'Data - Monthly Metrics'!B:B,"Apr",'Data - Monthly Metrics'!C:C,"Southeast",'Data - Monthly Metrics'!D:D,"Non-Target Members - Restaurant (#)"))/(SUMIFS('Data - Monthly Metrics'!E:E,'Data - Monthly Metrics'!A:A,$B$4,'Data - Monthly Metrics'!B:B,"Apr",'Data - Monthly Metrics'!C:C,"Southeast",'Data - Monthly Metrics'!D:D,"Total Target Locations - Restaurant (#)")+SUMIFS('Data - Monthly Metrics'!E:E,'Data - Monthly Metrics'!A:A,$B$4,'Data - Monthly Metrics'!B:B,"Apr",'Data - Monthly Metrics'!C:C,"Southeast",'Data - Monthly Metrics'!D:D,"Non-Target Locations - Restaurant (#)")))</f>
        <v/>
      </c>
      <c r="K29" s="115">
        <f>IF((SUMIFS('Data - Monthly Metrics'!E:E,'Data - Monthly Metrics'!A:A,$B$4,'Data - Monthly Metrics'!B:B,"May",'Data - Monthly Metrics'!C:C,"Southeast",'Data - Monthly Metrics'!D:D,"Total Target Locations - Restaurant (#)")+SUMIFS('Data - Monthly Metrics'!E:E,'Data - Monthly Metrics'!A:A,$B$4,'Data - Monthly Metrics'!B:B,"May",'Data - Monthly Metrics'!C:C,"Southeast",'Data - Monthly Metrics'!D:D,"Non-Target Locations - Restaurant (#)"))=0,"-",(SUMIFS('Data - Monthly Metrics'!E:E,'Data - Monthly Metrics'!A:A,$B$4,'Data - Monthly Metrics'!B:B,"May",'Data - Monthly Metrics'!C:C,"Southeast",'Data - Monthly Metrics'!D:D,"Target Members - Restaurant (#)")+SUMIFS('Data - Monthly Metrics'!E:E,'Data - Monthly Metrics'!A:A,$B$4,'Data - Monthly Metrics'!B:B,"May",'Data - Monthly Metrics'!C:C,"Southeast",'Data - Monthly Metrics'!D:D,"Non-Target Members - Restaurant (#)"))/(SUMIFS('Data - Monthly Metrics'!E:E,'Data - Monthly Metrics'!A:A,$B$4,'Data - Monthly Metrics'!B:B,"May",'Data - Monthly Metrics'!C:C,"Southeast",'Data - Monthly Metrics'!D:D,"Total Target Locations - Restaurant (#)")+SUMIFS('Data - Monthly Metrics'!E:E,'Data - Monthly Metrics'!A:A,$B$4,'Data - Monthly Metrics'!B:B,"May",'Data - Monthly Metrics'!C:C,"Southeast",'Data - Monthly Metrics'!D:D,"Non-Target Locations - Restaurant (#)")))</f>
        <v/>
      </c>
      <c r="L29" s="115">
        <f>IF((SUMIFS('Data - Monthly Metrics'!E:E,'Data - Monthly Metrics'!A:A,$B$4,'Data - Monthly Metrics'!B:B,"Jun",'Data - Monthly Metrics'!C:C,"Southeast",'Data - Monthly Metrics'!D:D,"Total Target Locations - Restaurant (#)")+SUMIFS('Data - Monthly Metrics'!E:E,'Data - Monthly Metrics'!A:A,$B$4,'Data - Monthly Metrics'!B:B,"Jun",'Data - Monthly Metrics'!C:C,"Southeast",'Data - Monthly Metrics'!D:D,"Non-Target Locations - Restaurant (#)"))=0,"-",(SUMIFS('Data - Monthly Metrics'!E:E,'Data - Monthly Metrics'!A:A,$B$4,'Data - Monthly Metrics'!B:B,"Jun",'Data - Monthly Metrics'!C:C,"Southeast",'Data - Monthly Metrics'!D:D,"Target Members - Restaurant (#)")+SUMIFS('Data - Monthly Metrics'!E:E,'Data - Monthly Metrics'!A:A,$B$4,'Data - Monthly Metrics'!B:B,"Jun",'Data - Monthly Metrics'!C:C,"Southeast",'Data - Monthly Metrics'!D:D,"Non-Target Members - Restaurant (#)"))/(SUMIFS('Data - Monthly Metrics'!E:E,'Data - Monthly Metrics'!A:A,$B$4,'Data - Monthly Metrics'!B:B,"Jun",'Data - Monthly Metrics'!C:C,"Southeast",'Data - Monthly Metrics'!D:D,"Total Target Locations - Restaurant (#)")+SUMIFS('Data - Monthly Metrics'!E:E,'Data - Monthly Metrics'!A:A,$B$4,'Data - Monthly Metrics'!B:B,"Jun",'Data - Monthly Metrics'!C:C,"Southeast",'Data - Monthly Metrics'!D:D,"Non-Target Locations - Restaurant (#)")))</f>
        <v/>
      </c>
      <c r="M29" s="116">
        <f>IF(ISNUMBER(L29),L29,IF(ISNUMBER(K29),K29,IF(ISNUMBER(J29),J29,"-")))</f>
        <v/>
      </c>
      <c r="N29" s="115">
        <f>IF((SUMIFS('Data - Monthly Metrics'!E:E,'Data - Monthly Metrics'!A:A,$B$4,'Data - Monthly Metrics'!B:B,"Jul",'Data - Monthly Metrics'!C:C,"Southeast",'Data - Monthly Metrics'!D:D,"Total Target Locations - Restaurant (#)")+SUMIFS('Data - Monthly Metrics'!E:E,'Data - Monthly Metrics'!A:A,$B$4,'Data - Monthly Metrics'!B:B,"Jul",'Data - Monthly Metrics'!C:C,"Southeast",'Data - Monthly Metrics'!D:D,"Non-Target Locations - Restaurant (#)"))=0,"-",(SUMIFS('Data - Monthly Metrics'!E:E,'Data - Monthly Metrics'!A:A,$B$4,'Data - Monthly Metrics'!B:B,"Jul",'Data - Monthly Metrics'!C:C,"Southeast",'Data - Monthly Metrics'!D:D,"Target Members - Restaurant (#)")+SUMIFS('Data - Monthly Metrics'!E:E,'Data - Monthly Metrics'!A:A,$B$4,'Data - Monthly Metrics'!B:B,"Jul",'Data - Monthly Metrics'!C:C,"Southeast",'Data - Monthly Metrics'!D:D,"Non-Target Members - Restaurant (#)"))/(SUMIFS('Data - Monthly Metrics'!E:E,'Data - Monthly Metrics'!A:A,$B$4,'Data - Monthly Metrics'!B:B,"Jul",'Data - Monthly Metrics'!C:C,"Southeast",'Data - Monthly Metrics'!D:D,"Total Target Locations - Restaurant (#)")+SUMIFS('Data - Monthly Metrics'!E:E,'Data - Monthly Metrics'!A:A,$B$4,'Data - Monthly Metrics'!B:B,"Jul",'Data - Monthly Metrics'!C:C,"Southeast",'Data - Monthly Metrics'!D:D,"Non-Target Locations - Restaurant (#)")))</f>
        <v/>
      </c>
      <c r="O29" s="115">
        <f>IF((SUMIFS('Data - Monthly Metrics'!E:E,'Data - Monthly Metrics'!A:A,$B$4,'Data - Monthly Metrics'!B:B,"Aug",'Data - Monthly Metrics'!C:C,"Southeast",'Data - Monthly Metrics'!D:D,"Total Target Locations - Restaurant (#)")+SUMIFS('Data - Monthly Metrics'!E:E,'Data - Monthly Metrics'!A:A,$B$4,'Data - Monthly Metrics'!B:B,"Aug",'Data - Monthly Metrics'!C:C,"Southeast",'Data - Monthly Metrics'!D:D,"Non-Target Locations - Restaurant (#)"))=0,"-",(SUMIFS('Data - Monthly Metrics'!E:E,'Data - Monthly Metrics'!A:A,$B$4,'Data - Monthly Metrics'!B:B,"Aug",'Data - Monthly Metrics'!C:C,"Southeast",'Data - Monthly Metrics'!D:D,"Target Members - Restaurant (#)")+SUMIFS('Data - Monthly Metrics'!E:E,'Data - Monthly Metrics'!A:A,$B$4,'Data - Monthly Metrics'!B:B,"Aug",'Data - Monthly Metrics'!C:C,"Southeast",'Data - Monthly Metrics'!D:D,"Non-Target Members - Restaurant (#)"))/(SUMIFS('Data - Monthly Metrics'!E:E,'Data - Monthly Metrics'!A:A,$B$4,'Data - Monthly Metrics'!B:B,"Aug",'Data - Monthly Metrics'!C:C,"Southeast",'Data - Monthly Metrics'!D:D,"Total Target Locations - Restaurant (#)")+SUMIFS('Data - Monthly Metrics'!E:E,'Data - Monthly Metrics'!A:A,$B$4,'Data - Monthly Metrics'!B:B,"Aug",'Data - Monthly Metrics'!C:C,"Southeast",'Data - Monthly Metrics'!D:D,"Non-Target Locations - Restaurant (#)")))</f>
        <v/>
      </c>
      <c r="P29" s="115">
        <f>IF((SUMIFS('Data - Monthly Metrics'!E:E,'Data - Monthly Metrics'!A:A,$B$4,'Data - Monthly Metrics'!B:B,"Sep",'Data - Monthly Metrics'!C:C,"Southeast",'Data - Monthly Metrics'!D:D,"Total Target Locations - Restaurant (#)")+SUMIFS('Data - Monthly Metrics'!E:E,'Data - Monthly Metrics'!A:A,$B$4,'Data - Monthly Metrics'!B:B,"Sep",'Data - Monthly Metrics'!C:C,"Southeast",'Data - Monthly Metrics'!D:D,"Non-Target Locations - Restaurant (#)"))=0,"-",(SUMIFS('Data - Monthly Metrics'!E:E,'Data - Monthly Metrics'!A:A,$B$4,'Data - Monthly Metrics'!B:B,"Sep",'Data - Monthly Metrics'!C:C,"Southeast",'Data - Monthly Metrics'!D:D,"Target Members - Restaurant (#)")+SUMIFS('Data - Monthly Metrics'!E:E,'Data - Monthly Metrics'!A:A,$B$4,'Data - Monthly Metrics'!B:B,"Sep",'Data - Monthly Metrics'!C:C,"Southeast",'Data - Monthly Metrics'!D:D,"Non-Target Members - Restaurant (#)"))/(SUMIFS('Data - Monthly Metrics'!E:E,'Data - Monthly Metrics'!A:A,$B$4,'Data - Monthly Metrics'!B:B,"Sep",'Data - Monthly Metrics'!C:C,"Southeast",'Data - Monthly Metrics'!D:D,"Total Target Locations - Restaurant (#)")+SUMIFS('Data - Monthly Metrics'!E:E,'Data - Monthly Metrics'!A:A,$B$4,'Data - Monthly Metrics'!B:B,"Sep",'Data - Monthly Metrics'!C:C,"Southeast",'Data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Metrics'!C:C,"Southeast",'Data - Monthly Metrics'!D:D,"Total Target Locations - Lodging (#)")+SUMIFS('Data - Monthly Metrics'!E:E,'Data - Monthly Metrics'!A:A,$B$4-1,'Data - Monthly Metrics'!B:B,"Oct",'Data - Monthly Metrics'!C:C,"Southeast",'Data - Monthly Metrics'!D:D,"Non-Target Locations - Lodging (#)"))=0,"-",(SUMIFS('Data - Monthly Metrics'!E:E,'Data - Monthly Metrics'!A:A,$B$4-1,'Data - Monthly Metrics'!B:B,"Oct",'Data - Monthly Metrics'!C:C,"Southeast",'Data - Monthly Metrics'!D:D,"Target Members - Lodging (#)")+SUMIFS('Data - Monthly Metrics'!E:E,'Data - Monthly Metrics'!A:A,$B$4-1,'Data - Monthly Metrics'!B:B,"Oct",'Data - Monthly Metrics'!C:C,"Southeast",'Data - Monthly Metrics'!D:D,"Non-Target Members - Lodging (#)"))/(SUMIFS('Data - Monthly Metrics'!E:E,'Data - Monthly Metrics'!A:A,$B$4-1,'Data - Monthly Metrics'!B:B,"Oct",'Data - Monthly Metrics'!C:C,"Southeast",'Data - Monthly Metrics'!D:D,"Total Target Locations - Lodging (#)")+SUMIFS('Data - Monthly Metrics'!E:E,'Data - Monthly Metrics'!A:A,$B$4-1,'Data - Monthly Metrics'!B:B,"Oct",'Data - Monthly Metrics'!C:C,"Southeast",'Data - Monthly Metrics'!D:D,"Non-Target Locations - Lodging (#)")))</f>
        <v/>
      </c>
      <c r="C30" s="118">
        <f>IF((SUMIFS('Data - Monthly Metrics'!E:E,'Data - Monthly Metrics'!A:A,$B$4-1,'Data - Monthly Metrics'!B:B,"Nov",'Data - Monthly Metrics'!C:C,"Southeast",'Data - Monthly Metrics'!D:D,"Total Target Locations - Lodging (#)")+SUMIFS('Data - Monthly Metrics'!E:E,'Data - Monthly Metrics'!A:A,$B$4-1,'Data - Monthly Metrics'!B:B,"Nov",'Data - Monthly Metrics'!C:C,"Southeast",'Data - Monthly Metrics'!D:D,"Non-Target Locations - Lodging (#)"))=0,"-",(SUMIFS('Data - Monthly Metrics'!E:E,'Data - Monthly Metrics'!A:A,$B$4-1,'Data - Monthly Metrics'!B:B,"Nov",'Data - Monthly Metrics'!C:C,"Southeast",'Data - Monthly Metrics'!D:D,"Target Members - Lodging (#)")+SUMIFS('Data - Monthly Metrics'!E:E,'Data - Monthly Metrics'!A:A,$B$4-1,'Data - Monthly Metrics'!B:B,"Nov",'Data - Monthly Metrics'!C:C,"Southeast",'Data - Monthly Metrics'!D:D,"Non-Target Members - Lodging (#)"))/(SUMIFS('Data - Monthly Metrics'!E:E,'Data - Monthly Metrics'!A:A,$B$4-1,'Data - Monthly Metrics'!B:B,"Nov",'Data - Monthly Metrics'!C:C,"Southeast",'Data - Monthly Metrics'!D:D,"Total Target Locations - Lodging (#)")+SUMIFS('Data - Monthly Metrics'!E:E,'Data - Monthly Metrics'!A:A,$B$4-1,'Data - Monthly Metrics'!B:B,"Nov",'Data - Monthly Metrics'!C:C,"Southeast",'Data - Monthly Metrics'!D:D,"Non-Target Locations - Lodging (#)")))</f>
        <v/>
      </c>
      <c r="D30" s="118">
        <f>IF((SUMIFS('Data - Monthly Metrics'!E:E,'Data - Monthly Metrics'!A:A,$B$4-1,'Data - Monthly Metrics'!B:B,"Dec",'Data - Monthly Metrics'!C:C,"Southeast",'Data - Monthly Metrics'!D:D,"Total Target Locations - Lodging (#)")+SUMIFS('Data - Monthly Metrics'!E:E,'Data - Monthly Metrics'!A:A,$B$4-1,'Data - Monthly Metrics'!B:B,"Dec",'Data - Monthly Metrics'!C:C,"Southeast",'Data - Monthly Metrics'!D:D,"Non-Target Locations - Lodging (#)"))=0,"-",(SUMIFS('Data - Monthly Metrics'!E:E,'Data - Monthly Metrics'!A:A,$B$4-1,'Data - Monthly Metrics'!B:B,"Dec",'Data - Monthly Metrics'!C:C,"Southeast",'Data - Monthly Metrics'!D:D,"Target Members - Lodging (#)")+SUMIFS('Data - Monthly Metrics'!E:E,'Data - Monthly Metrics'!A:A,$B$4-1,'Data - Monthly Metrics'!B:B,"Dec",'Data - Monthly Metrics'!C:C,"Southeast",'Data - Monthly Metrics'!D:D,"Non-Target Members - Lodging (#)"))/(SUMIFS('Data - Monthly Metrics'!E:E,'Data - Monthly Metrics'!A:A,$B$4-1,'Data - Monthly Metrics'!B:B,"Dec",'Data - Monthly Metrics'!C:C,"Southeast",'Data - Monthly Metrics'!D:D,"Total Target Locations - Lodging (#)")+SUMIFS('Data - Monthly Metrics'!E:E,'Data - Monthly Metrics'!A:A,$B$4-1,'Data - Monthly Metrics'!B:B,"Dec",'Data - Monthly Metrics'!C:C,"Southeast",'Data - Monthly Metrics'!D:D,"Non-Target Locations - Lodging (#)")))</f>
        <v/>
      </c>
      <c r="E30" s="116">
        <f>IF(ISNUMBER(D30),D30,IF(ISNUMBER(C30),C30,IF(ISNUMBER(B30),B30,"-")))</f>
        <v/>
      </c>
      <c r="F30" s="118">
        <f>IF((SUMIFS('Data - Monthly Metrics'!E:E,'Data - Monthly Metrics'!A:A,$B$4,'Data - Monthly Metrics'!B:B,"Jan",'Data - Monthly Metrics'!C:C,"Southeast",'Data - Monthly Metrics'!D:D,"Total Target Locations - Lodging (#)")+SUMIFS('Data - Monthly Metrics'!E:E,'Data - Monthly Metrics'!A:A,$B$4,'Data - Monthly Metrics'!B:B,"Jan",'Data - Monthly Metrics'!C:C,"Southeast",'Data - Monthly Metrics'!D:D,"Non-Target Locations - Lodging (#)"))=0,"-",(SUMIFS('Data - Monthly Metrics'!E:E,'Data - Monthly Metrics'!A:A,$B$4,'Data - Monthly Metrics'!B:B,"Jan",'Data - Monthly Metrics'!C:C,"Southeast",'Data - Monthly Metrics'!D:D,"Target Members - Lodging (#)")+SUMIFS('Data - Monthly Metrics'!E:E,'Data - Monthly Metrics'!A:A,$B$4,'Data - Monthly Metrics'!B:B,"Jan",'Data - Monthly Metrics'!C:C,"Southeast",'Data - Monthly Metrics'!D:D,"Non-Target Members - Lodging (#)"))/(SUMIFS('Data - Monthly Metrics'!E:E,'Data - Monthly Metrics'!A:A,$B$4,'Data - Monthly Metrics'!B:B,"Jan",'Data - Monthly Metrics'!C:C,"Southeast",'Data - Monthly Metrics'!D:D,"Total Target Locations - Lodging (#)")+SUMIFS('Data - Monthly Metrics'!E:E,'Data - Monthly Metrics'!A:A,$B$4,'Data - Monthly Metrics'!B:B,"Jan",'Data - Monthly Metrics'!C:C,"Southeast",'Data - Monthly Metrics'!D:D,"Non-Target Locations - Lodging (#)")))</f>
        <v/>
      </c>
      <c r="G30" s="118">
        <f>IF((SUMIFS('Data - Monthly Metrics'!E:E,'Data - Monthly Metrics'!A:A,$B$4,'Data - Monthly Metrics'!B:B,"Feb",'Data - Monthly Metrics'!C:C,"Southeast",'Data - Monthly Metrics'!D:D,"Total Target Locations - Lodging (#)")+SUMIFS('Data - Monthly Metrics'!E:E,'Data - Monthly Metrics'!A:A,$B$4,'Data - Monthly Metrics'!B:B,"Feb",'Data - Monthly Metrics'!C:C,"Southeast",'Data - Monthly Metrics'!D:D,"Non-Target Locations - Lodging (#)"))=0,"-",(SUMIFS('Data - Monthly Metrics'!E:E,'Data - Monthly Metrics'!A:A,$B$4,'Data - Monthly Metrics'!B:B,"Feb",'Data - Monthly Metrics'!C:C,"Southeast",'Data - Monthly Metrics'!D:D,"Target Members - Lodging (#)")+SUMIFS('Data - Monthly Metrics'!E:E,'Data - Monthly Metrics'!A:A,$B$4,'Data - Monthly Metrics'!B:B,"Feb",'Data - Monthly Metrics'!C:C,"Southeast",'Data - Monthly Metrics'!D:D,"Non-Target Members - Lodging (#)"))/(SUMIFS('Data - Monthly Metrics'!E:E,'Data - Monthly Metrics'!A:A,$B$4,'Data - Monthly Metrics'!B:B,"Feb",'Data - Monthly Metrics'!C:C,"Southeast",'Data - Monthly Metrics'!D:D,"Total Target Locations - Lodging (#)")+SUMIFS('Data - Monthly Metrics'!E:E,'Data - Monthly Metrics'!A:A,$B$4,'Data - Monthly Metrics'!B:B,"Feb",'Data - Monthly Metrics'!C:C,"Southeast",'Data - Monthly Metrics'!D:D,"Non-Target Locations - Lodging (#)")))</f>
        <v/>
      </c>
      <c r="H30" s="118">
        <f>IF((SUMIFS('Data - Monthly Metrics'!E:E,'Data - Monthly Metrics'!A:A,$B$4,'Data - Monthly Metrics'!B:B,"Mar",'Data - Monthly Metrics'!C:C,"Southeast",'Data - Monthly Metrics'!D:D,"Total Target Locations - Lodging (#)")+SUMIFS('Data - Monthly Metrics'!E:E,'Data - Monthly Metrics'!A:A,$B$4,'Data - Monthly Metrics'!B:B,"Mar",'Data - Monthly Metrics'!C:C,"Southeast",'Data - Monthly Metrics'!D:D,"Non-Target Locations - Lodging (#)"))=0,"-",(SUMIFS('Data - Monthly Metrics'!E:E,'Data - Monthly Metrics'!A:A,$B$4,'Data - Monthly Metrics'!B:B,"Mar",'Data - Monthly Metrics'!C:C,"Southeast",'Data - Monthly Metrics'!D:D,"Target Members - Lodging (#)")+SUMIFS('Data - Monthly Metrics'!E:E,'Data - Monthly Metrics'!A:A,$B$4,'Data - Monthly Metrics'!B:B,"Mar",'Data - Monthly Metrics'!C:C,"Southeast",'Data - Monthly Metrics'!D:D,"Non-Target Members - Lodging (#)"))/(SUMIFS('Data - Monthly Metrics'!E:E,'Data - Monthly Metrics'!A:A,$B$4,'Data - Monthly Metrics'!B:B,"Mar",'Data - Monthly Metrics'!C:C,"Southeast",'Data - Monthly Metrics'!D:D,"Total Target Locations - Lodging (#)")+SUMIFS('Data - Monthly Metrics'!E:E,'Data - Monthly Metrics'!A:A,$B$4,'Data - Monthly Metrics'!B:B,"Mar",'Data - Monthly Metrics'!C:C,"Southeast",'Data - Monthly Metrics'!D:D,"Non-Target Locations - Lodging (#)")))</f>
        <v/>
      </c>
      <c r="I30" s="116">
        <f>IF(ISNUMBER(H30),H30,IF(ISNUMBER(G30),G30,IF(ISNUMBER(F30),F30,"-")))</f>
        <v/>
      </c>
      <c r="J30" s="118">
        <f>IF((SUMIFS('Data - Monthly Metrics'!E:E,'Data - Monthly Metrics'!A:A,$B$4,'Data - Monthly Metrics'!B:B,"Apr",'Data - Monthly Metrics'!C:C,"Southeast",'Data - Monthly Metrics'!D:D,"Total Target Locations - Lodging (#)")+SUMIFS('Data - Monthly Metrics'!E:E,'Data - Monthly Metrics'!A:A,$B$4,'Data - Monthly Metrics'!B:B,"Apr",'Data - Monthly Metrics'!C:C,"Southeast",'Data - Monthly Metrics'!D:D,"Non-Target Locations - Lodging (#)"))=0,"-",(SUMIFS('Data - Monthly Metrics'!E:E,'Data - Monthly Metrics'!A:A,$B$4,'Data - Monthly Metrics'!B:B,"Apr",'Data - Monthly Metrics'!C:C,"Southeast",'Data - Monthly Metrics'!D:D,"Target Members - Lodging (#)")+SUMIFS('Data - Monthly Metrics'!E:E,'Data - Monthly Metrics'!A:A,$B$4,'Data - Monthly Metrics'!B:B,"Apr",'Data - Monthly Metrics'!C:C,"Southeast",'Data - Monthly Metrics'!D:D,"Non-Target Members - Lodging (#)"))/(SUMIFS('Data - Monthly Metrics'!E:E,'Data - Monthly Metrics'!A:A,$B$4,'Data - Monthly Metrics'!B:B,"Apr",'Data - Monthly Metrics'!C:C,"Southeast",'Data - Monthly Metrics'!D:D,"Total Target Locations - Lodging (#)")+SUMIFS('Data - Monthly Metrics'!E:E,'Data - Monthly Metrics'!A:A,$B$4,'Data - Monthly Metrics'!B:B,"Apr",'Data - Monthly Metrics'!C:C,"Southeast",'Data - Monthly Metrics'!D:D,"Non-Target Locations - Lodging (#)")))</f>
        <v/>
      </c>
      <c r="K30" s="118">
        <f>IF((SUMIFS('Data - Monthly Metrics'!E:E,'Data - Monthly Metrics'!A:A,$B$4,'Data - Monthly Metrics'!B:B,"May",'Data - Monthly Metrics'!C:C,"Southeast",'Data - Monthly Metrics'!D:D,"Total Target Locations - Lodging (#)")+SUMIFS('Data - Monthly Metrics'!E:E,'Data - Monthly Metrics'!A:A,$B$4,'Data - Monthly Metrics'!B:B,"May",'Data - Monthly Metrics'!C:C,"Southeast",'Data - Monthly Metrics'!D:D,"Non-Target Locations - Lodging (#)"))=0,"-",(SUMIFS('Data - Monthly Metrics'!E:E,'Data - Monthly Metrics'!A:A,$B$4,'Data - Monthly Metrics'!B:B,"May",'Data - Monthly Metrics'!C:C,"Southeast",'Data - Monthly Metrics'!D:D,"Target Members - Lodging (#)")+SUMIFS('Data - Monthly Metrics'!E:E,'Data - Monthly Metrics'!A:A,$B$4,'Data - Monthly Metrics'!B:B,"May",'Data - Monthly Metrics'!C:C,"Southeast",'Data - Monthly Metrics'!D:D,"Non-Target Members - Lodging (#)"))/(SUMIFS('Data - Monthly Metrics'!E:E,'Data - Monthly Metrics'!A:A,$B$4,'Data - Monthly Metrics'!B:B,"May",'Data - Monthly Metrics'!C:C,"Southeast",'Data - Monthly Metrics'!D:D,"Total Target Locations - Lodging (#)")+SUMIFS('Data - Monthly Metrics'!E:E,'Data - Monthly Metrics'!A:A,$B$4,'Data - Monthly Metrics'!B:B,"May",'Data - Monthly Metrics'!C:C,"Southeast",'Data - Monthly Metrics'!D:D,"Non-Target Locations - Lodging (#)")))</f>
        <v/>
      </c>
      <c r="L30" s="118">
        <f>IF((SUMIFS('Data - Monthly Metrics'!E:E,'Data - Monthly Metrics'!A:A,$B$4,'Data - Monthly Metrics'!B:B,"Jun",'Data - Monthly Metrics'!C:C,"Southeast",'Data - Monthly Metrics'!D:D,"Total Target Locations - Lodging (#)")+SUMIFS('Data - Monthly Metrics'!E:E,'Data - Monthly Metrics'!A:A,$B$4,'Data - Monthly Metrics'!B:B,"Jun",'Data - Monthly Metrics'!C:C,"Southeast",'Data - Monthly Metrics'!D:D,"Non-Target Locations - Lodging (#)"))=0,"-",(SUMIFS('Data - Monthly Metrics'!E:E,'Data - Monthly Metrics'!A:A,$B$4,'Data - Monthly Metrics'!B:B,"Jun",'Data - Monthly Metrics'!C:C,"Southeast",'Data - Monthly Metrics'!D:D,"Target Members - Lodging (#)")+SUMIFS('Data - Monthly Metrics'!E:E,'Data - Monthly Metrics'!A:A,$B$4,'Data - Monthly Metrics'!B:B,"Jun",'Data - Monthly Metrics'!C:C,"Southeast",'Data - Monthly Metrics'!D:D,"Non-Target Members - Lodging (#)"))/(SUMIFS('Data - Monthly Metrics'!E:E,'Data - Monthly Metrics'!A:A,$B$4,'Data - Monthly Metrics'!B:B,"Jun",'Data - Monthly Metrics'!C:C,"Southeast",'Data - Monthly Metrics'!D:D,"Total Target Locations - Lodging (#)")+SUMIFS('Data - Monthly Metrics'!E:E,'Data - Monthly Metrics'!A:A,$B$4,'Data - Monthly Metrics'!B:B,"Jun",'Data - Monthly Metrics'!C:C,"Southeast",'Data - Monthly Metrics'!D:D,"Non-Target Locations - Lodging (#)")))</f>
        <v/>
      </c>
      <c r="M30" s="116">
        <f>IF(ISNUMBER(L30),L30,IF(ISNUMBER(K30),K30,IF(ISNUMBER(J30),J30,"-")))</f>
        <v/>
      </c>
      <c r="N30" s="118">
        <f>IF((SUMIFS('Data - Monthly Metrics'!E:E,'Data - Monthly Metrics'!A:A,$B$4,'Data - Monthly Metrics'!B:B,"Jul",'Data - Monthly Metrics'!C:C,"Southeast",'Data - Monthly Metrics'!D:D,"Total Target Locations - Lodging (#)")+SUMIFS('Data - Monthly Metrics'!E:E,'Data - Monthly Metrics'!A:A,$B$4,'Data - Monthly Metrics'!B:B,"Jul",'Data - Monthly Metrics'!C:C,"Southeast",'Data - Monthly Metrics'!D:D,"Non-Target Locations - Lodging (#)"))=0,"-",(SUMIFS('Data - Monthly Metrics'!E:E,'Data - Monthly Metrics'!A:A,$B$4,'Data - Monthly Metrics'!B:B,"Jul",'Data - Monthly Metrics'!C:C,"Southeast",'Data - Monthly Metrics'!D:D,"Target Members - Lodging (#)")+SUMIFS('Data - Monthly Metrics'!E:E,'Data - Monthly Metrics'!A:A,$B$4,'Data - Monthly Metrics'!B:B,"Jul",'Data - Monthly Metrics'!C:C,"Southeast",'Data - Monthly Metrics'!D:D,"Non-Target Members - Lodging (#)"))/(SUMIFS('Data - Monthly Metrics'!E:E,'Data - Monthly Metrics'!A:A,$B$4,'Data - Monthly Metrics'!B:B,"Jul",'Data - Monthly Metrics'!C:C,"Southeast",'Data - Monthly Metrics'!D:D,"Total Target Locations - Lodging (#)")+SUMIFS('Data - Monthly Metrics'!E:E,'Data - Monthly Metrics'!A:A,$B$4,'Data - Monthly Metrics'!B:B,"Jul",'Data - Monthly Metrics'!C:C,"Southeast",'Data - Monthly Metrics'!D:D,"Non-Target Locations - Lodging (#)")))</f>
        <v/>
      </c>
      <c r="O30" s="118">
        <f>IF((SUMIFS('Data - Monthly Metrics'!E:E,'Data - Monthly Metrics'!A:A,$B$4,'Data - Monthly Metrics'!B:B,"Aug",'Data - Monthly Metrics'!C:C,"Southeast",'Data - Monthly Metrics'!D:D,"Total Target Locations - Lodging (#)")+SUMIFS('Data - Monthly Metrics'!E:E,'Data - Monthly Metrics'!A:A,$B$4,'Data - Monthly Metrics'!B:B,"Aug",'Data - Monthly Metrics'!C:C,"Southeast",'Data - Monthly Metrics'!D:D,"Non-Target Locations - Lodging (#)"))=0,"-",(SUMIFS('Data - Monthly Metrics'!E:E,'Data - Monthly Metrics'!A:A,$B$4,'Data - Monthly Metrics'!B:B,"Aug",'Data - Monthly Metrics'!C:C,"Southeast",'Data - Monthly Metrics'!D:D,"Target Members - Lodging (#)")+SUMIFS('Data - Monthly Metrics'!E:E,'Data - Monthly Metrics'!A:A,$B$4,'Data - Monthly Metrics'!B:B,"Aug",'Data - Monthly Metrics'!C:C,"Southeast",'Data - Monthly Metrics'!D:D,"Non-Target Members - Lodging (#)"))/(SUMIFS('Data - Monthly Metrics'!E:E,'Data - Monthly Metrics'!A:A,$B$4,'Data - Monthly Metrics'!B:B,"Aug",'Data - Monthly Metrics'!C:C,"Southeast",'Data - Monthly Metrics'!D:D,"Total Target Locations - Lodging (#)")+SUMIFS('Data - Monthly Metrics'!E:E,'Data - Monthly Metrics'!A:A,$B$4,'Data - Monthly Metrics'!B:B,"Aug",'Data - Monthly Metrics'!C:C,"Southeast",'Data - Monthly Metrics'!D:D,"Non-Target Locations - Lodging (#)")))</f>
        <v/>
      </c>
      <c r="P30" s="118">
        <f>IF((SUMIFS('Data - Monthly Metrics'!E:E,'Data - Monthly Metrics'!A:A,$B$4,'Data - Monthly Metrics'!B:B,"Sep",'Data - Monthly Metrics'!C:C,"Southeast",'Data - Monthly Metrics'!D:D,"Total Target Locations - Lodging (#)")+SUMIFS('Data - Monthly Metrics'!E:E,'Data - Monthly Metrics'!A:A,$B$4,'Data - Monthly Metrics'!B:B,"Sep",'Data - Monthly Metrics'!C:C,"Southeast",'Data - Monthly Metrics'!D:D,"Non-Target Locations - Lodging (#)"))=0,"-",(SUMIFS('Data - Monthly Metrics'!E:E,'Data - Monthly Metrics'!A:A,$B$4,'Data - Monthly Metrics'!B:B,"Sep",'Data - Monthly Metrics'!C:C,"Southeast",'Data - Monthly Metrics'!D:D,"Target Members - Lodging (#)")+SUMIFS('Data - Monthly Metrics'!E:E,'Data - Monthly Metrics'!A:A,$B$4,'Data - Monthly Metrics'!B:B,"Sep",'Data - Monthly Metrics'!C:C,"Southeast",'Data - Monthly Metrics'!D:D,"Non-Target Members - Lodging (#)"))/(SUMIFS('Data - Monthly Metrics'!E:E,'Data - Monthly Metrics'!A:A,$B$4,'Data - Monthly Metrics'!B:B,"Sep",'Data - Monthly Metrics'!C:C,"Southeast",'Data - Monthly Metrics'!D:D,"Total Target Locations - Lodging (#)")+SUMIFS('Data - Monthly Metrics'!E:E,'Data - Monthly Metrics'!A:A,$B$4,'Data - Monthly Metrics'!B:B,"Sep",'Data - Monthly Metrics'!C:C,"Southeast",'Data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Metrics'!C:C,"Southeast",'Data - Monthly Metrics'!D:D,"Total Target Locations - Restaurant (#)")+SUMIFS('Data - Monthly Metrics'!E:E,'Data - Monthly Metrics'!A:A,$B$4-1,'Data - Monthly Metrics'!B:B,"Oct",'Data - Monthly Metrics'!C:C,"Southeast",'Data - Monthly Metrics'!D:D,"Total Target Locations - Lodging (#)")+SUMIFS('Data - Monthly Metrics'!E:E,'Data - Monthly Metrics'!A:A,$B$4-1,'Data - Monthly Metrics'!B:B,"Oct",'Data - Monthly Metrics'!C:C,"Southeast",'Data - Monthly Metrics'!D:D,"Non-Target Locations - Restaurant (#)")+SUMIFS('Data - Monthly Metrics'!E:E,'Data - Monthly Metrics'!A:A,$B$4-1,'Data - Monthly Metrics'!B:B,"Oct",'Data - Monthly Metrics'!C:C,"Southeast",'Data - Monthly Metrics'!D:D,"Non-Target Locations - Lodging (#)"))=0,"-",(SUMIFS('Data - Monthly Metrics'!E:E,'Data - Monthly Metrics'!A:A,$B$4-1,'Data - Monthly Metrics'!B:B,"Oct",'Data - Monthly Metrics'!C:C,"Southeast",'Data - Monthly Metrics'!D:D,"Target Members - Restaurant (#)")+SUMIFS('Data - Monthly Metrics'!E:E,'Data - Monthly Metrics'!A:A,$B$4-1,'Data - Monthly Metrics'!B:B,"Oct",'Data - Monthly Metrics'!C:C,"Southeast",'Data - Monthly Metrics'!D:D,"Target Members - Lodging (#)")+SUMIFS('Data - Monthly Metrics'!E:E,'Data - Monthly Metrics'!A:A,$B$4-1,'Data - Monthly Metrics'!B:B,"Oct",'Data - Monthly Metrics'!C:C,"Southeast",'Data - Monthly Metrics'!D:D,"Non-Target Members - Restaurant (#)")+SUMIFS('Data - Monthly Metrics'!E:E,'Data - Monthly Metrics'!A:A,$B$4-1,'Data - Monthly Metrics'!B:B,"Oct",'Data - Monthly Metrics'!C:C,"Southeast",'Data - Monthly Metrics'!D:D,"Non-Target Members - Lodging (#)"))/(SUMIFS('Data - Monthly Metrics'!E:E,'Data - Monthly Metrics'!A:A,$B$4-1,'Data - Monthly Metrics'!B:B,"Oct",'Data - Monthly Metrics'!C:C,"Southeast",'Data - Monthly Metrics'!D:D,"Total Target Locations - Restaurant (#)")+SUMIFS('Data - Monthly Metrics'!E:E,'Data - Monthly Metrics'!A:A,$B$4-1,'Data - Monthly Metrics'!B:B,"Oct",'Data - Monthly Metrics'!C:C,"Southeast",'Data - Monthly Metrics'!D:D,"Total Target Locations - Lodging (#)")+SUMIFS('Data - Monthly Metrics'!E:E,'Data - Monthly Metrics'!A:A,$B$4-1,'Data - Monthly Metrics'!B:B,"Oct",'Data - Monthly Metrics'!C:C,"Southeast",'Data - Monthly Metrics'!D:D,"Non-Target Locations - Restaurant (#)")+SUMIFS('Data - Monthly Metrics'!E:E,'Data - Monthly Metrics'!A:A,$B$4-1,'Data - Monthly Metrics'!B:B,"Oct",'Data - Monthly Metrics'!C:C,"Southeast",'Data - Monthly Metrics'!D:D,"Non-Target Locations - Lodging (#)")))</f>
        <v/>
      </c>
      <c r="C31" s="115">
        <f>IF((SUMIFS('Data - Monthly Metrics'!E:E,'Data - Monthly Metrics'!A:A,$B$4-1,'Data - Monthly Metrics'!B:B,"Nov",'Data - Monthly Metrics'!C:C,"Southeast",'Data - Monthly Metrics'!D:D,"Total Target Locations - Restaurant (#)")+SUMIFS('Data - Monthly Metrics'!E:E,'Data - Monthly Metrics'!A:A,$B$4-1,'Data - Monthly Metrics'!B:B,"Nov",'Data - Monthly Metrics'!C:C,"Southeast",'Data - Monthly Metrics'!D:D,"Total Target Locations - Lodging (#)")+SUMIFS('Data - Monthly Metrics'!E:E,'Data - Monthly Metrics'!A:A,$B$4-1,'Data - Monthly Metrics'!B:B,"Nov",'Data - Monthly Metrics'!C:C,"Southeast",'Data - Monthly Metrics'!D:D,"Non-Target Locations - Restaurant (#)")+SUMIFS('Data - Monthly Metrics'!E:E,'Data - Monthly Metrics'!A:A,$B$4-1,'Data - Monthly Metrics'!B:B,"Nov",'Data - Monthly Metrics'!C:C,"Southeast",'Data - Monthly Metrics'!D:D,"Non-Target Locations - Lodging (#)"))=0,"-",(SUMIFS('Data - Monthly Metrics'!E:E,'Data - Monthly Metrics'!A:A,$B$4-1,'Data - Monthly Metrics'!B:B,"Nov",'Data - Monthly Metrics'!C:C,"Southeast",'Data - Monthly Metrics'!D:D,"Target Members - Restaurant (#)")+SUMIFS('Data - Monthly Metrics'!E:E,'Data - Monthly Metrics'!A:A,$B$4-1,'Data - Monthly Metrics'!B:B,"Nov",'Data - Monthly Metrics'!C:C,"Southeast",'Data - Monthly Metrics'!D:D,"Target Members - Lodging (#)")+SUMIFS('Data - Monthly Metrics'!E:E,'Data - Monthly Metrics'!A:A,$B$4-1,'Data - Monthly Metrics'!B:B,"Nov",'Data - Monthly Metrics'!C:C,"Southeast",'Data - Monthly Metrics'!D:D,"Non-Target Members - Restaurant (#)")+SUMIFS('Data - Monthly Metrics'!E:E,'Data - Monthly Metrics'!A:A,$B$4-1,'Data - Monthly Metrics'!B:B,"Nov",'Data - Monthly Metrics'!C:C,"Southeast",'Data - Monthly Metrics'!D:D,"Non-Target Members - Lodging (#)"))/(SUMIFS('Data - Monthly Metrics'!E:E,'Data - Monthly Metrics'!A:A,$B$4-1,'Data - Monthly Metrics'!B:B,"Nov",'Data - Monthly Metrics'!C:C,"Southeast",'Data - Monthly Metrics'!D:D,"Total Target Locations - Restaurant (#)")+SUMIFS('Data - Monthly Metrics'!E:E,'Data - Monthly Metrics'!A:A,$B$4-1,'Data - Monthly Metrics'!B:B,"Nov",'Data - Monthly Metrics'!C:C,"Southeast",'Data - Monthly Metrics'!D:D,"Total Target Locations - Lodging (#)")+SUMIFS('Data - Monthly Metrics'!E:E,'Data - Monthly Metrics'!A:A,$B$4-1,'Data - Monthly Metrics'!B:B,"Nov",'Data - Monthly Metrics'!C:C,"Southeast",'Data - Monthly Metrics'!D:D,"Non-Target Locations - Restaurant (#)")+SUMIFS('Data - Monthly Metrics'!E:E,'Data - Monthly Metrics'!A:A,$B$4-1,'Data - Monthly Metrics'!B:B,"Nov",'Data - Monthly Metrics'!C:C,"Southeast",'Data - Monthly Metrics'!D:D,"Non-Target Locations - Lodging (#)")))</f>
        <v/>
      </c>
      <c r="D31" s="115">
        <f>IF((SUMIFS('Data - Monthly Metrics'!E:E,'Data - Monthly Metrics'!A:A,$B$4-1,'Data - Monthly Metrics'!B:B,"Dec",'Data - Monthly Metrics'!C:C,"Southeast",'Data - Monthly Metrics'!D:D,"Total Target Locations - Restaurant (#)")+SUMIFS('Data - Monthly Metrics'!E:E,'Data - Monthly Metrics'!A:A,$B$4-1,'Data - Monthly Metrics'!B:B,"Dec",'Data - Monthly Metrics'!C:C,"Southeast",'Data - Monthly Metrics'!D:D,"Total Target Locations - Lodging (#)")+SUMIFS('Data - Monthly Metrics'!E:E,'Data - Monthly Metrics'!A:A,$B$4-1,'Data - Monthly Metrics'!B:B,"Dec",'Data - Monthly Metrics'!C:C,"Southeast",'Data - Monthly Metrics'!D:D,"Non-Target Locations - Restaurant (#)")+SUMIFS('Data - Monthly Metrics'!E:E,'Data - Monthly Metrics'!A:A,$B$4-1,'Data - Monthly Metrics'!B:B,"Dec",'Data - Monthly Metrics'!C:C,"Southeast",'Data - Monthly Metrics'!D:D,"Non-Target Locations - Lodging (#)"))=0,"-",(SUMIFS('Data - Monthly Metrics'!E:E,'Data - Monthly Metrics'!A:A,$B$4-1,'Data - Monthly Metrics'!B:B,"Dec",'Data - Monthly Metrics'!C:C,"Southeast",'Data - Monthly Metrics'!D:D,"Target Members - Restaurant (#)")+SUMIFS('Data - Monthly Metrics'!E:E,'Data - Monthly Metrics'!A:A,$B$4-1,'Data - Monthly Metrics'!B:B,"Dec",'Data - Monthly Metrics'!C:C,"Southeast",'Data - Monthly Metrics'!D:D,"Target Members - Lodging (#)")+SUMIFS('Data - Monthly Metrics'!E:E,'Data - Monthly Metrics'!A:A,$B$4-1,'Data - Monthly Metrics'!B:B,"Dec",'Data - Monthly Metrics'!C:C,"Southeast",'Data - Monthly Metrics'!D:D,"Non-Target Members - Restaurant (#)")+SUMIFS('Data - Monthly Metrics'!E:E,'Data - Monthly Metrics'!A:A,$B$4-1,'Data - Monthly Metrics'!B:B,"Dec",'Data - Monthly Metrics'!C:C,"Southeast",'Data - Monthly Metrics'!D:D,"Non-Target Members - Lodging (#)"))/(SUMIFS('Data - Monthly Metrics'!E:E,'Data - Monthly Metrics'!A:A,$B$4-1,'Data - Monthly Metrics'!B:B,"Dec",'Data - Monthly Metrics'!C:C,"Southeast",'Data - Monthly Metrics'!D:D,"Total Target Locations - Restaurant (#)")+SUMIFS('Data - Monthly Metrics'!E:E,'Data - Monthly Metrics'!A:A,$B$4-1,'Data - Monthly Metrics'!B:B,"Dec",'Data - Monthly Metrics'!C:C,"Southeast",'Data - Monthly Metrics'!D:D,"Total Target Locations - Lodging (#)")+SUMIFS('Data - Monthly Metrics'!E:E,'Data - Monthly Metrics'!A:A,$B$4-1,'Data - Monthly Metrics'!B:B,"Dec",'Data - Monthly Metrics'!C:C,"Southeast",'Data - Monthly Metrics'!D:D,"Non-Target Locations - Restaurant (#)")+SUMIFS('Data - Monthly Metrics'!E:E,'Data - Monthly Metrics'!A:A,$B$4-1,'Data - Monthly Metrics'!B:B,"Dec",'Data - Monthly Metrics'!C:C,"Southeast",'Data - Monthly Metrics'!D:D,"Non-Target Locations - Lodging (#)")))</f>
        <v/>
      </c>
      <c r="E31" s="116">
        <f>IF(ISNUMBER(D31),D31,IF(ISNUMBER(C31),C31,IF(ISNUMBER(B31),B31,"-")))</f>
        <v/>
      </c>
      <c r="F31" s="115">
        <f>IF((SUMIFS('Data - Monthly Metrics'!E:E,'Data - Monthly Metrics'!A:A,$B$4,'Data - Monthly Metrics'!B:B,"Jan",'Data - Monthly Metrics'!C:C,"Southeast",'Data - Monthly Metrics'!D:D,"Total Target Locations - Restaurant (#)")+SUMIFS('Data - Monthly Metrics'!E:E,'Data - Monthly Metrics'!A:A,$B$4,'Data - Monthly Metrics'!B:B,"Jan",'Data - Monthly Metrics'!C:C,"Southeast",'Data - Monthly Metrics'!D:D,"Total Target Locations - Lodging (#)")+SUMIFS('Data - Monthly Metrics'!E:E,'Data - Monthly Metrics'!A:A,$B$4,'Data - Monthly Metrics'!B:B,"Jan",'Data - Monthly Metrics'!C:C,"Southeast",'Data - Monthly Metrics'!D:D,"Non-Target Locations - Restaurant (#)")+SUMIFS('Data - Monthly Metrics'!E:E,'Data - Monthly Metrics'!A:A,$B$4,'Data - Monthly Metrics'!B:B,"Jan",'Data - Monthly Metrics'!C:C,"Southeast",'Data - Monthly Metrics'!D:D,"Non-Target Locations - Lodging (#)"))=0,"-",(SUMIFS('Data - Monthly Metrics'!E:E,'Data - Monthly Metrics'!A:A,$B$4,'Data - Monthly Metrics'!B:B,"Jan",'Data - Monthly Metrics'!C:C,"Southeast",'Data - Monthly Metrics'!D:D,"Target Members - Restaurant (#)")+SUMIFS('Data - Monthly Metrics'!E:E,'Data - Monthly Metrics'!A:A,$B$4,'Data - Monthly Metrics'!B:B,"Jan",'Data - Monthly Metrics'!C:C,"Southeast",'Data - Monthly Metrics'!D:D,"Target Members - Lodging (#)")+SUMIFS('Data - Monthly Metrics'!E:E,'Data - Monthly Metrics'!A:A,$B$4,'Data - Monthly Metrics'!B:B,"Jan",'Data - Monthly Metrics'!C:C,"Southeast",'Data - Monthly Metrics'!D:D,"Non-Target Members - Restaurant (#)")+SUMIFS('Data - Monthly Metrics'!E:E,'Data - Monthly Metrics'!A:A,$B$4,'Data - Monthly Metrics'!B:B,"Jan",'Data - Monthly Metrics'!C:C,"Southeast",'Data - Monthly Metrics'!D:D,"Non-Target Members - Lodging (#)"))/(SUMIFS('Data - Monthly Metrics'!E:E,'Data - Monthly Metrics'!A:A,$B$4,'Data - Monthly Metrics'!B:B,"Jan",'Data - Monthly Metrics'!C:C,"Southeast",'Data - Monthly Metrics'!D:D,"Total Target Locations - Restaurant (#)")+SUMIFS('Data - Monthly Metrics'!E:E,'Data - Monthly Metrics'!A:A,$B$4,'Data - Monthly Metrics'!B:B,"Jan",'Data - Monthly Metrics'!C:C,"Southeast",'Data - Monthly Metrics'!D:D,"Total Target Locations - Lodging (#)")+SUMIFS('Data - Monthly Metrics'!E:E,'Data - Monthly Metrics'!A:A,$B$4,'Data - Monthly Metrics'!B:B,"Jan",'Data - Monthly Metrics'!C:C,"Southeast",'Data - Monthly Metrics'!D:D,"Non-Target Locations - Restaurant (#)")+SUMIFS('Data - Monthly Metrics'!E:E,'Data - Monthly Metrics'!A:A,$B$4,'Data - Monthly Metrics'!B:B,"Jan",'Data - Monthly Metrics'!C:C,"Southeast",'Data - Monthly Metrics'!D:D,"Non-Target Locations - Lodging (#)")))</f>
        <v/>
      </c>
      <c r="G31" s="115">
        <f>IF((SUMIFS('Data - Monthly Metrics'!E:E,'Data - Monthly Metrics'!A:A,$B$4,'Data - Monthly Metrics'!B:B,"Feb",'Data - Monthly Metrics'!C:C,"Southeast",'Data - Monthly Metrics'!D:D,"Total Target Locations - Restaurant (#)")+SUMIFS('Data - Monthly Metrics'!E:E,'Data - Monthly Metrics'!A:A,$B$4,'Data - Monthly Metrics'!B:B,"Feb",'Data - Monthly Metrics'!C:C,"Southeast",'Data - Monthly Metrics'!D:D,"Total Target Locations - Lodging (#)")+SUMIFS('Data - Monthly Metrics'!E:E,'Data - Monthly Metrics'!A:A,$B$4,'Data - Monthly Metrics'!B:B,"Feb",'Data - Monthly Metrics'!C:C,"Southeast",'Data - Monthly Metrics'!D:D,"Non-Target Locations - Restaurant (#)")+SUMIFS('Data - Monthly Metrics'!E:E,'Data - Monthly Metrics'!A:A,$B$4,'Data - Monthly Metrics'!B:B,"Feb",'Data - Monthly Metrics'!C:C,"Southeast",'Data - Monthly Metrics'!D:D,"Non-Target Locations - Lodging (#)"))=0,"-",(SUMIFS('Data - Monthly Metrics'!E:E,'Data - Monthly Metrics'!A:A,$B$4,'Data - Monthly Metrics'!B:B,"Feb",'Data - Monthly Metrics'!C:C,"Southeast",'Data - Monthly Metrics'!D:D,"Target Members - Restaurant (#)")+SUMIFS('Data - Monthly Metrics'!E:E,'Data - Monthly Metrics'!A:A,$B$4,'Data - Monthly Metrics'!B:B,"Feb",'Data - Monthly Metrics'!C:C,"Southeast",'Data - Monthly Metrics'!D:D,"Target Members - Lodging (#)")+SUMIFS('Data - Monthly Metrics'!E:E,'Data - Monthly Metrics'!A:A,$B$4,'Data - Monthly Metrics'!B:B,"Feb",'Data - Monthly Metrics'!C:C,"Southeast",'Data - Monthly Metrics'!D:D,"Non-Target Members - Restaurant (#)")+SUMIFS('Data - Monthly Metrics'!E:E,'Data - Monthly Metrics'!A:A,$B$4,'Data - Monthly Metrics'!B:B,"Feb",'Data - Monthly Metrics'!C:C,"Southeast",'Data - Monthly Metrics'!D:D,"Non-Target Members - Lodging (#)"))/(SUMIFS('Data - Monthly Metrics'!E:E,'Data - Monthly Metrics'!A:A,$B$4,'Data - Monthly Metrics'!B:B,"Feb",'Data - Monthly Metrics'!C:C,"Southeast",'Data - Monthly Metrics'!D:D,"Total Target Locations - Restaurant (#)")+SUMIFS('Data - Monthly Metrics'!E:E,'Data - Monthly Metrics'!A:A,$B$4,'Data - Monthly Metrics'!B:B,"Feb",'Data - Monthly Metrics'!C:C,"Southeast",'Data - Monthly Metrics'!D:D,"Total Target Locations - Lodging (#)")+SUMIFS('Data - Monthly Metrics'!E:E,'Data - Monthly Metrics'!A:A,$B$4,'Data - Monthly Metrics'!B:B,"Feb",'Data - Monthly Metrics'!C:C,"Southeast",'Data - Monthly Metrics'!D:D,"Non-Target Locations - Restaurant (#)")+SUMIFS('Data - Monthly Metrics'!E:E,'Data - Monthly Metrics'!A:A,$B$4,'Data - Monthly Metrics'!B:B,"Feb",'Data - Monthly Metrics'!C:C,"Southeast",'Data - Monthly Metrics'!D:D,"Non-Target Locations - Lodging (#)")))</f>
        <v/>
      </c>
      <c r="H31" s="115">
        <f>IF((SUMIFS('Data - Monthly Metrics'!E:E,'Data - Monthly Metrics'!A:A,$B$4,'Data - Monthly Metrics'!B:B,"Mar",'Data - Monthly Metrics'!C:C,"Southeast",'Data - Monthly Metrics'!D:D,"Total Target Locations - Restaurant (#)")+SUMIFS('Data - Monthly Metrics'!E:E,'Data - Monthly Metrics'!A:A,$B$4,'Data - Monthly Metrics'!B:B,"Mar",'Data - Monthly Metrics'!C:C,"Southeast",'Data - Monthly Metrics'!D:D,"Total Target Locations - Lodging (#)")+SUMIFS('Data - Monthly Metrics'!E:E,'Data - Monthly Metrics'!A:A,$B$4,'Data - Monthly Metrics'!B:B,"Mar",'Data - Monthly Metrics'!C:C,"Southeast",'Data - Monthly Metrics'!D:D,"Non-Target Locations - Restaurant (#)")+SUMIFS('Data - Monthly Metrics'!E:E,'Data - Monthly Metrics'!A:A,$B$4,'Data - Monthly Metrics'!B:B,"Mar",'Data - Monthly Metrics'!C:C,"Southeast",'Data - Monthly Metrics'!D:D,"Non-Target Locations - Lodging (#)"))=0,"-",(SUMIFS('Data - Monthly Metrics'!E:E,'Data - Monthly Metrics'!A:A,$B$4,'Data - Monthly Metrics'!B:B,"Mar",'Data - Monthly Metrics'!C:C,"Southeast",'Data - Monthly Metrics'!D:D,"Target Members - Restaurant (#)")+SUMIFS('Data - Monthly Metrics'!E:E,'Data - Monthly Metrics'!A:A,$B$4,'Data - Monthly Metrics'!B:B,"Mar",'Data - Monthly Metrics'!C:C,"Southeast",'Data - Monthly Metrics'!D:D,"Target Members - Lodging (#)")+SUMIFS('Data - Monthly Metrics'!E:E,'Data - Monthly Metrics'!A:A,$B$4,'Data - Monthly Metrics'!B:B,"Mar",'Data - Monthly Metrics'!C:C,"Southeast",'Data - Monthly Metrics'!D:D,"Non-Target Members - Restaurant (#)")+SUMIFS('Data - Monthly Metrics'!E:E,'Data - Monthly Metrics'!A:A,$B$4,'Data - Monthly Metrics'!B:B,"Mar",'Data - Monthly Metrics'!C:C,"Southeast",'Data - Monthly Metrics'!D:D,"Non-Target Members - Lodging (#)"))/(SUMIFS('Data - Monthly Metrics'!E:E,'Data - Monthly Metrics'!A:A,$B$4,'Data - Monthly Metrics'!B:B,"Mar",'Data - Monthly Metrics'!C:C,"Southeast",'Data - Monthly Metrics'!D:D,"Total Target Locations - Restaurant (#)")+SUMIFS('Data - Monthly Metrics'!E:E,'Data - Monthly Metrics'!A:A,$B$4,'Data - Monthly Metrics'!B:B,"Mar",'Data - Monthly Metrics'!C:C,"Southeast",'Data - Monthly Metrics'!D:D,"Total Target Locations - Lodging (#)")+SUMIFS('Data - Monthly Metrics'!E:E,'Data - Monthly Metrics'!A:A,$B$4,'Data - Monthly Metrics'!B:B,"Mar",'Data - Monthly Metrics'!C:C,"Southeast",'Data - Monthly Metrics'!D:D,"Non-Target Locations - Restaurant (#)")+SUMIFS('Data - Monthly Metrics'!E:E,'Data - Monthly Metrics'!A:A,$B$4,'Data - Monthly Metrics'!B:B,"Mar",'Data - Monthly Metrics'!C:C,"Southeast",'Data - Monthly Metrics'!D:D,"Non-Target Locations - Lodging (#)")))</f>
        <v/>
      </c>
      <c r="I31" s="116">
        <f>IF(ISNUMBER(H31),H31,IF(ISNUMBER(G31),G31,IF(ISNUMBER(F31),F31,"-")))</f>
        <v/>
      </c>
      <c r="J31" s="115">
        <f>IF((SUMIFS('Data - Monthly Metrics'!E:E,'Data - Monthly Metrics'!A:A,$B$4,'Data - Monthly Metrics'!B:B,"Apr",'Data - Monthly Metrics'!C:C,"Southeast",'Data - Monthly Metrics'!D:D,"Total Target Locations - Restaurant (#)")+SUMIFS('Data - Monthly Metrics'!E:E,'Data - Monthly Metrics'!A:A,$B$4,'Data - Monthly Metrics'!B:B,"Apr",'Data - Monthly Metrics'!C:C,"Southeast",'Data - Monthly Metrics'!D:D,"Total Target Locations - Lodging (#)")+SUMIFS('Data - Monthly Metrics'!E:E,'Data - Monthly Metrics'!A:A,$B$4,'Data - Monthly Metrics'!B:B,"Apr",'Data - Monthly Metrics'!C:C,"Southeast",'Data - Monthly Metrics'!D:D,"Non-Target Locations - Restaurant (#)")+SUMIFS('Data - Monthly Metrics'!E:E,'Data - Monthly Metrics'!A:A,$B$4,'Data - Monthly Metrics'!B:B,"Apr",'Data - Monthly Metrics'!C:C,"Southeast",'Data - Monthly Metrics'!D:D,"Non-Target Locations - Lodging (#)"))=0,"-",(SUMIFS('Data - Monthly Metrics'!E:E,'Data - Monthly Metrics'!A:A,$B$4,'Data - Monthly Metrics'!B:B,"Apr",'Data - Monthly Metrics'!C:C,"Southeast",'Data - Monthly Metrics'!D:D,"Target Members - Restaurant (#)")+SUMIFS('Data - Monthly Metrics'!E:E,'Data - Monthly Metrics'!A:A,$B$4,'Data - Monthly Metrics'!B:B,"Apr",'Data - Monthly Metrics'!C:C,"Southeast",'Data - Monthly Metrics'!D:D,"Target Members - Lodging (#)")+SUMIFS('Data - Monthly Metrics'!E:E,'Data - Monthly Metrics'!A:A,$B$4,'Data - Monthly Metrics'!B:B,"Apr",'Data - Monthly Metrics'!C:C,"Southeast",'Data - Monthly Metrics'!D:D,"Non-Target Members - Restaurant (#)")+SUMIFS('Data - Monthly Metrics'!E:E,'Data - Monthly Metrics'!A:A,$B$4,'Data - Monthly Metrics'!B:B,"Apr",'Data - Monthly Metrics'!C:C,"Southeast",'Data - Monthly Metrics'!D:D,"Non-Target Members - Lodging (#)"))/(SUMIFS('Data - Monthly Metrics'!E:E,'Data - Monthly Metrics'!A:A,$B$4,'Data - Monthly Metrics'!B:B,"Apr",'Data - Monthly Metrics'!C:C,"Southeast",'Data - Monthly Metrics'!D:D,"Total Target Locations - Restaurant (#)")+SUMIFS('Data - Monthly Metrics'!E:E,'Data - Monthly Metrics'!A:A,$B$4,'Data - Monthly Metrics'!B:B,"Apr",'Data - Monthly Metrics'!C:C,"Southeast",'Data - Monthly Metrics'!D:D,"Total Target Locations - Lodging (#)")+SUMIFS('Data - Monthly Metrics'!E:E,'Data - Monthly Metrics'!A:A,$B$4,'Data - Monthly Metrics'!B:B,"Apr",'Data - Monthly Metrics'!C:C,"Southeast",'Data - Monthly Metrics'!D:D,"Non-Target Locations - Restaurant (#)")+SUMIFS('Data - Monthly Metrics'!E:E,'Data - Monthly Metrics'!A:A,$B$4,'Data - Monthly Metrics'!B:B,"Apr",'Data - Monthly Metrics'!C:C,"Southeast",'Data - Monthly Metrics'!D:D,"Non-Target Locations - Lodging (#)")))</f>
        <v/>
      </c>
      <c r="K31" s="115">
        <f>IF((SUMIFS('Data - Monthly Metrics'!E:E,'Data - Monthly Metrics'!A:A,$B$4,'Data - Monthly Metrics'!B:B,"May",'Data - Monthly Metrics'!C:C,"Southeast",'Data - Monthly Metrics'!D:D,"Total Target Locations - Restaurant (#)")+SUMIFS('Data - Monthly Metrics'!E:E,'Data - Monthly Metrics'!A:A,$B$4,'Data - Monthly Metrics'!B:B,"May",'Data - Monthly Metrics'!C:C,"Southeast",'Data - Monthly Metrics'!D:D,"Total Target Locations - Lodging (#)")+SUMIFS('Data - Monthly Metrics'!E:E,'Data - Monthly Metrics'!A:A,$B$4,'Data - Monthly Metrics'!B:B,"May",'Data - Monthly Metrics'!C:C,"Southeast",'Data - Monthly Metrics'!D:D,"Non-Target Locations - Restaurant (#)")+SUMIFS('Data - Monthly Metrics'!E:E,'Data - Monthly Metrics'!A:A,$B$4,'Data - Monthly Metrics'!B:B,"May",'Data - Monthly Metrics'!C:C,"Southeast",'Data - Monthly Metrics'!D:D,"Non-Target Locations - Lodging (#)"))=0,"-",(SUMIFS('Data - Monthly Metrics'!E:E,'Data - Monthly Metrics'!A:A,$B$4,'Data - Monthly Metrics'!B:B,"May",'Data - Monthly Metrics'!C:C,"Southeast",'Data - Monthly Metrics'!D:D,"Target Members - Restaurant (#)")+SUMIFS('Data - Monthly Metrics'!E:E,'Data - Monthly Metrics'!A:A,$B$4,'Data - Monthly Metrics'!B:B,"May",'Data - Monthly Metrics'!C:C,"Southeast",'Data - Monthly Metrics'!D:D,"Target Members - Lodging (#)")+SUMIFS('Data - Monthly Metrics'!E:E,'Data - Monthly Metrics'!A:A,$B$4,'Data - Monthly Metrics'!B:B,"May",'Data - Monthly Metrics'!C:C,"Southeast",'Data - Monthly Metrics'!D:D,"Non-Target Members - Restaurant (#)")+SUMIFS('Data - Monthly Metrics'!E:E,'Data - Monthly Metrics'!A:A,$B$4,'Data - Monthly Metrics'!B:B,"May",'Data - Monthly Metrics'!C:C,"Southeast",'Data - Monthly Metrics'!D:D,"Non-Target Members - Lodging (#)"))/(SUMIFS('Data - Monthly Metrics'!E:E,'Data - Monthly Metrics'!A:A,$B$4,'Data - Monthly Metrics'!B:B,"May",'Data - Monthly Metrics'!C:C,"Southeast",'Data - Monthly Metrics'!D:D,"Total Target Locations - Restaurant (#)")+SUMIFS('Data - Monthly Metrics'!E:E,'Data - Monthly Metrics'!A:A,$B$4,'Data - Monthly Metrics'!B:B,"May",'Data - Monthly Metrics'!C:C,"Southeast",'Data - Monthly Metrics'!D:D,"Total Target Locations - Lodging (#)")+SUMIFS('Data - Monthly Metrics'!E:E,'Data - Monthly Metrics'!A:A,$B$4,'Data - Monthly Metrics'!B:B,"May",'Data - Monthly Metrics'!C:C,"Southeast",'Data - Monthly Metrics'!D:D,"Non-Target Locations - Restaurant (#)")+SUMIFS('Data - Monthly Metrics'!E:E,'Data - Monthly Metrics'!A:A,$B$4,'Data - Monthly Metrics'!B:B,"May",'Data - Monthly Metrics'!C:C,"Southeast",'Data - Monthly Metrics'!D:D,"Non-Target Locations - Lodging (#)")))</f>
        <v/>
      </c>
      <c r="L31" s="115">
        <f>IF((SUMIFS('Data - Monthly Metrics'!E:E,'Data - Monthly Metrics'!A:A,$B$4,'Data - Monthly Metrics'!B:B,"Jun",'Data - Monthly Metrics'!C:C,"Southeast",'Data - Monthly Metrics'!D:D,"Total Target Locations - Restaurant (#)")+SUMIFS('Data - Monthly Metrics'!E:E,'Data - Monthly Metrics'!A:A,$B$4,'Data - Monthly Metrics'!B:B,"Jun",'Data - Monthly Metrics'!C:C,"Southeast",'Data - Monthly Metrics'!D:D,"Total Target Locations - Lodging (#)")+SUMIFS('Data - Monthly Metrics'!E:E,'Data - Monthly Metrics'!A:A,$B$4,'Data - Monthly Metrics'!B:B,"Jun",'Data - Monthly Metrics'!C:C,"Southeast",'Data - Monthly Metrics'!D:D,"Non-Target Locations - Restaurant (#)")+SUMIFS('Data - Monthly Metrics'!E:E,'Data - Monthly Metrics'!A:A,$B$4,'Data - Monthly Metrics'!B:B,"Jun",'Data - Monthly Metrics'!C:C,"Southeast",'Data - Monthly Metrics'!D:D,"Non-Target Locations - Lodging (#)"))=0,"-",(SUMIFS('Data - Monthly Metrics'!E:E,'Data - Monthly Metrics'!A:A,$B$4,'Data - Monthly Metrics'!B:B,"Jun",'Data - Monthly Metrics'!C:C,"Southeast",'Data - Monthly Metrics'!D:D,"Target Members - Restaurant (#)")+SUMIFS('Data - Monthly Metrics'!E:E,'Data - Monthly Metrics'!A:A,$B$4,'Data - Monthly Metrics'!B:B,"Jun",'Data - Monthly Metrics'!C:C,"Southeast",'Data - Monthly Metrics'!D:D,"Target Members - Lodging (#)")+SUMIFS('Data - Monthly Metrics'!E:E,'Data - Monthly Metrics'!A:A,$B$4,'Data - Monthly Metrics'!B:B,"Jun",'Data - Monthly Metrics'!C:C,"Southeast",'Data - Monthly Metrics'!D:D,"Non-Target Members - Restaurant (#)")+SUMIFS('Data - Monthly Metrics'!E:E,'Data - Monthly Metrics'!A:A,$B$4,'Data - Monthly Metrics'!B:B,"Jun",'Data - Monthly Metrics'!C:C,"Southeast",'Data - Monthly Metrics'!D:D,"Non-Target Members - Lodging (#)"))/(SUMIFS('Data - Monthly Metrics'!E:E,'Data - Monthly Metrics'!A:A,$B$4,'Data - Monthly Metrics'!B:B,"Jun",'Data - Monthly Metrics'!C:C,"Southeast",'Data - Monthly Metrics'!D:D,"Total Target Locations - Restaurant (#)")+SUMIFS('Data - Monthly Metrics'!E:E,'Data - Monthly Metrics'!A:A,$B$4,'Data - Monthly Metrics'!B:B,"Jun",'Data - Monthly Metrics'!C:C,"Southeast",'Data - Monthly Metrics'!D:D,"Total Target Locations - Lodging (#)")+SUMIFS('Data - Monthly Metrics'!E:E,'Data - Monthly Metrics'!A:A,$B$4,'Data - Monthly Metrics'!B:B,"Jun",'Data - Monthly Metrics'!C:C,"Southeast",'Data - Monthly Metrics'!D:D,"Non-Target Locations - Restaurant (#)")+SUMIFS('Data - Monthly Metrics'!E:E,'Data - Monthly Metrics'!A:A,$B$4,'Data - Monthly Metrics'!B:B,"Jun",'Data - Monthly Metrics'!C:C,"Southeast",'Data - Monthly Metrics'!D:D,"Non-Target Locations - Lodging (#)")))</f>
        <v/>
      </c>
      <c r="M31" s="116">
        <f>IF(ISNUMBER(L31),L31,IF(ISNUMBER(K31),K31,IF(ISNUMBER(J31),J31,"-")))</f>
        <v/>
      </c>
      <c r="N31" s="115">
        <f>IF((SUMIFS('Data - Monthly Metrics'!E:E,'Data - Monthly Metrics'!A:A,$B$4,'Data - Monthly Metrics'!B:B,"Jul",'Data - Monthly Metrics'!C:C,"Southeast",'Data - Monthly Metrics'!D:D,"Total Target Locations - Restaurant (#)")+SUMIFS('Data - Monthly Metrics'!E:E,'Data - Monthly Metrics'!A:A,$B$4,'Data - Monthly Metrics'!B:B,"Jul",'Data - Monthly Metrics'!C:C,"Southeast",'Data - Monthly Metrics'!D:D,"Total Target Locations - Lodging (#)")+SUMIFS('Data - Monthly Metrics'!E:E,'Data - Monthly Metrics'!A:A,$B$4,'Data - Monthly Metrics'!B:B,"Jul",'Data - Monthly Metrics'!C:C,"Southeast",'Data - Monthly Metrics'!D:D,"Non-Target Locations - Restaurant (#)")+SUMIFS('Data - Monthly Metrics'!E:E,'Data - Monthly Metrics'!A:A,$B$4,'Data - Monthly Metrics'!B:B,"Jul",'Data - Monthly Metrics'!C:C,"Southeast",'Data - Monthly Metrics'!D:D,"Non-Target Locations - Lodging (#)"))=0,"-",(SUMIFS('Data - Monthly Metrics'!E:E,'Data - Monthly Metrics'!A:A,$B$4,'Data - Monthly Metrics'!B:B,"Jul",'Data - Monthly Metrics'!C:C,"Southeast",'Data - Monthly Metrics'!D:D,"Target Members - Restaurant (#)")+SUMIFS('Data - Monthly Metrics'!E:E,'Data - Monthly Metrics'!A:A,$B$4,'Data - Monthly Metrics'!B:B,"Jul",'Data - Monthly Metrics'!C:C,"Southeast",'Data - Monthly Metrics'!D:D,"Target Members - Lodging (#)")+SUMIFS('Data - Monthly Metrics'!E:E,'Data - Monthly Metrics'!A:A,$B$4,'Data - Monthly Metrics'!B:B,"Jul",'Data - Monthly Metrics'!C:C,"Southeast",'Data - Monthly Metrics'!D:D,"Non-Target Members - Restaurant (#)")+SUMIFS('Data - Monthly Metrics'!E:E,'Data - Monthly Metrics'!A:A,$B$4,'Data - Monthly Metrics'!B:B,"Jul",'Data - Monthly Metrics'!C:C,"Southeast",'Data - Monthly Metrics'!D:D,"Non-Target Members - Lodging (#)"))/(SUMIFS('Data - Monthly Metrics'!E:E,'Data - Monthly Metrics'!A:A,$B$4,'Data - Monthly Metrics'!B:B,"Jul",'Data - Monthly Metrics'!C:C,"Southeast",'Data - Monthly Metrics'!D:D,"Total Target Locations - Restaurant (#)")+SUMIFS('Data - Monthly Metrics'!E:E,'Data - Monthly Metrics'!A:A,$B$4,'Data - Monthly Metrics'!B:B,"Jul",'Data - Monthly Metrics'!C:C,"Southeast",'Data - Monthly Metrics'!D:D,"Total Target Locations - Lodging (#)")+SUMIFS('Data - Monthly Metrics'!E:E,'Data - Monthly Metrics'!A:A,$B$4,'Data - Monthly Metrics'!B:B,"Jul",'Data - Monthly Metrics'!C:C,"Southeast",'Data - Monthly Metrics'!D:D,"Non-Target Locations - Restaurant (#)")+SUMIFS('Data - Monthly Metrics'!E:E,'Data - Monthly Metrics'!A:A,$B$4,'Data - Monthly Metrics'!B:B,"Jul",'Data - Monthly Metrics'!C:C,"Southeast",'Data - Monthly Metrics'!D:D,"Non-Target Locations - Lodging (#)")))</f>
        <v/>
      </c>
      <c r="O31" s="115">
        <f>IF((SUMIFS('Data - Monthly Metrics'!E:E,'Data - Monthly Metrics'!A:A,$B$4,'Data - Monthly Metrics'!B:B,"Aug",'Data - Monthly Metrics'!C:C,"Southeast",'Data - Monthly Metrics'!D:D,"Total Target Locations - Restaurant (#)")+SUMIFS('Data - Monthly Metrics'!E:E,'Data - Monthly Metrics'!A:A,$B$4,'Data - Monthly Metrics'!B:B,"Aug",'Data - Monthly Metrics'!C:C,"Southeast",'Data - Monthly Metrics'!D:D,"Total Target Locations - Lodging (#)")+SUMIFS('Data - Monthly Metrics'!E:E,'Data - Monthly Metrics'!A:A,$B$4,'Data - Monthly Metrics'!B:B,"Aug",'Data - Monthly Metrics'!C:C,"Southeast",'Data - Monthly Metrics'!D:D,"Non-Target Locations - Restaurant (#)")+SUMIFS('Data - Monthly Metrics'!E:E,'Data - Monthly Metrics'!A:A,$B$4,'Data - Monthly Metrics'!B:B,"Aug",'Data - Monthly Metrics'!C:C,"Southeast",'Data - Monthly Metrics'!D:D,"Non-Target Locations - Lodging (#)"))=0,"-",(SUMIFS('Data - Monthly Metrics'!E:E,'Data - Monthly Metrics'!A:A,$B$4,'Data - Monthly Metrics'!B:B,"Aug",'Data - Monthly Metrics'!C:C,"Southeast",'Data - Monthly Metrics'!D:D,"Target Members - Restaurant (#)")+SUMIFS('Data - Monthly Metrics'!E:E,'Data - Monthly Metrics'!A:A,$B$4,'Data - Monthly Metrics'!B:B,"Aug",'Data - Monthly Metrics'!C:C,"Southeast",'Data - Monthly Metrics'!D:D,"Target Members - Lodging (#)")+SUMIFS('Data - Monthly Metrics'!E:E,'Data - Monthly Metrics'!A:A,$B$4,'Data - Monthly Metrics'!B:B,"Aug",'Data - Monthly Metrics'!C:C,"Southeast",'Data - Monthly Metrics'!D:D,"Non-Target Members - Restaurant (#)")+SUMIFS('Data - Monthly Metrics'!E:E,'Data - Monthly Metrics'!A:A,$B$4,'Data - Monthly Metrics'!B:B,"Aug",'Data - Monthly Metrics'!C:C,"Southeast",'Data - Monthly Metrics'!D:D,"Non-Target Members - Lodging (#)"))/(SUMIFS('Data - Monthly Metrics'!E:E,'Data - Monthly Metrics'!A:A,$B$4,'Data - Monthly Metrics'!B:B,"Aug",'Data - Monthly Metrics'!C:C,"Southeast",'Data - Monthly Metrics'!D:D,"Total Target Locations - Restaurant (#)")+SUMIFS('Data - Monthly Metrics'!E:E,'Data - Monthly Metrics'!A:A,$B$4,'Data - Monthly Metrics'!B:B,"Aug",'Data - Monthly Metrics'!C:C,"Southeast",'Data - Monthly Metrics'!D:D,"Total Target Locations - Lodging (#)")+SUMIFS('Data - Monthly Metrics'!E:E,'Data - Monthly Metrics'!A:A,$B$4,'Data - Monthly Metrics'!B:B,"Aug",'Data - Monthly Metrics'!C:C,"Southeast",'Data - Monthly Metrics'!D:D,"Non-Target Locations - Restaurant (#)")+SUMIFS('Data - Monthly Metrics'!E:E,'Data - Monthly Metrics'!A:A,$B$4,'Data - Monthly Metrics'!B:B,"Aug",'Data - Monthly Metrics'!C:C,"Southeast",'Data - Monthly Metrics'!D:D,"Non-Target Locations - Lodging (#)")))</f>
        <v/>
      </c>
      <c r="P31" s="115">
        <f>IF((SUMIFS('Data - Monthly Metrics'!E:E,'Data - Monthly Metrics'!A:A,$B$4,'Data - Monthly Metrics'!B:B,"Sep",'Data - Monthly Metrics'!C:C,"Southeast",'Data - Monthly Metrics'!D:D,"Total Target Locations - Restaurant (#)")+SUMIFS('Data - Monthly Metrics'!E:E,'Data - Monthly Metrics'!A:A,$B$4,'Data - Monthly Metrics'!B:B,"Sep",'Data - Monthly Metrics'!C:C,"Southeast",'Data - Monthly Metrics'!D:D,"Total Target Locations - Lodging (#)")+SUMIFS('Data - Monthly Metrics'!E:E,'Data - Monthly Metrics'!A:A,$B$4,'Data - Monthly Metrics'!B:B,"Sep",'Data - Monthly Metrics'!C:C,"Southeast",'Data - Monthly Metrics'!D:D,"Non-Target Locations - Restaurant (#)")+SUMIFS('Data - Monthly Metrics'!E:E,'Data - Monthly Metrics'!A:A,$B$4,'Data - Monthly Metrics'!B:B,"Sep",'Data - Monthly Metrics'!C:C,"Southeast",'Data - Monthly Metrics'!D:D,"Non-Target Locations - Lodging (#)"))=0,"-",(SUMIFS('Data - Monthly Metrics'!E:E,'Data - Monthly Metrics'!A:A,$B$4,'Data - Monthly Metrics'!B:B,"Sep",'Data - Monthly Metrics'!C:C,"Southeast",'Data - Monthly Metrics'!D:D,"Target Members - Restaurant (#)")+SUMIFS('Data - Monthly Metrics'!E:E,'Data - Monthly Metrics'!A:A,$B$4,'Data - Monthly Metrics'!B:B,"Sep",'Data - Monthly Metrics'!C:C,"Southeast",'Data - Monthly Metrics'!D:D,"Target Members - Lodging (#)")+SUMIFS('Data - Monthly Metrics'!E:E,'Data - Monthly Metrics'!A:A,$B$4,'Data - Monthly Metrics'!B:B,"Sep",'Data - Monthly Metrics'!C:C,"Southeast",'Data - Monthly Metrics'!D:D,"Non-Target Members - Restaurant (#)")+SUMIFS('Data - Monthly Metrics'!E:E,'Data - Monthly Metrics'!A:A,$B$4,'Data - Monthly Metrics'!B:B,"Sep",'Data - Monthly Metrics'!C:C,"Southeast",'Data - Monthly Metrics'!D:D,"Non-Target Members - Lodging (#)"))/(SUMIFS('Data - Monthly Metrics'!E:E,'Data - Monthly Metrics'!A:A,$B$4,'Data - Monthly Metrics'!B:B,"Sep",'Data - Monthly Metrics'!C:C,"Southeast",'Data - Monthly Metrics'!D:D,"Total Target Locations - Restaurant (#)")+SUMIFS('Data - Monthly Metrics'!E:E,'Data - Monthly Metrics'!A:A,$B$4,'Data - Monthly Metrics'!B:B,"Sep",'Data - Monthly Metrics'!C:C,"Southeast",'Data - Monthly Metrics'!D:D,"Total Target Locations - Lodging (#)")+SUMIFS('Data - Monthly Metrics'!E:E,'Data - Monthly Metrics'!A:A,$B$4,'Data - Monthly Metrics'!B:B,"Sep",'Data - Monthly Metrics'!C:C,"Southeast",'Data - Monthly Metrics'!D:D,"Non-Target Locations - Restaurant (#)")+SUMIFS('Data - Monthly Metrics'!E:E,'Data - Monthly Metrics'!A:A,$B$4,'Data - Monthly Metrics'!B:B,"Sep",'Data - Monthly Metrics'!C:C,"Southeast",'Data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Metrics'!C:C,"Southeast",'Data - Monthly Metrics'!D:D,"Goal - New Sales Revenue ($)")=0,"-",SUMIFS('Data - Monthly Metrics'!E:E,'Data - Monthly Metrics'!A:A,$B$4-1,'Data - Monthly Metrics'!B:B,"Oct",'Data - Monthly Metrics'!C:C,"Southeast",'Data - Monthly Metrics'!D:D,"Goal - New Sales Revenue ($)"))</f>
        <v/>
      </c>
      <c r="C37" s="91">
        <f>IF(COUNTIFS('Data - Monthly Metrics'!A:A,$B$4-1,'Data - Monthly Metrics'!B:B,"Nov",'Data - Monthly Metrics'!C:C,"Southeast",'Data - Monthly Metrics'!D:D,"Goal - New Sales Revenue ($)")=0,"-",SUMIFS('Data - Monthly Metrics'!E:E,'Data - Monthly Metrics'!A:A,$B$4-1,'Data - Monthly Metrics'!B:B,"Nov",'Data - Monthly Metrics'!C:C,"Southeast",'Data - Monthly Metrics'!D:D,"Goal - New Sales Revenue ($)"))</f>
        <v/>
      </c>
      <c r="D37" s="91">
        <f>IF(COUNTIFS('Data - Monthly Metrics'!A:A,$B$4-1,'Data - Monthly Metrics'!B:B,"Dec",'Data - Monthly Metrics'!C:C,"Southeast",'Data - Monthly Metrics'!D:D,"Goal - New Sales Revenue ($)")=0,"-",SUMIFS('Data - Monthly Metrics'!E:E,'Data - Monthly Metrics'!A:A,$B$4-1,'Data - Monthly Metrics'!B:B,"Dec",'Data - Monthly Metrics'!C:C,"Southeast",'Data - Monthly Metrics'!D:D,"Goal - New Sales Revenue ($)"))</f>
        <v/>
      </c>
      <c r="E37" s="101">
        <f>SUM(B37,C37,D37)</f>
        <v/>
      </c>
      <c r="F37" s="91">
        <f>IF(COUNTIFS('Data - Monthly Metrics'!A:A,$B$4,'Data - Monthly Metrics'!B:B,"Jan",'Data - Monthly Metrics'!C:C,"Southeast",'Data - Monthly Metrics'!D:D,"Goal - New Sales Revenue ($)")=0,"-",SUMIFS('Data - Monthly Metrics'!E:E,'Data - Monthly Metrics'!A:A,$B$4,'Data - Monthly Metrics'!B:B,"Jan",'Data - Monthly Metrics'!C:C,"Southeast",'Data - Monthly Metrics'!D:D,"Goal - New Sales Revenue ($)"))</f>
        <v/>
      </c>
      <c r="G37" s="91">
        <f>IF(COUNTIFS('Data - Monthly Metrics'!A:A,$B$4,'Data - Monthly Metrics'!B:B,"Feb",'Data - Monthly Metrics'!C:C,"Southeast",'Data - Monthly Metrics'!D:D,"Goal - New Sales Revenue ($)")=0,"-",SUMIFS('Data - Monthly Metrics'!E:E,'Data - Monthly Metrics'!A:A,$B$4,'Data - Monthly Metrics'!B:B,"Feb",'Data - Monthly Metrics'!C:C,"Southeast",'Data - Monthly Metrics'!D:D,"Goal - New Sales Revenue ($)"))</f>
        <v/>
      </c>
      <c r="H37" s="91">
        <f>IF(COUNTIFS('Data - Monthly Metrics'!A:A,$B$4,'Data - Monthly Metrics'!B:B,"Mar",'Data - Monthly Metrics'!C:C,"Southeast",'Data - Monthly Metrics'!D:D,"Goal - New Sales Revenue ($)")=0,"-",SUMIFS('Data - Monthly Metrics'!E:E,'Data - Monthly Metrics'!A:A,$B$4,'Data - Monthly Metrics'!B:B,"Mar",'Data - Monthly Metrics'!C:C,"Southeast",'Data - Monthly Metrics'!D:D,"Goal - New Sales Revenue ($)"))</f>
        <v/>
      </c>
      <c r="I37" s="101">
        <f>SUM(F37,G37,H37)</f>
        <v/>
      </c>
      <c r="J37" s="91">
        <f>IF(COUNTIFS('Data - Monthly Metrics'!A:A,$B$4,'Data - Monthly Metrics'!B:B,"Apr",'Data - Monthly Metrics'!C:C,"Southeast",'Data - Monthly Metrics'!D:D,"Goal - New Sales Revenue ($)")=0,"-",SUMIFS('Data - Monthly Metrics'!E:E,'Data - Monthly Metrics'!A:A,$B$4,'Data - Monthly Metrics'!B:B,"Apr",'Data - Monthly Metrics'!C:C,"Southeast",'Data - Monthly Metrics'!D:D,"Goal - New Sales Revenue ($)"))</f>
        <v/>
      </c>
      <c r="K37" s="91">
        <f>IF(COUNTIFS('Data - Monthly Metrics'!A:A,$B$4,'Data - Monthly Metrics'!B:B,"May",'Data - Monthly Metrics'!C:C,"Southeast",'Data - Monthly Metrics'!D:D,"Goal - New Sales Revenue ($)")=0,"-",SUMIFS('Data - Monthly Metrics'!E:E,'Data - Monthly Metrics'!A:A,$B$4,'Data - Monthly Metrics'!B:B,"May",'Data - Monthly Metrics'!C:C,"Southeast",'Data - Monthly Metrics'!D:D,"Goal - New Sales Revenue ($)"))</f>
        <v/>
      </c>
      <c r="L37" s="91">
        <f>IF(COUNTIFS('Data - Monthly Metrics'!A:A,$B$4,'Data - Monthly Metrics'!B:B,"Jun",'Data - Monthly Metrics'!C:C,"Southeast",'Data - Monthly Metrics'!D:D,"Goal - New Sales Revenue ($)")=0,"-",SUMIFS('Data - Monthly Metrics'!E:E,'Data - Monthly Metrics'!A:A,$B$4,'Data - Monthly Metrics'!B:B,"Jun",'Data - Monthly Metrics'!C:C,"Southeast",'Data - Monthly Metrics'!D:D,"Goal - New Sales Revenue ($)"))</f>
        <v/>
      </c>
      <c r="M37" s="101">
        <f>SUM(J37,K37,L37)</f>
        <v/>
      </c>
      <c r="N37" s="91">
        <f>IF(COUNTIFS('Data - Monthly Metrics'!A:A,$B$4,'Data - Monthly Metrics'!B:B,"Jul",'Data - Monthly Metrics'!C:C,"Southeast",'Data - Monthly Metrics'!D:D,"Goal - New Sales Revenue ($)")=0,"-",SUMIFS('Data - Monthly Metrics'!E:E,'Data - Monthly Metrics'!A:A,$B$4,'Data - Monthly Metrics'!B:B,"Jul",'Data - Monthly Metrics'!C:C,"Southeast",'Data - Monthly Metrics'!D:D,"Goal - New Sales Revenue ($)"))</f>
        <v/>
      </c>
      <c r="O37" s="91">
        <f>IF(COUNTIFS('Data - Monthly Metrics'!A:A,$B$4,'Data - Monthly Metrics'!B:B,"Aug",'Data - Monthly Metrics'!C:C,"Southeast",'Data - Monthly Metrics'!D:D,"Goal - New Sales Revenue ($)")=0,"-",SUMIFS('Data - Monthly Metrics'!E:E,'Data - Monthly Metrics'!A:A,$B$4,'Data - Monthly Metrics'!B:B,"Aug",'Data - Monthly Metrics'!C:C,"Southeast",'Data - Monthly Metrics'!D:D,"Goal - New Sales Revenue ($)"))</f>
        <v/>
      </c>
      <c r="P37" s="91">
        <f>IF(COUNTIFS('Data - Monthly Metrics'!A:A,$B$4,'Data - Monthly Metrics'!B:B,"Sep",'Data - Monthly Metrics'!C:C,"Southeast",'Data - Monthly Metrics'!D:D,"Goal - New Sales Revenue ($)")=0,"-",SUMIFS('Data - Monthly Metrics'!E:E,'Data - Monthly Metrics'!A:A,$B$4,'Data - Monthly Metrics'!B:B,"Sep",'Data - Monthly Metrics'!C:C,"Southeast",'Data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Metrics'!C:C,"Southeast",'Data - Monthly Metrics'!D:D,"New Sales Revenue - Target ($)")=0,"-",SUMIFS('Data - Monthly Metrics'!E:E,'Data - Monthly Metrics'!A:A,$B$4-1,'Data - Monthly Metrics'!B:B,"Oct",'Data - Monthly Metrics'!C:C,"Southeast",'Data - Monthly Metrics'!D:D,"New Sales Revenue - Target ($)"))</f>
        <v/>
      </c>
      <c r="C38" s="96">
        <f>IF(COUNTIFS('Data - Monthly Metrics'!A:A,$B$4-1,'Data - Monthly Metrics'!B:B,"Nov",'Data - Monthly Metrics'!C:C,"Southeast",'Data - Monthly Metrics'!D:D,"New Sales Revenue - Target ($)")=0,"-",SUMIFS('Data - Monthly Metrics'!E:E,'Data - Monthly Metrics'!A:A,$B$4-1,'Data - Monthly Metrics'!B:B,"Nov",'Data - Monthly Metrics'!C:C,"Southeast",'Data - Monthly Metrics'!D:D,"New Sales Revenue - Target ($)"))</f>
        <v/>
      </c>
      <c r="D38" s="96">
        <f>IF(COUNTIFS('Data - Monthly Metrics'!A:A,$B$4-1,'Data - Monthly Metrics'!B:B,"Dec",'Data - Monthly Metrics'!C:C,"Southeast",'Data - Monthly Metrics'!D:D,"New Sales Revenue - Target ($)")=0,"-",SUMIFS('Data - Monthly Metrics'!E:E,'Data - Monthly Metrics'!A:A,$B$4-1,'Data - Monthly Metrics'!B:B,"Dec",'Data - Monthly Metrics'!C:C,"Southeast",'Data - Monthly Metrics'!D:D,"New Sales Revenue - Target ($)"))</f>
        <v/>
      </c>
      <c r="E38" s="101">
        <f>SUM(B38,C38,D38)</f>
        <v/>
      </c>
      <c r="F38" s="96">
        <f>IF(COUNTIFS('Data - Monthly Metrics'!A:A,$B$4,'Data - Monthly Metrics'!B:B,"Jan",'Data - Monthly Metrics'!C:C,"Southeast",'Data - Monthly Metrics'!D:D,"New Sales Revenue - Target ($)")=0,"-",SUMIFS('Data - Monthly Metrics'!E:E,'Data - Monthly Metrics'!A:A,$B$4,'Data - Monthly Metrics'!B:B,"Jan",'Data - Monthly Metrics'!C:C,"Southeast",'Data - Monthly Metrics'!D:D,"New Sales Revenue - Target ($)"))</f>
        <v/>
      </c>
      <c r="G38" s="96">
        <f>IF(COUNTIFS('Data - Monthly Metrics'!A:A,$B$4,'Data - Monthly Metrics'!B:B,"Feb",'Data - Monthly Metrics'!C:C,"Southeast",'Data - Monthly Metrics'!D:D,"New Sales Revenue - Target ($)")=0,"-",SUMIFS('Data - Monthly Metrics'!E:E,'Data - Monthly Metrics'!A:A,$B$4,'Data - Monthly Metrics'!B:B,"Feb",'Data - Monthly Metrics'!C:C,"Southeast",'Data - Monthly Metrics'!D:D,"New Sales Revenue - Target ($)"))</f>
        <v/>
      </c>
      <c r="H38" s="96">
        <f>IF(COUNTIFS('Data - Monthly Metrics'!A:A,$B$4,'Data - Monthly Metrics'!B:B,"Mar",'Data - Monthly Metrics'!C:C,"Southeast",'Data - Monthly Metrics'!D:D,"New Sales Revenue - Target ($)")=0,"-",SUMIFS('Data - Monthly Metrics'!E:E,'Data - Monthly Metrics'!A:A,$B$4,'Data - Monthly Metrics'!B:B,"Mar",'Data - Monthly Metrics'!C:C,"Southeast",'Data - Monthly Metrics'!D:D,"New Sales Revenue - Target ($)"))</f>
        <v/>
      </c>
      <c r="I38" s="101">
        <f>SUM(F38,G38,H38)</f>
        <v/>
      </c>
      <c r="J38" s="96">
        <f>IF(COUNTIFS('Data - Monthly Metrics'!A:A,$B$4,'Data - Monthly Metrics'!B:B,"Apr",'Data - Monthly Metrics'!C:C,"Southeast",'Data - Monthly Metrics'!D:D,"New Sales Revenue - Target ($)")=0,"-",SUMIFS('Data - Monthly Metrics'!E:E,'Data - Monthly Metrics'!A:A,$B$4,'Data - Monthly Metrics'!B:B,"Apr",'Data - Monthly Metrics'!C:C,"Southeast",'Data - Monthly Metrics'!D:D,"New Sales Revenue - Target ($)"))</f>
        <v/>
      </c>
      <c r="K38" s="96">
        <f>IF(COUNTIFS('Data - Monthly Metrics'!A:A,$B$4,'Data - Monthly Metrics'!B:B,"May",'Data - Monthly Metrics'!C:C,"Southeast",'Data - Monthly Metrics'!D:D,"New Sales Revenue - Target ($)")=0,"-",SUMIFS('Data - Monthly Metrics'!E:E,'Data - Monthly Metrics'!A:A,$B$4,'Data - Monthly Metrics'!B:B,"May",'Data - Monthly Metrics'!C:C,"Southeast",'Data - Monthly Metrics'!D:D,"New Sales Revenue - Target ($)"))</f>
        <v/>
      </c>
      <c r="L38" s="96">
        <f>IF(COUNTIFS('Data - Monthly Metrics'!A:A,$B$4,'Data - Monthly Metrics'!B:B,"Jun",'Data - Monthly Metrics'!C:C,"Southeast",'Data - Monthly Metrics'!D:D,"New Sales Revenue - Target ($)")=0,"-",SUMIFS('Data - Monthly Metrics'!E:E,'Data - Monthly Metrics'!A:A,$B$4,'Data - Monthly Metrics'!B:B,"Jun",'Data - Monthly Metrics'!C:C,"Southeast",'Data - Monthly Metrics'!D:D,"New Sales Revenue - Target ($)"))</f>
        <v/>
      </c>
      <c r="M38" s="101">
        <f>SUM(J38,K38,L38)</f>
        <v/>
      </c>
      <c r="N38" s="96">
        <f>IF(COUNTIFS('Data - Monthly Metrics'!A:A,$B$4,'Data - Monthly Metrics'!B:B,"Jul",'Data - Monthly Metrics'!C:C,"Southeast",'Data - Monthly Metrics'!D:D,"New Sales Revenue - Target ($)")=0,"-",SUMIFS('Data - Monthly Metrics'!E:E,'Data - Monthly Metrics'!A:A,$B$4,'Data - Monthly Metrics'!B:B,"Jul",'Data - Monthly Metrics'!C:C,"Southeast",'Data - Monthly Metrics'!D:D,"New Sales Revenue - Target ($)"))</f>
        <v/>
      </c>
      <c r="O38" s="96">
        <f>IF(COUNTIFS('Data - Monthly Metrics'!A:A,$B$4,'Data - Monthly Metrics'!B:B,"Aug",'Data - Monthly Metrics'!C:C,"Southeast",'Data - Monthly Metrics'!D:D,"New Sales Revenue - Target ($)")=0,"-",SUMIFS('Data - Monthly Metrics'!E:E,'Data - Monthly Metrics'!A:A,$B$4,'Data - Monthly Metrics'!B:B,"Aug",'Data - Monthly Metrics'!C:C,"Southeast",'Data - Monthly Metrics'!D:D,"New Sales Revenue - Target ($)"))</f>
        <v/>
      </c>
      <c r="P38" s="96">
        <f>IF(COUNTIFS('Data - Monthly Metrics'!A:A,$B$4,'Data - Monthly Metrics'!B:B,"Sep",'Data - Monthly Metrics'!C:C,"Southeast",'Data - Monthly Metrics'!D:D,"New Sales Revenue - Target ($)")=0,"-",SUMIFS('Data - Monthly Metrics'!E:E,'Data - Monthly Metrics'!A:A,$B$4,'Data - Monthly Metrics'!B:B,"Sep",'Data - Monthly Metrics'!C:C,"Southeast",'Data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Metrics'!C:C,"Southeast",'Data - Monthly Metrics'!D:D,"Goal - New Members (#)")=0,"-",SUMIFS('Data - Monthly Metrics'!E:E,'Data - Monthly Metrics'!A:A,$B$4-1,'Data - Monthly Metrics'!B:B,"Oct",'Data - Monthly Metrics'!C:C,"Southeast",'Data - Monthly Metrics'!D:D,"Goal - New Members (#)"))</f>
        <v/>
      </c>
      <c r="C41" s="93">
        <f>IF(COUNTIFS('Data - Monthly Metrics'!A:A,$B$4-1,'Data - Monthly Metrics'!B:B,"Nov",'Data - Monthly Metrics'!C:C,"Southeast",'Data - Monthly Metrics'!D:D,"Goal - New Members (#)")=0,"-",SUMIFS('Data - Monthly Metrics'!E:E,'Data - Monthly Metrics'!A:A,$B$4-1,'Data - Monthly Metrics'!B:B,"Nov",'Data - Monthly Metrics'!C:C,"Southeast",'Data - Monthly Metrics'!D:D,"Goal - New Members (#)"))</f>
        <v/>
      </c>
      <c r="D41" s="93">
        <f>IF(COUNTIFS('Data - Monthly Metrics'!A:A,$B$4-1,'Data - Monthly Metrics'!B:B,"Dec",'Data - Monthly Metrics'!C:C,"Southeast",'Data - Monthly Metrics'!D:D,"Goal - New Members (#)")=0,"-",SUMIFS('Data - Monthly Metrics'!E:E,'Data - Monthly Metrics'!A:A,$B$4-1,'Data - Monthly Metrics'!B:B,"Dec",'Data - Monthly Metrics'!C:C,"Southeast",'Data - Monthly Metrics'!D:D,"Goal - New Members (#)"))</f>
        <v/>
      </c>
      <c r="E41" s="103">
        <f>SUM(B41,C41,D41)</f>
        <v/>
      </c>
      <c r="F41" s="93">
        <f>IF(COUNTIFS('Data - Monthly Metrics'!A:A,$B$4,'Data - Monthly Metrics'!B:B,"Jan",'Data - Monthly Metrics'!C:C,"Southeast",'Data - Monthly Metrics'!D:D,"Goal - New Members (#)")=0,"-",SUMIFS('Data - Monthly Metrics'!E:E,'Data - Monthly Metrics'!A:A,$B$4,'Data - Monthly Metrics'!B:B,"Jan",'Data - Monthly Metrics'!C:C,"Southeast",'Data - Monthly Metrics'!D:D,"Goal - New Members (#)"))</f>
        <v/>
      </c>
      <c r="G41" s="93">
        <f>IF(COUNTIFS('Data - Monthly Metrics'!A:A,$B$4,'Data - Monthly Metrics'!B:B,"Feb",'Data - Monthly Metrics'!C:C,"Southeast",'Data - Monthly Metrics'!D:D,"Goal - New Members (#)")=0,"-",SUMIFS('Data - Monthly Metrics'!E:E,'Data - Monthly Metrics'!A:A,$B$4,'Data - Monthly Metrics'!B:B,"Feb",'Data - Monthly Metrics'!C:C,"Southeast",'Data - Monthly Metrics'!D:D,"Goal - New Members (#)"))</f>
        <v/>
      </c>
      <c r="H41" s="93">
        <f>IF(COUNTIFS('Data - Monthly Metrics'!A:A,$B$4,'Data - Monthly Metrics'!B:B,"Mar",'Data - Monthly Metrics'!C:C,"Southeast",'Data - Monthly Metrics'!D:D,"Goal - New Members (#)")=0,"-",SUMIFS('Data - Monthly Metrics'!E:E,'Data - Monthly Metrics'!A:A,$B$4,'Data - Monthly Metrics'!B:B,"Mar",'Data - Monthly Metrics'!C:C,"Southeast",'Data - Monthly Metrics'!D:D,"Goal - New Members (#)"))</f>
        <v/>
      </c>
      <c r="I41" s="103">
        <f>SUM(F41,G41,H41)</f>
        <v/>
      </c>
      <c r="J41" s="93">
        <f>IF(COUNTIFS('Data - Monthly Metrics'!A:A,$B$4,'Data - Monthly Metrics'!B:B,"Apr",'Data - Monthly Metrics'!C:C,"Southeast",'Data - Monthly Metrics'!D:D,"Goal - New Members (#)")=0,"-",SUMIFS('Data - Monthly Metrics'!E:E,'Data - Monthly Metrics'!A:A,$B$4,'Data - Monthly Metrics'!B:B,"Apr",'Data - Monthly Metrics'!C:C,"Southeast",'Data - Monthly Metrics'!D:D,"Goal - New Members (#)"))</f>
        <v/>
      </c>
      <c r="K41" s="93">
        <f>IF(COUNTIFS('Data - Monthly Metrics'!A:A,$B$4,'Data - Monthly Metrics'!B:B,"May",'Data - Monthly Metrics'!C:C,"Southeast",'Data - Monthly Metrics'!D:D,"Goal - New Members (#)")=0,"-",SUMIFS('Data - Monthly Metrics'!E:E,'Data - Monthly Metrics'!A:A,$B$4,'Data - Monthly Metrics'!B:B,"May",'Data - Monthly Metrics'!C:C,"Southeast",'Data - Monthly Metrics'!D:D,"Goal - New Members (#)"))</f>
        <v/>
      </c>
      <c r="L41" s="93">
        <f>IF(COUNTIFS('Data - Monthly Metrics'!A:A,$B$4,'Data - Monthly Metrics'!B:B,"Jun",'Data - Monthly Metrics'!C:C,"Southeast",'Data - Monthly Metrics'!D:D,"Goal - New Members (#)")=0,"-",SUMIFS('Data - Monthly Metrics'!E:E,'Data - Monthly Metrics'!A:A,$B$4,'Data - Monthly Metrics'!B:B,"Jun",'Data - Monthly Metrics'!C:C,"Southeast",'Data - Monthly Metrics'!D:D,"Goal - New Members (#)"))</f>
        <v/>
      </c>
      <c r="M41" s="103">
        <f>SUM(J41,K41,L41)</f>
        <v/>
      </c>
      <c r="N41" s="93">
        <f>IF(COUNTIFS('Data - Monthly Metrics'!A:A,$B$4,'Data - Monthly Metrics'!B:B,"Jul",'Data - Monthly Metrics'!C:C,"Southeast",'Data - Monthly Metrics'!D:D,"Goal - New Members (#)")=0,"-",SUMIFS('Data - Monthly Metrics'!E:E,'Data - Monthly Metrics'!A:A,$B$4,'Data - Monthly Metrics'!B:B,"Jul",'Data - Monthly Metrics'!C:C,"Southeast",'Data - Monthly Metrics'!D:D,"Goal - New Members (#)"))</f>
        <v/>
      </c>
      <c r="O41" s="93">
        <f>IF(COUNTIFS('Data - Monthly Metrics'!A:A,$B$4,'Data - Monthly Metrics'!B:B,"Aug",'Data - Monthly Metrics'!C:C,"Southeast",'Data - Monthly Metrics'!D:D,"Goal - New Members (#)")=0,"-",SUMIFS('Data - Monthly Metrics'!E:E,'Data - Monthly Metrics'!A:A,$B$4,'Data - Monthly Metrics'!B:B,"Aug",'Data - Monthly Metrics'!C:C,"Southeast",'Data - Monthly Metrics'!D:D,"Goal - New Members (#)"))</f>
        <v/>
      </c>
      <c r="P41" s="93">
        <f>IF(COUNTIFS('Data - Monthly Metrics'!A:A,$B$4,'Data - Monthly Metrics'!B:B,"Sep",'Data - Monthly Metrics'!C:C,"Southeast",'Data - Monthly Metrics'!D:D,"Goal - New Members (#)")=0,"-",SUMIFS('Data - Monthly Metrics'!E:E,'Data - Monthly Metrics'!A:A,$B$4,'Data - Monthly Metrics'!B:B,"Sep",'Data - Monthly Metrics'!C:C,"Southeast",'Data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Metrics'!C:C,"Southeast",'Data - Monthly Metrics'!D:D,"New Members - Target (#)")=0,"-",SUMIFS('Data - Monthly Metrics'!E:E,'Data - Monthly Metrics'!A:A,$B$4-1,'Data - Monthly Metrics'!B:B,"Oct",'Data - Monthly Metrics'!C:C,"Southeast",'Data - Monthly Metrics'!D:D,"New Members - Target (#)"))</f>
        <v/>
      </c>
      <c r="C42" s="98">
        <f>IF(COUNTIFS('Data - Monthly Metrics'!A:A,$B$4-1,'Data - Monthly Metrics'!B:B,"Nov",'Data - Monthly Metrics'!C:C,"Southeast",'Data - Monthly Metrics'!D:D,"New Members - Target (#)")=0,"-",SUMIFS('Data - Monthly Metrics'!E:E,'Data - Monthly Metrics'!A:A,$B$4-1,'Data - Monthly Metrics'!B:B,"Nov",'Data - Monthly Metrics'!C:C,"Southeast",'Data - Monthly Metrics'!D:D,"New Members - Target (#)"))</f>
        <v/>
      </c>
      <c r="D42" s="98">
        <f>IF(COUNTIFS('Data - Monthly Metrics'!A:A,$B$4-1,'Data - Monthly Metrics'!B:B,"Dec",'Data - Monthly Metrics'!C:C,"Southeast",'Data - Monthly Metrics'!D:D,"New Members - Target (#)")=0,"-",SUMIFS('Data - Monthly Metrics'!E:E,'Data - Monthly Metrics'!A:A,$B$4-1,'Data - Monthly Metrics'!B:B,"Dec",'Data - Monthly Metrics'!C:C,"Southeast",'Data - Monthly Metrics'!D:D,"New Members - Target (#)"))</f>
        <v/>
      </c>
      <c r="E42" s="103">
        <f>SUM(B42,C42,D42)</f>
        <v/>
      </c>
      <c r="F42" s="98">
        <f>IF(COUNTIFS('Data - Monthly Metrics'!A:A,$B$4,'Data - Monthly Metrics'!B:B,"Jan",'Data - Monthly Metrics'!C:C,"Southeast",'Data - Monthly Metrics'!D:D,"New Members - Target (#)")=0,"-",SUMIFS('Data - Monthly Metrics'!E:E,'Data - Monthly Metrics'!A:A,$B$4,'Data - Monthly Metrics'!B:B,"Jan",'Data - Monthly Metrics'!C:C,"Southeast",'Data - Monthly Metrics'!D:D,"New Members - Target (#)"))</f>
        <v/>
      </c>
      <c r="G42" s="98">
        <f>IF(COUNTIFS('Data - Monthly Metrics'!A:A,$B$4,'Data - Monthly Metrics'!B:B,"Feb",'Data - Monthly Metrics'!C:C,"Southeast",'Data - Monthly Metrics'!D:D,"New Members - Target (#)")=0,"-",SUMIFS('Data - Monthly Metrics'!E:E,'Data - Monthly Metrics'!A:A,$B$4,'Data - Monthly Metrics'!B:B,"Feb",'Data - Monthly Metrics'!C:C,"Southeast",'Data - Monthly Metrics'!D:D,"New Members - Target (#)"))</f>
        <v/>
      </c>
      <c r="H42" s="98">
        <f>IF(COUNTIFS('Data - Monthly Metrics'!A:A,$B$4,'Data - Monthly Metrics'!B:B,"Mar",'Data - Monthly Metrics'!C:C,"Southeast",'Data - Monthly Metrics'!D:D,"New Members - Target (#)")=0,"-",SUMIFS('Data - Monthly Metrics'!E:E,'Data - Monthly Metrics'!A:A,$B$4,'Data - Monthly Metrics'!B:B,"Mar",'Data - Monthly Metrics'!C:C,"Southeast",'Data - Monthly Metrics'!D:D,"New Members - Target (#)"))</f>
        <v/>
      </c>
      <c r="I42" s="103">
        <f>SUM(F42,G42,H42)</f>
        <v/>
      </c>
      <c r="J42" s="98">
        <f>IF(COUNTIFS('Data - Monthly Metrics'!A:A,$B$4,'Data - Monthly Metrics'!B:B,"Apr",'Data - Monthly Metrics'!C:C,"Southeast",'Data - Monthly Metrics'!D:D,"New Members - Target (#)")=0,"-",SUMIFS('Data - Monthly Metrics'!E:E,'Data - Monthly Metrics'!A:A,$B$4,'Data - Monthly Metrics'!B:B,"Apr",'Data - Monthly Metrics'!C:C,"Southeast",'Data - Monthly Metrics'!D:D,"New Members - Target (#)"))</f>
        <v/>
      </c>
      <c r="K42" s="98">
        <f>IF(COUNTIFS('Data - Monthly Metrics'!A:A,$B$4,'Data - Monthly Metrics'!B:B,"May",'Data - Monthly Metrics'!C:C,"Southeast",'Data - Monthly Metrics'!D:D,"New Members - Target (#)")=0,"-",SUMIFS('Data - Monthly Metrics'!E:E,'Data - Monthly Metrics'!A:A,$B$4,'Data - Monthly Metrics'!B:B,"May",'Data - Monthly Metrics'!C:C,"Southeast",'Data - Monthly Metrics'!D:D,"New Members - Target (#)"))</f>
        <v/>
      </c>
      <c r="L42" s="98">
        <f>IF(COUNTIFS('Data - Monthly Metrics'!A:A,$B$4,'Data - Monthly Metrics'!B:B,"Jun",'Data - Monthly Metrics'!C:C,"Southeast",'Data - Monthly Metrics'!D:D,"New Members - Target (#)")=0,"-",SUMIFS('Data - Monthly Metrics'!E:E,'Data - Monthly Metrics'!A:A,$B$4,'Data - Monthly Metrics'!B:B,"Jun",'Data - Monthly Metrics'!C:C,"Southeast",'Data - Monthly Metrics'!D:D,"New Members - Target (#)"))</f>
        <v/>
      </c>
      <c r="M42" s="103">
        <f>SUM(J42,K42,L42)</f>
        <v/>
      </c>
      <c r="N42" s="98">
        <f>IF(COUNTIFS('Data - Monthly Metrics'!A:A,$B$4,'Data - Monthly Metrics'!B:B,"Jul",'Data - Monthly Metrics'!C:C,"Southeast",'Data - Monthly Metrics'!D:D,"New Members - Target (#)")=0,"-",SUMIFS('Data - Monthly Metrics'!E:E,'Data - Monthly Metrics'!A:A,$B$4,'Data - Monthly Metrics'!B:B,"Jul",'Data - Monthly Metrics'!C:C,"Southeast",'Data - Monthly Metrics'!D:D,"New Members - Target (#)"))</f>
        <v/>
      </c>
      <c r="O42" s="98">
        <f>IF(COUNTIFS('Data - Monthly Metrics'!A:A,$B$4,'Data - Monthly Metrics'!B:B,"Aug",'Data - Monthly Metrics'!C:C,"Southeast",'Data - Monthly Metrics'!D:D,"New Members - Target (#)")=0,"-",SUMIFS('Data - Monthly Metrics'!E:E,'Data - Monthly Metrics'!A:A,$B$4,'Data - Monthly Metrics'!B:B,"Aug",'Data - Monthly Metrics'!C:C,"Southeast",'Data - Monthly Metrics'!D:D,"New Members - Target (#)"))</f>
        <v/>
      </c>
      <c r="P42" s="98">
        <f>IF(COUNTIFS('Data - Monthly Metrics'!A:A,$B$4,'Data - Monthly Metrics'!B:B,"Sep",'Data - Monthly Metrics'!C:C,"Southeast",'Data - Monthly Metrics'!D:D,"New Members - Target (#)")=0,"-",SUMIFS('Data - Monthly Metrics'!E:E,'Data - Monthly Metrics'!A:A,$B$4,'Data - Monthly Metrics'!B:B,"Sep",'Data - Monthly Metrics'!C:C,"Southeast",'Data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Metrics'!C:C,"Southeast",'Data - Monthly Metrics'!D:D,"Billables - Hospitality Target (#)")=0,"-",SUMIFS('Data - Monthly Metrics'!E:E,'Data - Monthly Metrics'!A:A,$B$4-1,'Data - Monthly Metrics'!B:B,"Oct",'Data - Monthly Metrics'!C:C,"Southeast",'Data - Monthly Metrics'!D:D,"Billables - Hospitality Target (#)"))</f>
        <v/>
      </c>
      <c r="C46" s="93">
        <f>IF(COUNTIFS('Data - Monthly Metrics'!A:A,$B$4-1,'Data - Monthly Metrics'!B:B,"Nov",'Data - Monthly Metrics'!C:C,"Southeast",'Data - Monthly Metrics'!D:D,"Billables - Hospitality Target (#)")=0,"-",SUMIFS('Data - Monthly Metrics'!E:E,'Data - Monthly Metrics'!A:A,$B$4-1,'Data - Monthly Metrics'!B:B,"Nov",'Data - Monthly Metrics'!C:C,"Southeast",'Data - Monthly Metrics'!D:D,"Billables - Hospitality Target (#)"))</f>
        <v/>
      </c>
      <c r="D46" s="93">
        <f>IF(COUNTIFS('Data - Monthly Metrics'!A:A,$B$4-1,'Data - Monthly Metrics'!B:B,"Dec",'Data - Monthly Metrics'!C:C,"Southeast",'Data - Monthly Metrics'!D:D,"Billables - Hospitality Target (#)")=0,"-",SUMIFS('Data - Monthly Metrics'!E:E,'Data - Monthly Metrics'!A:A,$B$4-1,'Data - Monthly Metrics'!B:B,"Dec",'Data - Monthly Metrics'!C:C,"Southeast",'Data - Monthly Metrics'!D:D,"Billables - Hospitality Target (#)"))</f>
        <v/>
      </c>
      <c r="E46" s="103">
        <f>IF(ISNUMBER(D46),D46,IF(ISNUMBER(C46),C46,IF(ISNUMBER(B46),B46,"-")))</f>
        <v/>
      </c>
      <c r="F46" s="93">
        <f>IF(COUNTIFS('Data - Monthly Metrics'!A:A,$B$4,'Data - Monthly Metrics'!B:B,"Jan",'Data - Monthly Metrics'!C:C,"Southeast",'Data - Monthly Metrics'!D:D,"Billables - Hospitality Target (#)")=0,"-",SUMIFS('Data - Monthly Metrics'!E:E,'Data - Monthly Metrics'!A:A,$B$4,'Data - Monthly Metrics'!B:B,"Jan",'Data - Monthly Metrics'!C:C,"Southeast",'Data - Monthly Metrics'!D:D,"Billables - Hospitality Target (#)"))</f>
        <v/>
      </c>
      <c r="G46" s="93">
        <f>IF(COUNTIFS('Data - Monthly Metrics'!A:A,$B$4,'Data - Monthly Metrics'!B:B,"Feb",'Data - Monthly Metrics'!C:C,"Southeast",'Data - Monthly Metrics'!D:D,"Billables - Hospitality Target (#)")=0,"-",SUMIFS('Data - Monthly Metrics'!E:E,'Data - Monthly Metrics'!A:A,$B$4,'Data - Monthly Metrics'!B:B,"Feb",'Data - Monthly Metrics'!C:C,"Southeast",'Data - Monthly Metrics'!D:D,"Billables - Hospitality Target (#)"))</f>
        <v/>
      </c>
      <c r="H46" s="93">
        <f>IF(COUNTIFS('Data - Monthly Metrics'!A:A,$B$4,'Data - Monthly Metrics'!B:B,"Mar",'Data - Monthly Metrics'!C:C,"Southeast",'Data - Monthly Metrics'!D:D,"Billables - Hospitality Target (#)")=0,"-",SUMIFS('Data - Monthly Metrics'!E:E,'Data - Monthly Metrics'!A:A,$B$4,'Data - Monthly Metrics'!B:B,"Mar",'Data - Monthly Metrics'!C:C,"Southeast",'Data - Monthly Metrics'!D:D,"Billables - Hospitality Target (#)"))</f>
        <v/>
      </c>
      <c r="I46" s="103">
        <f>IF(ISNUMBER(H46),H46,IF(ISNUMBER(G46),G46,IF(ISNUMBER(F46),F46,"-")))</f>
        <v/>
      </c>
      <c r="J46" s="93">
        <f>IF(COUNTIFS('Data - Monthly Metrics'!A:A,$B$4,'Data - Monthly Metrics'!B:B,"Apr",'Data - Monthly Metrics'!C:C,"Southeast",'Data - Monthly Metrics'!D:D,"Billables - Hospitality Target (#)")=0,"-",SUMIFS('Data - Monthly Metrics'!E:E,'Data - Monthly Metrics'!A:A,$B$4,'Data - Monthly Metrics'!B:B,"Apr",'Data - Monthly Metrics'!C:C,"Southeast",'Data - Monthly Metrics'!D:D,"Billables - Hospitality Target (#)"))</f>
        <v/>
      </c>
      <c r="K46" s="93">
        <f>IF(COUNTIFS('Data - Monthly Metrics'!A:A,$B$4,'Data - Monthly Metrics'!B:B,"May",'Data - Monthly Metrics'!C:C,"Southeast",'Data - Monthly Metrics'!D:D,"Billables - Hospitality Target (#)")=0,"-",SUMIFS('Data - Monthly Metrics'!E:E,'Data - Monthly Metrics'!A:A,$B$4,'Data - Monthly Metrics'!B:B,"May",'Data - Monthly Metrics'!C:C,"Southeast",'Data - Monthly Metrics'!D:D,"Billables - Hospitality Target (#)"))</f>
        <v/>
      </c>
      <c r="L46" s="93">
        <f>IF(COUNTIFS('Data - Monthly Metrics'!A:A,$B$4,'Data - Monthly Metrics'!B:B,"Jun",'Data - Monthly Metrics'!C:C,"Southeast",'Data - Monthly Metrics'!D:D,"Billables - Hospitality Target (#)")=0,"-",SUMIFS('Data - Monthly Metrics'!E:E,'Data - Monthly Metrics'!A:A,$B$4,'Data - Monthly Metrics'!B:B,"Jun",'Data - Monthly Metrics'!C:C,"Southeast",'Data - Monthly Metrics'!D:D,"Billables - Hospitality Target (#)"))</f>
        <v/>
      </c>
      <c r="M46" s="103">
        <f>IF(ISNUMBER(L46),L46,IF(ISNUMBER(K46),K46,IF(ISNUMBER(J46),J46,"-")))</f>
        <v/>
      </c>
      <c r="N46" s="93">
        <f>IF(COUNTIFS('Data - Monthly Metrics'!A:A,$B$4,'Data - Monthly Metrics'!B:B,"Jul",'Data - Monthly Metrics'!C:C,"Southeast",'Data - Monthly Metrics'!D:D,"Billables - Hospitality Target (#)")=0,"-",SUMIFS('Data - Monthly Metrics'!E:E,'Data - Monthly Metrics'!A:A,$B$4,'Data - Monthly Metrics'!B:B,"Jul",'Data - Monthly Metrics'!C:C,"Southeast",'Data - Monthly Metrics'!D:D,"Billables - Hospitality Target (#)"))</f>
        <v/>
      </c>
      <c r="O46" s="93">
        <f>IF(COUNTIFS('Data - Monthly Metrics'!A:A,$B$4,'Data - Monthly Metrics'!B:B,"Aug",'Data - Monthly Metrics'!C:C,"Southeast",'Data - Monthly Metrics'!D:D,"Billables - Hospitality Target (#)")=0,"-",SUMIFS('Data - Monthly Metrics'!E:E,'Data - Monthly Metrics'!A:A,$B$4,'Data - Monthly Metrics'!B:B,"Aug",'Data - Monthly Metrics'!C:C,"Southeast",'Data - Monthly Metrics'!D:D,"Billables - Hospitality Target (#)"))</f>
        <v/>
      </c>
      <c r="P46" s="93">
        <f>IF(COUNTIFS('Data - Monthly Metrics'!A:A,$B$4,'Data - Monthly Metrics'!B:B,"Sep",'Data - Monthly Metrics'!C:C,"Southeast",'Data - Monthly Metrics'!D:D,"Billables - Hospitality Target (#)")=0,"-",SUMIFS('Data - Monthly Metrics'!E:E,'Data - Monthly Metrics'!A:A,$B$4,'Data - Monthly Metrics'!B:B,"Sep",'Data - Monthly Metrics'!C:C,"Southeast",'Data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Metrics'!C:C,"Southeast",'Data - Monthly Metrics'!D:D,"Member Locations - Target (#)")=0,"-",SUMIFS('Data - Monthly Metrics'!E:E,'Data - Monthly Metrics'!A:A,$B$4-1,'Data - Monthly Metrics'!B:B,"Oct",'Data - Monthly Metrics'!C:C,"Southeast",'Data - Monthly Metrics'!D:D,"Member Locations - Target (#)"))</f>
        <v/>
      </c>
      <c r="C47" s="93">
        <f>IF(COUNTIFS('Data - Monthly Metrics'!A:A,$B$4-1,'Data - Monthly Metrics'!B:B,"Nov",'Data - Monthly Metrics'!C:C,"Southeast",'Data - Monthly Metrics'!D:D,"Member Locations - Target (#)")=0,"-",SUMIFS('Data - Monthly Metrics'!E:E,'Data - Monthly Metrics'!A:A,$B$4-1,'Data - Monthly Metrics'!B:B,"Nov",'Data - Monthly Metrics'!C:C,"Southeast",'Data - Monthly Metrics'!D:D,"Member Locations - Target (#)"))</f>
        <v/>
      </c>
      <c r="D47" s="93">
        <f>IF(COUNTIFS('Data - Monthly Metrics'!A:A,$B$4-1,'Data - Monthly Metrics'!B:B,"Dec",'Data - Monthly Metrics'!C:C,"Southeast",'Data - Monthly Metrics'!D:D,"Member Locations - Target (#)")=0,"-",SUMIFS('Data - Monthly Metrics'!E:E,'Data - Monthly Metrics'!A:A,$B$4-1,'Data - Monthly Metrics'!B:B,"Dec",'Data - Monthly Metrics'!C:C,"Southeast",'Data - Monthly Metrics'!D:D,"Member Locations - Target (#)"))</f>
        <v/>
      </c>
      <c r="E47" s="103">
        <f>IF(ISNUMBER(D47),D47,IF(ISNUMBER(C47),C47,IF(ISNUMBER(B47),B47,"-")))</f>
        <v/>
      </c>
      <c r="F47" s="93">
        <f>IF(COUNTIFS('Data - Monthly Metrics'!A:A,$B$4,'Data - Monthly Metrics'!B:B,"Jan",'Data - Monthly Metrics'!C:C,"Southeast",'Data - Monthly Metrics'!D:D,"Member Locations - Target (#)")=0,"-",SUMIFS('Data - Monthly Metrics'!E:E,'Data - Monthly Metrics'!A:A,$B$4,'Data - Monthly Metrics'!B:B,"Jan",'Data - Monthly Metrics'!C:C,"Southeast",'Data - Monthly Metrics'!D:D,"Member Locations - Target (#)"))</f>
        <v/>
      </c>
      <c r="G47" s="93">
        <f>IF(COUNTIFS('Data - Monthly Metrics'!A:A,$B$4,'Data - Monthly Metrics'!B:B,"Feb",'Data - Monthly Metrics'!C:C,"Southeast",'Data - Monthly Metrics'!D:D,"Member Locations - Target (#)")=0,"-",SUMIFS('Data - Monthly Metrics'!E:E,'Data - Monthly Metrics'!A:A,$B$4,'Data - Monthly Metrics'!B:B,"Feb",'Data - Monthly Metrics'!C:C,"Southeast",'Data - Monthly Metrics'!D:D,"Member Locations - Target (#)"))</f>
        <v/>
      </c>
      <c r="H47" s="93">
        <f>IF(COUNTIFS('Data - Monthly Metrics'!A:A,$B$4,'Data - Monthly Metrics'!B:B,"Mar",'Data - Monthly Metrics'!C:C,"Southeast",'Data - Monthly Metrics'!D:D,"Member Locations - Target (#)")=0,"-",SUMIFS('Data - Monthly Metrics'!E:E,'Data - Monthly Metrics'!A:A,$B$4,'Data - Monthly Metrics'!B:B,"Mar",'Data - Monthly Metrics'!C:C,"Southeast",'Data - Monthly Metrics'!D:D,"Member Locations - Target (#)"))</f>
        <v/>
      </c>
      <c r="I47" s="103">
        <f>IF(ISNUMBER(H47),H47,IF(ISNUMBER(G47),G47,IF(ISNUMBER(F47),F47,"-")))</f>
        <v/>
      </c>
      <c r="J47" s="93">
        <f>IF(COUNTIFS('Data - Monthly Metrics'!A:A,$B$4,'Data - Monthly Metrics'!B:B,"Apr",'Data - Monthly Metrics'!C:C,"Southeast",'Data - Monthly Metrics'!D:D,"Member Locations - Target (#)")=0,"-",SUMIFS('Data - Monthly Metrics'!E:E,'Data - Monthly Metrics'!A:A,$B$4,'Data - Monthly Metrics'!B:B,"Apr",'Data - Monthly Metrics'!C:C,"Southeast",'Data - Monthly Metrics'!D:D,"Member Locations - Target (#)"))</f>
        <v/>
      </c>
      <c r="K47" s="93">
        <f>IF(COUNTIFS('Data - Monthly Metrics'!A:A,$B$4,'Data - Monthly Metrics'!B:B,"May",'Data - Monthly Metrics'!C:C,"Southeast",'Data - Monthly Metrics'!D:D,"Member Locations - Target (#)")=0,"-",SUMIFS('Data - Monthly Metrics'!E:E,'Data - Monthly Metrics'!A:A,$B$4,'Data - Monthly Metrics'!B:B,"May",'Data - Monthly Metrics'!C:C,"Southeast",'Data - Monthly Metrics'!D:D,"Member Locations - Target (#)"))</f>
        <v/>
      </c>
      <c r="L47" s="93">
        <f>IF(COUNTIFS('Data - Monthly Metrics'!A:A,$B$4,'Data - Monthly Metrics'!B:B,"Jun",'Data - Monthly Metrics'!C:C,"Southeast",'Data - Monthly Metrics'!D:D,"Member Locations - Target (#)")=0,"-",SUMIFS('Data - Monthly Metrics'!E:E,'Data - Monthly Metrics'!A:A,$B$4,'Data - Monthly Metrics'!B:B,"Jun",'Data - Monthly Metrics'!C:C,"Southeast",'Data - Monthly Metrics'!D:D,"Member Locations - Target (#)"))</f>
        <v/>
      </c>
      <c r="M47" s="103">
        <f>IF(ISNUMBER(L47),L47,IF(ISNUMBER(K47),K47,IF(ISNUMBER(J47),J47,"-")))</f>
        <v/>
      </c>
      <c r="N47" s="93">
        <f>IF(COUNTIFS('Data - Monthly Metrics'!A:A,$B$4,'Data - Monthly Metrics'!B:B,"Jul",'Data - Monthly Metrics'!C:C,"Southeast",'Data - Monthly Metrics'!D:D,"Member Locations - Target (#)")=0,"-",SUMIFS('Data - Monthly Metrics'!E:E,'Data - Monthly Metrics'!A:A,$B$4,'Data - Monthly Metrics'!B:B,"Jul",'Data - Monthly Metrics'!C:C,"Southeast",'Data - Monthly Metrics'!D:D,"Member Locations - Target (#)"))</f>
        <v/>
      </c>
      <c r="O47" s="93">
        <f>IF(COUNTIFS('Data - Monthly Metrics'!A:A,$B$4,'Data - Monthly Metrics'!B:B,"Aug",'Data - Monthly Metrics'!C:C,"Southeast",'Data - Monthly Metrics'!D:D,"Member Locations - Target (#)")=0,"-",SUMIFS('Data - Monthly Metrics'!E:E,'Data - Monthly Metrics'!A:A,$B$4,'Data - Monthly Metrics'!B:B,"Aug",'Data - Monthly Metrics'!C:C,"Southeast",'Data - Monthly Metrics'!D:D,"Member Locations - Target (#)"))</f>
        <v/>
      </c>
      <c r="P47" s="93">
        <f>IF(COUNTIFS('Data - Monthly Metrics'!A:A,$B$4,'Data - Monthly Metrics'!B:B,"Sep",'Data - Monthly Metrics'!C:C,"Southeast",'Data - Monthly Metrics'!D:D,"Member Locations - Target (#)")=0,"-",SUMIFS('Data - Monthly Metrics'!E:E,'Data - Monthly Metrics'!A:A,$B$4,'Data - Monthly Metrics'!B:B,"Sep",'Data - Monthly Metrics'!C:C,"Southeast",'Data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Metrics'!C:C,"Southeast",'Data - Monthly Metrics'!D:D,"Members Up for Renewal - Target (#)")=0,"-",SUMIFS('Data - Monthly Metrics'!E:E,'Data - Monthly Metrics'!A:A,$B$4-1,'Data - Monthly Metrics'!B:B,"Oct",'Data - Monthly Metrics'!C:C,"Southeast",'Data - Monthly Metrics'!D:D,"Members Up for Renewal - Target (#)"))</f>
        <v/>
      </c>
      <c r="C51" s="93">
        <f>IF(COUNTIFS('Data - Monthly Metrics'!A:A,$B$4-1,'Data - Monthly Metrics'!B:B,"Nov",'Data - Monthly Metrics'!C:C,"Southeast",'Data - Monthly Metrics'!D:D,"Members Up for Renewal - Target (#)")=0,"-",SUMIFS('Data - Monthly Metrics'!E:E,'Data - Monthly Metrics'!A:A,$B$4-1,'Data - Monthly Metrics'!B:B,"Nov",'Data - Monthly Metrics'!C:C,"Southeast",'Data - Monthly Metrics'!D:D,"Members Up for Renewal - Target (#)"))</f>
        <v/>
      </c>
      <c r="D51" s="93">
        <f>IF(COUNTIFS('Data - Monthly Metrics'!A:A,$B$4-1,'Data - Monthly Metrics'!B:B,"Dec",'Data - Monthly Metrics'!C:C,"Southeast",'Data - Monthly Metrics'!D:D,"Members Up for Renewal - Target (#)")=0,"-",SUMIFS('Data - Monthly Metrics'!E:E,'Data - Monthly Metrics'!A:A,$B$4-1,'Data - Monthly Metrics'!B:B,"Dec",'Data - Monthly Metrics'!C:C,"Southeast",'Data - Monthly Metrics'!D:D,"Members Up for Renewal - Target (#)"))</f>
        <v/>
      </c>
      <c r="E51" s="103">
        <f>SUM(B51,C51,D51)</f>
        <v/>
      </c>
      <c r="F51" s="93">
        <f>IF(COUNTIFS('Data - Monthly Metrics'!A:A,$B$4,'Data - Monthly Metrics'!B:B,"Jan",'Data - Monthly Metrics'!C:C,"Southeast",'Data - Monthly Metrics'!D:D,"Members Up for Renewal - Target (#)")=0,"-",SUMIFS('Data - Monthly Metrics'!E:E,'Data - Monthly Metrics'!A:A,$B$4,'Data - Monthly Metrics'!B:B,"Jan",'Data - Monthly Metrics'!C:C,"Southeast",'Data - Monthly Metrics'!D:D,"Members Up for Renewal - Target (#)"))</f>
        <v/>
      </c>
      <c r="G51" s="93">
        <f>IF(COUNTIFS('Data - Monthly Metrics'!A:A,$B$4,'Data - Monthly Metrics'!B:B,"Feb",'Data - Monthly Metrics'!C:C,"Southeast",'Data - Monthly Metrics'!D:D,"Members Up for Renewal - Target (#)")=0,"-",SUMIFS('Data - Monthly Metrics'!E:E,'Data - Monthly Metrics'!A:A,$B$4,'Data - Monthly Metrics'!B:B,"Feb",'Data - Monthly Metrics'!C:C,"Southeast",'Data - Monthly Metrics'!D:D,"Members Up for Renewal - Target (#)"))</f>
        <v/>
      </c>
      <c r="H51" s="93">
        <f>IF(COUNTIFS('Data - Monthly Metrics'!A:A,$B$4,'Data - Monthly Metrics'!B:B,"Mar",'Data - Monthly Metrics'!C:C,"Southeast",'Data - Monthly Metrics'!D:D,"Members Up for Renewal - Target (#)")=0,"-",SUMIFS('Data - Monthly Metrics'!E:E,'Data - Monthly Metrics'!A:A,$B$4,'Data - Monthly Metrics'!B:B,"Mar",'Data - Monthly Metrics'!C:C,"Southeast",'Data - Monthly Metrics'!D:D,"Members Up for Renewal - Target (#)"))</f>
        <v/>
      </c>
      <c r="I51" s="103">
        <f>SUM(F51,G51,H51)</f>
        <v/>
      </c>
      <c r="J51" s="93">
        <f>IF(COUNTIFS('Data - Monthly Metrics'!A:A,$B$4,'Data - Monthly Metrics'!B:B,"Apr",'Data - Monthly Metrics'!C:C,"Southeast",'Data - Monthly Metrics'!D:D,"Members Up for Renewal - Target (#)")=0,"-",SUMIFS('Data - Monthly Metrics'!E:E,'Data - Monthly Metrics'!A:A,$B$4,'Data - Monthly Metrics'!B:B,"Apr",'Data - Monthly Metrics'!C:C,"Southeast",'Data - Monthly Metrics'!D:D,"Members Up for Renewal - Target (#)"))</f>
        <v/>
      </c>
      <c r="K51" s="93">
        <f>IF(COUNTIFS('Data - Monthly Metrics'!A:A,$B$4,'Data - Monthly Metrics'!B:B,"May",'Data - Monthly Metrics'!C:C,"Southeast",'Data - Monthly Metrics'!D:D,"Members Up for Renewal - Target (#)")=0,"-",SUMIFS('Data - Monthly Metrics'!E:E,'Data - Monthly Metrics'!A:A,$B$4,'Data - Monthly Metrics'!B:B,"May",'Data - Monthly Metrics'!C:C,"Southeast",'Data - Monthly Metrics'!D:D,"Members Up for Renewal - Target (#)"))</f>
        <v/>
      </c>
      <c r="L51" s="93">
        <f>IF(COUNTIFS('Data - Monthly Metrics'!A:A,$B$4,'Data - Monthly Metrics'!B:B,"Jun",'Data - Monthly Metrics'!C:C,"Southeast",'Data - Monthly Metrics'!D:D,"Members Up for Renewal - Target (#)")=0,"-",SUMIFS('Data - Monthly Metrics'!E:E,'Data - Monthly Metrics'!A:A,$B$4,'Data - Monthly Metrics'!B:B,"Jun",'Data - Monthly Metrics'!C:C,"Southeast",'Data - Monthly Metrics'!D:D,"Members Up for Renewal - Target (#)"))</f>
        <v/>
      </c>
      <c r="M51" s="103">
        <f>SUM(J51,K51,L51)</f>
        <v/>
      </c>
      <c r="N51" s="93">
        <f>IF(COUNTIFS('Data - Monthly Metrics'!A:A,$B$4,'Data - Monthly Metrics'!B:B,"Jul",'Data - Monthly Metrics'!C:C,"Southeast",'Data - Monthly Metrics'!D:D,"Members Up for Renewal - Target (#)")=0,"-",SUMIFS('Data - Monthly Metrics'!E:E,'Data - Monthly Metrics'!A:A,$B$4,'Data - Monthly Metrics'!B:B,"Jul",'Data - Monthly Metrics'!C:C,"Southeast",'Data - Monthly Metrics'!D:D,"Members Up for Renewal - Target (#)"))</f>
        <v/>
      </c>
      <c r="O51" s="93">
        <f>IF(COUNTIFS('Data - Monthly Metrics'!A:A,$B$4,'Data - Monthly Metrics'!B:B,"Aug",'Data - Monthly Metrics'!C:C,"Southeast",'Data - Monthly Metrics'!D:D,"Members Up for Renewal - Target (#)")=0,"-",SUMIFS('Data - Monthly Metrics'!E:E,'Data - Monthly Metrics'!A:A,$B$4,'Data - Monthly Metrics'!B:B,"Aug",'Data - Monthly Metrics'!C:C,"Southeast",'Data - Monthly Metrics'!D:D,"Members Up for Renewal - Target (#)"))</f>
        <v/>
      </c>
      <c r="P51" s="93">
        <f>IF(COUNTIFS('Data - Monthly Metrics'!A:A,$B$4,'Data - Monthly Metrics'!B:B,"Sep",'Data - Monthly Metrics'!C:C,"Southeast",'Data - Monthly Metrics'!D:D,"Members Up for Renewal - Target (#)")=0,"-",SUMIFS('Data - Monthly Metrics'!E:E,'Data - Monthly Metrics'!A:A,$B$4,'Data - Monthly Metrics'!B:B,"Sep",'Data - Monthly Metrics'!C:C,"Southeast",'Data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Metrics'!C:C,"Southeast",'Data - Monthly Metrics'!D:D,"Members Retained - Target (#)")=0,"-",SUMIFS('Data - Monthly Metrics'!E:E,'Data - Monthly Metrics'!A:A,$B$4-1,'Data - Monthly Metrics'!B:B,"Oct",'Data - Monthly Metrics'!C:C,"Southeast",'Data - Monthly Metrics'!D:D,"Members Retained - Target (#)"))</f>
        <v/>
      </c>
      <c r="C52" s="98">
        <f>IF(COUNTIFS('Data - Monthly Metrics'!A:A,$B$4-1,'Data - Monthly Metrics'!B:B,"Nov",'Data - Monthly Metrics'!C:C,"Southeast",'Data - Monthly Metrics'!D:D,"Members Retained - Target (#)")=0,"-",SUMIFS('Data - Monthly Metrics'!E:E,'Data - Monthly Metrics'!A:A,$B$4-1,'Data - Monthly Metrics'!B:B,"Nov",'Data - Monthly Metrics'!C:C,"Southeast",'Data - Monthly Metrics'!D:D,"Members Retained - Target (#)"))</f>
        <v/>
      </c>
      <c r="D52" s="98">
        <f>IF(COUNTIFS('Data - Monthly Metrics'!A:A,$B$4-1,'Data - Monthly Metrics'!B:B,"Dec",'Data - Monthly Metrics'!C:C,"Southeast",'Data - Monthly Metrics'!D:D,"Members Retained - Target (#)")=0,"-",SUMIFS('Data - Monthly Metrics'!E:E,'Data - Monthly Metrics'!A:A,$B$4-1,'Data - Monthly Metrics'!B:B,"Dec",'Data - Monthly Metrics'!C:C,"Southeast",'Data - Monthly Metrics'!D:D,"Members Retained - Target (#)"))</f>
        <v/>
      </c>
      <c r="E52" s="103">
        <f>SUM(B52,C52,D52)</f>
        <v/>
      </c>
      <c r="F52" s="98">
        <f>IF(COUNTIFS('Data - Monthly Metrics'!A:A,$B$4,'Data - Monthly Metrics'!B:B,"Jan",'Data - Monthly Metrics'!C:C,"Southeast",'Data - Monthly Metrics'!D:D,"Members Retained - Target (#)")=0,"-",SUMIFS('Data - Monthly Metrics'!E:E,'Data - Monthly Metrics'!A:A,$B$4,'Data - Monthly Metrics'!B:B,"Jan",'Data - Monthly Metrics'!C:C,"Southeast",'Data - Monthly Metrics'!D:D,"Members Retained - Target (#)"))</f>
        <v/>
      </c>
      <c r="G52" s="98">
        <f>IF(COUNTIFS('Data - Monthly Metrics'!A:A,$B$4,'Data - Monthly Metrics'!B:B,"Feb",'Data - Monthly Metrics'!C:C,"Southeast",'Data - Monthly Metrics'!D:D,"Members Retained - Target (#)")=0,"-",SUMIFS('Data - Monthly Metrics'!E:E,'Data - Monthly Metrics'!A:A,$B$4,'Data - Monthly Metrics'!B:B,"Feb",'Data - Monthly Metrics'!C:C,"Southeast",'Data - Monthly Metrics'!D:D,"Members Retained - Target (#)"))</f>
        <v/>
      </c>
      <c r="H52" s="98">
        <f>IF(COUNTIFS('Data - Monthly Metrics'!A:A,$B$4,'Data - Monthly Metrics'!B:B,"Mar",'Data - Monthly Metrics'!C:C,"Southeast",'Data - Monthly Metrics'!D:D,"Members Retained - Target (#)")=0,"-",SUMIFS('Data - Monthly Metrics'!E:E,'Data - Monthly Metrics'!A:A,$B$4,'Data - Monthly Metrics'!B:B,"Mar",'Data - Monthly Metrics'!C:C,"Southeast",'Data - Monthly Metrics'!D:D,"Members Retained - Target (#)"))</f>
        <v/>
      </c>
      <c r="I52" s="103">
        <f>SUM(F52,G52,H52)</f>
        <v/>
      </c>
      <c r="J52" s="98">
        <f>IF(COUNTIFS('Data - Monthly Metrics'!A:A,$B$4,'Data - Monthly Metrics'!B:B,"Apr",'Data - Monthly Metrics'!C:C,"Southeast",'Data - Monthly Metrics'!D:D,"Members Retained - Target (#)")=0,"-",SUMIFS('Data - Monthly Metrics'!E:E,'Data - Monthly Metrics'!A:A,$B$4,'Data - Monthly Metrics'!B:B,"Apr",'Data - Monthly Metrics'!C:C,"Southeast",'Data - Monthly Metrics'!D:D,"Members Retained - Target (#)"))</f>
        <v/>
      </c>
      <c r="K52" s="98">
        <f>IF(COUNTIFS('Data - Monthly Metrics'!A:A,$B$4,'Data - Monthly Metrics'!B:B,"May",'Data - Monthly Metrics'!C:C,"Southeast",'Data - Monthly Metrics'!D:D,"Members Retained - Target (#)")=0,"-",SUMIFS('Data - Monthly Metrics'!E:E,'Data - Monthly Metrics'!A:A,$B$4,'Data - Monthly Metrics'!B:B,"May",'Data - Monthly Metrics'!C:C,"Southeast",'Data - Monthly Metrics'!D:D,"Members Retained - Target (#)"))</f>
        <v/>
      </c>
      <c r="L52" s="98">
        <f>IF(COUNTIFS('Data - Monthly Metrics'!A:A,$B$4,'Data - Monthly Metrics'!B:B,"Jun",'Data - Monthly Metrics'!C:C,"Southeast",'Data - Monthly Metrics'!D:D,"Members Retained - Target (#)")=0,"-",SUMIFS('Data - Monthly Metrics'!E:E,'Data - Monthly Metrics'!A:A,$B$4,'Data - Monthly Metrics'!B:B,"Jun",'Data - Monthly Metrics'!C:C,"Southeast",'Data - Monthly Metrics'!D:D,"Members Retained - Target (#)"))</f>
        <v/>
      </c>
      <c r="M52" s="103">
        <f>SUM(J52,K52,L52)</f>
        <v/>
      </c>
      <c r="N52" s="98">
        <f>IF(COUNTIFS('Data - Monthly Metrics'!A:A,$B$4,'Data - Monthly Metrics'!B:B,"Jul",'Data - Monthly Metrics'!C:C,"Southeast",'Data - Monthly Metrics'!D:D,"Members Retained - Target (#)")=0,"-",SUMIFS('Data - Monthly Metrics'!E:E,'Data - Monthly Metrics'!A:A,$B$4,'Data - Monthly Metrics'!B:B,"Jul",'Data - Monthly Metrics'!C:C,"Southeast",'Data - Monthly Metrics'!D:D,"Members Retained - Target (#)"))</f>
        <v/>
      </c>
      <c r="O52" s="98">
        <f>IF(COUNTIFS('Data - Monthly Metrics'!A:A,$B$4,'Data - Monthly Metrics'!B:B,"Aug",'Data - Monthly Metrics'!C:C,"Southeast",'Data - Monthly Metrics'!D:D,"Members Retained - Target (#)")=0,"-",SUMIFS('Data - Monthly Metrics'!E:E,'Data - Monthly Metrics'!A:A,$B$4,'Data - Monthly Metrics'!B:B,"Aug",'Data - Monthly Metrics'!C:C,"Southeast",'Data - Monthly Metrics'!D:D,"Members Retained - Target (#)"))</f>
        <v/>
      </c>
      <c r="P52" s="98">
        <f>IF(COUNTIFS('Data - Monthly Metrics'!A:A,$B$4,'Data - Monthly Metrics'!B:B,"Sep",'Data - Monthly Metrics'!C:C,"Southeast",'Data - Monthly Metrics'!D:D,"Members Retained - Target (#)")=0,"-",SUMIFS('Data - Monthly Metrics'!E:E,'Data - Monthly Metrics'!A:A,$B$4,'Data - Monthly Metrics'!B:B,"Sep",'Data - Monthly Metrics'!C:C,"Southeast",'Data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Metrics'!$C:$C,"Southeast",'Data - Monthly Metrics'!$D:$D,"Goal - Retention %")=0),"—",IF(B53&gt;=SUMIFS('Data - Monthly Metrics'!$E:$E,'Data - Monthly Metrics'!$A:$A,$B$4-1,'Data - Monthly Metrics'!$B:$B,B$8,'Data - Monthly Metrics'!$C:$C,"Southeast",'Data - Monthly Metrics'!$D:$D,"Goal - Retention %"),"On Track",IF(B53&gt;=SUMIFS('Data - Monthly Metrics'!$E:$E,'Data - Monthly Metrics'!$A:$A,$B$4-1,'Data - Monthly Metrics'!$B:$B,B$8,'Data - Monthly Metrics'!$C:$C,"Southeast",'Data - Monthly Metrics'!$D:$D,"Goal - Retention %")-0.05,"Watch","At Risk")))</f>
        <v/>
      </c>
      <c r="C54" s="120">
        <f>IF(OR(NOT(ISNUMBER(C53)),C53=0,COUNTIFS('Data - Monthly Metrics'!$A:$A,$B$4-1,'Data - Monthly Metrics'!$B:$B,C$8,'Data - Monthly Metrics'!$C:$C,"Southeast",'Data - Monthly Metrics'!$D:$D,"Goal - Retention %")=0),"—",IF(C53&gt;=SUMIFS('Data - Monthly Metrics'!$E:$E,'Data - Monthly Metrics'!$A:$A,$B$4-1,'Data - Monthly Metrics'!$B:$B,C$8,'Data - Monthly Metrics'!$C:$C,"Southeast",'Data - Monthly Metrics'!$D:$D,"Goal - Retention %"),"On Track",IF(C53&gt;=SUMIFS('Data - Monthly Metrics'!$E:$E,'Data - Monthly Metrics'!$A:$A,$B$4-1,'Data - Monthly Metrics'!$B:$B,C$8,'Data - Monthly Metrics'!$C:$C,"Southeast",'Data - Monthly Metrics'!$D:$D,"Goal - Retention %")-0.05,"Watch","At Risk")))</f>
        <v/>
      </c>
      <c r="D54" s="120">
        <f>IF(OR(NOT(ISNUMBER(D53)),D53=0,COUNTIFS('Data - Monthly Metrics'!$A:$A,$B$4-1,'Data - Monthly Metrics'!$B:$B,D$8,'Data - Monthly Metrics'!$C:$C,"Southeast",'Data - Monthly Metrics'!$D:$D,"Goal - Retention %")=0),"—",IF(D53&gt;=SUMIFS('Data - Monthly Metrics'!$E:$E,'Data - Monthly Metrics'!$A:$A,$B$4-1,'Data - Monthly Metrics'!$B:$B,D$8,'Data - Monthly Metrics'!$C:$C,"Southeast",'Data - Monthly Metrics'!$D:$D,"Goal - Retention %"),"On Track",IF(D53&gt;=SUMIFS('Data - Monthly Metrics'!$E:$E,'Data - Monthly Metrics'!$A:$A,$B$4-1,'Data - Monthly Metrics'!$B:$B,D$8,'Data - Monthly Metrics'!$C:$C,"Southeast",'Data - Monthly Metrics'!$D:$D,"Goal - Retention %")-0.05,"Watch","At Risk")))</f>
        <v/>
      </c>
      <c r="E54" s="121">
        <f>"—"</f>
        <v/>
      </c>
      <c r="F54" s="120">
        <f>IF(OR(NOT(ISNUMBER(F53)),F53=0,COUNTIFS('Data - Monthly Metrics'!$A:$A,$B$4,'Data - Monthly Metrics'!$B:$B,F$8,'Data - Monthly Metrics'!$C:$C,"Southeast",'Data - Monthly Metrics'!$D:$D,"Goal - Retention %")=0),"—",IF(F53&gt;=SUMIFS('Data - Monthly Metrics'!$E:$E,'Data - Monthly Metrics'!$A:$A,$B$4,'Data - Monthly Metrics'!$B:$B,F$8,'Data - Monthly Metrics'!$C:$C,"Southeast",'Data - Monthly Metrics'!$D:$D,"Goal - Retention %"),"On Track",IF(F53&gt;=SUMIFS('Data - Monthly Metrics'!$E:$E,'Data - Monthly Metrics'!$A:$A,$B$4,'Data - Monthly Metrics'!$B:$B,F$8,'Data - Monthly Metrics'!$C:$C,"Southeast",'Data - Monthly Metrics'!$D:$D,"Goal - Retention %")-0.05,"Watch","At Risk")))</f>
        <v/>
      </c>
      <c r="G54" s="120">
        <f>IF(OR(NOT(ISNUMBER(G53)),G53=0,COUNTIFS('Data - Monthly Metrics'!$A:$A,$B$4,'Data - Monthly Metrics'!$B:$B,G$8,'Data - Monthly Metrics'!$C:$C,"Southeast",'Data - Monthly Metrics'!$D:$D,"Goal - Retention %")=0),"—",IF(G53&gt;=SUMIFS('Data - Monthly Metrics'!$E:$E,'Data - Monthly Metrics'!$A:$A,$B$4,'Data - Monthly Metrics'!$B:$B,G$8,'Data - Monthly Metrics'!$C:$C,"Southeast",'Data - Monthly Metrics'!$D:$D,"Goal - Retention %"),"On Track",IF(G53&gt;=SUMIFS('Data - Monthly Metrics'!$E:$E,'Data - Monthly Metrics'!$A:$A,$B$4,'Data - Monthly Metrics'!$B:$B,G$8,'Data - Monthly Metrics'!$C:$C,"Southeast",'Data - Monthly Metrics'!$D:$D,"Goal - Retention %")-0.05,"Watch","At Risk")))</f>
        <v/>
      </c>
      <c r="H54" s="120">
        <f>IF(OR(NOT(ISNUMBER(H53)),H53=0,COUNTIFS('Data - Monthly Metrics'!$A:$A,$B$4,'Data - Monthly Metrics'!$B:$B,H$8,'Data - Monthly Metrics'!$C:$C,"Southeast",'Data - Monthly Metrics'!$D:$D,"Goal - Retention %")=0),"—",IF(H53&gt;=SUMIFS('Data - Monthly Metrics'!$E:$E,'Data - Monthly Metrics'!$A:$A,$B$4,'Data - Monthly Metrics'!$B:$B,H$8,'Data - Monthly Metrics'!$C:$C,"Southeast",'Data - Monthly Metrics'!$D:$D,"Goal - Retention %"),"On Track",IF(H53&gt;=SUMIFS('Data - Monthly Metrics'!$E:$E,'Data - Monthly Metrics'!$A:$A,$B$4,'Data - Monthly Metrics'!$B:$B,H$8,'Data - Monthly Metrics'!$C:$C,"Southeast",'Data - Monthly Metrics'!$D:$D,"Goal - Retention %")-0.05,"Watch","At Risk")))</f>
        <v/>
      </c>
      <c r="I54" s="121">
        <f>"—"</f>
        <v/>
      </c>
      <c r="J54" s="120">
        <f>IF(OR(NOT(ISNUMBER(J53)),J53=0,COUNTIFS('Data - Monthly Metrics'!$A:$A,$B$4,'Data - Monthly Metrics'!$B:$B,J$8,'Data - Monthly Metrics'!$C:$C,"Southeast",'Data - Monthly Metrics'!$D:$D,"Goal - Retention %")=0),"—",IF(J53&gt;=SUMIFS('Data - Monthly Metrics'!$E:$E,'Data - Monthly Metrics'!$A:$A,$B$4,'Data - Monthly Metrics'!$B:$B,J$8,'Data - Monthly Metrics'!$C:$C,"Southeast",'Data - Monthly Metrics'!$D:$D,"Goal - Retention %"),"On Track",IF(J53&gt;=SUMIFS('Data - Monthly Metrics'!$E:$E,'Data - Monthly Metrics'!$A:$A,$B$4,'Data - Monthly Metrics'!$B:$B,J$8,'Data - Monthly Metrics'!$C:$C,"Southeast",'Data - Monthly Metrics'!$D:$D,"Goal - Retention %")-0.05,"Watch","At Risk")))</f>
        <v/>
      </c>
      <c r="K54" s="120">
        <f>IF(OR(NOT(ISNUMBER(K53)),K53=0,COUNTIFS('Data - Monthly Metrics'!$A:$A,$B$4,'Data - Monthly Metrics'!$B:$B,K$8,'Data - Monthly Metrics'!$C:$C,"Southeast",'Data - Monthly Metrics'!$D:$D,"Goal - Retention %")=0),"—",IF(K53&gt;=SUMIFS('Data - Monthly Metrics'!$E:$E,'Data - Monthly Metrics'!$A:$A,$B$4,'Data - Monthly Metrics'!$B:$B,K$8,'Data - Monthly Metrics'!$C:$C,"Southeast",'Data - Monthly Metrics'!$D:$D,"Goal - Retention %"),"On Track",IF(K53&gt;=SUMIFS('Data - Monthly Metrics'!$E:$E,'Data - Monthly Metrics'!$A:$A,$B$4,'Data - Monthly Metrics'!$B:$B,K$8,'Data - Monthly Metrics'!$C:$C,"Southeast",'Data - Monthly Metrics'!$D:$D,"Goal - Retention %")-0.05,"Watch","At Risk")))</f>
        <v/>
      </c>
      <c r="L54" s="120">
        <f>IF(OR(NOT(ISNUMBER(L53)),L53=0,COUNTIFS('Data - Monthly Metrics'!$A:$A,$B$4,'Data - Monthly Metrics'!$B:$B,L$8,'Data - Monthly Metrics'!$C:$C,"Southeast",'Data - Monthly Metrics'!$D:$D,"Goal - Retention %")=0),"—",IF(L53&gt;=SUMIFS('Data - Monthly Metrics'!$E:$E,'Data - Monthly Metrics'!$A:$A,$B$4,'Data - Monthly Metrics'!$B:$B,L$8,'Data - Monthly Metrics'!$C:$C,"Southeast",'Data - Monthly Metrics'!$D:$D,"Goal - Retention %"),"On Track",IF(L53&gt;=SUMIFS('Data - Monthly Metrics'!$E:$E,'Data - Monthly Metrics'!$A:$A,$B$4,'Data - Monthly Metrics'!$B:$B,L$8,'Data - Monthly Metrics'!$C:$C,"Southeast",'Data - Monthly Metrics'!$D:$D,"Goal - Retention %")-0.05,"Watch","At Risk")))</f>
        <v/>
      </c>
      <c r="M54" s="121">
        <f>"—"</f>
        <v/>
      </c>
      <c r="N54" s="120">
        <f>IF(OR(NOT(ISNUMBER(N53)),N53=0,COUNTIFS('Data - Monthly Metrics'!$A:$A,$B$4,'Data - Monthly Metrics'!$B:$B,N$8,'Data - Monthly Metrics'!$C:$C,"Southeast",'Data - Monthly Metrics'!$D:$D,"Goal - Retention %")=0),"—",IF(N53&gt;=SUMIFS('Data - Monthly Metrics'!$E:$E,'Data - Monthly Metrics'!$A:$A,$B$4,'Data - Monthly Metrics'!$B:$B,N$8,'Data - Monthly Metrics'!$C:$C,"Southeast",'Data - Monthly Metrics'!$D:$D,"Goal - Retention %"),"On Track",IF(N53&gt;=SUMIFS('Data - Monthly Metrics'!$E:$E,'Data - Monthly Metrics'!$A:$A,$B$4,'Data - Monthly Metrics'!$B:$B,N$8,'Data - Monthly Metrics'!$C:$C,"Southeast",'Data - Monthly Metrics'!$D:$D,"Goal - Retention %")-0.05,"Watch","At Risk")))</f>
        <v/>
      </c>
      <c r="O54" s="120">
        <f>IF(OR(NOT(ISNUMBER(O53)),O53=0,COUNTIFS('Data - Monthly Metrics'!$A:$A,$B$4,'Data - Monthly Metrics'!$B:$B,O$8,'Data - Monthly Metrics'!$C:$C,"Southeast",'Data - Monthly Metrics'!$D:$D,"Goal - Retention %")=0),"—",IF(O53&gt;=SUMIFS('Data - Monthly Metrics'!$E:$E,'Data - Monthly Metrics'!$A:$A,$B$4,'Data - Monthly Metrics'!$B:$B,O$8,'Data - Monthly Metrics'!$C:$C,"Southeast",'Data - Monthly Metrics'!$D:$D,"Goal - Retention %"),"On Track",IF(O53&gt;=SUMIFS('Data - Monthly Metrics'!$E:$E,'Data - Monthly Metrics'!$A:$A,$B$4,'Data - Monthly Metrics'!$B:$B,O$8,'Data - Monthly Metrics'!$C:$C,"Southeast",'Data - Monthly Metrics'!$D:$D,"Goal - Retention %")-0.05,"Watch","At Risk")))</f>
        <v/>
      </c>
      <c r="P54" s="120">
        <f>IF(OR(NOT(ISNUMBER(P53)),P53=0,COUNTIFS('Data - Monthly Metrics'!$A:$A,$B$4,'Data - Monthly Metrics'!$B:$B,P$8,'Data - Monthly Metrics'!$C:$C,"Southeast",'Data - Monthly Metrics'!$D:$D,"Goal - Retention %")=0),"—",IF(P53&gt;=SUMIFS('Data - Monthly Metrics'!$E:$E,'Data - Monthly Metrics'!$A:$A,$B$4,'Data - Monthly Metrics'!$B:$B,P$8,'Data - Monthly Metrics'!$C:$C,"Southeast",'Data - Monthly Metrics'!$D:$D,"Goal - Retention %"),"On Track",IF(P53&gt;=SUMIFS('Data - Monthly Metrics'!$E:$E,'Data - Monthly Metrics'!$A:$A,$B$4,'Data - Monthly Metrics'!$B:$B,P$8,'Data - Monthly Metrics'!$C:$C,"Southeast",'Data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Metrics'!C:C,"Southeast",'Data - Monthly Metrics'!D:D,"Revenue Up for Renewal - Target ($)")=0,"-",SUMIFS('Data - Monthly Metrics'!E:E,'Data - Monthly Metrics'!A:A,$B$4-1,'Data - Monthly Metrics'!B:B,"Oct",'Data - Monthly Metrics'!C:C,"Southeast",'Data - Monthly Metrics'!D:D,"Revenue Up for Renewal - Target ($)"))</f>
        <v/>
      </c>
      <c r="C55" s="91">
        <f>IF(COUNTIFS('Data - Monthly Metrics'!A:A,$B$4-1,'Data - Monthly Metrics'!B:B,"Nov",'Data - Monthly Metrics'!C:C,"Southeast",'Data - Monthly Metrics'!D:D,"Revenue Up for Renewal - Target ($)")=0,"-",SUMIFS('Data - Monthly Metrics'!E:E,'Data - Monthly Metrics'!A:A,$B$4-1,'Data - Monthly Metrics'!B:B,"Nov",'Data - Monthly Metrics'!C:C,"Southeast",'Data - Monthly Metrics'!D:D,"Revenue Up for Renewal - Target ($)"))</f>
        <v/>
      </c>
      <c r="D55" s="91">
        <f>IF(COUNTIFS('Data - Monthly Metrics'!A:A,$B$4-1,'Data - Monthly Metrics'!B:B,"Dec",'Data - Monthly Metrics'!C:C,"Southeast",'Data - Monthly Metrics'!D:D,"Revenue Up for Renewal - Target ($)")=0,"-",SUMIFS('Data - Monthly Metrics'!E:E,'Data - Monthly Metrics'!A:A,$B$4-1,'Data - Monthly Metrics'!B:B,"Dec",'Data - Monthly Metrics'!C:C,"Southeast",'Data - Monthly Metrics'!D:D,"Revenue Up for Renewal - Target ($)"))</f>
        <v/>
      </c>
      <c r="E55" s="101">
        <f>SUM(B55,C55,D55)</f>
        <v/>
      </c>
      <c r="F55" s="91">
        <f>IF(COUNTIFS('Data - Monthly Metrics'!A:A,$B$4,'Data - Monthly Metrics'!B:B,"Jan",'Data - Monthly Metrics'!C:C,"Southeast",'Data - Monthly Metrics'!D:D,"Revenue Up for Renewal - Target ($)")=0,"-",SUMIFS('Data - Monthly Metrics'!E:E,'Data - Monthly Metrics'!A:A,$B$4,'Data - Monthly Metrics'!B:B,"Jan",'Data - Monthly Metrics'!C:C,"Southeast",'Data - Monthly Metrics'!D:D,"Revenue Up for Renewal - Target ($)"))</f>
        <v/>
      </c>
      <c r="G55" s="91">
        <f>IF(COUNTIFS('Data - Monthly Metrics'!A:A,$B$4,'Data - Monthly Metrics'!B:B,"Feb",'Data - Monthly Metrics'!C:C,"Southeast",'Data - Monthly Metrics'!D:D,"Revenue Up for Renewal - Target ($)")=0,"-",SUMIFS('Data - Monthly Metrics'!E:E,'Data - Monthly Metrics'!A:A,$B$4,'Data - Monthly Metrics'!B:B,"Feb",'Data - Monthly Metrics'!C:C,"Southeast",'Data - Monthly Metrics'!D:D,"Revenue Up for Renewal - Target ($)"))</f>
        <v/>
      </c>
      <c r="H55" s="91">
        <f>IF(COUNTIFS('Data - Monthly Metrics'!A:A,$B$4,'Data - Monthly Metrics'!B:B,"Mar",'Data - Monthly Metrics'!C:C,"Southeast",'Data - Monthly Metrics'!D:D,"Revenue Up for Renewal - Target ($)")=0,"-",SUMIFS('Data - Monthly Metrics'!E:E,'Data - Monthly Metrics'!A:A,$B$4,'Data - Monthly Metrics'!B:B,"Mar",'Data - Monthly Metrics'!C:C,"Southeast",'Data - Monthly Metrics'!D:D,"Revenue Up for Renewal - Target ($)"))</f>
        <v/>
      </c>
      <c r="I55" s="101">
        <f>SUM(F55,G55,H55)</f>
        <v/>
      </c>
      <c r="J55" s="91">
        <f>IF(COUNTIFS('Data - Monthly Metrics'!A:A,$B$4,'Data - Monthly Metrics'!B:B,"Apr",'Data - Monthly Metrics'!C:C,"Southeast",'Data - Monthly Metrics'!D:D,"Revenue Up for Renewal - Target ($)")=0,"-",SUMIFS('Data - Monthly Metrics'!E:E,'Data - Monthly Metrics'!A:A,$B$4,'Data - Monthly Metrics'!B:B,"Apr",'Data - Monthly Metrics'!C:C,"Southeast",'Data - Monthly Metrics'!D:D,"Revenue Up for Renewal - Target ($)"))</f>
        <v/>
      </c>
      <c r="K55" s="91">
        <f>IF(COUNTIFS('Data - Monthly Metrics'!A:A,$B$4,'Data - Monthly Metrics'!B:B,"May",'Data - Monthly Metrics'!C:C,"Southeast",'Data - Monthly Metrics'!D:D,"Revenue Up for Renewal - Target ($)")=0,"-",SUMIFS('Data - Monthly Metrics'!E:E,'Data - Monthly Metrics'!A:A,$B$4,'Data - Monthly Metrics'!B:B,"May",'Data - Monthly Metrics'!C:C,"Southeast",'Data - Monthly Metrics'!D:D,"Revenue Up for Renewal - Target ($)"))</f>
        <v/>
      </c>
      <c r="L55" s="91">
        <f>IF(COUNTIFS('Data - Monthly Metrics'!A:A,$B$4,'Data - Monthly Metrics'!B:B,"Jun",'Data - Monthly Metrics'!C:C,"Southeast",'Data - Monthly Metrics'!D:D,"Revenue Up for Renewal - Target ($)")=0,"-",SUMIFS('Data - Monthly Metrics'!E:E,'Data - Monthly Metrics'!A:A,$B$4,'Data - Monthly Metrics'!B:B,"Jun",'Data - Monthly Metrics'!C:C,"Southeast",'Data - Monthly Metrics'!D:D,"Revenue Up for Renewal - Target ($)"))</f>
        <v/>
      </c>
      <c r="M55" s="101">
        <f>SUM(J55,K55,L55)</f>
        <v/>
      </c>
      <c r="N55" s="91">
        <f>IF(COUNTIFS('Data - Monthly Metrics'!A:A,$B$4,'Data - Monthly Metrics'!B:B,"Jul",'Data - Monthly Metrics'!C:C,"Southeast",'Data - Monthly Metrics'!D:D,"Revenue Up for Renewal - Target ($)")=0,"-",SUMIFS('Data - Monthly Metrics'!E:E,'Data - Monthly Metrics'!A:A,$B$4,'Data - Monthly Metrics'!B:B,"Jul",'Data - Monthly Metrics'!C:C,"Southeast",'Data - Monthly Metrics'!D:D,"Revenue Up for Renewal - Target ($)"))</f>
        <v/>
      </c>
      <c r="O55" s="91">
        <f>IF(COUNTIFS('Data - Monthly Metrics'!A:A,$B$4,'Data - Monthly Metrics'!B:B,"Aug",'Data - Monthly Metrics'!C:C,"Southeast",'Data - Monthly Metrics'!D:D,"Revenue Up for Renewal - Target ($)")=0,"-",SUMIFS('Data - Monthly Metrics'!E:E,'Data - Monthly Metrics'!A:A,$B$4,'Data - Monthly Metrics'!B:B,"Aug",'Data - Monthly Metrics'!C:C,"Southeast",'Data - Monthly Metrics'!D:D,"Revenue Up for Renewal - Target ($)"))</f>
        <v/>
      </c>
      <c r="P55" s="91">
        <f>IF(COUNTIFS('Data - Monthly Metrics'!A:A,$B$4,'Data - Monthly Metrics'!B:B,"Sep",'Data - Monthly Metrics'!C:C,"Southeast",'Data - Monthly Metrics'!D:D,"Revenue Up for Renewal - Target ($)")=0,"-",SUMIFS('Data - Monthly Metrics'!E:E,'Data - Monthly Metrics'!A:A,$B$4,'Data - Monthly Metrics'!B:B,"Sep",'Data - Monthly Metrics'!C:C,"Southeast",'Data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Metrics'!C:C,"Southeast",'Data - Monthly Metrics'!D:D,"Revenue Retained - Target ($)")=0,"-",SUMIFS('Data - Monthly Metrics'!E:E,'Data - Monthly Metrics'!A:A,$B$4-1,'Data - Monthly Metrics'!B:B,"Oct",'Data - Monthly Metrics'!C:C,"Southeast",'Data - Monthly Metrics'!D:D,"Revenue Retained - Target ($)"))</f>
        <v/>
      </c>
      <c r="C56" s="96">
        <f>IF(COUNTIFS('Data - Monthly Metrics'!A:A,$B$4-1,'Data - Monthly Metrics'!B:B,"Nov",'Data - Monthly Metrics'!C:C,"Southeast",'Data - Monthly Metrics'!D:D,"Revenue Retained - Target ($)")=0,"-",SUMIFS('Data - Monthly Metrics'!E:E,'Data - Monthly Metrics'!A:A,$B$4-1,'Data - Monthly Metrics'!B:B,"Nov",'Data - Monthly Metrics'!C:C,"Southeast",'Data - Monthly Metrics'!D:D,"Revenue Retained - Target ($)"))</f>
        <v/>
      </c>
      <c r="D56" s="96">
        <f>IF(COUNTIFS('Data - Monthly Metrics'!A:A,$B$4-1,'Data - Monthly Metrics'!B:B,"Dec",'Data - Monthly Metrics'!C:C,"Southeast",'Data - Monthly Metrics'!D:D,"Revenue Retained - Target ($)")=0,"-",SUMIFS('Data - Monthly Metrics'!E:E,'Data - Monthly Metrics'!A:A,$B$4-1,'Data - Monthly Metrics'!B:B,"Dec",'Data - Monthly Metrics'!C:C,"Southeast",'Data - Monthly Metrics'!D:D,"Revenue Retained - Target ($)"))</f>
        <v/>
      </c>
      <c r="E56" s="101">
        <f>SUM(B56,C56,D56)</f>
        <v/>
      </c>
      <c r="F56" s="96">
        <f>IF(COUNTIFS('Data - Monthly Metrics'!A:A,$B$4,'Data - Monthly Metrics'!B:B,"Jan",'Data - Monthly Metrics'!C:C,"Southeast",'Data - Monthly Metrics'!D:D,"Revenue Retained - Target ($)")=0,"-",SUMIFS('Data - Monthly Metrics'!E:E,'Data - Monthly Metrics'!A:A,$B$4,'Data - Monthly Metrics'!B:B,"Jan",'Data - Monthly Metrics'!C:C,"Southeast",'Data - Monthly Metrics'!D:D,"Revenue Retained - Target ($)"))</f>
        <v/>
      </c>
      <c r="G56" s="96">
        <f>IF(COUNTIFS('Data - Monthly Metrics'!A:A,$B$4,'Data - Monthly Metrics'!B:B,"Feb",'Data - Monthly Metrics'!C:C,"Southeast",'Data - Monthly Metrics'!D:D,"Revenue Retained - Target ($)")=0,"-",SUMIFS('Data - Monthly Metrics'!E:E,'Data - Monthly Metrics'!A:A,$B$4,'Data - Monthly Metrics'!B:B,"Feb",'Data - Monthly Metrics'!C:C,"Southeast",'Data - Monthly Metrics'!D:D,"Revenue Retained - Target ($)"))</f>
        <v/>
      </c>
      <c r="H56" s="96">
        <f>IF(COUNTIFS('Data - Monthly Metrics'!A:A,$B$4,'Data - Monthly Metrics'!B:B,"Mar",'Data - Monthly Metrics'!C:C,"Southeast",'Data - Monthly Metrics'!D:D,"Revenue Retained - Target ($)")=0,"-",SUMIFS('Data - Monthly Metrics'!E:E,'Data - Monthly Metrics'!A:A,$B$4,'Data - Monthly Metrics'!B:B,"Mar",'Data - Monthly Metrics'!C:C,"Southeast",'Data - Monthly Metrics'!D:D,"Revenue Retained - Target ($)"))</f>
        <v/>
      </c>
      <c r="I56" s="101">
        <f>SUM(F56,G56,H56)</f>
        <v/>
      </c>
      <c r="J56" s="96">
        <f>IF(COUNTIFS('Data - Monthly Metrics'!A:A,$B$4,'Data - Monthly Metrics'!B:B,"Apr",'Data - Monthly Metrics'!C:C,"Southeast",'Data - Monthly Metrics'!D:D,"Revenue Retained - Target ($)")=0,"-",SUMIFS('Data - Monthly Metrics'!E:E,'Data - Monthly Metrics'!A:A,$B$4,'Data - Monthly Metrics'!B:B,"Apr",'Data - Monthly Metrics'!C:C,"Southeast",'Data - Monthly Metrics'!D:D,"Revenue Retained - Target ($)"))</f>
        <v/>
      </c>
      <c r="K56" s="96">
        <f>IF(COUNTIFS('Data - Monthly Metrics'!A:A,$B$4,'Data - Monthly Metrics'!B:B,"May",'Data - Monthly Metrics'!C:C,"Southeast",'Data - Monthly Metrics'!D:D,"Revenue Retained - Target ($)")=0,"-",SUMIFS('Data - Monthly Metrics'!E:E,'Data - Monthly Metrics'!A:A,$B$4,'Data - Monthly Metrics'!B:B,"May",'Data - Monthly Metrics'!C:C,"Southeast",'Data - Monthly Metrics'!D:D,"Revenue Retained - Target ($)"))</f>
        <v/>
      </c>
      <c r="L56" s="96">
        <f>IF(COUNTIFS('Data - Monthly Metrics'!A:A,$B$4,'Data - Monthly Metrics'!B:B,"Jun",'Data - Monthly Metrics'!C:C,"Southeast",'Data - Monthly Metrics'!D:D,"Revenue Retained - Target ($)")=0,"-",SUMIFS('Data - Monthly Metrics'!E:E,'Data - Monthly Metrics'!A:A,$B$4,'Data - Monthly Metrics'!B:B,"Jun",'Data - Monthly Metrics'!C:C,"Southeast",'Data - Monthly Metrics'!D:D,"Revenue Retained - Target ($)"))</f>
        <v/>
      </c>
      <c r="M56" s="101">
        <f>SUM(J56,K56,L56)</f>
        <v/>
      </c>
      <c r="N56" s="96">
        <f>IF(COUNTIFS('Data - Monthly Metrics'!A:A,$B$4,'Data - Monthly Metrics'!B:B,"Jul",'Data - Monthly Metrics'!C:C,"Southeast",'Data - Monthly Metrics'!D:D,"Revenue Retained - Target ($)")=0,"-",SUMIFS('Data - Monthly Metrics'!E:E,'Data - Monthly Metrics'!A:A,$B$4,'Data - Monthly Metrics'!B:B,"Jul",'Data - Monthly Metrics'!C:C,"Southeast",'Data - Monthly Metrics'!D:D,"Revenue Retained - Target ($)"))</f>
        <v/>
      </c>
      <c r="O56" s="96">
        <f>IF(COUNTIFS('Data - Monthly Metrics'!A:A,$B$4,'Data - Monthly Metrics'!B:B,"Aug",'Data - Monthly Metrics'!C:C,"Southeast",'Data - Monthly Metrics'!D:D,"Revenue Retained - Target ($)")=0,"-",SUMIFS('Data - Monthly Metrics'!E:E,'Data - Monthly Metrics'!A:A,$B$4,'Data - Monthly Metrics'!B:B,"Aug",'Data - Monthly Metrics'!C:C,"Southeast",'Data - Monthly Metrics'!D:D,"Revenue Retained - Target ($)"))</f>
        <v/>
      </c>
      <c r="P56" s="96">
        <f>IF(COUNTIFS('Data - Monthly Metrics'!A:A,$B$4,'Data - Monthly Metrics'!B:B,"Sep",'Data - Monthly Metrics'!C:C,"Southeast",'Data - Monthly Metrics'!D:D,"Revenue Retained - Target ($)")=0,"-",SUMIFS('Data - Monthly Metrics'!E:E,'Data - Monthly Metrics'!A:A,$B$4,'Data - Monthly Metrics'!B:B,"Sep",'Data - Monthly Metrics'!C:C,"Southeast",'Data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Metrics'!C:C,"Southeast",'Data - Monthly Metrics'!D:D,"Retention - Comped Target (#)")=0,"-",SUMIFS('Data - Monthly Metrics'!E:E,'Data - Monthly Metrics'!A:A,$B$4-1,'Data - Monthly Metrics'!B:B,"Oct",'Data - Monthly Metrics'!C:C,"Southeast",'Data - Monthly Metrics'!D:D,"Retention - Comped Target (#)"))</f>
        <v/>
      </c>
      <c r="C57" s="98">
        <f>IF(COUNTIFS('Data - Monthly Metrics'!A:A,$B$4-1,'Data - Monthly Metrics'!B:B,"Nov",'Data - Monthly Metrics'!C:C,"Southeast",'Data - Monthly Metrics'!D:D,"Retention - Comped Target (#)")=0,"-",SUMIFS('Data - Monthly Metrics'!E:E,'Data - Monthly Metrics'!A:A,$B$4-1,'Data - Monthly Metrics'!B:B,"Nov",'Data - Monthly Metrics'!C:C,"Southeast",'Data - Monthly Metrics'!D:D,"Retention - Comped Target (#)"))</f>
        <v/>
      </c>
      <c r="D57" s="98">
        <f>IF(COUNTIFS('Data - Monthly Metrics'!A:A,$B$4-1,'Data - Monthly Metrics'!B:B,"Dec",'Data - Monthly Metrics'!C:C,"Southeast",'Data - Monthly Metrics'!D:D,"Retention - Comped Target (#)")=0,"-",SUMIFS('Data - Monthly Metrics'!E:E,'Data - Monthly Metrics'!A:A,$B$4-1,'Data - Monthly Metrics'!B:B,"Dec",'Data - Monthly Metrics'!C:C,"Southeast",'Data - Monthly Metrics'!D:D,"Retention - Comped Target (#)"))</f>
        <v/>
      </c>
      <c r="E57" s="103">
        <f>SUM(B57,C57,D57)</f>
        <v/>
      </c>
      <c r="F57" s="98">
        <f>IF(COUNTIFS('Data - Monthly Metrics'!A:A,$B$4,'Data - Monthly Metrics'!B:B,"Jan",'Data - Monthly Metrics'!C:C,"Southeast",'Data - Monthly Metrics'!D:D,"Retention - Comped Target (#)")=0,"-",SUMIFS('Data - Monthly Metrics'!E:E,'Data - Monthly Metrics'!A:A,$B$4,'Data - Monthly Metrics'!B:B,"Jan",'Data - Monthly Metrics'!C:C,"Southeast",'Data - Monthly Metrics'!D:D,"Retention - Comped Target (#)"))</f>
        <v/>
      </c>
      <c r="G57" s="98">
        <f>IF(COUNTIFS('Data - Monthly Metrics'!A:A,$B$4,'Data - Monthly Metrics'!B:B,"Feb",'Data - Monthly Metrics'!C:C,"Southeast",'Data - Monthly Metrics'!D:D,"Retention - Comped Target (#)")=0,"-",SUMIFS('Data - Monthly Metrics'!E:E,'Data - Monthly Metrics'!A:A,$B$4,'Data - Monthly Metrics'!B:B,"Feb",'Data - Monthly Metrics'!C:C,"Southeast",'Data - Monthly Metrics'!D:D,"Retention - Comped Target (#)"))</f>
        <v/>
      </c>
      <c r="H57" s="98">
        <f>IF(COUNTIFS('Data - Monthly Metrics'!A:A,$B$4,'Data - Monthly Metrics'!B:B,"Mar",'Data - Monthly Metrics'!C:C,"Southeast",'Data - Monthly Metrics'!D:D,"Retention - Comped Target (#)")=0,"-",SUMIFS('Data - Monthly Metrics'!E:E,'Data - Monthly Metrics'!A:A,$B$4,'Data - Monthly Metrics'!B:B,"Mar",'Data - Monthly Metrics'!C:C,"Southeast",'Data - Monthly Metrics'!D:D,"Retention - Comped Target (#)"))</f>
        <v/>
      </c>
      <c r="I57" s="103">
        <f>SUM(F57,G57,H57)</f>
        <v/>
      </c>
      <c r="J57" s="98">
        <f>IF(COUNTIFS('Data - Monthly Metrics'!A:A,$B$4,'Data - Monthly Metrics'!B:B,"Apr",'Data - Monthly Metrics'!C:C,"Southeast",'Data - Monthly Metrics'!D:D,"Retention - Comped Target (#)")=0,"-",SUMIFS('Data - Monthly Metrics'!E:E,'Data - Monthly Metrics'!A:A,$B$4,'Data - Monthly Metrics'!B:B,"Apr",'Data - Monthly Metrics'!C:C,"Southeast",'Data - Monthly Metrics'!D:D,"Retention - Comped Target (#)"))</f>
        <v/>
      </c>
      <c r="K57" s="98">
        <f>IF(COUNTIFS('Data - Monthly Metrics'!A:A,$B$4,'Data - Monthly Metrics'!B:B,"May",'Data - Monthly Metrics'!C:C,"Southeast",'Data - Monthly Metrics'!D:D,"Retention - Comped Target (#)")=0,"-",SUMIFS('Data - Monthly Metrics'!E:E,'Data - Monthly Metrics'!A:A,$B$4,'Data - Monthly Metrics'!B:B,"May",'Data - Monthly Metrics'!C:C,"Southeast",'Data - Monthly Metrics'!D:D,"Retention - Comped Target (#)"))</f>
        <v/>
      </c>
      <c r="L57" s="98">
        <f>IF(COUNTIFS('Data - Monthly Metrics'!A:A,$B$4,'Data - Monthly Metrics'!B:B,"Jun",'Data - Monthly Metrics'!C:C,"Southeast",'Data - Monthly Metrics'!D:D,"Retention - Comped Target (#)")=0,"-",SUMIFS('Data - Monthly Metrics'!E:E,'Data - Monthly Metrics'!A:A,$B$4,'Data - Monthly Metrics'!B:B,"Jun",'Data - Monthly Metrics'!C:C,"Southeast",'Data - Monthly Metrics'!D:D,"Retention - Comped Target (#)"))</f>
        <v/>
      </c>
      <c r="M57" s="103">
        <f>SUM(J57,K57,L57)</f>
        <v/>
      </c>
      <c r="N57" s="98">
        <f>IF(COUNTIFS('Data - Monthly Metrics'!A:A,$B$4,'Data - Monthly Metrics'!B:B,"Jul",'Data - Monthly Metrics'!C:C,"Southeast",'Data - Monthly Metrics'!D:D,"Retention - Comped Target (#)")=0,"-",SUMIFS('Data - Monthly Metrics'!E:E,'Data - Monthly Metrics'!A:A,$B$4,'Data - Monthly Metrics'!B:B,"Jul",'Data - Monthly Metrics'!C:C,"Southeast",'Data - Monthly Metrics'!D:D,"Retention - Comped Target (#)"))</f>
        <v/>
      </c>
      <c r="O57" s="98">
        <f>IF(COUNTIFS('Data - Monthly Metrics'!A:A,$B$4,'Data - Monthly Metrics'!B:B,"Aug",'Data - Monthly Metrics'!C:C,"Southeast",'Data - Monthly Metrics'!D:D,"Retention - Comped Target (#)")=0,"-",SUMIFS('Data - Monthly Metrics'!E:E,'Data - Monthly Metrics'!A:A,$B$4,'Data - Monthly Metrics'!B:B,"Aug",'Data - Monthly Metrics'!C:C,"Southeast",'Data - Monthly Metrics'!D:D,"Retention - Comped Target (#)"))</f>
        <v/>
      </c>
      <c r="P57" s="98">
        <f>IF(COUNTIFS('Data - Monthly Metrics'!A:A,$B$4,'Data - Monthly Metrics'!B:B,"Sep",'Data - Monthly Metrics'!C:C,"Southeast",'Data - Monthly Metrics'!D:D,"Retention - Comped Target (#)")=0,"-",SUMIFS('Data - Monthly Metrics'!E:E,'Data - Monthly Metrics'!A:A,$B$4,'Data - Monthly Metrics'!B:B,"Sep",'Data - Monthly Metrics'!C:C,"Southeast",'Data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Metrics'!C:C,"Southeast",'Data - Monthly Metrics'!D:D,"Retention - Comped Target ($)")=0,"-",SUMIFS('Data - Monthly Metrics'!E:E,'Data - Monthly Metrics'!A:A,$B$4-1,'Data - Monthly Metrics'!B:B,"Oct",'Data - Monthly Metrics'!C:C,"Southeast",'Data - Monthly Metrics'!D:D,"Retention - Comped Target ($)"))</f>
        <v/>
      </c>
      <c r="C58" s="96">
        <f>IF(COUNTIFS('Data - Monthly Metrics'!A:A,$B$4-1,'Data - Monthly Metrics'!B:B,"Nov",'Data - Monthly Metrics'!C:C,"Southeast",'Data - Monthly Metrics'!D:D,"Retention - Comped Target ($)")=0,"-",SUMIFS('Data - Monthly Metrics'!E:E,'Data - Monthly Metrics'!A:A,$B$4-1,'Data - Monthly Metrics'!B:B,"Nov",'Data - Monthly Metrics'!C:C,"Southeast",'Data - Monthly Metrics'!D:D,"Retention - Comped Target ($)"))</f>
        <v/>
      </c>
      <c r="D58" s="96">
        <f>IF(COUNTIFS('Data - Monthly Metrics'!A:A,$B$4-1,'Data - Monthly Metrics'!B:B,"Dec",'Data - Monthly Metrics'!C:C,"Southeast",'Data - Monthly Metrics'!D:D,"Retention - Comped Target ($)")=0,"-",SUMIFS('Data - Monthly Metrics'!E:E,'Data - Monthly Metrics'!A:A,$B$4-1,'Data - Monthly Metrics'!B:B,"Dec",'Data - Monthly Metrics'!C:C,"Southeast",'Data - Monthly Metrics'!D:D,"Retention - Comped Target ($)"))</f>
        <v/>
      </c>
      <c r="E58" s="101">
        <f>SUM(B58,C58,D58)</f>
        <v/>
      </c>
      <c r="F58" s="96">
        <f>IF(COUNTIFS('Data - Monthly Metrics'!A:A,$B$4,'Data - Monthly Metrics'!B:B,"Jan",'Data - Monthly Metrics'!C:C,"Southeast",'Data - Monthly Metrics'!D:D,"Retention - Comped Target ($)")=0,"-",SUMIFS('Data - Monthly Metrics'!E:E,'Data - Monthly Metrics'!A:A,$B$4,'Data - Monthly Metrics'!B:B,"Jan",'Data - Monthly Metrics'!C:C,"Southeast",'Data - Monthly Metrics'!D:D,"Retention - Comped Target ($)"))</f>
        <v/>
      </c>
      <c r="G58" s="96">
        <f>IF(COUNTIFS('Data - Monthly Metrics'!A:A,$B$4,'Data - Monthly Metrics'!B:B,"Feb",'Data - Monthly Metrics'!C:C,"Southeast",'Data - Monthly Metrics'!D:D,"Retention - Comped Target ($)")=0,"-",SUMIFS('Data - Monthly Metrics'!E:E,'Data - Monthly Metrics'!A:A,$B$4,'Data - Monthly Metrics'!B:B,"Feb",'Data - Monthly Metrics'!C:C,"Southeast",'Data - Monthly Metrics'!D:D,"Retention - Comped Target ($)"))</f>
        <v/>
      </c>
      <c r="H58" s="96">
        <f>IF(COUNTIFS('Data - Monthly Metrics'!A:A,$B$4,'Data - Monthly Metrics'!B:B,"Mar",'Data - Monthly Metrics'!C:C,"Southeast",'Data - Monthly Metrics'!D:D,"Retention - Comped Target ($)")=0,"-",SUMIFS('Data - Monthly Metrics'!E:E,'Data - Monthly Metrics'!A:A,$B$4,'Data - Monthly Metrics'!B:B,"Mar",'Data - Monthly Metrics'!C:C,"Southeast",'Data - Monthly Metrics'!D:D,"Retention - Comped Target ($)"))</f>
        <v/>
      </c>
      <c r="I58" s="101">
        <f>SUM(F58,G58,H58)</f>
        <v/>
      </c>
      <c r="J58" s="96">
        <f>IF(COUNTIFS('Data - Monthly Metrics'!A:A,$B$4,'Data - Monthly Metrics'!B:B,"Apr",'Data - Monthly Metrics'!C:C,"Southeast",'Data - Monthly Metrics'!D:D,"Retention - Comped Target ($)")=0,"-",SUMIFS('Data - Monthly Metrics'!E:E,'Data - Monthly Metrics'!A:A,$B$4,'Data - Monthly Metrics'!B:B,"Apr",'Data - Monthly Metrics'!C:C,"Southeast",'Data - Monthly Metrics'!D:D,"Retention - Comped Target ($)"))</f>
        <v/>
      </c>
      <c r="K58" s="96">
        <f>IF(COUNTIFS('Data - Monthly Metrics'!A:A,$B$4,'Data - Monthly Metrics'!B:B,"May",'Data - Monthly Metrics'!C:C,"Southeast",'Data - Monthly Metrics'!D:D,"Retention - Comped Target ($)")=0,"-",SUMIFS('Data - Monthly Metrics'!E:E,'Data - Monthly Metrics'!A:A,$B$4,'Data - Monthly Metrics'!B:B,"May",'Data - Monthly Metrics'!C:C,"Southeast",'Data - Monthly Metrics'!D:D,"Retention - Comped Target ($)"))</f>
        <v/>
      </c>
      <c r="L58" s="96">
        <f>IF(COUNTIFS('Data - Monthly Metrics'!A:A,$B$4,'Data - Monthly Metrics'!B:B,"Jun",'Data - Monthly Metrics'!C:C,"Southeast",'Data - Monthly Metrics'!D:D,"Retention - Comped Target ($)")=0,"-",SUMIFS('Data - Monthly Metrics'!E:E,'Data - Monthly Metrics'!A:A,$B$4,'Data - Monthly Metrics'!B:B,"Jun",'Data - Monthly Metrics'!C:C,"Southeast",'Data - Monthly Metrics'!D:D,"Retention - Comped Target ($)"))</f>
        <v/>
      </c>
      <c r="M58" s="101">
        <f>SUM(J58,K58,L58)</f>
        <v/>
      </c>
      <c r="N58" s="96">
        <f>IF(COUNTIFS('Data - Monthly Metrics'!A:A,$B$4,'Data - Monthly Metrics'!B:B,"Jul",'Data - Monthly Metrics'!C:C,"Southeast",'Data - Monthly Metrics'!D:D,"Retention - Comped Target ($)")=0,"-",SUMIFS('Data - Monthly Metrics'!E:E,'Data - Monthly Metrics'!A:A,$B$4,'Data - Monthly Metrics'!B:B,"Jul",'Data - Monthly Metrics'!C:C,"Southeast",'Data - Monthly Metrics'!D:D,"Retention - Comped Target ($)"))</f>
        <v/>
      </c>
      <c r="O58" s="96">
        <f>IF(COUNTIFS('Data - Monthly Metrics'!A:A,$B$4,'Data - Monthly Metrics'!B:B,"Aug",'Data - Monthly Metrics'!C:C,"Southeast",'Data - Monthly Metrics'!D:D,"Retention - Comped Target ($)")=0,"-",SUMIFS('Data - Monthly Metrics'!E:E,'Data - Monthly Metrics'!A:A,$B$4,'Data - Monthly Metrics'!B:B,"Aug",'Data - Monthly Metrics'!C:C,"Southeast",'Data - Monthly Metrics'!D:D,"Retention - Comped Target ($)"))</f>
        <v/>
      </c>
      <c r="P58" s="96">
        <f>IF(COUNTIFS('Data - Monthly Metrics'!A:A,$B$4,'Data - Monthly Metrics'!B:B,"Sep",'Data - Monthly Metrics'!C:C,"Southeast",'Data - Monthly Metrics'!D:D,"Retention - Comped Target ($)")=0,"-",SUMIFS('Data - Monthly Metrics'!E:E,'Data - Monthly Metrics'!A:A,$B$4,'Data - Monthly Metrics'!B:B,"Sep",'Data - Monthly Metrics'!C:C,"Southeast",'Data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Metrics'!C:C,"Southeast",'Data - Monthly Metrics'!D:D,"Drops - Target (#)")=0,"-",SUMIFS('Data - Monthly Metrics'!E:E,'Data - Monthly Metrics'!A:A,$B$4-1,'Data - Monthly Metrics'!B:B,"Oct",'Data - Monthly Metrics'!C:C,"Southeast",'Data - Monthly Metrics'!D:D,"Drops - Target (#)"))</f>
        <v/>
      </c>
      <c r="C63" s="93">
        <f>IF(COUNTIFS('Data - Monthly Metrics'!A:A,$B$4-1,'Data - Monthly Metrics'!B:B,"Nov",'Data - Monthly Metrics'!C:C,"Southeast",'Data - Monthly Metrics'!D:D,"Drops - Target (#)")=0,"-",SUMIFS('Data - Monthly Metrics'!E:E,'Data - Monthly Metrics'!A:A,$B$4-1,'Data - Monthly Metrics'!B:B,"Nov",'Data - Monthly Metrics'!C:C,"Southeast",'Data - Monthly Metrics'!D:D,"Drops - Target (#)"))</f>
        <v/>
      </c>
      <c r="D63" s="93">
        <f>IF(COUNTIFS('Data - Monthly Metrics'!A:A,$B$4-1,'Data - Monthly Metrics'!B:B,"Dec",'Data - Monthly Metrics'!C:C,"Southeast",'Data - Monthly Metrics'!D:D,"Drops - Target (#)")=0,"-",SUMIFS('Data - Monthly Metrics'!E:E,'Data - Monthly Metrics'!A:A,$B$4-1,'Data - Monthly Metrics'!B:B,"Dec",'Data - Monthly Metrics'!C:C,"Southeast",'Data - Monthly Metrics'!D:D,"Drops - Target (#)"))</f>
        <v/>
      </c>
      <c r="E63" s="103">
        <f>SUM(B63,C63,D63)</f>
        <v/>
      </c>
      <c r="F63" s="93">
        <f>IF(COUNTIFS('Data - Monthly Metrics'!A:A,$B$4,'Data - Monthly Metrics'!B:B,"Jan",'Data - Monthly Metrics'!C:C,"Southeast",'Data - Monthly Metrics'!D:D,"Drops - Target (#)")=0,"-",SUMIFS('Data - Monthly Metrics'!E:E,'Data - Monthly Metrics'!A:A,$B$4,'Data - Monthly Metrics'!B:B,"Jan",'Data - Monthly Metrics'!C:C,"Southeast",'Data - Monthly Metrics'!D:D,"Drops - Target (#)"))</f>
        <v/>
      </c>
      <c r="G63" s="93">
        <f>IF(COUNTIFS('Data - Monthly Metrics'!A:A,$B$4,'Data - Monthly Metrics'!B:B,"Feb",'Data - Monthly Metrics'!C:C,"Southeast",'Data - Monthly Metrics'!D:D,"Drops - Target (#)")=0,"-",SUMIFS('Data - Monthly Metrics'!E:E,'Data - Monthly Metrics'!A:A,$B$4,'Data - Monthly Metrics'!B:B,"Feb",'Data - Monthly Metrics'!C:C,"Southeast",'Data - Monthly Metrics'!D:D,"Drops - Target (#)"))</f>
        <v/>
      </c>
      <c r="H63" s="93">
        <f>IF(COUNTIFS('Data - Monthly Metrics'!A:A,$B$4,'Data - Monthly Metrics'!B:B,"Mar",'Data - Monthly Metrics'!C:C,"Southeast",'Data - Monthly Metrics'!D:D,"Drops - Target (#)")=0,"-",SUMIFS('Data - Monthly Metrics'!E:E,'Data - Monthly Metrics'!A:A,$B$4,'Data - Monthly Metrics'!B:B,"Mar",'Data - Monthly Metrics'!C:C,"Southeast",'Data - Monthly Metrics'!D:D,"Drops - Target (#)"))</f>
        <v/>
      </c>
      <c r="I63" s="103">
        <f>SUM(F63,G63,H63)</f>
        <v/>
      </c>
      <c r="J63" s="93">
        <f>IF(COUNTIFS('Data - Monthly Metrics'!A:A,$B$4,'Data - Monthly Metrics'!B:B,"Apr",'Data - Monthly Metrics'!C:C,"Southeast",'Data - Monthly Metrics'!D:D,"Drops - Target (#)")=0,"-",SUMIFS('Data - Monthly Metrics'!E:E,'Data - Monthly Metrics'!A:A,$B$4,'Data - Monthly Metrics'!B:B,"Apr",'Data - Monthly Metrics'!C:C,"Southeast",'Data - Monthly Metrics'!D:D,"Drops - Target (#)"))</f>
        <v/>
      </c>
      <c r="K63" s="93">
        <f>IF(COUNTIFS('Data - Monthly Metrics'!A:A,$B$4,'Data - Monthly Metrics'!B:B,"May",'Data - Monthly Metrics'!C:C,"Southeast",'Data - Monthly Metrics'!D:D,"Drops - Target (#)")=0,"-",SUMIFS('Data - Monthly Metrics'!E:E,'Data - Monthly Metrics'!A:A,$B$4,'Data - Monthly Metrics'!B:B,"May",'Data - Monthly Metrics'!C:C,"Southeast",'Data - Monthly Metrics'!D:D,"Drops - Target (#)"))</f>
        <v/>
      </c>
      <c r="L63" s="93">
        <f>IF(COUNTIFS('Data - Monthly Metrics'!A:A,$B$4,'Data - Monthly Metrics'!B:B,"Jun",'Data - Monthly Metrics'!C:C,"Southeast",'Data - Monthly Metrics'!D:D,"Drops - Target (#)")=0,"-",SUMIFS('Data - Monthly Metrics'!E:E,'Data - Monthly Metrics'!A:A,$B$4,'Data - Monthly Metrics'!B:B,"Jun",'Data - Monthly Metrics'!C:C,"Southeast",'Data - Monthly Metrics'!D:D,"Drops - Target (#)"))</f>
        <v/>
      </c>
      <c r="M63" s="103">
        <f>SUM(J63,K63,L63)</f>
        <v/>
      </c>
      <c r="N63" s="93">
        <f>IF(COUNTIFS('Data - Monthly Metrics'!A:A,$B$4,'Data - Monthly Metrics'!B:B,"Jul",'Data - Monthly Metrics'!C:C,"Southeast",'Data - Monthly Metrics'!D:D,"Drops - Target (#)")=0,"-",SUMIFS('Data - Monthly Metrics'!E:E,'Data - Monthly Metrics'!A:A,$B$4,'Data - Monthly Metrics'!B:B,"Jul",'Data - Monthly Metrics'!C:C,"Southeast",'Data - Monthly Metrics'!D:D,"Drops - Target (#)"))</f>
        <v/>
      </c>
      <c r="O63" s="93">
        <f>IF(COUNTIFS('Data - Monthly Metrics'!A:A,$B$4,'Data - Monthly Metrics'!B:B,"Aug",'Data - Monthly Metrics'!C:C,"Southeast",'Data - Monthly Metrics'!D:D,"Drops - Target (#)")=0,"-",SUMIFS('Data - Monthly Metrics'!E:E,'Data - Monthly Metrics'!A:A,$B$4,'Data - Monthly Metrics'!B:B,"Aug",'Data - Monthly Metrics'!C:C,"Southeast",'Data - Monthly Metrics'!D:D,"Drops - Target (#)"))</f>
        <v/>
      </c>
      <c r="P63" s="93">
        <f>IF(COUNTIFS('Data - Monthly Metrics'!A:A,$B$4,'Data - Monthly Metrics'!B:B,"Sep",'Data - Monthly Metrics'!C:C,"Southeast",'Data - Monthly Metrics'!D:D,"Drops - Target (#)")=0,"-",SUMIFS('Data - Monthly Metrics'!E:E,'Data - Monthly Metrics'!A:A,$B$4,'Data - Monthly Metrics'!B:B,"Sep",'Data - Monthly Metrics'!C:C,"Southeast",'Data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Metrics'!C:C,"Southeast",'Data - Monthly Metrics'!D:D,"Dropped Revenue - Target ($)")=0,"-",SUMIFS('Data - Monthly Metrics'!E:E,'Data - Monthly Metrics'!A:A,$B$4-1,'Data - Monthly Metrics'!B:B,"Oct",'Data - Monthly Metrics'!C:C,"Southeast",'Data - Monthly Metrics'!D:D,"Dropped Revenue - Target ($)"))</f>
        <v/>
      </c>
      <c r="C64" s="96">
        <f>IF(COUNTIFS('Data - Monthly Metrics'!A:A,$B$4-1,'Data - Monthly Metrics'!B:B,"Nov",'Data - Monthly Metrics'!C:C,"Southeast",'Data - Monthly Metrics'!D:D,"Dropped Revenue - Target ($)")=0,"-",SUMIFS('Data - Monthly Metrics'!E:E,'Data - Monthly Metrics'!A:A,$B$4-1,'Data - Monthly Metrics'!B:B,"Nov",'Data - Monthly Metrics'!C:C,"Southeast",'Data - Monthly Metrics'!D:D,"Dropped Revenue - Target ($)"))</f>
        <v/>
      </c>
      <c r="D64" s="96">
        <f>IF(COUNTIFS('Data - Monthly Metrics'!A:A,$B$4-1,'Data - Monthly Metrics'!B:B,"Dec",'Data - Monthly Metrics'!C:C,"Southeast",'Data - Monthly Metrics'!D:D,"Dropped Revenue - Target ($)")=0,"-",SUMIFS('Data - Monthly Metrics'!E:E,'Data - Monthly Metrics'!A:A,$B$4-1,'Data - Monthly Metrics'!B:B,"Dec",'Data - Monthly Metrics'!C:C,"Southeast",'Data - Monthly Metrics'!D:D,"Dropped Revenue - Target ($)"))</f>
        <v/>
      </c>
      <c r="E64" s="101">
        <f>SUM(B64,C64,D64)</f>
        <v/>
      </c>
      <c r="F64" s="96">
        <f>IF(COUNTIFS('Data - Monthly Metrics'!A:A,$B$4,'Data - Monthly Metrics'!B:B,"Jan",'Data - Monthly Metrics'!C:C,"Southeast",'Data - Monthly Metrics'!D:D,"Dropped Revenue - Target ($)")=0,"-",SUMIFS('Data - Monthly Metrics'!E:E,'Data - Monthly Metrics'!A:A,$B$4,'Data - Monthly Metrics'!B:B,"Jan",'Data - Monthly Metrics'!C:C,"Southeast",'Data - Monthly Metrics'!D:D,"Dropped Revenue - Target ($)"))</f>
        <v/>
      </c>
      <c r="G64" s="96">
        <f>IF(COUNTIFS('Data - Monthly Metrics'!A:A,$B$4,'Data - Monthly Metrics'!B:B,"Feb",'Data - Monthly Metrics'!C:C,"Southeast",'Data - Monthly Metrics'!D:D,"Dropped Revenue - Target ($)")=0,"-",SUMIFS('Data - Monthly Metrics'!E:E,'Data - Monthly Metrics'!A:A,$B$4,'Data - Monthly Metrics'!B:B,"Feb",'Data - Monthly Metrics'!C:C,"Southeast",'Data - Monthly Metrics'!D:D,"Dropped Revenue - Target ($)"))</f>
        <v/>
      </c>
      <c r="H64" s="96">
        <f>IF(COUNTIFS('Data - Monthly Metrics'!A:A,$B$4,'Data - Monthly Metrics'!B:B,"Mar",'Data - Monthly Metrics'!C:C,"Southeast",'Data - Monthly Metrics'!D:D,"Dropped Revenue - Target ($)")=0,"-",SUMIFS('Data - Monthly Metrics'!E:E,'Data - Monthly Metrics'!A:A,$B$4,'Data - Monthly Metrics'!B:B,"Mar",'Data - Monthly Metrics'!C:C,"Southeast",'Data - Monthly Metrics'!D:D,"Dropped Revenue - Target ($)"))</f>
        <v/>
      </c>
      <c r="I64" s="101">
        <f>SUM(F64,G64,H64)</f>
        <v/>
      </c>
      <c r="J64" s="96">
        <f>IF(COUNTIFS('Data - Monthly Metrics'!A:A,$B$4,'Data - Monthly Metrics'!B:B,"Apr",'Data - Monthly Metrics'!C:C,"Southeast",'Data - Monthly Metrics'!D:D,"Dropped Revenue - Target ($)")=0,"-",SUMIFS('Data - Monthly Metrics'!E:E,'Data - Monthly Metrics'!A:A,$B$4,'Data - Monthly Metrics'!B:B,"Apr",'Data - Monthly Metrics'!C:C,"Southeast",'Data - Monthly Metrics'!D:D,"Dropped Revenue - Target ($)"))</f>
        <v/>
      </c>
      <c r="K64" s="96">
        <f>IF(COUNTIFS('Data - Monthly Metrics'!A:A,$B$4,'Data - Monthly Metrics'!B:B,"May",'Data - Monthly Metrics'!C:C,"Southeast",'Data - Monthly Metrics'!D:D,"Dropped Revenue - Target ($)")=0,"-",SUMIFS('Data - Monthly Metrics'!E:E,'Data - Monthly Metrics'!A:A,$B$4,'Data - Monthly Metrics'!B:B,"May",'Data - Monthly Metrics'!C:C,"Southeast",'Data - Monthly Metrics'!D:D,"Dropped Revenue - Target ($)"))</f>
        <v/>
      </c>
      <c r="L64" s="96">
        <f>IF(COUNTIFS('Data - Monthly Metrics'!A:A,$B$4,'Data - Monthly Metrics'!B:B,"Jun",'Data - Monthly Metrics'!C:C,"Southeast",'Data - Monthly Metrics'!D:D,"Dropped Revenue - Target ($)")=0,"-",SUMIFS('Data - Monthly Metrics'!E:E,'Data - Monthly Metrics'!A:A,$B$4,'Data - Monthly Metrics'!B:B,"Jun",'Data - Monthly Metrics'!C:C,"Southeast",'Data - Monthly Metrics'!D:D,"Dropped Revenue - Target ($)"))</f>
        <v/>
      </c>
      <c r="M64" s="101">
        <f>SUM(J64,K64,L64)</f>
        <v/>
      </c>
      <c r="N64" s="96">
        <f>IF(COUNTIFS('Data - Monthly Metrics'!A:A,$B$4,'Data - Monthly Metrics'!B:B,"Jul",'Data - Monthly Metrics'!C:C,"Southeast",'Data - Monthly Metrics'!D:D,"Dropped Revenue - Target ($)")=0,"-",SUMIFS('Data - Monthly Metrics'!E:E,'Data - Monthly Metrics'!A:A,$B$4,'Data - Monthly Metrics'!B:B,"Jul",'Data - Monthly Metrics'!C:C,"Southeast",'Data - Monthly Metrics'!D:D,"Dropped Revenue - Target ($)"))</f>
        <v/>
      </c>
      <c r="O64" s="96">
        <f>IF(COUNTIFS('Data - Monthly Metrics'!A:A,$B$4,'Data - Monthly Metrics'!B:B,"Aug",'Data - Monthly Metrics'!C:C,"Southeast",'Data - Monthly Metrics'!D:D,"Dropped Revenue - Target ($)")=0,"-",SUMIFS('Data - Monthly Metrics'!E:E,'Data - Monthly Metrics'!A:A,$B$4,'Data - Monthly Metrics'!B:B,"Aug",'Data - Monthly Metrics'!C:C,"Southeast",'Data - Monthly Metrics'!D:D,"Dropped Revenue - Target ($)"))</f>
        <v/>
      </c>
      <c r="P64" s="96">
        <f>IF(COUNTIFS('Data - Monthly Metrics'!A:A,$B$4,'Data - Monthly Metrics'!B:B,"Sep",'Data - Monthly Metrics'!C:C,"Southeast",'Data - Monthly Metrics'!D:D,"Dropped Revenue - Target ($)")=0,"-",SUMIFS('Data - Monthly Metrics'!E:E,'Data - Monthly Metrics'!A:A,$B$4,'Data - Monthly Metrics'!B:B,"Sep",'Data - Monthly Metrics'!C:C,"Southeast",'Data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Metrics'!C:C,"Southeast",'Data - Monthly Metrics'!D:D,"Penetration - Restaurant %")=0,"-",SUMIFS('Data - Monthly Metrics'!E:E,'Data - Monthly Metrics'!A:A,$B$4-1,'Data - Monthly Metrics'!B:B,"Oct",'Data - Monthly Metrics'!C:C,"Southeast",'Data - Monthly Metrics'!D:D,"Penetration - Restaurant %"))</f>
        <v/>
      </c>
      <c r="C68" s="92">
        <f>IF(COUNTIFS('Data - Monthly Metrics'!A:A,$B$4-1,'Data - Monthly Metrics'!B:B,"Nov",'Data - Monthly Metrics'!C:C,"Southeast",'Data - Monthly Metrics'!D:D,"Penetration - Restaurant %")=0,"-",SUMIFS('Data - Monthly Metrics'!E:E,'Data - Monthly Metrics'!A:A,$B$4-1,'Data - Monthly Metrics'!B:B,"Nov",'Data - Monthly Metrics'!C:C,"Southeast",'Data - Monthly Metrics'!D:D,"Penetration - Restaurant %"))</f>
        <v/>
      </c>
      <c r="D68" s="92">
        <f>IF(COUNTIFS('Data - Monthly Metrics'!A:A,$B$4-1,'Data - Monthly Metrics'!B:B,"Dec",'Data - Monthly Metrics'!C:C,"Southeast",'Data - Monthly Metrics'!D:D,"Penetration - Restaurant %")=0,"-",SUMIFS('Data - Monthly Metrics'!E:E,'Data - Monthly Metrics'!A:A,$B$4-1,'Data - Monthly Metrics'!B:B,"Dec",'Data - Monthly Metrics'!C:C,"Southeast",'Data - Monthly Metrics'!D:D,"Penetration - Restaurant %"))</f>
        <v/>
      </c>
      <c r="E68" s="102">
        <f>IF(ISNUMBER(D68),D68,IF(ISNUMBER(C68),C68,IF(ISNUMBER(B68),B68,"-")))</f>
        <v/>
      </c>
      <c r="F68" s="92">
        <f>IF(COUNTIFS('Data - Monthly Metrics'!A:A,$B$4,'Data - Monthly Metrics'!B:B,"Jan",'Data - Monthly Metrics'!C:C,"Southeast",'Data - Monthly Metrics'!D:D,"Penetration - Restaurant %")=0,"-",SUMIFS('Data - Monthly Metrics'!E:E,'Data - Monthly Metrics'!A:A,$B$4,'Data - Monthly Metrics'!B:B,"Jan",'Data - Monthly Metrics'!C:C,"Southeast",'Data - Monthly Metrics'!D:D,"Penetration - Restaurant %"))</f>
        <v/>
      </c>
      <c r="G68" s="92">
        <f>IF(COUNTIFS('Data - Monthly Metrics'!A:A,$B$4,'Data - Monthly Metrics'!B:B,"Feb",'Data - Monthly Metrics'!C:C,"Southeast",'Data - Monthly Metrics'!D:D,"Penetration - Restaurant %")=0,"-",SUMIFS('Data - Monthly Metrics'!E:E,'Data - Monthly Metrics'!A:A,$B$4,'Data - Monthly Metrics'!B:B,"Feb",'Data - Monthly Metrics'!C:C,"Southeast",'Data - Monthly Metrics'!D:D,"Penetration - Restaurant %"))</f>
        <v/>
      </c>
      <c r="H68" s="92">
        <f>IF(COUNTIFS('Data - Monthly Metrics'!A:A,$B$4,'Data - Monthly Metrics'!B:B,"Mar",'Data - Monthly Metrics'!C:C,"Southeast",'Data - Monthly Metrics'!D:D,"Penetration - Restaurant %")=0,"-",SUMIFS('Data - Monthly Metrics'!E:E,'Data - Monthly Metrics'!A:A,$B$4,'Data - Monthly Metrics'!B:B,"Mar",'Data - Monthly Metrics'!C:C,"Southeast",'Data - Monthly Metrics'!D:D,"Penetration - Restaurant %"))</f>
        <v/>
      </c>
      <c r="I68" s="102">
        <f>IF(ISNUMBER(H68),H68,IF(ISNUMBER(G68),G68,IF(ISNUMBER(F68),F68,"-")))</f>
        <v/>
      </c>
      <c r="J68" s="92">
        <f>IF(COUNTIFS('Data - Monthly Metrics'!A:A,$B$4,'Data - Monthly Metrics'!B:B,"Apr",'Data - Monthly Metrics'!C:C,"Southeast",'Data - Monthly Metrics'!D:D,"Penetration - Restaurant %")=0,"-",SUMIFS('Data - Monthly Metrics'!E:E,'Data - Monthly Metrics'!A:A,$B$4,'Data - Monthly Metrics'!B:B,"Apr",'Data - Monthly Metrics'!C:C,"Southeast",'Data - Monthly Metrics'!D:D,"Penetration - Restaurant %"))</f>
        <v/>
      </c>
      <c r="K68" s="92">
        <f>IF(COUNTIFS('Data - Monthly Metrics'!A:A,$B$4,'Data - Monthly Metrics'!B:B,"May",'Data - Monthly Metrics'!C:C,"Southeast",'Data - Monthly Metrics'!D:D,"Penetration - Restaurant %")=0,"-",SUMIFS('Data - Monthly Metrics'!E:E,'Data - Monthly Metrics'!A:A,$B$4,'Data - Monthly Metrics'!B:B,"May",'Data - Monthly Metrics'!C:C,"Southeast",'Data - Monthly Metrics'!D:D,"Penetration - Restaurant %"))</f>
        <v/>
      </c>
      <c r="L68" s="92">
        <f>IF(COUNTIFS('Data - Monthly Metrics'!A:A,$B$4,'Data - Monthly Metrics'!B:B,"Jun",'Data - Monthly Metrics'!C:C,"Southeast",'Data - Monthly Metrics'!D:D,"Penetration - Restaurant %")=0,"-",SUMIFS('Data - Monthly Metrics'!E:E,'Data - Monthly Metrics'!A:A,$B$4,'Data - Monthly Metrics'!B:B,"Jun",'Data - Monthly Metrics'!C:C,"Southeast",'Data - Monthly Metrics'!D:D,"Penetration - Restaurant %"))</f>
        <v/>
      </c>
      <c r="M68" s="102">
        <f>IF(ISNUMBER(L68),L68,IF(ISNUMBER(K68),K68,IF(ISNUMBER(J68),J68,"-")))</f>
        <v/>
      </c>
      <c r="N68" s="92">
        <f>IF(COUNTIFS('Data - Monthly Metrics'!A:A,$B$4,'Data - Monthly Metrics'!B:B,"Jul",'Data - Monthly Metrics'!C:C,"Southeast",'Data - Monthly Metrics'!D:D,"Penetration - Restaurant %")=0,"-",SUMIFS('Data - Monthly Metrics'!E:E,'Data - Monthly Metrics'!A:A,$B$4,'Data - Monthly Metrics'!B:B,"Jul",'Data - Monthly Metrics'!C:C,"Southeast",'Data - Monthly Metrics'!D:D,"Penetration - Restaurant %"))</f>
        <v/>
      </c>
      <c r="O68" s="92">
        <f>IF(COUNTIFS('Data - Monthly Metrics'!A:A,$B$4,'Data - Monthly Metrics'!B:B,"Aug",'Data - Monthly Metrics'!C:C,"Southeast",'Data - Monthly Metrics'!D:D,"Penetration - Restaurant %")=0,"-",SUMIFS('Data - Monthly Metrics'!E:E,'Data - Monthly Metrics'!A:A,$B$4,'Data - Monthly Metrics'!B:B,"Aug",'Data - Monthly Metrics'!C:C,"Southeast",'Data - Monthly Metrics'!D:D,"Penetration - Restaurant %"))</f>
        <v/>
      </c>
      <c r="P68" s="92">
        <f>IF(COUNTIFS('Data - Monthly Metrics'!A:A,$B$4,'Data - Monthly Metrics'!B:B,"Sep",'Data - Monthly Metrics'!C:C,"Southeast",'Data - Monthly Metrics'!D:D,"Penetration - Restaurant %")=0,"-",SUMIFS('Data - Monthly Metrics'!E:E,'Data - Monthly Metrics'!A:A,$B$4,'Data - Monthly Metrics'!B:B,"Sep",'Data - Monthly Metrics'!C:C,"Southeast",'Data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Metrics'!C:C,"Southeast",'Data - Monthly Metrics'!D:D,"Penetration - Lodging %")=0,"-",SUMIFS('Data - Monthly Metrics'!E:E,'Data - Monthly Metrics'!A:A,$B$4-1,'Data - Monthly Metrics'!B:B,"Oct",'Data - Monthly Metrics'!C:C,"Southeast",'Data - Monthly Metrics'!D:D,"Penetration - Lodging %"))</f>
        <v/>
      </c>
      <c r="C69" s="97">
        <f>IF(COUNTIFS('Data - Monthly Metrics'!A:A,$B$4-1,'Data - Monthly Metrics'!B:B,"Nov",'Data - Monthly Metrics'!C:C,"Southeast",'Data - Monthly Metrics'!D:D,"Penetration - Lodging %")=0,"-",SUMIFS('Data - Monthly Metrics'!E:E,'Data - Monthly Metrics'!A:A,$B$4-1,'Data - Monthly Metrics'!B:B,"Nov",'Data - Monthly Metrics'!C:C,"Southeast",'Data - Monthly Metrics'!D:D,"Penetration - Lodging %"))</f>
        <v/>
      </c>
      <c r="D69" s="97">
        <f>IF(COUNTIFS('Data - Monthly Metrics'!A:A,$B$4-1,'Data - Monthly Metrics'!B:B,"Dec",'Data - Monthly Metrics'!C:C,"Southeast",'Data - Monthly Metrics'!D:D,"Penetration - Lodging %")=0,"-",SUMIFS('Data - Monthly Metrics'!E:E,'Data - Monthly Metrics'!A:A,$B$4-1,'Data - Monthly Metrics'!B:B,"Dec",'Data - Monthly Metrics'!C:C,"Southeast",'Data - Monthly Metrics'!D:D,"Penetration - Lodging %"))</f>
        <v/>
      </c>
      <c r="E69" s="102">
        <f>IF(ISNUMBER(D69),D69,IF(ISNUMBER(C69),C69,IF(ISNUMBER(B69),B69,"-")))</f>
        <v/>
      </c>
      <c r="F69" s="97">
        <f>IF(COUNTIFS('Data - Monthly Metrics'!A:A,$B$4,'Data - Monthly Metrics'!B:B,"Jan",'Data - Monthly Metrics'!C:C,"Southeast",'Data - Monthly Metrics'!D:D,"Penetration - Lodging %")=0,"-",SUMIFS('Data - Monthly Metrics'!E:E,'Data - Monthly Metrics'!A:A,$B$4,'Data - Monthly Metrics'!B:B,"Jan",'Data - Monthly Metrics'!C:C,"Southeast",'Data - Monthly Metrics'!D:D,"Penetration - Lodging %"))</f>
        <v/>
      </c>
      <c r="G69" s="97">
        <f>IF(COUNTIFS('Data - Monthly Metrics'!A:A,$B$4,'Data - Monthly Metrics'!B:B,"Feb",'Data - Monthly Metrics'!C:C,"Southeast",'Data - Monthly Metrics'!D:D,"Penetration - Lodging %")=0,"-",SUMIFS('Data - Monthly Metrics'!E:E,'Data - Monthly Metrics'!A:A,$B$4,'Data - Monthly Metrics'!B:B,"Feb",'Data - Monthly Metrics'!C:C,"Southeast",'Data - Monthly Metrics'!D:D,"Penetration - Lodging %"))</f>
        <v/>
      </c>
      <c r="H69" s="97">
        <f>IF(COUNTIFS('Data - Monthly Metrics'!A:A,$B$4,'Data - Monthly Metrics'!B:B,"Mar",'Data - Monthly Metrics'!C:C,"Southeast",'Data - Monthly Metrics'!D:D,"Penetration - Lodging %")=0,"-",SUMIFS('Data - Monthly Metrics'!E:E,'Data - Monthly Metrics'!A:A,$B$4,'Data - Monthly Metrics'!B:B,"Mar",'Data - Monthly Metrics'!C:C,"Southeast",'Data - Monthly Metrics'!D:D,"Penetration - Lodging %"))</f>
        <v/>
      </c>
      <c r="I69" s="102">
        <f>IF(ISNUMBER(H69),H69,IF(ISNUMBER(G69),G69,IF(ISNUMBER(F69),F69,"-")))</f>
        <v/>
      </c>
      <c r="J69" s="97">
        <f>IF(COUNTIFS('Data - Monthly Metrics'!A:A,$B$4,'Data - Monthly Metrics'!B:B,"Apr",'Data - Monthly Metrics'!C:C,"Southeast",'Data - Monthly Metrics'!D:D,"Penetration - Lodging %")=0,"-",SUMIFS('Data - Monthly Metrics'!E:E,'Data - Monthly Metrics'!A:A,$B$4,'Data - Monthly Metrics'!B:B,"Apr",'Data - Monthly Metrics'!C:C,"Southeast",'Data - Monthly Metrics'!D:D,"Penetration - Lodging %"))</f>
        <v/>
      </c>
      <c r="K69" s="97">
        <f>IF(COUNTIFS('Data - Monthly Metrics'!A:A,$B$4,'Data - Monthly Metrics'!B:B,"May",'Data - Monthly Metrics'!C:C,"Southeast",'Data - Monthly Metrics'!D:D,"Penetration - Lodging %")=0,"-",SUMIFS('Data - Monthly Metrics'!E:E,'Data - Monthly Metrics'!A:A,$B$4,'Data - Monthly Metrics'!B:B,"May",'Data - Monthly Metrics'!C:C,"Southeast",'Data - Monthly Metrics'!D:D,"Penetration - Lodging %"))</f>
        <v/>
      </c>
      <c r="L69" s="97">
        <f>IF(COUNTIFS('Data - Monthly Metrics'!A:A,$B$4,'Data - Monthly Metrics'!B:B,"Jun",'Data - Monthly Metrics'!C:C,"Southeast",'Data - Monthly Metrics'!D:D,"Penetration - Lodging %")=0,"-",SUMIFS('Data - Monthly Metrics'!E:E,'Data - Monthly Metrics'!A:A,$B$4,'Data - Monthly Metrics'!B:B,"Jun",'Data - Monthly Metrics'!C:C,"Southeast",'Data - Monthly Metrics'!D:D,"Penetration - Lodging %"))</f>
        <v/>
      </c>
      <c r="M69" s="102">
        <f>IF(ISNUMBER(L69),L69,IF(ISNUMBER(K69),K69,IF(ISNUMBER(J69),J69,"-")))</f>
        <v/>
      </c>
      <c r="N69" s="97">
        <f>IF(COUNTIFS('Data - Monthly Metrics'!A:A,$B$4,'Data - Monthly Metrics'!B:B,"Jul",'Data - Monthly Metrics'!C:C,"Southeast",'Data - Monthly Metrics'!D:D,"Penetration - Lodging %")=0,"-",SUMIFS('Data - Monthly Metrics'!E:E,'Data - Monthly Metrics'!A:A,$B$4,'Data - Monthly Metrics'!B:B,"Jul",'Data - Monthly Metrics'!C:C,"Southeast",'Data - Monthly Metrics'!D:D,"Penetration - Lodging %"))</f>
        <v/>
      </c>
      <c r="O69" s="97">
        <f>IF(COUNTIFS('Data - Monthly Metrics'!A:A,$B$4,'Data - Monthly Metrics'!B:B,"Aug",'Data - Monthly Metrics'!C:C,"Southeast",'Data - Monthly Metrics'!D:D,"Penetration - Lodging %")=0,"-",SUMIFS('Data - Monthly Metrics'!E:E,'Data - Monthly Metrics'!A:A,$B$4,'Data - Monthly Metrics'!B:B,"Aug",'Data - Monthly Metrics'!C:C,"Southeast",'Data - Monthly Metrics'!D:D,"Penetration - Lodging %"))</f>
        <v/>
      </c>
      <c r="P69" s="97">
        <f>IF(COUNTIFS('Data - Monthly Metrics'!A:A,$B$4,'Data - Monthly Metrics'!B:B,"Sep",'Data - Monthly Metrics'!C:C,"Southeast",'Data - Monthly Metrics'!D:D,"Penetration - Lodging %")=0,"-",SUMIFS('Data - Monthly Metrics'!E:E,'Data - Monthly Metrics'!A:A,$B$4,'Data - Monthly Metrics'!B:B,"Sep",'Data - Monthly Metrics'!C:C,"Southeast",'Data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Metrics'!C:C,"Southeast",'Data - Monthly Metrics'!D:D,"Penetration - Combined %")=0,"-",SUMIFS('Data - Monthly Metrics'!E:E,'Data - Monthly Metrics'!A:A,$B$4-1,'Data - Monthly Metrics'!B:B,"Oct",'Data - Monthly Metrics'!C:C,"Southeast",'Data - Monthly Metrics'!D:D,"Penetration - Combined %"))</f>
        <v/>
      </c>
      <c r="C70" s="92">
        <f>IF(COUNTIFS('Data - Monthly Metrics'!A:A,$B$4-1,'Data - Monthly Metrics'!B:B,"Nov",'Data - Monthly Metrics'!C:C,"Southeast",'Data - Monthly Metrics'!D:D,"Penetration - Combined %")=0,"-",SUMIFS('Data - Monthly Metrics'!E:E,'Data - Monthly Metrics'!A:A,$B$4-1,'Data - Monthly Metrics'!B:B,"Nov",'Data - Monthly Metrics'!C:C,"Southeast",'Data - Monthly Metrics'!D:D,"Penetration - Combined %"))</f>
        <v/>
      </c>
      <c r="D70" s="92">
        <f>IF(COUNTIFS('Data - Monthly Metrics'!A:A,$B$4-1,'Data - Monthly Metrics'!B:B,"Dec",'Data - Monthly Metrics'!C:C,"Southeast",'Data - Monthly Metrics'!D:D,"Penetration - Combined %")=0,"-",SUMIFS('Data - Monthly Metrics'!E:E,'Data - Monthly Metrics'!A:A,$B$4-1,'Data - Monthly Metrics'!B:B,"Dec",'Data - Monthly Metrics'!C:C,"Southeast",'Data - Monthly Metrics'!D:D,"Penetration - Combined %"))</f>
        <v/>
      </c>
      <c r="E70" s="102">
        <f>IF(ISNUMBER(D70),D70,IF(ISNUMBER(C70),C70,IF(ISNUMBER(B70),B70,"-")))</f>
        <v/>
      </c>
      <c r="F70" s="92">
        <f>IF(COUNTIFS('Data - Monthly Metrics'!A:A,$B$4,'Data - Monthly Metrics'!B:B,"Jan",'Data - Monthly Metrics'!C:C,"Southeast",'Data - Monthly Metrics'!D:D,"Penetration - Combined %")=0,"-",SUMIFS('Data - Monthly Metrics'!E:E,'Data - Monthly Metrics'!A:A,$B$4,'Data - Monthly Metrics'!B:B,"Jan",'Data - Monthly Metrics'!C:C,"Southeast",'Data - Monthly Metrics'!D:D,"Penetration - Combined %"))</f>
        <v/>
      </c>
      <c r="G70" s="92">
        <f>IF(COUNTIFS('Data - Monthly Metrics'!A:A,$B$4,'Data - Monthly Metrics'!B:B,"Feb",'Data - Monthly Metrics'!C:C,"Southeast",'Data - Monthly Metrics'!D:D,"Penetration - Combined %")=0,"-",SUMIFS('Data - Monthly Metrics'!E:E,'Data - Monthly Metrics'!A:A,$B$4,'Data - Monthly Metrics'!B:B,"Feb",'Data - Monthly Metrics'!C:C,"Southeast",'Data - Monthly Metrics'!D:D,"Penetration - Combined %"))</f>
        <v/>
      </c>
      <c r="H70" s="92">
        <f>IF(COUNTIFS('Data - Monthly Metrics'!A:A,$B$4,'Data - Monthly Metrics'!B:B,"Mar",'Data - Monthly Metrics'!C:C,"Southeast",'Data - Monthly Metrics'!D:D,"Penetration - Combined %")=0,"-",SUMIFS('Data - Monthly Metrics'!E:E,'Data - Monthly Metrics'!A:A,$B$4,'Data - Monthly Metrics'!B:B,"Mar",'Data - Monthly Metrics'!C:C,"Southeast",'Data - Monthly Metrics'!D:D,"Penetration - Combined %"))</f>
        <v/>
      </c>
      <c r="I70" s="102">
        <f>IF(ISNUMBER(H70),H70,IF(ISNUMBER(G70),G70,IF(ISNUMBER(F70),F70,"-")))</f>
        <v/>
      </c>
      <c r="J70" s="92">
        <f>IF(COUNTIFS('Data - Monthly Metrics'!A:A,$B$4,'Data - Monthly Metrics'!B:B,"Apr",'Data - Monthly Metrics'!C:C,"Southeast",'Data - Monthly Metrics'!D:D,"Penetration - Combined %")=0,"-",SUMIFS('Data - Monthly Metrics'!E:E,'Data - Monthly Metrics'!A:A,$B$4,'Data - Monthly Metrics'!B:B,"Apr",'Data - Monthly Metrics'!C:C,"Southeast",'Data - Monthly Metrics'!D:D,"Penetration - Combined %"))</f>
        <v/>
      </c>
      <c r="K70" s="92">
        <f>IF(COUNTIFS('Data - Monthly Metrics'!A:A,$B$4,'Data - Monthly Metrics'!B:B,"May",'Data - Monthly Metrics'!C:C,"Southeast",'Data - Monthly Metrics'!D:D,"Penetration - Combined %")=0,"-",SUMIFS('Data - Monthly Metrics'!E:E,'Data - Monthly Metrics'!A:A,$B$4,'Data - Monthly Metrics'!B:B,"May",'Data - Monthly Metrics'!C:C,"Southeast",'Data - Monthly Metrics'!D:D,"Penetration - Combined %"))</f>
        <v/>
      </c>
      <c r="L70" s="92">
        <f>IF(COUNTIFS('Data - Monthly Metrics'!A:A,$B$4,'Data - Monthly Metrics'!B:B,"Jun",'Data - Monthly Metrics'!C:C,"Southeast",'Data - Monthly Metrics'!D:D,"Penetration - Combined %")=0,"-",SUMIFS('Data - Monthly Metrics'!E:E,'Data - Monthly Metrics'!A:A,$B$4,'Data - Monthly Metrics'!B:B,"Jun",'Data - Monthly Metrics'!C:C,"Southeast",'Data - Monthly Metrics'!D:D,"Penetration - Combined %"))</f>
        <v/>
      </c>
      <c r="M70" s="102">
        <f>IF(ISNUMBER(L70),L70,IF(ISNUMBER(K70),K70,IF(ISNUMBER(J70),J70,"-")))</f>
        <v/>
      </c>
      <c r="N70" s="92">
        <f>IF(COUNTIFS('Data - Monthly Metrics'!A:A,$B$4,'Data - Monthly Metrics'!B:B,"Jul",'Data - Monthly Metrics'!C:C,"Southeast",'Data - Monthly Metrics'!D:D,"Penetration - Combined %")=0,"-",SUMIFS('Data - Monthly Metrics'!E:E,'Data - Monthly Metrics'!A:A,$B$4,'Data - Monthly Metrics'!B:B,"Jul",'Data - Monthly Metrics'!C:C,"Southeast",'Data - Monthly Metrics'!D:D,"Penetration - Combined %"))</f>
        <v/>
      </c>
      <c r="O70" s="92">
        <f>IF(COUNTIFS('Data - Monthly Metrics'!A:A,$B$4,'Data - Monthly Metrics'!B:B,"Aug",'Data - Monthly Metrics'!C:C,"Southeast",'Data - Monthly Metrics'!D:D,"Penetration - Combined %")=0,"-",SUMIFS('Data - Monthly Metrics'!E:E,'Data - Monthly Metrics'!A:A,$B$4,'Data - Monthly Metrics'!B:B,"Aug",'Data - Monthly Metrics'!C:C,"Southeast",'Data - Monthly Metrics'!D:D,"Penetration - Combined %"))</f>
        <v/>
      </c>
      <c r="P70" s="92">
        <f>IF(COUNTIFS('Data - Monthly Metrics'!A:A,$B$4,'Data - Monthly Metrics'!B:B,"Sep",'Data - Monthly Metrics'!C:C,"Southeast",'Data - Monthly Metrics'!D:D,"Penetration - Combined %")=0,"-",SUMIFS('Data - Monthly Metrics'!E:E,'Data - Monthly Metrics'!A:A,$B$4,'Data - Monthly Metrics'!B:B,"Sep",'Data - Monthly Metrics'!C:C,"Southeast",'Data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Metrics'!$C:$C,"Southeast",'Data - Monthly Metrics'!$D:$D,"Goal - Penetration %")=0),"—",IF(B70&gt;=SUMIFS('Data - Monthly Metrics'!$E:$E,'Data - Monthly Metrics'!$A:$A,$B$4-1,'Data - Monthly Metrics'!$B:$B,B$8,'Data - Monthly Metrics'!$C:$C,"Southeast",'Data - Monthly Metrics'!$D:$D,"Goal - Penetration %"),"On Track",IF(B70&gt;=SUMIFS('Data - Monthly Metrics'!$E:$E,'Data - Monthly Metrics'!$A:$A,$B$4-1,'Data - Monthly Metrics'!$B:$B,B$8,'Data - Monthly Metrics'!$C:$C,"Southeast",'Data - Monthly Metrics'!$D:$D,"Goal - Penetration %")-0.05,"Watch","At Risk")))</f>
        <v/>
      </c>
      <c r="C71" s="120">
        <f>IF(OR(NOT(ISNUMBER(C70)),C70=0,COUNTIFS('Data - Monthly Metrics'!$A:$A,$B$4-1,'Data - Monthly Metrics'!$B:$B,C$8,'Data - Monthly Metrics'!$C:$C,"Southeast",'Data - Monthly Metrics'!$D:$D,"Goal - Penetration %")=0),"—",IF(C70&gt;=SUMIFS('Data - Monthly Metrics'!$E:$E,'Data - Monthly Metrics'!$A:$A,$B$4-1,'Data - Monthly Metrics'!$B:$B,C$8,'Data - Monthly Metrics'!$C:$C,"Southeast",'Data - Monthly Metrics'!$D:$D,"Goal - Penetration %"),"On Track",IF(C70&gt;=SUMIFS('Data - Monthly Metrics'!$E:$E,'Data - Monthly Metrics'!$A:$A,$B$4-1,'Data - Monthly Metrics'!$B:$B,C$8,'Data - Monthly Metrics'!$C:$C,"Southeast",'Data - Monthly Metrics'!$D:$D,"Goal - Penetration %")-0.05,"Watch","At Risk")))</f>
        <v/>
      </c>
      <c r="D71" s="120">
        <f>IF(OR(NOT(ISNUMBER(D70)),D70=0,COUNTIFS('Data - Monthly Metrics'!$A:$A,$B$4-1,'Data - Monthly Metrics'!$B:$B,D$8,'Data - Monthly Metrics'!$C:$C,"Southeast",'Data - Monthly Metrics'!$D:$D,"Goal - Penetration %")=0),"—",IF(D70&gt;=SUMIFS('Data - Monthly Metrics'!$E:$E,'Data - Monthly Metrics'!$A:$A,$B$4-1,'Data - Monthly Metrics'!$B:$B,D$8,'Data - Monthly Metrics'!$C:$C,"Southeast",'Data - Monthly Metrics'!$D:$D,"Goal - Penetration %"),"On Track",IF(D70&gt;=SUMIFS('Data - Monthly Metrics'!$E:$E,'Data - Monthly Metrics'!$A:$A,$B$4-1,'Data - Monthly Metrics'!$B:$B,D$8,'Data - Monthly Metrics'!$C:$C,"Southeast",'Data - Monthly Metrics'!$D:$D,"Goal - Penetration %")-0.05,"Watch","At Risk")))</f>
        <v/>
      </c>
      <c r="E71" s="121">
        <f>"—"</f>
        <v/>
      </c>
      <c r="F71" s="120">
        <f>IF(OR(NOT(ISNUMBER(F70)),F70=0,COUNTIFS('Data - Monthly Metrics'!$A:$A,$B$4,'Data - Monthly Metrics'!$B:$B,F$8,'Data - Monthly Metrics'!$C:$C,"Southeast",'Data - Monthly Metrics'!$D:$D,"Goal - Penetration %")=0),"—",IF(F70&gt;=SUMIFS('Data - Monthly Metrics'!$E:$E,'Data - Monthly Metrics'!$A:$A,$B$4,'Data - Monthly Metrics'!$B:$B,F$8,'Data - Monthly Metrics'!$C:$C,"Southeast",'Data - Monthly Metrics'!$D:$D,"Goal - Penetration %"),"On Track",IF(F70&gt;=SUMIFS('Data - Monthly Metrics'!$E:$E,'Data - Monthly Metrics'!$A:$A,$B$4,'Data - Monthly Metrics'!$B:$B,F$8,'Data - Monthly Metrics'!$C:$C,"Southeast",'Data - Monthly Metrics'!$D:$D,"Goal - Penetration %")-0.05,"Watch","At Risk")))</f>
        <v/>
      </c>
      <c r="G71" s="120">
        <f>IF(OR(NOT(ISNUMBER(G70)),G70=0,COUNTIFS('Data - Monthly Metrics'!$A:$A,$B$4,'Data - Monthly Metrics'!$B:$B,G$8,'Data - Monthly Metrics'!$C:$C,"Southeast",'Data - Monthly Metrics'!$D:$D,"Goal - Penetration %")=0),"—",IF(G70&gt;=SUMIFS('Data - Monthly Metrics'!$E:$E,'Data - Monthly Metrics'!$A:$A,$B$4,'Data - Monthly Metrics'!$B:$B,G$8,'Data - Monthly Metrics'!$C:$C,"Southeast",'Data - Monthly Metrics'!$D:$D,"Goal - Penetration %"),"On Track",IF(G70&gt;=SUMIFS('Data - Monthly Metrics'!$E:$E,'Data - Monthly Metrics'!$A:$A,$B$4,'Data - Monthly Metrics'!$B:$B,G$8,'Data - Monthly Metrics'!$C:$C,"Southeast",'Data - Monthly Metrics'!$D:$D,"Goal - Penetration %")-0.05,"Watch","At Risk")))</f>
        <v/>
      </c>
      <c r="H71" s="120">
        <f>IF(OR(NOT(ISNUMBER(H70)),H70=0,COUNTIFS('Data - Monthly Metrics'!$A:$A,$B$4,'Data - Monthly Metrics'!$B:$B,H$8,'Data - Monthly Metrics'!$C:$C,"Southeast",'Data - Monthly Metrics'!$D:$D,"Goal - Penetration %")=0),"—",IF(H70&gt;=SUMIFS('Data - Monthly Metrics'!$E:$E,'Data - Monthly Metrics'!$A:$A,$B$4,'Data - Monthly Metrics'!$B:$B,H$8,'Data - Monthly Metrics'!$C:$C,"Southeast",'Data - Monthly Metrics'!$D:$D,"Goal - Penetration %"),"On Track",IF(H70&gt;=SUMIFS('Data - Monthly Metrics'!$E:$E,'Data - Monthly Metrics'!$A:$A,$B$4,'Data - Monthly Metrics'!$B:$B,H$8,'Data - Monthly Metrics'!$C:$C,"Southeast",'Data - Monthly Metrics'!$D:$D,"Goal - Penetration %")-0.05,"Watch","At Risk")))</f>
        <v/>
      </c>
      <c r="I71" s="121">
        <f>"—"</f>
        <v/>
      </c>
      <c r="J71" s="120">
        <f>IF(OR(NOT(ISNUMBER(J70)),J70=0,COUNTIFS('Data - Monthly Metrics'!$A:$A,$B$4,'Data - Monthly Metrics'!$B:$B,J$8,'Data - Monthly Metrics'!$C:$C,"Southeast",'Data - Monthly Metrics'!$D:$D,"Goal - Penetration %")=0),"—",IF(J70&gt;=SUMIFS('Data - Monthly Metrics'!$E:$E,'Data - Monthly Metrics'!$A:$A,$B$4,'Data - Monthly Metrics'!$B:$B,J$8,'Data - Monthly Metrics'!$C:$C,"Southeast",'Data - Monthly Metrics'!$D:$D,"Goal - Penetration %"),"On Track",IF(J70&gt;=SUMIFS('Data - Monthly Metrics'!$E:$E,'Data - Monthly Metrics'!$A:$A,$B$4,'Data - Monthly Metrics'!$B:$B,J$8,'Data - Monthly Metrics'!$C:$C,"Southeast",'Data - Monthly Metrics'!$D:$D,"Goal - Penetration %")-0.05,"Watch","At Risk")))</f>
        <v/>
      </c>
      <c r="K71" s="120">
        <f>IF(OR(NOT(ISNUMBER(K70)),K70=0,COUNTIFS('Data - Monthly Metrics'!$A:$A,$B$4,'Data - Monthly Metrics'!$B:$B,K$8,'Data - Monthly Metrics'!$C:$C,"Southeast",'Data - Monthly Metrics'!$D:$D,"Goal - Penetration %")=0),"—",IF(K70&gt;=SUMIFS('Data - Monthly Metrics'!$E:$E,'Data - Monthly Metrics'!$A:$A,$B$4,'Data - Monthly Metrics'!$B:$B,K$8,'Data - Monthly Metrics'!$C:$C,"Southeast",'Data - Monthly Metrics'!$D:$D,"Goal - Penetration %"),"On Track",IF(K70&gt;=SUMIFS('Data - Monthly Metrics'!$E:$E,'Data - Monthly Metrics'!$A:$A,$B$4,'Data - Monthly Metrics'!$B:$B,K$8,'Data - Monthly Metrics'!$C:$C,"Southeast",'Data - Monthly Metrics'!$D:$D,"Goal - Penetration %")-0.05,"Watch","At Risk")))</f>
        <v/>
      </c>
      <c r="L71" s="120">
        <f>IF(OR(NOT(ISNUMBER(L70)),L70=0,COUNTIFS('Data - Monthly Metrics'!$A:$A,$B$4,'Data - Monthly Metrics'!$B:$B,L$8,'Data - Monthly Metrics'!$C:$C,"Southeast",'Data - Monthly Metrics'!$D:$D,"Goal - Penetration %")=0),"—",IF(L70&gt;=SUMIFS('Data - Monthly Metrics'!$E:$E,'Data - Monthly Metrics'!$A:$A,$B$4,'Data - Monthly Metrics'!$B:$B,L$8,'Data - Monthly Metrics'!$C:$C,"Southeast",'Data - Monthly Metrics'!$D:$D,"Goal - Penetration %"),"On Track",IF(L70&gt;=SUMIFS('Data - Monthly Metrics'!$E:$E,'Data - Monthly Metrics'!$A:$A,$B$4,'Data - Monthly Metrics'!$B:$B,L$8,'Data - Monthly Metrics'!$C:$C,"Southeast",'Data - Monthly Metrics'!$D:$D,"Goal - Penetration %")-0.05,"Watch","At Risk")))</f>
        <v/>
      </c>
      <c r="M71" s="121">
        <f>"—"</f>
        <v/>
      </c>
      <c r="N71" s="120">
        <f>IF(OR(NOT(ISNUMBER(N70)),N70=0,COUNTIFS('Data - Monthly Metrics'!$A:$A,$B$4,'Data - Monthly Metrics'!$B:$B,N$8,'Data - Monthly Metrics'!$C:$C,"Southeast",'Data - Monthly Metrics'!$D:$D,"Goal - Penetration %")=0),"—",IF(N70&gt;=SUMIFS('Data - Monthly Metrics'!$E:$E,'Data - Monthly Metrics'!$A:$A,$B$4,'Data - Monthly Metrics'!$B:$B,N$8,'Data - Monthly Metrics'!$C:$C,"Southeast",'Data - Monthly Metrics'!$D:$D,"Goal - Penetration %"),"On Track",IF(N70&gt;=SUMIFS('Data - Monthly Metrics'!$E:$E,'Data - Monthly Metrics'!$A:$A,$B$4,'Data - Monthly Metrics'!$B:$B,N$8,'Data - Monthly Metrics'!$C:$C,"Southeast",'Data - Monthly Metrics'!$D:$D,"Goal - Penetration %")-0.05,"Watch","At Risk")))</f>
        <v/>
      </c>
      <c r="O71" s="120">
        <f>IF(OR(NOT(ISNUMBER(O70)),O70=0,COUNTIFS('Data - Monthly Metrics'!$A:$A,$B$4,'Data - Monthly Metrics'!$B:$B,O$8,'Data - Monthly Metrics'!$C:$C,"Southeast",'Data - Monthly Metrics'!$D:$D,"Goal - Penetration %")=0),"—",IF(O70&gt;=SUMIFS('Data - Monthly Metrics'!$E:$E,'Data - Monthly Metrics'!$A:$A,$B$4,'Data - Monthly Metrics'!$B:$B,O$8,'Data - Monthly Metrics'!$C:$C,"Southeast",'Data - Monthly Metrics'!$D:$D,"Goal - Penetration %"),"On Track",IF(O70&gt;=SUMIFS('Data - Monthly Metrics'!$E:$E,'Data - Monthly Metrics'!$A:$A,$B$4,'Data - Monthly Metrics'!$B:$B,O$8,'Data - Monthly Metrics'!$C:$C,"Southeast",'Data - Monthly Metrics'!$D:$D,"Goal - Penetration %")-0.05,"Watch","At Risk")))</f>
        <v/>
      </c>
      <c r="P71" s="120">
        <f>IF(OR(NOT(ISNUMBER(P70)),P70=0,COUNTIFS('Data - Monthly Metrics'!$A:$A,$B$4,'Data - Monthly Metrics'!$B:$B,P$8,'Data - Monthly Metrics'!$C:$C,"Southeast",'Data - Monthly Metrics'!$D:$D,"Goal - Penetration %")=0),"—",IF(P70&gt;=SUMIFS('Data - Monthly Metrics'!$E:$E,'Data - Monthly Metrics'!$A:$A,$B$4,'Data - Monthly Metrics'!$B:$B,P$8,'Data - Monthly Metrics'!$C:$C,"Southeast",'Data - Monthly Metrics'!$D:$D,"Goal - Penetration %"),"On Track",IF(P70&gt;=SUMIFS('Data - Monthly Metrics'!$E:$E,'Data - Monthly Metrics'!$A:$A,$B$4,'Data - Monthly Metrics'!$B:$B,P$8,'Data - Monthly Metrics'!$C:$C,"Southeast",'Data - Monthly Metrics'!$D:$D,"Goal - Penetration %")-0.05,"Watch","At Risk")))</f>
        <v/>
      </c>
      <c r="Q71" s="121">
        <f>"—"</f>
        <v/>
      </c>
      <c r="R71" s="121">
        <f>"—"</f>
        <v/>
      </c>
    </row>
    <row r="72" ht="14.25" customHeight="1" s="82">
      <c r="A72" s="151" t="inlineStr">
        <is>
          <t>Goal</t>
        </is>
      </c>
      <c r="B72" s="152">
        <f>IF(COUNTIFS('Data - Monthly Metrics'!$A:$A,$B$4-1,'Data - Monthly Metrics'!$B:$B,B$8,'Data - Monthly Metrics'!$C:$C,"Southeast",'Data - Monthly Metrics'!$D:$D,"Goal - Penetration %")=0,"-",SUMIFS('Data - Monthly Metrics'!$E:$E,'Data - Monthly Metrics'!$A:$A,$B$4-1,'Data - Monthly Metrics'!$B:$B,B$8,'Data - Monthly Metrics'!$C:$C,"Southeast",'Data - Monthly Metrics'!$D:$D,"Goal - Penetration %"))</f>
        <v/>
      </c>
      <c r="C72" s="152">
        <f>IF(COUNTIFS('Data - Monthly Metrics'!$A:$A,$B$4-1,'Data - Monthly Metrics'!$B:$B,C$8,'Data - Monthly Metrics'!$C:$C,"Southeast",'Data - Monthly Metrics'!$D:$D,"Goal - Penetration %")=0,"-",SUMIFS('Data - Monthly Metrics'!$E:$E,'Data - Monthly Metrics'!$A:$A,$B$4-1,'Data - Monthly Metrics'!$B:$B,C$8,'Data - Monthly Metrics'!$C:$C,"Southeast",'Data - Monthly Metrics'!$D:$D,"Goal - Penetration %"))</f>
        <v/>
      </c>
      <c r="D72" s="152">
        <f>IF(COUNTIFS('Data - Monthly Metrics'!$A:$A,$B$4-1,'Data - Monthly Metrics'!$B:$B,D$8,'Data - Monthly Metrics'!$C:$C,"Southeast",'Data - Monthly Metrics'!$D:$D,"Goal - Penetration %")=0,"-",SUMIFS('Data - Monthly Metrics'!$E:$E,'Data - Monthly Metrics'!$A:$A,$B$4-1,'Data - Monthly Metrics'!$B:$B,D$8,'Data - Monthly Metrics'!$C:$C,"Southeast",'Data - Monthly Metrics'!$D:$D,"Goal - Penetration %"))</f>
        <v/>
      </c>
      <c r="E72" s="153" t="n"/>
      <c r="F72" s="152">
        <f>IF(COUNTIFS('Data - Monthly Metrics'!$A:$A,$B$4,'Data - Monthly Metrics'!$B:$B,F$8,'Data - Monthly Metrics'!$C:$C,"Southeast",'Data - Monthly Metrics'!$D:$D,"Goal - Penetration %")=0,"-",SUMIFS('Data - Monthly Metrics'!$E:$E,'Data - Monthly Metrics'!$A:$A,$B$4,'Data - Monthly Metrics'!$B:$B,F$8,'Data - Monthly Metrics'!$C:$C,"Southeast",'Data - Monthly Metrics'!$D:$D,"Goal - Penetration %"))</f>
        <v/>
      </c>
      <c r="G72" s="152">
        <f>IF(COUNTIFS('Data - Monthly Metrics'!$A:$A,$B$4,'Data - Monthly Metrics'!$B:$B,G$8,'Data - Monthly Metrics'!$C:$C,"Southeast",'Data - Monthly Metrics'!$D:$D,"Goal - Penetration %")=0,"-",SUMIFS('Data - Monthly Metrics'!$E:$E,'Data - Monthly Metrics'!$A:$A,$B$4,'Data - Monthly Metrics'!$B:$B,G$8,'Data - Monthly Metrics'!$C:$C,"Southeast",'Data - Monthly Metrics'!$D:$D,"Goal - Penetration %"))</f>
        <v/>
      </c>
      <c r="H72" s="152">
        <f>IF(COUNTIFS('Data - Monthly Metrics'!$A:$A,$B$4,'Data - Monthly Metrics'!$B:$B,H$8,'Data - Monthly Metrics'!$C:$C,"Southeast",'Data - Monthly Metrics'!$D:$D,"Goal - Penetration %")=0,"-",SUMIFS('Data - Monthly Metrics'!$E:$E,'Data - Monthly Metrics'!$A:$A,$B$4,'Data - Monthly Metrics'!$B:$B,H$8,'Data - Monthly Metrics'!$C:$C,"Southeast",'Data - Monthly Metrics'!$D:$D,"Goal - Penetration %"))</f>
        <v/>
      </c>
      <c r="I72" s="153" t="n"/>
      <c r="J72" s="152">
        <f>IF(COUNTIFS('Data - Monthly Metrics'!$A:$A,$B$4,'Data - Monthly Metrics'!$B:$B,J$8,'Data - Monthly Metrics'!$C:$C,"Southeast",'Data - Monthly Metrics'!$D:$D,"Goal - Penetration %")=0,"-",SUMIFS('Data - Monthly Metrics'!$E:$E,'Data - Monthly Metrics'!$A:$A,$B$4,'Data - Monthly Metrics'!$B:$B,J$8,'Data - Monthly Metrics'!$C:$C,"Southeast",'Data - Monthly Metrics'!$D:$D,"Goal - Penetration %"))</f>
        <v/>
      </c>
      <c r="K72" s="152">
        <f>IF(COUNTIFS('Data - Monthly Metrics'!$A:$A,$B$4,'Data - Monthly Metrics'!$B:$B,K$8,'Data - Monthly Metrics'!$C:$C,"Southeast",'Data - Monthly Metrics'!$D:$D,"Goal - Penetration %")=0,"-",SUMIFS('Data - Monthly Metrics'!$E:$E,'Data - Monthly Metrics'!$A:$A,$B$4,'Data - Monthly Metrics'!$B:$B,K$8,'Data - Monthly Metrics'!$C:$C,"Southeast",'Data - Monthly Metrics'!$D:$D,"Goal - Penetration %"))</f>
        <v/>
      </c>
      <c r="L72" s="152">
        <f>IF(COUNTIFS('Data - Monthly Metrics'!$A:$A,$B$4,'Data - Monthly Metrics'!$B:$B,L$8,'Data - Monthly Metrics'!$C:$C,"Southeast",'Data - Monthly Metrics'!$D:$D,"Goal - Penetration %")=0,"-",SUMIFS('Data - Monthly Metrics'!$E:$E,'Data - Monthly Metrics'!$A:$A,$B$4,'Data - Monthly Metrics'!$B:$B,L$8,'Data - Monthly Metrics'!$C:$C,"Southeast",'Data - Monthly Metrics'!$D:$D,"Goal - Penetration %"))</f>
        <v/>
      </c>
      <c r="M72" s="153" t="n"/>
      <c r="N72" s="152">
        <f>IF(COUNTIFS('Data - Monthly Metrics'!$A:$A,$B$4,'Data - Monthly Metrics'!$B:$B,N$8,'Data - Monthly Metrics'!$C:$C,"Southeast",'Data - Monthly Metrics'!$D:$D,"Goal - Penetration %")=0,"-",SUMIFS('Data - Monthly Metrics'!$E:$E,'Data - Monthly Metrics'!$A:$A,$B$4,'Data - Monthly Metrics'!$B:$B,N$8,'Data - Monthly Metrics'!$C:$C,"Southeast",'Data - Monthly Metrics'!$D:$D,"Goal - Penetration %"))</f>
        <v/>
      </c>
      <c r="O72" s="152">
        <f>IF(COUNTIFS('Data - Monthly Metrics'!$A:$A,$B$4,'Data - Monthly Metrics'!$B:$B,O$8,'Data - Monthly Metrics'!$C:$C,"Southeast",'Data - Monthly Metrics'!$D:$D,"Goal - Penetration %")=0,"-",SUMIFS('Data - Monthly Metrics'!$E:$E,'Data - Monthly Metrics'!$A:$A,$B$4,'Data - Monthly Metrics'!$B:$B,O$8,'Data - Monthly Metrics'!$C:$C,"Southeast",'Data - Monthly Metrics'!$D:$D,"Goal - Penetration %"))</f>
        <v/>
      </c>
      <c r="P72" s="152">
        <f>IF(COUNTIFS('Data - Monthly Metrics'!$A:$A,$B$4,'Data - Monthly Metrics'!$B:$B,P$8,'Data - Monthly Metrics'!$C:$C,"Southeast",'Data - Monthly Metrics'!$D:$D,"Goal - Penetration %")=0,"-",SUMIFS('Data - Monthly Metrics'!$E:$E,'Data - Monthly Metrics'!$A:$A,$B$4,'Data - Monthly Metrics'!$B:$B,P$8,'Data - Monthly Metrics'!$C:$C,"Southeast",'Data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Metrics'!C:C,"Southeast",'Data - Monthly Metrics'!D:D,"New Sales Revenue - Non-Target ($)")=0,"-",SUMIFS('Data - Monthly Metrics'!E:E,'Data - Monthly Metrics'!A:A,$B$4-1,'Data - Monthly Metrics'!B:B,"Oct",'Data - Monthly Metrics'!C:C,"Southeast",'Data - Monthly Metrics'!D:D,"New Sales Revenue - Non-Target ($)"))</f>
        <v/>
      </c>
      <c r="C79" s="91">
        <f>IF(COUNTIFS('Data - Monthly Metrics'!A:A,$B$4-1,'Data - Monthly Metrics'!B:B,"Nov",'Data - Monthly Metrics'!C:C,"Southeast",'Data - Monthly Metrics'!D:D,"New Sales Revenue - Non-Target ($)")=0,"-",SUMIFS('Data - Monthly Metrics'!E:E,'Data - Monthly Metrics'!A:A,$B$4-1,'Data - Monthly Metrics'!B:B,"Nov",'Data - Monthly Metrics'!C:C,"Southeast",'Data - Monthly Metrics'!D:D,"New Sales Revenue - Non-Target ($)"))</f>
        <v/>
      </c>
      <c r="D79" s="91">
        <f>IF(COUNTIFS('Data - Monthly Metrics'!A:A,$B$4-1,'Data - Monthly Metrics'!B:B,"Dec",'Data - Monthly Metrics'!C:C,"Southeast",'Data - Monthly Metrics'!D:D,"New Sales Revenue - Non-Target ($)")=0,"-",SUMIFS('Data - Monthly Metrics'!E:E,'Data - Monthly Metrics'!A:A,$B$4-1,'Data - Monthly Metrics'!B:B,"Dec",'Data - Monthly Metrics'!C:C,"Southeast",'Data - Monthly Metrics'!D:D,"New Sales Revenue - Non-Target ($)"))</f>
        <v/>
      </c>
      <c r="E79" s="101">
        <f>SUM(B79,C79,D79)</f>
        <v/>
      </c>
      <c r="F79" s="91">
        <f>IF(COUNTIFS('Data - Monthly Metrics'!A:A,$B$4,'Data - Monthly Metrics'!B:B,"Jan",'Data - Monthly Metrics'!C:C,"Southeast",'Data - Monthly Metrics'!D:D,"New Sales Revenue - Non-Target ($)")=0,"-",SUMIFS('Data - Monthly Metrics'!E:E,'Data - Monthly Metrics'!A:A,$B$4,'Data - Monthly Metrics'!B:B,"Jan",'Data - Monthly Metrics'!C:C,"Southeast",'Data - Monthly Metrics'!D:D,"New Sales Revenue - Non-Target ($)"))</f>
        <v/>
      </c>
      <c r="G79" s="91">
        <f>IF(COUNTIFS('Data - Monthly Metrics'!A:A,$B$4,'Data - Monthly Metrics'!B:B,"Feb",'Data - Monthly Metrics'!C:C,"Southeast",'Data - Monthly Metrics'!D:D,"New Sales Revenue - Non-Target ($)")=0,"-",SUMIFS('Data - Monthly Metrics'!E:E,'Data - Monthly Metrics'!A:A,$B$4,'Data - Monthly Metrics'!B:B,"Feb",'Data - Monthly Metrics'!C:C,"Southeast",'Data - Monthly Metrics'!D:D,"New Sales Revenue - Non-Target ($)"))</f>
        <v/>
      </c>
      <c r="H79" s="91">
        <f>IF(COUNTIFS('Data - Monthly Metrics'!A:A,$B$4,'Data - Monthly Metrics'!B:B,"Mar",'Data - Monthly Metrics'!C:C,"Southeast",'Data - Monthly Metrics'!D:D,"New Sales Revenue - Non-Target ($)")=0,"-",SUMIFS('Data - Monthly Metrics'!E:E,'Data - Monthly Metrics'!A:A,$B$4,'Data - Monthly Metrics'!B:B,"Mar",'Data - Monthly Metrics'!C:C,"Southeast",'Data - Monthly Metrics'!D:D,"New Sales Revenue - Non-Target ($)"))</f>
        <v/>
      </c>
      <c r="I79" s="101">
        <f>SUM(F79,G79,H79)</f>
        <v/>
      </c>
      <c r="J79" s="91">
        <f>IF(COUNTIFS('Data - Monthly Metrics'!A:A,$B$4,'Data - Monthly Metrics'!B:B,"Apr",'Data - Monthly Metrics'!C:C,"Southeast",'Data - Monthly Metrics'!D:D,"New Sales Revenue - Non-Target ($)")=0,"-",SUMIFS('Data - Monthly Metrics'!E:E,'Data - Monthly Metrics'!A:A,$B$4,'Data - Monthly Metrics'!B:B,"Apr",'Data - Monthly Metrics'!C:C,"Southeast",'Data - Monthly Metrics'!D:D,"New Sales Revenue - Non-Target ($)"))</f>
        <v/>
      </c>
      <c r="K79" s="91">
        <f>IF(COUNTIFS('Data - Monthly Metrics'!A:A,$B$4,'Data - Monthly Metrics'!B:B,"May",'Data - Monthly Metrics'!C:C,"Southeast",'Data - Monthly Metrics'!D:D,"New Sales Revenue - Non-Target ($)")=0,"-",SUMIFS('Data - Monthly Metrics'!E:E,'Data - Monthly Metrics'!A:A,$B$4,'Data - Monthly Metrics'!B:B,"May",'Data - Monthly Metrics'!C:C,"Southeast",'Data - Monthly Metrics'!D:D,"New Sales Revenue - Non-Target ($)"))</f>
        <v/>
      </c>
      <c r="L79" s="91">
        <f>IF(COUNTIFS('Data - Monthly Metrics'!A:A,$B$4,'Data - Monthly Metrics'!B:B,"Jun",'Data - Monthly Metrics'!C:C,"Southeast",'Data - Monthly Metrics'!D:D,"New Sales Revenue - Non-Target ($)")=0,"-",SUMIFS('Data - Monthly Metrics'!E:E,'Data - Monthly Metrics'!A:A,$B$4,'Data - Monthly Metrics'!B:B,"Jun",'Data - Monthly Metrics'!C:C,"Southeast",'Data - Monthly Metrics'!D:D,"New Sales Revenue - Non-Target ($)"))</f>
        <v/>
      </c>
      <c r="M79" s="101">
        <f>SUM(J79,K79,L79)</f>
        <v/>
      </c>
      <c r="N79" s="91">
        <f>IF(COUNTIFS('Data - Monthly Metrics'!A:A,$B$4,'Data - Monthly Metrics'!B:B,"Jul",'Data - Monthly Metrics'!C:C,"Southeast",'Data - Monthly Metrics'!D:D,"New Sales Revenue - Non-Target ($)")=0,"-",SUMIFS('Data - Monthly Metrics'!E:E,'Data - Monthly Metrics'!A:A,$B$4,'Data - Monthly Metrics'!B:B,"Jul",'Data - Monthly Metrics'!C:C,"Southeast",'Data - Monthly Metrics'!D:D,"New Sales Revenue - Non-Target ($)"))</f>
        <v/>
      </c>
      <c r="O79" s="91">
        <f>IF(COUNTIFS('Data - Monthly Metrics'!A:A,$B$4,'Data - Monthly Metrics'!B:B,"Aug",'Data - Monthly Metrics'!C:C,"Southeast",'Data - Monthly Metrics'!D:D,"New Sales Revenue - Non-Target ($)")=0,"-",SUMIFS('Data - Monthly Metrics'!E:E,'Data - Monthly Metrics'!A:A,$B$4,'Data - Monthly Metrics'!B:B,"Aug",'Data - Monthly Metrics'!C:C,"Southeast",'Data - Monthly Metrics'!D:D,"New Sales Revenue - Non-Target ($)"))</f>
        <v/>
      </c>
      <c r="P79" s="91">
        <f>IF(COUNTIFS('Data - Monthly Metrics'!A:A,$B$4,'Data - Monthly Metrics'!B:B,"Sep",'Data - Monthly Metrics'!C:C,"Southeast",'Data - Monthly Metrics'!D:D,"New Sales Revenue - Non-Target ($)")=0,"-",SUMIFS('Data - Monthly Metrics'!E:E,'Data - Monthly Metrics'!A:A,$B$4,'Data - Monthly Metrics'!B:B,"Sep",'Data - Monthly Metrics'!C:C,"Southeast",'Data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Metrics'!C:C,"Southeast",'Data - Monthly Metrics'!D:D,"New Members - Non-Target (#)")=0,"-",SUMIFS('Data - Monthly Metrics'!E:E,'Data - Monthly Metrics'!A:A,$B$4-1,'Data - Monthly Metrics'!B:B,"Oct",'Data - Monthly Metrics'!C:C,"Southeast",'Data - Monthly Metrics'!D:D,"New Members - Non-Target (#)"))</f>
        <v/>
      </c>
      <c r="C80" s="98">
        <f>IF(COUNTIFS('Data - Monthly Metrics'!A:A,$B$4-1,'Data - Monthly Metrics'!B:B,"Nov",'Data - Monthly Metrics'!C:C,"Southeast",'Data - Monthly Metrics'!D:D,"New Members - Non-Target (#)")=0,"-",SUMIFS('Data - Monthly Metrics'!E:E,'Data - Monthly Metrics'!A:A,$B$4-1,'Data - Monthly Metrics'!B:B,"Nov",'Data - Monthly Metrics'!C:C,"Southeast",'Data - Monthly Metrics'!D:D,"New Members - Non-Target (#)"))</f>
        <v/>
      </c>
      <c r="D80" s="98">
        <f>IF(COUNTIFS('Data - Monthly Metrics'!A:A,$B$4-1,'Data - Monthly Metrics'!B:B,"Dec",'Data - Monthly Metrics'!C:C,"Southeast",'Data - Monthly Metrics'!D:D,"New Members - Non-Target (#)")=0,"-",SUMIFS('Data - Monthly Metrics'!E:E,'Data - Monthly Metrics'!A:A,$B$4-1,'Data - Monthly Metrics'!B:B,"Dec",'Data - Monthly Metrics'!C:C,"Southeast",'Data - Monthly Metrics'!D:D,"New Members - Non-Target (#)"))</f>
        <v/>
      </c>
      <c r="E80" s="103">
        <f>SUM(B80,C80,D80)</f>
        <v/>
      </c>
      <c r="F80" s="98">
        <f>IF(COUNTIFS('Data - Monthly Metrics'!A:A,$B$4,'Data - Monthly Metrics'!B:B,"Jan",'Data - Monthly Metrics'!C:C,"Southeast",'Data - Monthly Metrics'!D:D,"New Members - Non-Target (#)")=0,"-",SUMIFS('Data - Monthly Metrics'!E:E,'Data - Monthly Metrics'!A:A,$B$4,'Data - Monthly Metrics'!B:B,"Jan",'Data - Monthly Metrics'!C:C,"Southeast",'Data - Monthly Metrics'!D:D,"New Members - Non-Target (#)"))</f>
        <v/>
      </c>
      <c r="G80" s="98">
        <f>IF(COUNTIFS('Data - Monthly Metrics'!A:A,$B$4,'Data - Monthly Metrics'!B:B,"Feb",'Data - Monthly Metrics'!C:C,"Southeast",'Data - Monthly Metrics'!D:D,"New Members - Non-Target (#)")=0,"-",SUMIFS('Data - Monthly Metrics'!E:E,'Data - Monthly Metrics'!A:A,$B$4,'Data - Monthly Metrics'!B:B,"Feb",'Data - Monthly Metrics'!C:C,"Southeast",'Data - Monthly Metrics'!D:D,"New Members - Non-Target (#)"))</f>
        <v/>
      </c>
      <c r="H80" s="98">
        <f>IF(COUNTIFS('Data - Monthly Metrics'!A:A,$B$4,'Data - Monthly Metrics'!B:B,"Mar",'Data - Monthly Metrics'!C:C,"Southeast",'Data - Monthly Metrics'!D:D,"New Members - Non-Target (#)")=0,"-",SUMIFS('Data - Monthly Metrics'!E:E,'Data - Monthly Metrics'!A:A,$B$4,'Data - Monthly Metrics'!B:B,"Mar",'Data - Monthly Metrics'!C:C,"Southeast",'Data - Monthly Metrics'!D:D,"New Members - Non-Target (#)"))</f>
        <v/>
      </c>
      <c r="I80" s="103">
        <f>SUM(F80,G80,H80)</f>
        <v/>
      </c>
      <c r="J80" s="98">
        <f>IF(COUNTIFS('Data - Monthly Metrics'!A:A,$B$4,'Data - Monthly Metrics'!B:B,"Apr",'Data - Monthly Metrics'!C:C,"Southeast",'Data - Monthly Metrics'!D:D,"New Members - Non-Target (#)")=0,"-",SUMIFS('Data - Monthly Metrics'!E:E,'Data - Monthly Metrics'!A:A,$B$4,'Data - Monthly Metrics'!B:B,"Apr",'Data - Monthly Metrics'!C:C,"Southeast",'Data - Monthly Metrics'!D:D,"New Members - Non-Target (#)"))</f>
        <v/>
      </c>
      <c r="K80" s="98">
        <f>IF(COUNTIFS('Data - Monthly Metrics'!A:A,$B$4,'Data - Monthly Metrics'!B:B,"May",'Data - Monthly Metrics'!C:C,"Southeast",'Data - Monthly Metrics'!D:D,"New Members - Non-Target (#)")=0,"-",SUMIFS('Data - Monthly Metrics'!E:E,'Data - Monthly Metrics'!A:A,$B$4,'Data - Monthly Metrics'!B:B,"May",'Data - Monthly Metrics'!C:C,"Southeast",'Data - Monthly Metrics'!D:D,"New Members - Non-Target (#)"))</f>
        <v/>
      </c>
      <c r="L80" s="98">
        <f>IF(COUNTIFS('Data - Monthly Metrics'!A:A,$B$4,'Data - Monthly Metrics'!B:B,"Jun",'Data - Monthly Metrics'!C:C,"Southeast",'Data - Monthly Metrics'!D:D,"New Members - Non-Target (#)")=0,"-",SUMIFS('Data - Monthly Metrics'!E:E,'Data - Monthly Metrics'!A:A,$B$4,'Data - Monthly Metrics'!B:B,"Jun",'Data - Monthly Metrics'!C:C,"Southeast",'Data - Monthly Metrics'!D:D,"New Members - Non-Target (#)"))</f>
        <v/>
      </c>
      <c r="M80" s="103">
        <f>SUM(J80,K80,L80)</f>
        <v/>
      </c>
      <c r="N80" s="98">
        <f>IF(COUNTIFS('Data - Monthly Metrics'!A:A,$B$4,'Data - Monthly Metrics'!B:B,"Jul",'Data - Monthly Metrics'!C:C,"Southeast",'Data - Monthly Metrics'!D:D,"New Members - Non-Target (#)")=0,"-",SUMIFS('Data - Monthly Metrics'!E:E,'Data - Monthly Metrics'!A:A,$B$4,'Data - Monthly Metrics'!B:B,"Jul",'Data - Monthly Metrics'!C:C,"Southeast",'Data - Monthly Metrics'!D:D,"New Members - Non-Target (#)"))</f>
        <v/>
      </c>
      <c r="O80" s="98">
        <f>IF(COUNTIFS('Data - Monthly Metrics'!A:A,$B$4,'Data - Monthly Metrics'!B:B,"Aug",'Data - Monthly Metrics'!C:C,"Southeast",'Data - Monthly Metrics'!D:D,"New Members - Non-Target (#)")=0,"-",SUMIFS('Data - Monthly Metrics'!E:E,'Data - Monthly Metrics'!A:A,$B$4,'Data - Monthly Metrics'!B:B,"Aug",'Data - Monthly Metrics'!C:C,"Southeast",'Data - Monthly Metrics'!D:D,"New Members - Non-Target (#)"))</f>
        <v/>
      </c>
      <c r="P80" s="98">
        <f>IF(COUNTIFS('Data - Monthly Metrics'!A:A,$B$4,'Data - Monthly Metrics'!B:B,"Sep",'Data - Monthly Metrics'!C:C,"Southeast",'Data - Monthly Metrics'!D:D,"New Members - Non-Target (#)")=0,"-",SUMIFS('Data - Monthly Metrics'!E:E,'Data - Monthly Metrics'!A:A,$B$4,'Data - Monthly Metrics'!B:B,"Sep",'Data - Monthly Metrics'!C:C,"Southeast",'Data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Metrics'!C:C,"Southeast",'Data - Monthly Metrics'!D:D,"Billables - Hospitality Non-Target (#)")=0,"-",SUMIFS('Data - Monthly Metrics'!E:E,'Data - Monthly Metrics'!A:A,$B$4-1,'Data - Monthly Metrics'!B:B,"Oct",'Data - Monthly Metrics'!C:C,"Southeast",'Data - Monthly Metrics'!D:D,"Billables - Hospitality Non-Target (#)"))</f>
        <v/>
      </c>
      <c r="C84" s="93">
        <f>IF(COUNTIFS('Data - Monthly Metrics'!A:A,$B$4-1,'Data - Monthly Metrics'!B:B,"Nov",'Data - Monthly Metrics'!C:C,"Southeast",'Data - Monthly Metrics'!D:D,"Billables - Hospitality Non-Target (#)")=0,"-",SUMIFS('Data - Monthly Metrics'!E:E,'Data - Monthly Metrics'!A:A,$B$4-1,'Data - Monthly Metrics'!B:B,"Nov",'Data - Monthly Metrics'!C:C,"Southeast",'Data - Monthly Metrics'!D:D,"Billables - Hospitality Non-Target (#)"))</f>
        <v/>
      </c>
      <c r="D84" s="93">
        <f>IF(COUNTIFS('Data - Monthly Metrics'!A:A,$B$4-1,'Data - Monthly Metrics'!B:B,"Dec",'Data - Monthly Metrics'!C:C,"Southeast",'Data - Monthly Metrics'!D:D,"Billables - Hospitality Non-Target (#)")=0,"-",SUMIFS('Data - Monthly Metrics'!E:E,'Data - Monthly Metrics'!A:A,$B$4-1,'Data - Monthly Metrics'!B:B,"Dec",'Data - Monthly Metrics'!C:C,"Southeast",'Data - Monthly Metrics'!D:D,"Billables - Hospitality Non-Target (#)"))</f>
        <v/>
      </c>
      <c r="E84" s="103">
        <f>IF(ISNUMBER(D84),D84,IF(ISNUMBER(C84),C84,IF(ISNUMBER(B84),B84,"-")))</f>
        <v/>
      </c>
      <c r="F84" s="93">
        <f>IF(COUNTIFS('Data - Monthly Metrics'!A:A,$B$4,'Data - Monthly Metrics'!B:B,"Jan",'Data - Monthly Metrics'!C:C,"Southeast",'Data - Monthly Metrics'!D:D,"Billables - Hospitality Non-Target (#)")=0,"-",SUMIFS('Data - Monthly Metrics'!E:E,'Data - Monthly Metrics'!A:A,$B$4,'Data - Monthly Metrics'!B:B,"Jan",'Data - Monthly Metrics'!C:C,"Southeast",'Data - Monthly Metrics'!D:D,"Billables - Hospitality Non-Target (#)"))</f>
        <v/>
      </c>
      <c r="G84" s="93">
        <f>IF(COUNTIFS('Data - Monthly Metrics'!A:A,$B$4,'Data - Monthly Metrics'!B:B,"Feb",'Data - Monthly Metrics'!C:C,"Southeast",'Data - Monthly Metrics'!D:D,"Billables - Hospitality Non-Target (#)")=0,"-",SUMIFS('Data - Monthly Metrics'!E:E,'Data - Monthly Metrics'!A:A,$B$4,'Data - Monthly Metrics'!B:B,"Feb",'Data - Monthly Metrics'!C:C,"Southeast",'Data - Monthly Metrics'!D:D,"Billables - Hospitality Non-Target (#)"))</f>
        <v/>
      </c>
      <c r="H84" s="93">
        <f>IF(COUNTIFS('Data - Monthly Metrics'!A:A,$B$4,'Data - Monthly Metrics'!B:B,"Mar",'Data - Monthly Metrics'!C:C,"Southeast",'Data - Monthly Metrics'!D:D,"Billables - Hospitality Non-Target (#)")=0,"-",SUMIFS('Data - Monthly Metrics'!E:E,'Data - Monthly Metrics'!A:A,$B$4,'Data - Monthly Metrics'!B:B,"Mar",'Data - Monthly Metrics'!C:C,"Southeast",'Data - Monthly Metrics'!D:D,"Billables - Hospitality Non-Target (#)"))</f>
        <v/>
      </c>
      <c r="I84" s="103">
        <f>IF(ISNUMBER(H84),H84,IF(ISNUMBER(G84),G84,IF(ISNUMBER(F84),F84,"-")))</f>
        <v/>
      </c>
      <c r="J84" s="93">
        <f>IF(COUNTIFS('Data - Monthly Metrics'!A:A,$B$4,'Data - Monthly Metrics'!B:B,"Apr",'Data - Monthly Metrics'!C:C,"Southeast",'Data - Monthly Metrics'!D:D,"Billables - Hospitality Non-Target (#)")=0,"-",SUMIFS('Data - Monthly Metrics'!E:E,'Data - Monthly Metrics'!A:A,$B$4,'Data - Monthly Metrics'!B:B,"Apr",'Data - Monthly Metrics'!C:C,"Southeast",'Data - Monthly Metrics'!D:D,"Billables - Hospitality Non-Target (#)"))</f>
        <v/>
      </c>
      <c r="K84" s="93">
        <f>IF(COUNTIFS('Data - Monthly Metrics'!A:A,$B$4,'Data - Monthly Metrics'!B:B,"May",'Data - Monthly Metrics'!C:C,"Southeast",'Data - Monthly Metrics'!D:D,"Billables - Hospitality Non-Target (#)")=0,"-",SUMIFS('Data - Monthly Metrics'!E:E,'Data - Monthly Metrics'!A:A,$B$4,'Data - Monthly Metrics'!B:B,"May",'Data - Monthly Metrics'!C:C,"Southeast",'Data - Monthly Metrics'!D:D,"Billables - Hospitality Non-Target (#)"))</f>
        <v/>
      </c>
      <c r="L84" s="93">
        <f>IF(COUNTIFS('Data - Monthly Metrics'!A:A,$B$4,'Data - Monthly Metrics'!B:B,"Jun",'Data - Monthly Metrics'!C:C,"Southeast",'Data - Monthly Metrics'!D:D,"Billables - Hospitality Non-Target (#)")=0,"-",SUMIFS('Data - Monthly Metrics'!E:E,'Data - Monthly Metrics'!A:A,$B$4,'Data - Monthly Metrics'!B:B,"Jun",'Data - Monthly Metrics'!C:C,"Southeast",'Data - Monthly Metrics'!D:D,"Billables - Hospitality Non-Target (#)"))</f>
        <v/>
      </c>
      <c r="M84" s="103">
        <f>IF(ISNUMBER(L84),L84,IF(ISNUMBER(K84),K84,IF(ISNUMBER(J84),J84,"-")))</f>
        <v/>
      </c>
      <c r="N84" s="93">
        <f>IF(COUNTIFS('Data - Monthly Metrics'!A:A,$B$4,'Data - Monthly Metrics'!B:B,"Jul",'Data - Monthly Metrics'!C:C,"Southeast",'Data - Monthly Metrics'!D:D,"Billables - Hospitality Non-Target (#)")=0,"-",SUMIFS('Data - Monthly Metrics'!E:E,'Data - Monthly Metrics'!A:A,$B$4,'Data - Monthly Metrics'!B:B,"Jul",'Data - Monthly Metrics'!C:C,"Southeast",'Data - Monthly Metrics'!D:D,"Billables - Hospitality Non-Target (#)"))</f>
        <v/>
      </c>
      <c r="O84" s="93">
        <f>IF(COUNTIFS('Data - Monthly Metrics'!A:A,$B$4,'Data - Monthly Metrics'!B:B,"Aug",'Data - Monthly Metrics'!C:C,"Southeast",'Data - Monthly Metrics'!D:D,"Billables - Hospitality Non-Target (#)")=0,"-",SUMIFS('Data - Monthly Metrics'!E:E,'Data - Monthly Metrics'!A:A,$B$4,'Data - Monthly Metrics'!B:B,"Aug",'Data - Monthly Metrics'!C:C,"Southeast",'Data - Monthly Metrics'!D:D,"Billables - Hospitality Non-Target (#)"))</f>
        <v/>
      </c>
      <c r="P84" s="93">
        <f>IF(COUNTIFS('Data - Monthly Metrics'!A:A,$B$4,'Data - Monthly Metrics'!B:B,"Sep",'Data - Monthly Metrics'!C:C,"Southeast",'Data - Monthly Metrics'!D:D,"Billables - Hospitality Non-Target (#)")=0,"-",SUMIFS('Data - Monthly Metrics'!E:E,'Data - Monthly Metrics'!A:A,$B$4,'Data - Monthly Metrics'!B:B,"Sep",'Data - Monthly Metrics'!C:C,"Southeast",'Data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Metrics'!C:C,"Southeast",'Data - Monthly Metrics'!D:D,"Member Locations - Non-Target (#)")=0,"-",SUMIFS('Data - Monthly Metrics'!E:E,'Data - Monthly Metrics'!A:A,$B$4-1,'Data - Monthly Metrics'!B:B,"Oct",'Data - Monthly Metrics'!C:C,"Southeast",'Data - Monthly Metrics'!D:D,"Member Locations - Non-Target (#)"))</f>
        <v/>
      </c>
      <c r="C85" s="93">
        <f>IF(COUNTIFS('Data - Monthly Metrics'!A:A,$B$4-1,'Data - Monthly Metrics'!B:B,"Nov",'Data - Monthly Metrics'!C:C,"Southeast",'Data - Monthly Metrics'!D:D,"Member Locations - Non-Target (#)")=0,"-",SUMIFS('Data - Monthly Metrics'!E:E,'Data - Monthly Metrics'!A:A,$B$4-1,'Data - Monthly Metrics'!B:B,"Nov",'Data - Monthly Metrics'!C:C,"Southeast",'Data - Monthly Metrics'!D:D,"Member Locations - Non-Target (#)"))</f>
        <v/>
      </c>
      <c r="D85" s="93">
        <f>IF(COUNTIFS('Data - Monthly Metrics'!A:A,$B$4-1,'Data - Monthly Metrics'!B:B,"Dec",'Data - Monthly Metrics'!C:C,"Southeast",'Data - Monthly Metrics'!D:D,"Member Locations - Non-Target (#)")=0,"-",SUMIFS('Data - Monthly Metrics'!E:E,'Data - Monthly Metrics'!A:A,$B$4-1,'Data - Monthly Metrics'!B:B,"Dec",'Data - Monthly Metrics'!C:C,"Southeast",'Data - Monthly Metrics'!D:D,"Member Locations - Non-Target (#)"))</f>
        <v/>
      </c>
      <c r="E85" s="103">
        <f>IF(ISNUMBER(D85),D85,IF(ISNUMBER(C85),C85,IF(ISNUMBER(B85),B85,"-")))</f>
        <v/>
      </c>
      <c r="F85" s="93">
        <f>IF(COUNTIFS('Data - Monthly Metrics'!A:A,$B$4,'Data - Monthly Metrics'!B:B,"Jan",'Data - Monthly Metrics'!C:C,"Southeast",'Data - Monthly Metrics'!D:D,"Member Locations - Non-Target (#)")=0,"-",SUMIFS('Data - Monthly Metrics'!E:E,'Data - Monthly Metrics'!A:A,$B$4,'Data - Monthly Metrics'!B:B,"Jan",'Data - Monthly Metrics'!C:C,"Southeast",'Data - Monthly Metrics'!D:D,"Member Locations - Non-Target (#)"))</f>
        <v/>
      </c>
      <c r="G85" s="93">
        <f>IF(COUNTIFS('Data - Monthly Metrics'!A:A,$B$4,'Data - Monthly Metrics'!B:B,"Feb",'Data - Monthly Metrics'!C:C,"Southeast",'Data - Monthly Metrics'!D:D,"Member Locations - Non-Target (#)")=0,"-",SUMIFS('Data - Monthly Metrics'!E:E,'Data - Monthly Metrics'!A:A,$B$4,'Data - Monthly Metrics'!B:B,"Feb",'Data - Monthly Metrics'!C:C,"Southeast",'Data - Monthly Metrics'!D:D,"Member Locations - Non-Target (#)"))</f>
        <v/>
      </c>
      <c r="H85" s="93">
        <f>IF(COUNTIFS('Data - Monthly Metrics'!A:A,$B$4,'Data - Monthly Metrics'!B:B,"Mar",'Data - Monthly Metrics'!C:C,"Southeast",'Data - Monthly Metrics'!D:D,"Member Locations - Non-Target (#)")=0,"-",SUMIFS('Data - Monthly Metrics'!E:E,'Data - Monthly Metrics'!A:A,$B$4,'Data - Monthly Metrics'!B:B,"Mar",'Data - Monthly Metrics'!C:C,"Southeast",'Data - Monthly Metrics'!D:D,"Member Locations - Non-Target (#)"))</f>
        <v/>
      </c>
      <c r="I85" s="103">
        <f>IF(ISNUMBER(H85),H85,IF(ISNUMBER(G85),G85,IF(ISNUMBER(F85),F85,"-")))</f>
        <v/>
      </c>
      <c r="J85" s="93">
        <f>IF(COUNTIFS('Data - Monthly Metrics'!A:A,$B$4,'Data - Monthly Metrics'!B:B,"Apr",'Data - Monthly Metrics'!C:C,"Southeast",'Data - Monthly Metrics'!D:D,"Member Locations - Non-Target (#)")=0,"-",SUMIFS('Data - Monthly Metrics'!E:E,'Data - Monthly Metrics'!A:A,$B$4,'Data - Monthly Metrics'!B:B,"Apr",'Data - Monthly Metrics'!C:C,"Southeast",'Data - Monthly Metrics'!D:D,"Member Locations - Non-Target (#)"))</f>
        <v/>
      </c>
      <c r="K85" s="93">
        <f>IF(COUNTIFS('Data - Monthly Metrics'!A:A,$B$4,'Data - Monthly Metrics'!B:B,"May",'Data - Monthly Metrics'!C:C,"Southeast",'Data - Monthly Metrics'!D:D,"Member Locations - Non-Target (#)")=0,"-",SUMIFS('Data - Monthly Metrics'!E:E,'Data - Monthly Metrics'!A:A,$B$4,'Data - Monthly Metrics'!B:B,"May",'Data - Monthly Metrics'!C:C,"Southeast",'Data - Monthly Metrics'!D:D,"Member Locations - Non-Target (#)"))</f>
        <v/>
      </c>
      <c r="L85" s="93">
        <f>IF(COUNTIFS('Data - Monthly Metrics'!A:A,$B$4,'Data - Monthly Metrics'!B:B,"Jun",'Data - Monthly Metrics'!C:C,"Southeast",'Data - Monthly Metrics'!D:D,"Member Locations - Non-Target (#)")=0,"-",SUMIFS('Data - Monthly Metrics'!E:E,'Data - Monthly Metrics'!A:A,$B$4,'Data - Monthly Metrics'!B:B,"Jun",'Data - Monthly Metrics'!C:C,"Southeast",'Data - Monthly Metrics'!D:D,"Member Locations - Non-Target (#)"))</f>
        <v/>
      </c>
      <c r="M85" s="103">
        <f>IF(ISNUMBER(L85),L85,IF(ISNUMBER(K85),K85,IF(ISNUMBER(J85),J85,"-")))</f>
        <v/>
      </c>
      <c r="N85" s="93">
        <f>IF(COUNTIFS('Data - Monthly Metrics'!A:A,$B$4,'Data - Monthly Metrics'!B:B,"Jul",'Data - Monthly Metrics'!C:C,"Southeast",'Data - Monthly Metrics'!D:D,"Member Locations - Non-Target (#)")=0,"-",SUMIFS('Data - Monthly Metrics'!E:E,'Data - Monthly Metrics'!A:A,$B$4,'Data - Monthly Metrics'!B:B,"Jul",'Data - Monthly Metrics'!C:C,"Southeast",'Data - Monthly Metrics'!D:D,"Member Locations - Non-Target (#)"))</f>
        <v/>
      </c>
      <c r="O85" s="93">
        <f>IF(COUNTIFS('Data - Monthly Metrics'!A:A,$B$4,'Data - Monthly Metrics'!B:B,"Aug",'Data - Monthly Metrics'!C:C,"Southeast",'Data - Monthly Metrics'!D:D,"Member Locations - Non-Target (#)")=0,"-",SUMIFS('Data - Monthly Metrics'!E:E,'Data - Monthly Metrics'!A:A,$B$4,'Data - Monthly Metrics'!B:B,"Aug",'Data - Monthly Metrics'!C:C,"Southeast",'Data - Monthly Metrics'!D:D,"Member Locations - Non-Target (#)"))</f>
        <v/>
      </c>
      <c r="P85" s="93">
        <f>IF(COUNTIFS('Data - Monthly Metrics'!A:A,$B$4,'Data - Monthly Metrics'!B:B,"Sep",'Data - Monthly Metrics'!C:C,"Southeast",'Data - Monthly Metrics'!D:D,"Member Locations - Non-Target (#)")=0,"-",SUMIFS('Data - Monthly Metrics'!E:E,'Data - Monthly Metrics'!A:A,$B$4,'Data - Monthly Metrics'!B:B,"Sep",'Data - Monthly Metrics'!C:C,"Southeast",'Data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Metrics'!C:C,"Southeast",'Data - Monthly Metrics'!D:D,"Billables - Allied (#)")=0,"-",SUMIFS('Data - Monthly Metrics'!E:E,'Data - Monthly Metrics'!A:A,$B$4-1,'Data - Monthly Metrics'!B:B,"Oct",'Data - Monthly Metrics'!C:C,"Southeast",'Data - Monthly Metrics'!D:D,"Billables - Allied (#)"))</f>
        <v/>
      </c>
      <c r="C86" s="98">
        <f>IF(COUNTIFS('Data - Monthly Metrics'!A:A,$B$4-1,'Data - Monthly Metrics'!B:B,"Nov",'Data - Monthly Metrics'!C:C,"Southeast",'Data - Monthly Metrics'!D:D,"Billables - Allied (#)")=0,"-",SUMIFS('Data - Monthly Metrics'!E:E,'Data - Monthly Metrics'!A:A,$B$4-1,'Data - Monthly Metrics'!B:B,"Nov",'Data - Monthly Metrics'!C:C,"Southeast",'Data - Monthly Metrics'!D:D,"Billables - Allied (#)"))</f>
        <v/>
      </c>
      <c r="D86" s="98">
        <f>IF(COUNTIFS('Data - Monthly Metrics'!A:A,$B$4-1,'Data - Monthly Metrics'!B:B,"Dec",'Data - Monthly Metrics'!C:C,"Southeast",'Data - Monthly Metrics'!D:D,"Billables - Allied (#)")=0,"-",SUMIFS('Data - Monthly Metrics'!E:E,'Data - Monthly Metrics'!A:A,$B$4-1,'Data - Monthly Metrics'!B:B,"Dec",'Data - Monthly Metrics'!C:C,"Southeast",'Data - Monthly Metrics'!D:D,"Billables - Allied (#)"))</f>
        <v/>
      </c>
      <c r="E86" s="103">
        <f>IF(ISNUMBER(D86),D86,IF(ISNUMBER(C86),C86,IF(ISNUMBER(B86),B86,"-")))</f>
        <v/>
      </c>
      <c r="F86" s="98">
        <f>IF(COUNTIFS('Data - Monthly Metrics'!A:A,$B$4,'Data - Monthly Metrics'!B:B,"Jan",'Data - Monthly Metrics'!C:C,"Southeast",'Data - Monthly Metrics'!D:D,"Billables - Allied (#)")=0,"-",SUMIFS('Data - Monthly Metrics'!E:E,'Data - Monthly Metrics'!A:A,$B$4,'Data - Monthly Metrics'!B:B,"Jan",'Data - Monthly Metrics'!C:C,"Southeast",'Data - Monthly Metrics'!D:D,"Billables - Allied (#)"))</f>
        <v/>
      </c>
      <c r="G86" s="98">
        <f>IF(COUNTIFS('Data - Monthly Metrics'!A:A,$B$4,'Data - Monthly Metrics'!B:B,"Feb",'Data - Monthly Metrics'!C:C,"Southeast",'Data - Monthly Metrics'!D:D,"Billables - Allied (#)")=0,"-",SUMIFS('Data - Monthly Metrics'!E:E,'Data - Monthly Metrics'!A:A,$B$4,'Data - Monthly Metrics'!B:B,"Feb",'Data - Monthly Metrics'!C:C,"Southeast",'Data - Monthly Metrics'!D:D,"Billables - Allied (#)"))</f>
        <v/>
      </c>
      <c r="H86" s="98">
        <f>IF(COUNTIFS('Data - Monthly Metrics'!A:A,$B$4,'Data - Monthly Metrics'!B:B,"Mar",'Data - Monthly Metrics'!C:C,"Southeast",'Data - Monthly Metrics'!D:D,"Billables - Allied (#)")=0,"-",SUMIFS('Data - Monthly Metrics'!E:E,'Data - Monthly Metrics'!A:A,$B$4,'Data - Monthly Metrics'!B:B,"Mar",'Data - Monthly Metrics'!C:C,"Southeast",'Data - Monthly Metrics'!D:D,"Billables - Allied (#)"))</f>
        <v/>
      </c>
      <c r="I86" s="103">
        <f>IF(ISNUMBER(H86),H86,IF(ISNUMBER(G86),G86,IF(ISNUMBER(F86),F86,"-")))</f>
        <v/>
      </c>
      <c r="J86" s="98">
        <f>IF(COUNTIFS('Data - Monthly Metrics'!A:A,$B$4,'Data - Monthly Metrics'!B:B,"Apr",'Data - Monthly Metrics'!C:C,"Southeast",'Data - Monthly Metrics'!D:D,"Billables - Allied (#)")=0,"-",SUMIFS('Data - Monthly Metrics'!E:E,'Data - Monthly Metrics'!A:A,$B$4,'Data - Monthly Metrics'!B:B,"Apr",'Data - Monthly Metrics'!C:C,"Southeast",'Data - Monthly Metrics'!D:D,"Billables - Allied (#)"))</f>
        <v/>
      </c>
      <c r="K86" s="98">
        <f>IF(COUNTIFS('Data - Monthly Metrics'!A:A,$B$4,'Data - Monthly Metrics'!B:B,"May",'Data - Monthly Metrics'!C:C,"Southeast",'Data - Monthly Metrics'!D:D,"Billables - Allied (#)")=0,"-",SUMIFS('Data - Monthly Metrics'!E:E,'Data - Monthly Metrics'!A:A,$B$4,'Data - Monthly Metrics'!B:B,"May",'Data - Monthly Metrics'!C:C,"Southeast",'Data - Monthly Metrics'!D:D,"Billables - Allied (#)"))</f>
        <v/>
      </c>
      <c r="L86" s="98">
        <f>IF(COUNTIFS('Data - Monthly Metrics'!A:A,$B$4,'Data - Monthly Metrics'!B:B,"Jun",'Data - Monthly Metrics'!C:C,"Southeast",'Data - Monthly Metrics'!D:D,"Billables - Allied (#)")=0,"-",SUMIFS('Data - Monthly Metrics'!E:E,'Data - Monthly Metrics'!A:A,$B$4,'Data - Monthly Metrics'!B:B,"Jun",'Data - Monthly Metrics'!C:C,"Southeast",'Data - Monthly Metrics'!D:D,"Billables - Allied (#)"))</f>
        <v/>
      </c>
      <c r="M86" s="103">
        <f>IF(ISNUMBER(L86),L86,IF(ISNUMBER(K86),K86,IF(ISNUMBER(J86),J86,"-")))</f>
        <v/>
      </c>
      <c r="N86" s="98">
        <f>IF(COUNTIFS('Data - Monthly Metrics'!A:A,$B$4,'Data - Monthly Metrics'!B:B,"Jul",'Data - Monthly Metrics'!C:C,"Southeast",'Data - Monthly Metrics'!D:D,"Billables - Allied (#)")=0,"-",SUMIFS('Data - Monthly Metrics'!E:E,'Data - Monthly Metrics'!A:A,$B$4,'Data - Monthly Metrics'!B:B,"Jul",'Data - Monthly Metrics'!C:C,"Southeast",'Data - Monthly Metrics'!D:D,"Billables - Allied (#)"))</f>
        <v/>
      </c>
      <c r="O86" s="98">
        <f>IF(COUNTIFS('Data - Monthly Metrics'!A:A,$B$4,'Data - Monthly Metrics'!B:B,"Aug",'Data - Monthly Metrics'!C:C,"Southeast",'Data - Monthly Metrics'!D:D,"Billables - Allied (#)")=0,"-",SUMIFS('Data - Monthly Metrics'!E:E,'Data - Monthly Metrics'!A:A,$B$4,'Data - Monthly Metrics'!B:B,"Aug",'Data - Monthly Metrics'!C:C,"Southeast",'Data - Monthly Metrics'!D:D,"Billables - Allied (#)"))</f>
        <v/>
      </c>
      <c r="P86" s="98">
        <f>IF(COUNTIFS('Data - Monthly Metrics'!A:A,$B$4,'Data - Monthly Metrics'!B:B,"Sep",'Data - Monthly Metrics'!C:C,"Southeast",'Data - Monthly Metrics'!D:D,"Billables - Allied (#)")=0,"-",SUMIFS('Data - Monthly Metrics'!E:E,'Data - Monthly Metrics'!A:A,$B$4,'Data - Monthly Metrics'!B:B,"Sep",'Data - Monthly Metrics'!C:C,"Southeast",'Data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Metrics'!C:C,"Southeast",'Data - Monthly Metrics'!D:D,"Members Up for Renewal - Non-Target (#)")=0,"-",SUMIFS('Data - Monthly Metrics'!E:E,'Data - Monthly Metrics'!A:A,$B$4-1,'Data - Monthly Metrics'!B:B,"Oct",'Data - Monthly Metrics'!C:C,"Southeast",'Data - Monthly Metrics'!D:D,"Members Up for Renewal - Non-Target (#)"))</f>
        <v/>
      </c>
      <c r="C91" s="93">
        <f>IF(COUNTIFS('Data - Monthly Metrics'!A:A,$B$4-1,'Data - Monthly Metrics'!B:B,"Nov",'Data - Monthly Metrics'!C:C,"Southeast",'Data - Monthly Metrics'!D:D,"Members Up for Renewal - Non-Target (#)")=0,"-",SUMIFS('Data - Monthly Metrics'!E:E,'Data - Monthly Metrics'!A:A,$B$4-1,'Data - Monthly Metrics'!B:B,"Nov",'Data - Monthly Metrics'!C:C,"Southeast",'Data - Monthly Metrics'!D:D,"Members Up for Renewal - Non-Target (#)"))</f>
        <v/>
      </c>
      <c r="D91" s="93">
        <f>IF(COUNTIFS('Data - Monthly Metrics'!A:A,$B$4-1,'Data - Monthly Metrics'!B:B,"Dec",'Data - Monthly Metrics'!C:C,"Southeast",'Data - Monthly Metrics'!D:D,"Members Up for Renewal - Non-Target (#)")=0,"-",SUMIFS('Data - Monthly Metrics'!E:E,'Data - Monthly Metrics'!A:A,$B$4-1,'Data - Monthly Metrics'!B:B,"Dec",'Data - Monthly Metrics'!C:C,"Southeast",'Data - Monthly Metrics'!D:D,"Members Up for Renewal - Non-Target (#)"))</f>
        <v/>
      </c>
      <c r="E91" s="103">
        <f>SUM(B91,C91,D91)</f>
        <v/>
      </c>
      <c r="F91" s="93">
        <f>IF(COUNTIFS('Data - Monthly Metrics'!A:A,$B$4,'Data - Monthly Metrics'!B:B,"Jan",'Data - Monthly Metrics'!C:C,"Southeast",'Data - Monthly Metrics'!D:D,"Members Up for Renewal - Non-Target (#)")=0,"-",SUMIFS('Data - Monthly Metrics'!E:E,'Data - Monthly Metrics'!A:A,$B$4,'Data - Monthly Metrics'!B:B,"Jan",'Data - Monthly Metrics'!C:C,"Southeast",'Data - Monthly Metrics'!D:D,"Members Up for Renewal - Non-Target (#)"))</f>
        <v/>
      </c>
      <c r="G91" s="93">
        <f>IF(COUNTIFS('Data - Monthly Metrics'!A:A,$B$4,'Data - Monthly Metrics'!B:B,"Feb",'Data - Monthly Metrics'!C:C,"Southeast",'Data - Monthly Metrics'!D:D,"Members Up for Renewal - Non-Target (#)")=0,"-",SUMIFS('Data - Monthly Metrics'!E:E,'Data - Monthly Metrics'!A:A,$B$4,'Data - Monthly Metrics'!B:B,"Feb",'Data - Monthly Metrics'!C:C,"Southeast",'Data - Monthly Metrics'!D:D,"Members Up for Renewal - Non-Target (#)"))</f>
        <v/>
      </c>
      <c r="H91" s="93">
        <f>IF(COUNTIFS('Data - Monthly Metrics'!A:A,$B$4,'Data - Monthly Metrics'!B:B,"Mar",'Data - Monthly Metrics'!C:C,"Southeast",'Data - Monthly Metrics'!D:D,"Members Up for Renewal - Non-Target (#)")=0,"-",SUMIFS('Data - Monthly Metrics'!E:E,'Data - Monthly Metrics'!A:A,$B$4,'Data - Monthly Metrics'!B:B,"Mar",'Data - Monthly Metrics'!C:C,"Southeast",'Data - Monthly Metrics'!D:D,"Members Up for Renewal - Non-Target (#)"))</f>
        <v/>
      </c>
      <c r="I91" s="103">
        <f>SUM(F91,G91,H91)</f>
        <v/>
      </c>
      <c r="J91" s="93">
        <f>IF(COUNTIFS('Data - Monthly Metrics'!A:A,$B$4,'Data - Monthly Metrics'!B:B,"Apr",'Data - Monthly Metrics'!C:C,"Southeast",'Data - Monthly Metrics'!D:D,"Members Up for Renewal - Non-Target (#)")=0,"-",SUMIFS('Data - Monthly Metrics'!E:E,'Data - Monthly Metrics'!A:A,$B$4,'Data - Monthly Metrics'!B:B,"Apr",'Data - Monthly Metrics'!C:C,"Southeast",'Data - Monthly Metrics'!D:D,"Members Up for Renewal - Non-Target (#)"))</f>
        <v/>
      </c>
      <c r="K91" s="93">
        <f>IF(COUNTIFS('Data - Monthly Metrics'!A:A,$B$4,'Data - Monthly Metrics'!B:B,"May",'Data - Monthly Metrics'!C:C,"Southeast",'Data - Monthly Metrics'!D:D,"Members Up for Renewal - Non-Target (#)")=0,"-",SUMIFS('Data - Monthly Metrics'!E:E,'Data - Monthly Metrics'!A:A,$B$4,'Data - Monthly Metrics'!B:B,"May",'Data - Monthly Metrics'!C:C,"Southeast",'Data - Monthly Metrics'!D:D,"Members Up for Renewal - Non-Target (#)"))</f>
        <v/>
      </c>
      <c r="L91" s="93">
        <f>IF(COUNTIFS('Data - Monthly Metrics'!A:A,$B$4,'Data - Monthly Metrics'!B:B,"Jun",'Data - Monthly Metrics'!C:C,"Southeast",'Data - Monthly Metrics'!D:D,"Members Up for Renewal - Non-Target (#)")=0,"-",SUMIFS('Data - Monthly Metrics'!E:E,'Data - Monthly Metrics'!A:A,$B$4,'Data - Monthly Metrics'!B:B,"Jun",'Data - Monthly Metrics'!C:C,"Southeast",'Data - Monthly Metrics'!D:D,"Members Up for Renewal - Non-Target (#)"))</f>
        <v/>
      </c>
      <c r="M91" s="103">
        <f>SUM(J91,K91,L91)</f>
        <v/>
      </c>
      <c r="N91" s="93">
        <f>IF(COUNTIFS('Data - Monthly Metrics'!A:A,$B$4,'Data - Monthly Metrics'!B:B,"Jul",'Data - Monthly Metrics'!C:C,"Southeast",'Data - Monthly Metrics'!D:D,"Members Up for Renewal - Non-Target (#)")=0,"-",SUMIFS('Data - Monthly Metrics'!E:E,'Data - Monthly Metrics'!A:A,$B$4,'Data - Monthly Metrics'!B:B,"Jul",'Data - Monthly Metrics'!C:C,"Southeast",'Data - Monthly Metrics'!D:D,"Members Up for Renewal - Non-Target (#)"))</f>
        <v/>
      </c>
      <c r="O91" s="93">
        <f>IF(COUNTIFS('Data - Monthly Metrics'!A:A,$B$4,'Data - Monthly Metrics'!B:B,"Aug",'Data - Monthly Metrics'!C:C,"Southeast",'Data - Monthly Metrics'!D:D,"Members Up for Renewal - Non-Target (#)")=0,"-",SUMIFS('Data - Monthly Metrics'!E:E,'Data - Monthly Metrics'!A:A,$B$4,'Data - Monthly Metrics'!B:B,"Aug",'Data - Monthly Metrics'!C:C,"Southeast",'Data - Monthly Metrics'!D:D,"Members Up for Renewal - Non-Target (#)"))</f>
        <v/>
      </c>
      <c r="P91" s="93">
        <f>IF(COUNTIFS('Data - Monthly Metrics'!A:A,$B$4,'Data - Monthly Metrics'!B:B,"Sep",'Data - Monthly Metrics'!C:C,"Southeast",'Data - Monthly Metrics'!D:D,"Members Up for Renewal - Non-Target (#)")=0,"-",SUMIFS('Data - Monthly Metrics'!E:E,'Data - Monthly Metrics'!A:A,$B$4,'Data - Monthly Metrics'!B:B,"Sep",'Data - Monthly Metrics'!C:C,"Southeast",'Data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Metrics'!C:C,"Southeast",'Data - Monthly Metrics'!D:D,"Members Retained - Non-Target (#)")=0,"-",SUMIFS('Data - Monthly Metrics'!E:E,'Data - Monthly Metrics'!A:A,$B$4-1,'Data - Monthly Metrics'!B:B,"Oct",'Data - Monthly Metrics'!C:C,"Southeast",'Data - Monthly Metrics'!D:D,"Members Retained - Non-Target (#)"))</f>
        <v/>
      </c>
      <c r="C92" s="98">
        <f>IF(COUNTIFS('Data - Monthly Metrics'!A:A,$B$4-1,'Data - Monthly Metrics'!B:B,"Nov",'Data - Monthly Metrics'!C:C,"Southeast",'Data - Monthly Metrics'!D:D,"Members Retained - Non-Target (#)")=0,"-",SUMIFS('Data - Monthly Metrics'!E:E,'Data - Monthly Metrics'!A:A,$B$4-1,'Data - Monthly Metrics'!B:B,"Nov",'Data - Monthly Metrics'!C:C,"Southeast",'Data - Monthly Metrics'!D:D,"Members Retained - Non-Target (#)"))</f>
        <v/>
      </c>
      <c r="D92" s="98">
        <f>IF(COUNTIFS('Data - Monthly Metrics'!A:A,$B$4-1,'Data - Monthly Metrics'!B:B,"Dec",'Data - Monthly Metrics'!C:C,"Southeast",'Data - Monthly Metrics'!D:D,"Members Retained - Non-Target (#)")=0,"-",SUMIFS('Data - Monthly Metrics'!E:E,'Data - Monthly Metrics'!A:A,$B$4-1,'Data - Monthly Metrics'!B:B,"Dec",'Data - Monthly Metrics'!C:C,"Southeast",'Data - Monthly Metrics'!D:D,"Members Retained - Non-Target (#)"))</f>
        <v/>
      </c>
      <c r="E92" s="103">
        <f>SUM(B92,C92,D92)</f>
        <v/>
      </c>
      <c r="F92" s="98">
        <f>IF(COUNTIFS('Data - Monthly Metrics'!A:A,$B$4,'Data - Monthly Metrics'!B:B,"Jan",'Data - Monthly Metrics'!C:C,"Southeast",'Data - Monthly Metrics'!D:D,"Members Retained - Non-Target (#)")=0,"-",SUMIFS('Data - Monthly Metrics'!E:E,'Data - Monthly Metrics'!A:A,$B$4,'Data - Monthly Metrics'!B:B,"Jan",'Data - Monthly Metrics'!C:C,"Southeast",'Data - Monthly Metrics'!D:D,"Members Retained - Non-Target (#)"))</f>
        <v/>
      </c>
      <c r="G92" s="98">
        <f>IF(COUNTIFS('Data - Monthly Metrics'!A:A,$B$4,'Data - Monthly Metrics'!B:B,"Feb",'Data - Monthly Metrics'!C:C,"Southeast",'Data - Monthly Metrics'!D:D,"Members Retained - Non-Target (#)")=0,"-",SUMIFS('Data - Monthly Metrics'!E:E,'Data - Monthly Metrics'!A:A,$B$4,'Data - Monthly Metrics'!B:B,"Feb",'Data - Monthly Metrics'!C:C,"Southeast",'Data - Monthly Metrics'!D:D,"Members Retained - Non-Target (#)"))</f>
        <v/>
      </c>
      <c r="H92" s="98">
        <f>IF(COUNTIFS('Data - Monthly Metrics'!A:A,$B$4,'Data - Monthly Metrics'!B:B,"Mar",'Data - Monthly Metrics'!C:C,"Southeast",'Data - Monthly Metrics'!D:D,"Members Retained - Non-Target (#)")=0,"-",SUMIFS('Data - Monthly Metrics'!E:E,'Data - Monthly Metrics'!A:A,$B$4,'Data - Monthly Metrics'!B:B,"Mar",'Data - Monthly Metrics'!C:C,"Southeast",'Data - Monthly Metrics'!D:D,"Members Retained - Non-Target (#)"))</f>
        <v/>
      </c>
      <c r="I92" s="103">
        <f>SUM(F92,G92,H92)</f>
        <v/>
      </c>
      <c r="J92" s="98">
        <f>IF(COUNTIFS('Data - Monthly Metrics'!A:A,$B$4,'Data - Monthly Metrics'!B:B,"Apr",'Data - Monthly Metrics'!C:C,"Southeast",'Data - Monthly Metrics'!D:D,"Members Retained - Non-Target (#)")=0,"-",SUMIFS('Data - Monthly Metrics'!E:E,'Data - Monthly Metrics'!A:A,$B$4,'Data - Monthly Metrics'!B:B,"Apr",'Data - Monthly Metrics'!C:C,"Southeast",'Data - Monthly Metrics'!D:D,"Members Retained - Non-Target (#)"))</f>
        <v/>
      </c>
      <c r="K92" s="98">
        <f>IF(COUNTIFS('Data - Monthly Metrics'!A:A,$B$4,'Data - Monthly Metrics'!B:B,"May",'Data - Monthly Metrics'!C:C,"Southeast",'Data - Monthly Metrics'!D:D,"Members Retained - Non-Target (#)")=0,"-",SUMIFS('Data - Monthly Metrics'!E:E,'Data - Monthly Metrics'!A:A,$B$4,'Data - Monthly Metrics'!B:B,"May",'Data - Monthly Metrics'!C:C,"Southeast",'Data - Monthly Metrics'!D:D,"Members Retained - Non-Target (#)"))</f>
        <v/>
      </c>
      <c r="L92" s="98">
        <f>IF(COUNTIFS('Data - Monthly Metrics'!A:A,$B$4,'Data - Monthly Metrics'!B:B,"Jun",'Data - Monthly Metrics'!C:C,"Southeast",'Data - Monthly Metrics'!D:D,"Members Retained - Non-Target (#)")=0,"-",SUMIFS('Data - Monthly Metrics'!E:E,'Data - Monthly Metrics'!A:A,$B$4,'Data - Monthly Metrics'!B:B,"Jun",'Data - Monthly Metrics'!C:C,"Southeast",'Data - Monthly Metrics'!D:D,"Members Retained - Non-Target (#)"))</f>
        <v/>
      </c>
      <c r="M92" s="103">
        <f>SUM(J92,K92,L92)</f>
        <v/>
      </c>
      <c r="N92" s="98">
        <f>IF(COUNTIFS('Data - Monthly Metrics'!A:A,$B$4,'Data - Monthly Metrics'!B:B,"Jul",'Data - Monthly Metrics'!C:C,"Southeast",'Data - Monthly Metrics'!D:D,"Members Retained - Non-Target (#)")=0,"-",SUMIFS('Data - Monthly Metrics'!E:E,'Data - Monthly Metrics'!A:A,$B$4,'Data - Monthly Metrics'!B:B,"Jul",'Data - Monthly Metrics'!C:C,"Southeast",'Data - Monthly Metrics'!D:D,"Members Retained - Non-Target (#)"))</f>
        <v/>
      </c>
      <c r="O92" s="98">
        <f>IF(COUNTIFS('Data - Monthly Metrics'!A:A,$B$4,'Data - Monthly Metrics'!B:B,"Aug",'Data - Monthly Metrics'!C:C,"Southeast",'Data - Monthly Metrics'!D:D,"Members Retained - Non-Target (#)")=0,"-",SUMIFS('Data - Monthly Metrics'!E:E,'Data - Monthly Metrics'!A:A,$B$4,'Data - Monthly Metrics'!B:B,"Aug",'Data - Monthly Metrics'!C:C,"Southeast",'Data - Monthly Metrics'!D:D,"Members Retained - Non-Target (#)"))</f>
        <v/>
      </c>
      <c r="P92" s="98">
        <f>IF(COUNTIFS('Data - Monthly Metrics'!A:A,$B$4,'Data - Monthly Metrics'!B:B,"Sep",'Data - Monthly Metrics'!C:C,"Southeast",'Data - Monthly Metrics'!D:D,"Members Retained - Non-Target (#)")=0,"-",SUMIFS('Data - Monthly Metrics'!E:E,'Data - Monthly Metrics'!A:A,$B$4,'Data - Monthly Metrics'!B:B,"Sep",'Data - Monthly Metrics'!C:C,"Southeast",'Data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Metrics'!$C:$C,"Southeast",'Data - Monthly Metrics'!$D:$D,"Goal - Retention %")=0),"—",IF(B93&gt;=SUMIFS('Data - Monthly Metrics'!$E:$E,'Data - Monthly Metrics'!$A:$A,$B$4-1,'Data - Monthly Metrics'!$B:$B,B$8,'Data - Monthly Metrics'!$C:$C,"Southeast",'Data - Monthly Metrics'!$D:$D,"Goal - Retention %"),"On Track",IF(B93&gt;=SUMIFS('Data - Monthly Metrics'!$E:$E,'Data - Monthly Metrics'!$A:$A,$B$4-1,'Data - Monthly Metrics'!$B:$B,B$8,'Data - Monthly Metrics'!$C:$C,"Southeast",'Data - Monthly Metrics'!$D:$D,"Goal - Retention %")-0.05,"Watch","At Risk")))</f>
        <v/>
      </c>
      <c r="C94" s="120">
        <f>IF(OR(NOT(ISNUMBER(C93)),C93=0,COUNTIFS('Data - Monthly Metrics'!$A:$A,$B$4-1,'Data - Monthly Metrics'!$B:$B,C$8,'Data - Monthly Metrics'!$C:$C,"Southeast",'Data - Monthly Metrics'!$D:$D,"Goal - Retention %")=0),"—",IF(C93&gt;=SUMIFS('Data - Monthly Metrics'!$E:$E,'Data - Monthly Metrics'!$A:$A,$B$4-1,'Data - Monthly Metrics'!$B:$B,C$8,'Data - Monthly Metrics'!$C:$C,"Southeast",'Data - Monthly Metrics'!$D:$D,"Goal - Retention %"),"On Track",IF(C93&gt;=SUMIFS('Data - Monthly Metrics'!$E:$E,'Data - Monthly Metrics'!$A:$A,$B$4-1,'Data - Monthly Metrics'!$B:$B,C$8,'Data - Monthly Metrics'!$C:$C,"Southeast",'Data - Monthly Metrics'!$D:$D,"Goal - Retention %")-0.05,"Watch","At Risk")))</f>
        <v/>
      </c>
      <c r="D94" s="120">
        <f>IF(OR(NOT(ISNUMBER(D93)),D93=0,COUNTIFS('Data - Monthly Metrics'!$A:$A,$B$4-1,'Data - Monthly Metrics'!$B:$B,D$8,'Data - Monthly Metrics'!$C:$C,"Southeast",'Data - Monthly Metrics'!$D:$D,"Goal - Retention %")=0),"—",IF(D93&gt;=SUMIFS('Data - Monthly Metrics'!$E:$E,'Data - Monthly Metrics'!$A:$A,$B$4-1,'Data - Monthly Metrics'!$B:$B,D$8,'Data - Monthly Metrics'!$C:$C,"Southeast",'Data - Monthly Metrics'!$D:$D,"Goal - Retention %"),"On Track",IF(D93&gt;=SUMIFS('Data - Monthly Metrics'!$E:$E,'Data - Monthly Metrics'!$A:$A,$B$4-1,'Data - Monthly Metrics'!$B:$B,D$8,'Data - Monthly Metrics'!$C:$C,"Southeast",'Data - Monthly Metrics'!$D:$D,"Goal - Retention %")-0.05,"Watch","At Risk")))</f>
        <v/>
      </c>
      <c r="E94" s="121">
        <f>"—"</f>
        <v/>
      </c>
      <c r="F94" s="120">
        <f>IF(OR(NOT(ISNUMBER(F93)),F93=0,COUNTIFS('Data - Monthly Metrics'!$A:$A,$B$4,'Data - Monthly Metrics'!$B:$B,F$8,'Data - Monthly Metrics'!$C:$C,"Southeast",'Data - Monthly Metrics'!$D:$D,"Goal - Retention %")=0),"—",IF(F93&gt;=SUMIFS('Data - Monthly Metrics'!$E:$E,'Data - Monthly Metrics'!$A:$A,$B$4,'Data - Monthly Metrics'!$B:$B,F$8,'Data - Monthly Metrics'!$C:$C,"Southeast",'Data - Monthly Metrics'!$D:$D,"Goal - Retention %"),"On Track",IF(F93&gt;=SUMIFS('Data - Monthly Metrics'!$E:$E,'Data - Monthly Metrics'!$A:$A,$B$4,'Data - Monthly Metrics'!$B:$B,F$8,'Data - Monthly Metrics'!$C:$C,"Southeast",'Data - Monthly Metrics'!$D:$D,"Goal - Retention %")-0.05,"Watch","At Risk")))</f>
        <v/>
      </c>
      <c r="G94" s="120">
        <f>IF(OR(NOT(ISNUMBER(G93)),G93=0,COUNTIFS('Data - Monthly Metrics'!$A:$A,$B$4,'Data - Monthly Metrics'!$B:$B,G$8,'Data - Monthly Metrics'!$C:$C,"Southeast",'Data - Monthly Metrics'!$D:$D,"Goal - Retention %")=0),"—",IF(G93&gt;=SUMIFS('Data - Monthly Metrics'!$E:$E,'Data - Monthly Metrics'!$A:$A,$B$4,'Data - Monthly Metrics'!$B:$B,G$8,'Data - Monthly Metrics'!$C:$C,"Southeast",'Data - Monthly Metrics'!$D:$D,"Goal - Retention %"),"On Track",IF(G93&gt;=SUMIFS('Data - Monthly Metrics'!$E:$E,'Data - Monthly Metrics'!$A:$A,$B$4,'Data - Monthly Metrics'!$B:$B,G$8,'Data - Monthly Metrics'!$C:$C,"Southeast",'Data - Monthly Metrics'!$D:$D,"Goal - Retention %")-0.05,"Watch","At Risk")))</f>
        <v/>
      </c>
      <c r="H94" s="120">
        <f>IF(OR(NOT(ISNUMBER(H93)),H93=0,COUNTIFS('Data - Monthly Metrics'!$A:$A,$B$4,'Data - Monthly Metrics'!$B:$B,H$8,'Data - Monthly Metrics'!$C:$C,"Southeast",'Data - Monthly Metrics'!$D:$D,"Goal - Retention %")=0),"—",IF(H93&gt;=SUMIFS('Data - Monthly Metrics'!$E:$E,'Data - Monthly Metrics'!$A:$A,$B$4,'Data - Monthly Metrics'!$B:$B,H$8,'Data - Monthly Metrics'!$C:$C,"Southeast",'Data - Monthly Metrics'!$D:$D,"Goal - Retention %"),"On Track",IF(H93&gt;=SUMIFS('Data - Monthly Metrics'!$E:$E,'Data - Monthly Metrics'!$A:$A,$B$4,'Data - Monthly Metrics'!$B:$B,H$8,'Data - Monthly Metrics'!$C:$C,"Southeast",'Data - Monthly Metrics'!$D:$D,"Goal - Retention %")-0.05,"Watch","At Risk")))</f>
        <v/>
      </c>
      <c r="I94" s="121">
        <f>"—"</f>
        <v/>
      </c>
      <c r="J94" s="120">
        <f>IF(OR(NOT(ISNUMBER(J93)),J93=0,COUNTIFS('Data - Monthly Metrics'!$A:$A,$B$4,'Data - Monthly Metrics'!$B:$B,J$8,'Data - Monthly Metrics'!$C:$C,"Southeast",'Data - Monthly Metrics'!$D:$D,"Goal - Retention %")=0),"—",IF(J93&gt;=SUMIFS('Data - Monthly Metrics'!$E:$E,'Data - Monthly Metrics'!$A:$A,$B$4,'Data - Monthly Metrics'!$B:$B,J$8,'Data - Monthly Metrics'!$C:$C,"Southeast",'Data - Monthly Metrics'!$D:$D,"Goal - Retention %"),"On Track",IF(J93&gt;=SUMIFS('Data - Monthly Metrics'!$E:$E,'Data - Monthly Metrics'!$A:$A,$B$4,'Data - Monthly Metrics'!$B:$B,J$8,'Data - Monthly Metrics'!$C:$C,"Southeast",'Data - Monthly Metrics'!$D:$D,"Goal - Retention %")-0.05,"Watch","At Risk")))</f>
        <v/>
      </c>
      <c r="K94" s="120">
        <f>IF(OR(NOT(ISNUMBER(K93)),K93=0,COUNTIFS('Data - Monthly Metrics'!$A:$A,$B$4,'Data - Monthly Metrics'!$B:$B,K$8,'Data - Monthly Metrics'!$C:$C,"Southeast",'Data - Monthly Metrics'!$D:$D,"Goal - Retention %")=0),"—",IF(K93&gt;=SUMIFS('Data - Monthly Metrics'!$E:$E,'Data - Monthly Metrics'!$A:$A,$B$4,'Data - Monthly Metrics'!$B:$B,K$8,'Data - Monthly Metrics'!$C:$C,"Southeast",'Data - Monthly Metrics'!$D:$D,"Goal - Retention %"),"On Track",IF(K93&gt;=SUMIFS('Data - Monthly Metrics'!$E:$E,'Data - Monthly Metrics'!$A:$A,$B$4,'Data - Monthly Metrics'!$B:$B,K$8,'Data - Monthly Metrics'!$C:$C,"Southeast",'Data - Monthly Metrics'!$D:$D,"Goal - Retention %")-0.05,"Watch","At Risk")))</f>
        <v/>
      </c>
      <c r="L94" s="120">
        <f>IF(OR(NOT(ISNUMBER(L93)),L93=0,COUNTIFS('Data - Monthly Metrics'!$A:$A,$B$4,'Data - Monthly Metrics'!$B:$B,L$8,'Data - Monthly Metrics'!$C:$C,"Southeast",'Data - Monthly Metrics'!$D:$D,"Goal - Retention %")=0),"—",IF(L93&gt;=SUMIFS('Data - Monthly Metrics'!$E:$E,'Data - Monthly Metrics'!$A:$A,$B$4,'Data - Monthly Metrics'!$B:$B,L$8,'Data - Monthly Metrics'!$C:$C,"Southeast",'Data - Monthly Metrics'!$D:$D,"Goal - Retention %"),"On Track",IF(L93&gt;=SUMIFS('Data - Monthly Metrics'!$E:$E,'Data - Monthly Metrics'!$A:$A,$B$4,'Data - Monthly Metrics'!$B:$B,L$8,'Data - Monthly Metrics'!$C:$C,"Southeast",'Data - Monthly Metrics'!$D:$D,"Goal - Retention %")-0.05,"Watch","At Risk")))</f>
        <v/>
      </c>
      <c r="M94" s="121">
        <f>"—"</f>
        <v/>
      </c>
      <c r="N94" s="120">
        <f>IF(OR(NOT(ISNUMBER(N93)),N93=0,COUNTIFS('Data - Monthly Metrics'!$A:$A,$B$4,'Data - Monthly Metrics'!$B:$B,N$8,'Data - Monthly Metrics'!$C:$C,"Southeast",'Data - Monthly Metrics'!$D:$D,"Goal - Retention %")=0),"—",IF(N93&gt;=SUMIFS('Data - Monthly Metrics'!$E:$E,'Data - Monthly Metrics'!$A:$A,$B$4,'Data - Monthly Metrics'!$B:$B,N$8,'Data - Monthly Metrics'!$C:$C,"Southeast",'Data - Monthly Metrics'!$D:$D,"Goal - Retention %"),"On Track",IF(N93&gt;=SUMIFS('Data - Monthly Metrics'!$E:$E,'Data - Monthly Metrics'!$A:$A,$B$4,'Data - Monthly Metrics'!$B:$B,N$8,'Data - Monthly Metrics'!$C:$C,"Southeast",'Data - Monthly Metrics'!$D:$D,"Goal - Retention %")-0.05,"Watch","At Risk")))</f>
        <v/>
      </c>
      <c r="O94" s="120">
        <f>IF(OR(NOT(ISNUMBER(O93)),O93=0,COUNTIFS('Data - Monthly Metrics'!$A:$A,$B$4,'Data - Monthly Metrics'!$B:$B,O$8,'Data - Monthly Metrics'!$C:$C,"Southeast",'Data - Monthly Metrics'!$D:$D,"Goal - Retention %")=0),"—",IF(O93&gt;=SUMIFS('Data - Monthly Metrics'!$E:$E,'Data - Monthly Metrics'!$A:$A,$B$4,'Data - Monthly Metrics'!$B:$B,O$8,'Data - Monthly Metrics'!$C:$C,"Southeast",'Data - Monthly Metrics'!$D:$D,"Goal - Retention %"),"On Track",IF(O93&gt;=SUMIFS('Data - Monthly Metrics'!$E:$E,'Data - Monthly Metrics'!$A:$A,$B$4,'Data - Monthly Metrics'!$B:$B,O$8,'Data - Monthly Metrics'!$C:$C,"Southeast",'Data - Monthly Metrics'!$D:$D,"Goal - Retention %")-0.05,"Watch","At Risk")))</f>
        <v/>
      </c>
      <c r="P94" s="120">
        <f>IF(OR(NOT(ISNUMBER(P93)),P93=0,COUNTIFS('Data - Monthly Metrics'!$A:$A,$B$4,'Data - Monthly Metrics'!$B:$B,P$8,'Data - Monthly Metrics'!$C:$C,"Southeast",'Data - Monthly Metrics'!$D:$D,"Goal - Retention %")=0),"—",IF(P93&gt;=SUMIFS('Data - Monthly Metrics'!$E:$E,'Data - Monthly Metrics'!$A:$A,$B$4,'Data - Monthly Metrics'!$B:$B,P$8,'Data - Monthly Metrics'!$C:$C,"Southeast",'Data - Monthly Metrics'!$D:$D,"Goal - Retention %"),"On Track",IF(P93&gt;=SUMIFS('Data - Monthly Metrics'!$E:$E,'Data - Monthly Metrics'!$A:$A,$B$4,'Data - Monthly Metrics'!$B:$B,P$8,'Data - Monthly Metrics'!$C:$C,"Southeast",'Data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Metrics'!C:C,"Southeast",'Data - Monthly Metrics'!D:D,"Retention - Comped Non-Target (#)")=0,"-",SUMIFS('Data - Monthly Metrics'!E:E,'Data - Monthly Metrics'!A:A,$B$4-1,'Data - Monthly Metrics'!B:B,"Oct",'Data - Monthly Metrics'!C:C,"Southeast",'Data - Monthly Metrics'!D:D,"Retention - Comped Non-Target (#)"))</f>
        <v/>
      </c>
      <c r="C95" s="98">
        <f>IF(COUNTIFS('Data - Monthly Metrics'!A:A,$B$4-1,'Data - Monthly Metrics'!B:B,"Nov",'Data - Monthly Metrics'!C:C,"Southeast",'Data - Monthly Metrics'!D:D,"Retention - Comped Non-Target (#)")=0,"-",SUMIFS('Data - Monthly Metrics'!E:E,'Data - Monthly Metrics'!A:A,$B$4-1,'Data - Monthly Metrics'!B:B,"Nov",'Data - Monthly Metrics'!C:C,"Southeast",'Data - Monthly Metrics'!D:D,"Retention - Comped Non-Target (#)"))</f>
        <v/>
      </c>
      <c r="D95" s="98">
        <f>IF(COUNTIFS('Data - Monthly Metrics'!A:A,$B$4-1,'Data - Monthly Metrics'!B:B,"Dec",'Data - Monthly Metrics'!C:C,"Southeast",'Data - Monthly Metrics'!D:D,"Retention - Comped Non-Target (#)")=0,"-",SUMIFS('Data - Monthly Metrics'!E:E,'Data - Monthly Metrics'!A:A,$B$4-1,'Data - Monthly Metrics'!B:B,"Dec",'Data - Monthly Metrics'!C:C,"Southeast",'Data - Monthly Metrics'!D:D,"Retention - Comped Non-Target (#)"))</f>
        <v/>
      </c>
      <c r="E95" s="103">
        <f>SUM(B95,C95,D95)</f>
        <v/>
      </c>
      <c r="F95" s="98">
        <f>IF(COUNTIFS('Data - Monthly Metrics'!A:A,$B$4,'Data - Monthly Metrics'!B:B,"Jan",'Data - Monthly Metrics'!C:C,"Southeast",'Data - Monthly Metrics'!D:D,"Retention - Comped Non-Target (#)")=0,"-",SUMIFS('Data - Monthly Metrics'!E:E,'Data - Monthly Metrics'!A:A,$B$4,'Data - Monthly Metrics'!B:B,"Jan",'Data - Monthly Metrics'!C:C,"Southeast",'Data - Monthly Metrics'!D:D,"Retention - Comped Non-Target (#)"))</f>
        <v/>
      </c>
      <c r="G95" s="98">
        <f>IF(COUNTIFS('Data - Monthly Metrics'!A:A,$B$4,'Data - Monthly Metrics'!B:B,"Feb",'Data - Monthly Metrics'!C:C,"Southeast",'Data - Monthly Metrics'!D:D,"Retention - Comped Non-Target (#)")=0,"-",SUMIFS('Data - Monthly Metrics'!E:E,'Data - Monthly Metrics'!A:A,$B$4,'Data - Monthly Metrics'!B:B,"Feb",'Data - Monthly Metrics'!C:C,"Southeast",'Data - Monthly Metrics'!D:D,"Retention - Comped Non-Target (#)"))</f>
        <v/>
      </c>
      <c r="H95" s="98">
        <f>IF(COUNTIFS('Data - Monthly Metrics'!A:A,$B$4,'Data - Monthly Metrics'!B:B,"Mar",'Data - Monthly Metrics'!C:C,"Southeast",'Data - Monthly Metrics'!D:D,"Retention - Comped Non-Target (#)")=0,"-",SUMIFS('Data - Monthly Metrics'!E:E,'Data - Monthly Metrics'!A:A,$B$4,'Data - Monthly Metrics'!B:B,"Mar",'Data - Monthly Metrics'!C:C,"Southeast",'Data - Monthly Metrics'!D:D,"Retention - Comped Non-Target (#)"))</f>
        <v/>
      </c>
      <c r="I95" s="103">
        <f>SUM(F95,G95,H95)</f>
        <v/>
      </c>
      <c r="J95" s="98">
        <f>IF(COUNTIFS('Data - Monthly Metrics'!A:A,$B$4,'Data - Monthly Metrics'!B:B,"Apr",'Data - Monthly Metrics'!C:C,"Southeast",'Data - Monthly Metrics'!D:D,"Retention - Comped Non-Target (#)")=0,"-",SUMIFS('Data - Monthly Metrics'!E:E,'Data - Monthly Metrics'!A:A,$B$4,'Data - Monthly Metrics'!B:B,"Apr",'Data - Monthly Metrics'!C:C,"Southeast",'Data - Monthly Metrics'!D:D,"Retention - Comped Non-Target (#)"))</f>
        <v/>
      </c>
      <c r="K95" s="98">
        <f>IF(COUNTIFS('Data - Monthly Metrics'!A:A,$B$4,'Data - Monthly Metrics'!B:B,"May",'Data - Monthly Metrics'!C:C,"Southeast",'Data - Monthly Metrics'!D:D,"Retention - Comped Non-Target (#)")=0,"-",SUMIFS('Data - Monthly Metrics'!E:E,'Data - Monthly Metrics'!A:A,$B$4,'Data - Monthly Metrics'!B:B,"May",'Data - Monthly Metrics'!C:C,"Southeast",'Data - Monthly Metrics'!D:D,"Retention - Comped Non-Target (#)"))</f>
        <v/>
      </c>
      <c r="L95" s="98">
        <f>IF(COUNTIFS('Data - Monthly Metrics'!A:A,$B$4,'Data - Monthly Metrics'!B:B,"Jun",'Data - Monthly Metrics'!C:C,"Southeast",'Data - Monthly Metrics'!D:D,"Retention - Comped Non-Target (#)")=0,"-",SUMIFS('Data - Monthly Metrics'!E:E,'Data - Monthly Metrics'!A:A,$B$4,'Data - Monthly Metrics'!B:B,"Jun",'Data - Monthly Metrics'!C:C,"Southeast",'Data - Monthly Metrics'!D:D,"Retention - Comped Non-Target (#)"))</f>
        <v/>
      </c>
      <c r="M95" s="103">
        <f>SUM(J95,K95,L95)</f>
        <v/>
      </c>
      <c r="N95" s="98">
        <f>IF(COUNTIFS('Data - Monthly Metrics'!A:A,$B$4,'Data - Monthly Metrics'!B:B,"Jul",'Data - Monthly Metrics'!C:C,"Southeast",'Data - Monthly Metrics'!D:D,"Retention - Comped Non-Target (#)")=0,"-",SUMIFS('Data - Monthly Metrics'!E:E,'Data - Monthly Metrics'!A:A,$B$4,'Data - Monthly Metrics'!B:B,"Jul",'Data - Monthly Metrics'!C:C,"Southeast",'Data - Monthly Metrics'!D:D,"Retention - Comped Non-Target (#)"))</f>
        <v/>
      </c>
      <c r="O95" s="98">
        <f>IF(COUNTIFS('Data - Monthly Metrics'!A:A,$B$4,'Data - Monthly Metrics'!B:B,"Aug",'Data - Monthly Metrics'!C:C,"Southeast",'Data - Monthly Metrics'!D:D,"Retention - Comped Non-Target (#)")=0,"-",SUMIFS('Data - Monthly Metrics'!E:E,'Data - Monthly Metrics'!A:A,$B$4,'Data - Monthly Metrics'!B:B,"Aug",'Data - Monthly Metrics'!C:C,"Southeast",'Data - Monthly Metrics'!D:D,"Retention - Comped Non-Target (#)"))</f>
        <v/>
      </c>
      <c r="P95" s="98">
        <f>IF(COUNTIFS('Data - Monthly Metrics'!A:A,$B$4,'Data - Monthly Metrics'!B:B,"Sep",'Data - Monthly Metrics'!C:C,"Southeast",'Data - Monthly Metrics'!D:D,"Retention - Comped Non-Target (#)")=0,"-",SUMIFS('Data - Monthly Metrics'!E:E,'Data - Monthly Metrics'!A:A,$B$4,'Data - Monthly Metrics'!B:B,"Sep",'Data - Monthly Metrics'!C:C,"Southeast",'Data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Metrics'!C:C,"Southeast",'Data - Monthly Metrics'!D:D,"Retention - Comped Non-Target ($)")=0,"-",SUMIFS('Data - Monthly Metrics'!E:E,'Data - Monthly Metrics'!A:A,$B$4-1,'Data - Monthly Metrics'!B:B,"Oct",'Data - Monthly Metrics'!C:C,"Southeast",'Data - Monthly Metrics'!D:D,"Retention - Comped Non-Target ($)"))</f>
        <v/>
      </c>
      <c r="C96" s="96">
        <f>IF(COUNTIFS('Data - Monthly Metrics'!A:A,$B$4-1,'Data - Monthly Metrics'!B:B,"Nov",'Data - Monthly Metrics'!C:C,"Southeast",'Data - Monthly Metrics'!D:D,"Retention - Comped Non-Target ($)")=0,"-",SUMIFS('Data - Monthly Metrics'!E:E,'Data - Monthly Metrics'!A:A,$B$4-1,'Data - Monthly Metrics'!B:B,"Nov",'Data - Monthly Metrics'!C:C,"Southeast",'Data - Monthly Metrics'!D:D,"Retention - Comped Non-Target ($)"))</f>
        <v/>
      </c>
      <c r="D96" s="96">
        <f>IF(COUNTIFS('Data - Monthly Metrics'!A:A,$B$4-1,'Data - Monthly Metrics'!B:B,"Dec",'Data - Monthly Metrics'!C:C,"Southeast",'Data - Monthly Metrics'!D:D,"Retention - Comped Non-Target ($)")=0,"-",SUMIFS('Data - Monthly Metrics'!E:E,'Data - Monthly Metrics'!A:A,$B$4-1,'Data - Monthly Metrics'!B:B,"Dec",'Data - Monthly Metrics'!C:C,"Southeast",'Data - Monthly Metrics'!D:D,"Retention - Comped Non-Target ($)"))</f>
        <v/>
      </c>
      <c r="E96" s="101">
        <f>SUM(B96,C96,D96)</f>
        <v/>
      </c>
      <c r="F96" s="96">
        <f>IF(COUNTIFS('Data - Monthly Metrics'!A:A,$B$4,'Data - Monthly Metrics'!B:B,"Jan",'Data - Monthly Metrics'!C:C,"Southeast",'Data - Monthly Metrics'!D:D,"Retention - Comped Non-Target ($)")=0,"-",SUMIFS('Data - Monthly Metrics'!E:E,'Data - Monthly Metrics'!A:A,$B$4,'Data - Monthly Metrics'!B:B,"Jan",'Data - Monthly Metrics'!C:C,"Southeast",'Data - Monthly Metrics'!D:D,"Retention - Comped Non-Target ($)"))</f>
        <v/>
      </c>
      <c r="G96" s="96">
        <f>IF(COUNTIFS('Data - Monthly Metrics'!A:A,$B$4,'Data - Monthly Metrics'!B:B,"Feb",'Data - Monthly Metrics'!C:C,"Southeast",'Data - Monthly Metrics'!D:D,"Retention - Comped Non-Target ($)")=0,"-",SUMIFS('Data - Monthly Metrics'!E:E,'Data - Monthly Metrics'!A:A,$B$4,'Data - Monthly Metrics'!B:B,"Feb",'Data - Monthly Metrics'!C:C,"Southeast",'Data - Monthly Metrics'!D:D,"Retention - Comped Non-Target ($)"))</f>
        <v/>
      </c>
      <c r="H96" s="96">
        <f>IF(COUNTIFS('Data - Monthly Metrics'!A:A,$B$4,'Data - Monthly Metrics'!B:B,"Mar",'Data - Monthly Metrics'!C:C,"Southeast",'Data - Monthly Metrics'!D:D,"Retention - Comped Non-Target ($)")=0,"-",SUMIFS('Data - Monthly Metrics'!E:E,'Data - Monthly Metrics'!A:A,$B$4,'Data - Monthly Metrics'!B:B,"Mar",'Data - Monthly Metrics'!C:C,"Southeast",'Data - Monthly Metrics'!D:D,"Retention - Comped Non-Target ($)"))</f>
        <v/>
      </c>
      <c r="I96" s="101">
        <f>SUM(F96,G96,H96)</f>
        <v/>
      </c>
      <c r="J96" s="96">
        <f>IF(COUNTIFS('Data - Monthly Metrics'!A:A,$B$4,'Data - Monthly Metrics'!B:B,"Apr",'Data - Monthly Metrics'!C:C,"Southeast",'Data - Monthly Metrics'!D:D,"Retention - Comped Non-Target ($)")=0,"-",SUMIFS('Data - Monthly Metrics'!E:E,'Data - Monthly Metrics'!A:A,$B$4,'Data - Monthly Metrics'!B:B,"Apr",'Data - Monthly Metrics'!C:C,"Southeast",'Data - Monthly Metrics'!D:D,"Retention - Comped Non-Target ($)"))</f>
        <v/>
      </c>
      <c r="K96" s="96">
        <f>IF(COUNTIFS('Data - Monthly Metrics'!A:A,$B$4,'Data - Monthly Metrics'!B:B,"May",'Data - Monthly Metrics'!C:C,"Southeast",'Data - Monthly Metrics'!D:D,"Retention - Comped Non-Target ($)")=0,"-",SUMIFS('Data - Monthly Metrics'!E:E,'Data - Monthly Metrics'!A:A,$B$4,'Data - Monthly Metrics'!B:B,"May",'Data - Monthly Metrics'!C:C,"Southeast",'Data - Monthly Metrics'!D:D,"Retention - Comped Non-Target ($)"))</f>
        <v/>
      </c>
      <c r="L96" s="96">
        <f>IF(COUNTIFS('Data - Monthly Metrics'!A:A,$B$4,'Data - Monthly Metrics'!B:B,"Jun",'Data - Monthly Metrics'!C:C,"Southeast",'Data - Monthly Metrics'!D:D,"Retention - Comped Non-Target ($)")=0,"-",SUMIFS('Data - Monthly Metrics'!E:E,'Data - Monthly Metrics'!A:A,$B$4,'Data - Monthly Metrics'!B:B,"Jun",'Data - Monthly Metrics'!C:C,"Southeast",'Data - Monthly Metrics'!D:D,"Retention - Comped Non-Target ($)"))</f>
        <v/>
      </c>
      <c r="M96" s="101">
        <f>SUM(J96,K96,L96)</f>
        <v/>
      </c>
      <c r="N96" s="96">
        <f>IF(COUNTIFS('Data - Monthly Metrics'!A:A,$B$4,'Data - Monthly Metrics'!B:B,"Jul",'Data - Monthly Metrics'!C:C,"Southeast",'Data - Monthly Metrics'!D:D,"Retention - Comped Non-Target ($)")=0,"-",SUMIFS('Data - Monthly Metrics'!E:E,'Data - Monthly Metrics'!A:A,$B$4,'Data - Monthly Metrics'!B:B,"Jul",'Data - Monthly Metrics'!C:C,"Southeast",'Data - Monthly Metrics'!D:D,"Retention - Comped Non-Target ($)"))</f>
        <v/>
      </c>
      <c r="O96" s="96">
        <f>IF(COUNTIFS('Data - Monthly Metrics'!A:A,$B$4,'Data - Monthly Metrics'!B:B,"Aug",'Data - Monthly Metrics'!C:C,"Southeast",'Data - Monthly Metrics'!D:D,"Retention - Comped Non-Target ($)")=0,"-",SUMIFS('Data - Monthly Metrics'!E:E,'Data - Monthly Metrics'!A:A,$B$4,'Data - Monthly Metrics'!B:B,"Aug",'Data - Monthly Metrics'!C:C,"Southeast",'Data - Monthly Metrics'!D:D,"Retention - Comped Non-Target ($)"))</f>
        <v/>
      </c>
      <c r="P96" s="96">
        <f>IF(COUNTIFS('Data - Monthly Metrics'!A:A,$B$4,'Data - Monthly Metrics'!B:B,"Sep",'Data - Monthly Metrics'!C:C,"Southeast",'Data - Monthly Metrics'!D:D,"Retention - Comped Non-Target ($)")=0,"-",SUMIFS('Data - Monthly Metrics'!E:E,'Data - Monthly Metrics'!A:A,$B$4,'Data - Monthly Metrics'!B:B,"Sep",'Data - Monthly Metrics'!C:C,"Southeast",'Data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Metrics'!C:C,"Southeast",'Data - Monthly Metrics'!D:D,"Drops - Non-Target (#)")=0,"-",SUMIFS('Data - Monthly Metrics'!E:E,'Data - Monthly Metrics'!A:A,$B$4-1,'Data - Monthly Metrics'!B:B,"Oct",'Data - Monthly Metrics'!C:C,"Southeast",'Data - Monthly Metrics'!D:D,"Drops - Non-Target (#)"))</f>
        <v/>
      </c>
      <c r="C100" s="93">
        <f>IF(COUNTIFS('Data - Monthly Metrics'!A:A,$B$4-1,'Data - Monthly Metrics'!B:B,"Nov",'Data - Monthly Metrics'!C:C,"Southeast",'Data - Monthly Metrics'!D:D,"Drops - Non-Target (#)")=0,"-",SUMIFS('Data - Monthly Metrics'!E:E,'Data - Monthly Metrics'!A:A,$B$4-1,'Data - Monthly Metrics'!B:B,"Nov",'Data - Monthly Metrics'!C:C,"Southeast",'Data - Monthly Metrics'!D:D,"Drops - Non-Target (#)"))</f>
        <v/>
      </c>
      <c r="D100" s="93">
        <f>IF(COUNTIFS('Data - Monthly Metrics'!A:A,$B$4-1,'Data - Monthly Metrics'!B:B,"Dec",'Data - Monthly Metrics'!C:C,"Southeast",'Data - Monthly Metrics'!D:D,"Drops - Non-Target (#)")=0,"-",SUMIFS('Data - Monthly Metrics'!E:E,'Data - Monthly Metrics'!A:A,$B$4-1,'Data - Monthly Metrics'!B:B,"Dec",'Data - Monthly Metrics'!C:C,"Southeast",'Data - Monthly Metrics'!D:D,"Drops - Non-Target (#)"))</f>
        <v/>
      </c>
      <c r="E100" s="103">
        <f>SUM(B100,C100,D100)</f>
        <v/>
      </c>
      <c r="F100" s="93">
        <f>IF(COUNTIFS('Data - Monthly Metrics'!A:A,$B$4,'Data - Monthly Metrics'!B:B,"Jan",'Data - Monthly Metrics'!C:C,"Southeast",'Data - Monthly Metrics'!D:D,"Drops - Non-Target (#)")=0,"-",SUMIFS('Data - Monthly Metrics'!E:E,'Data - Monthly Metrics'!A:A,$B$4,'Data - Monthly Metrics'!B:B,"Jan",'Data - Monthly Metrics'!C:C,"Southeast",'Data - Monthly Metrics'!D:D,"Drops - Non-Target (#)"))</f>
        <v/>
      </c>
      <c r="G100" s="93">
        <f>IF(COUNTIFS('Data - Monthly Metrics'!A:A,$B$4,'Data - Monthly Metrics'!B:B,"Feb",'Data - Monthly Metrics'!C:C,"Southeast",'Data - Monthly Metrics'!D:D,"Drops - Non-Target (#)")=0,"-",SUMIFS('Data - Monthly Metrics'!E:E,'Data - Monthly Metrics'!A:A,$B$4,'Data - Monthly Metrics'!B:B,"Feb",'Data - Monthly Metrics'!C:C,"Southeast",'Data - Monthly Metrics'!D:D,"Drops - Non-Target (#)"))</f>
        <v/>
      </c>
      <c r="H100" s="93">
        <f>IF(COUNTIFS('Data - Monthly Metrics'!A:A,$B$4,'Data - Monthly Metrics'!B:B,"Mar",'Data - Monthly Metrics'!C:C,"Southeast",'Data - Monthly Metrics'!D:D,"Drops - Non-Target (#)")=0,"-",SUMIFS('Data - Monthly Metrics'!E:E,'Data - Monthly Metrics'!A:A,$B$4,'Data - Monthly Metrics'!B:B,"Mar",'Data - Monthly Metrics'!C:C,"Southeast",'Data - Monthly Metrics'!D:D,"Drops - Non-Target (#)"))</f>
        <v/>
      </c>
      <c r="I100" s="103">
        <f>SUM(F100,G100,H100)</f>
        <v/>
      </c>
      <c r="J100" s="93">
        <f>IF(COUNTIFS('Data - Monthly Metrics'!A:A,$B$4,'Data - Monthly Metrics'!B:B,"Apr",'Data - Monthly Metrics'!C:C,"Southeast",'Data - Monthly Metrics'!D:D,"Drops - Non-Target (#)")=0,"-",SUMIFS('Data - Monthly Metrics'!E:E,'Data - Monthly Metrics'!A:A,$B$4,'Data - Monthly Metrics'!B:B,"Apr",'Data - Monthly Metrics'!C:C,"Southeast",'Data - Monthly Metrics'!D:D,"Drops - Non-Target (#)"))</f>
        <v/>
      </c>
      <c r="K100" s="93">
        <f>IF(COUNTIFS('Data - Monthly Metrics'!A:A,$B$4,'Data - Monthly Metrics'!B:B,"May",'Data - Monthly Metrics'!C:C,"Southeast",'Data - Monthly Metrics'!D:D,"Drops - Non-Target (#)")=0,"-",SUMIFS('Data - Monthly Metrics'!E:E,'Data - Monthly Metrics'!A:A,$B$4,'Data - Monthly Metrics'!B:B,"May",'Data - Monthly Metrics'!C:C,"Southeast",'Data - Monthly Metrics'!D:D,"Drops - Non-Target (#)"))</f>
        <v/>
      </c>
      <c r="L100" s="93">
        <f>IF(COUNTIFS('Data - Monthly Metrics'!A:A,$B$4,'Data - Monthly Metrics'!B:B,"Jun",'Data - Monthly Metrics'!C:C,"Southeast",'Data - Monthly Metrics'!D:D,"Drops - Non-Target (#)")=0,"-",SUMIFS('Data - Monthly Metrics'!E:E,'Data - Monthly Metrics'!A:A,$B$4,'Data - Monthly Metrics'!B:B,"Jun",'Data - Monthly Metrics'!C:C,"Southeast",'Data - Monthly Metrics'!D:D,"Drops - Non-Target (#)"))</f>
        <v/>
      </c>
      <c r="M100" s="103">
        <f>SUM(J100,K100,L100)</f>
        <v/>
      </c>
      <c r="N100" s="93">
        <f>IF(COUNTIFS('Data - Monthly Metrics'!A:A,$B$4,'Data - Monthly Metrics'!B:B,"Jul",'Data - Monthly Metrics'!C:C,"Southeast",'Data - Monthly Metrics'!D:D,"Drops - Non-Target (#)")=0,"-",SUMIFS('Data - Monthly Metrics'!E:E,'Data - Monthly Metrics'!A:A,$B$4,'Data - Monthly Metrics'!B:B,"Jul",'Data - Monthly Metrics'!C:C,"Southeast",'Data - Monthly Metrics'!D:D,"Drops - Non-Target (#)"))</f>
        <v/>
      </c>
      <c r="O100" s="93">
        <f>IF(COUNTIFS('Data - Monthly Metrics'!A:A,$B$4,'Data - Monthly Metrics'!B:B,"Aug",'Data - Monthly Metrics'!C:C,"Southeast",'Data - Monthly Metrics'!D:D,"Drops - Non-Target (#)")=0,"-",SUMIFS('Data - Monthly Metrics'!E:E,'Data - Monthly Metrics'!A:A,$B$4,'Data - Monthly Metrics'!B:B,"Aug",'Data - Monthly Metrics'!C:C,"Southeast",'Data - Monthly Metrics'!D:D,"Drops - Non-Target (#)"))</f>
        <v/>
      </c>
      <c r="P100" s="93">
        <f>IF(COUNTIFS('Data - Monthly Metrics'!A:A,$B$4,'Data - Monthly Metrics'!B:B,"Sep",'Data - Monthly Metrics'!C:C,"Southeast",'Data - Monthly Metrics'!D:D,"Drops - Non-Target (#)")=0,"-",SUMIFS('Data - Monthly Metrics'!E:E,'Data - Monthly Metrics'!A:A,$B$4,'Data - Monthly Metrics'!B:B,"Sep",'Data - Monthly Metrics'!C:C,"Southeast",'Data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Metrics'!C:C,"Southeast",'Data - Monthly Metrics'!D:D,"Dropped Revenue - Non-Target ($)")=0,"-",SUMIFS('Data - Monthly Metrics'!E:E,'Data - Monthly Metrics'!A:A,$B$4-1,'Data - Monthly Metrics'!B:B,"Oct",'Data - Monthly Metrics'!C:C,"Southeast",'Data - Monthly Metrics'!D:D,"Dropped Revenue - Non-Target ($)"))</f>
        <v/>
      </c>
      <c r="C101" s="96">
        <f>IF(COUNTIFS('Data - Monthly Metrics'!A:A,$B$4-1,'Data - Monthly Metrics'!B:B,"Nov",'Data - Monthly Metrics'!C:C,"Southeast",'Data - Monthly Metrics'!D:D,"Dropped Revenue - Non-Target ($)")=0,"-",SUMIFS('Data - Monthly Metrics'!E:E,'Data - Monthly Metrics'!A:A,$B$4-1,'Data - Monthly Metrics'!B:B,"Nov",'Data - Monthly Metrics'!C:C,"Southeast",'Data - Monthly Metrics'!D:D,"Dropped Revenue - Non-Target ($)"))</f>
        <v/>
      </c>
      <c r="D101" s="96">
        <f>IF(COUNTIFS('Data - Monthly Metrics'!A:A,$B$4-1,'Data - Monthly Metrics'!B:B,"Dec",'Data - Monthly Metrics'!C:C,"Southeast",'Data - Monthly Metrics'!D:D,"Dropped Revenue - Non-Target ($)")=0,"-",SUMIFS('Data - Monthly Metrics'!E:E,'Data - Monthly Metrics'!A:A,$B$4-1,'Data - Monthly Metrics'!B:B,"Dec",'Data - Monthly Metrics'!C:C,"Southeast",'Data - Monthly Metrics'!D:D,"Dropped Revenue - Non-Target ($)"))</f>
        <v/>
      </c>
      <c r="E101" s="101">
        <f>SUM(B101,C101,D101)</f>
        <v/>
      </c>
      <c r="F101" s="96">
        <f>IF(COUNTIFS('Data - Monthly Metrics'!A:A,$B$4,'Data - Monthly Metrics'!B:B,"Jan",'Data - Monthly Metrics'!C:C,"Southeast",'Data - Monthly Metrics'!D:D,"Dropped Revenue - Non-Target ($)")=0,"-",SUMIFS('Data - Monthly Metrics'!E:E,'Data - Monthly Metrics'!A:A,$B$4,'Data - Monthly Metrics'!B:B,"Jan",'Data - Monthly Metrics'!C:C,"Southeast",'Data - Monthly Metrics'!D:D,"Dropped Revenue - Non-Target ($)"))</f>
        <v/>
      </c>
      <c r="G101" s="96">
        <f>IF(COUNTIFS('Data - Monthly Metrics'!A:A,$B$4,'Data - Monthly Metrics'!B:B,"Feb",'Data - Monthly Metrics'!C:C,"Southeast",'Data - Monthly Metrics'!D:D,"Dropped Revenue - Non-Target ($)")=0,"-",SUMIFS('Data - Monthly Metrics'!E:E,'Data - Monthly Metrics'!A:A,$B$4,'Data - Monthly Metrics'!B:B,"Feb",'Data - Monthly Metrics'!C:C,"Southeast",'Data - Monthly Metrics'!D:D,"Dropped Revenue - Non-Target ($)"))</f>
        <v/>
      </c>
      <c r="H101" s="96">
        <f>IF(COUNTIFS('Data - Monthly Metrics'!A:A,$B$4,'Data - Monthly Metrics'!B:B,"Mar",'Data - Monthly Metrics'!C:C,"Southeast",'Data - Monthly Metrics'!D:D,"Dropped Revenue - Non-Target ($)")=0,"-",SUMIFS('Data - Monthly Metrics'!E:E,'Data - Monthly Metrics'!A:A,$B$4,'Data - Monthly Metrics'!B:B,"Mar",'Data - Monthly Metrics'!C:C,"Southeast",'Data - Monthly Metrics'!D:D,"Dropped Revenue - Non-Target ($)"))</f>
        <v/>
      </c>
      <c r="I101" s="101">
        <f>SUM(F101,G101,H101)</f>
        <v/>
      </c>
      <c r="J101" s="96">
        <f>IF(COUNTIFS('Data - Monthly Metrics'!A:A,$B$4,'Data - Monthly Metrics'!B:B,"Apr",'Data - Monthly Metrics'!C:C,"Southeast",'Data - Monthly Metrics'!D:D,"Dropped Revenue - Non-Target ($)")=0,"-",SUMIFS('Data - Monthly Metrics'!E:E,'Data - Monthly Metrics'!A:A,$B$4,'Data - Monthly Metrics'!B:B,"Apr",'Data - Monthly Metrics'!C:C,"Southeast",'Data - Monthly Metrics'!D:D,"Dropped Revenue - Non-Target ($)"))</f>
        <v/>
      </c>
      <c r="K101" s="96">
        <f>IF(COUNTIFS('Data - Monthly Metrics'!A:A,$B$4,'Data - Monthly Metrics'!B:B,"May",'Data - Monthly Metrics'!C:C,"Southeast",'Data - Monthly Metrics'!D:D,"Dropped Revenue - Non-Target ($)")=0,"-",SUMIFS('Data - Monthly Metrics'!E:E,'Data - Monthly Metrics'!A:A,$B$4,'Data - Monthly Metrics'!B:B,"May",'Data - Monthly Metrics'!C:C,"Southeast",'Data - Monthly Metrics'!D:D,"Dropped Revenue - Non-Target ($)"))</f>
        <v/>
      </c>
      <c r="L101" s="96">
        <f>IF(COUNTIFS('Data - Monthly Metrics'!A:A,$B$4,'Data - Monthly Metrics'!B:B,"Jun",'Data - Monthly Metrics'!C:C,"Southeast",'Data - Monthly Metrics'!D:D,"Dropped Revenue - Non-Target ($)")=0,"-",SUMIFS('Data - Monthly Metrics'!E:E,'Data - Monthly Metrics'!A:A,$B$4,'Data - Monthly Metrics'!B:B,"Jun",'Data - Monthly Metrics'!C:C,"Southeast",'Data - Monthly Metrics'!D:D,"Dropped Revenue - Non-Target ($)"))</f>
        <v/>
      </c>
      <c r="M101" s="101">
        <f>SUM(J101,K101,L101)</f>
        <v/>
      </c>
      <c r="N101" s="96">
        <f>IF(COUNTIFS('Data - Monthly Metrics'!A:A,$B$4,'Data - Monthly Metrics'!B:B,"Jul",'Data - Monthly Metrics'!C:C,"Southeast",'Data - Monthly Metrics'!D:D,"Dropped Revenue - Non-Target ($)")=0,"-",SUMIFS('Data - Monthly Metrics'!E:E,'Data - Monthly Metrics'!A:A,$B$4,'Data - Monthly Metrics'!B:B,"Jul",'Data - Monthly Metrics'!C:C,"Southeast",'Data - Monthly Metrics'!D:D,"Dropped Revenue - Non-Target ($)"))</f>
        <v/>
      </c>
      <c r="O101" s="96">
        <f>IF(COUNTIFS('Data - Monthly Metrics'!A:A,$B$4,'Data - Monthly Metrics'!B:B,"Aug",'Data - Monthly Metrics'!C:C,"Southeast",'Data - Monthly Metrics'!D:D,"Dropped Revenue - Non-Target ($)")=0,"-",SUMIFS('Data - Monthly Metrics'!E:E,'Data - Monthly Metrics'!A:A,$B$4,'Data - Monthly Metrics'!B:B,"Aug",'Data - Monthly Metrics'!C:C,"Southeast",'Data - Monthly Metrics'!D:D,"Dropped Revenue - Non-Target ($)"))</f>
        <v/>
      </c>
      <c r="P101" s="96">
        <f>IF(COUNTIFS('Data - Monthly Metrics'!A:A,$B$4,'Data - Monthly Metrics'!B:B,"Sep",'Data - Monthly Metrics'!C:C,"Southeast",'Data - Monthly Metrics'!D:D,"Dropped Revenue - Non-Target ($)")=0,"-",SUMIFS('Data - Monthly Metrics'!E:E,'Data - Monthly Metrics'!A:A,$B$4,'Data - Monthly Metrics'!B:B,"Sep",'Data - Monthly Metrics'!C:C,"Southeast",'Data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Metrics'!C:C,"Southeast",'Data - Monthly Metrics'!D:D,"Penetration - Restaurant Non-Target %")=0,"-",SUMIFS('Data - Monthly Metrics'!E:E,'Data - Monthly Metrics'!A:A,$B$4-1,'Data - Monthly Metrics'!B:B,"Oct",'Data - Monthly Metrics'!C:C,"Southeast",'Data - Monthly Metrics'!D:D,"Penetration - Restaurant Non-Target %"))</f>
        <v/>
      </c>
      <c r="C105" s="115">
        <f>IF(COUNTIFS('Data - Monthly Metrics'!A:A,$B$4-1,'Data - Monthly Metrics'!B:B,"Nov",'Data - Monthly Metrics'!C:C,"Southeast",'Data - Monthly Metrics'!D:D,"Penetration - Restaurant Non-Target %")=0,"-",SUMIFS('Data - Monthly Metrics'!E:E,'Data - Monthly Metrics'!A:A,$B$4-1,'Data - Monthly Metrics'!B:B,"Nov",'Data - Monthly Metrics'!C:C,"Southeast",'Data - Monthly Metrics'!D:D,"Penetration - Restaurant Non-Target %"))</f>
        <v/>
      </c>
      <c r="D105" s="115">
        <f>IF(COUNTIFS('Data - Monthly Metrics'!A:A,$B$4-1,'Data - Monthly Metrics'!B:B,"Dec",'Data - Monthly Metrics'!C:C,"Southeast",'Data - Monthly Metrics'!D:D,"Penetration - Restaurant Non-Target %")=0,"-",SUMIFS('Data - Monthly Metrics'!E:E,'Data - Monthly Metrics'!A:A,$B$4-1,'Data - Monthly Metrics'!B:B,"Dec",'Data - Monthly Metrics'!C:C,"Southeast",'Data - Monthly Metrics'!D:D,"Penetration - Restaurant Non-Target %"))</f>
        <v/>
      </c>
      <c r="E105" s="116">
        <f>IF(ISNUMBER(D105),D105,IF(ISNUMBER(C105),C105,IF(ISNUMBER(B105),B105,"-")))</f>
        <v/>
      </c>
      <c r="F105" s="115">
        <f>IF(COUNTIFS('Data - Monthly Metrics'!A:A,$B$4,'Data - Monthly Metrics'!B:B,"Jan",'Data - Monthly Metrics'!C:C,"Southeast",'Data - Monthly Metrics'!D:D,"Penetration - Restaurant Non-Target %")=0,"-",SUMIFS('Data - Monthly Metrics'!E:E,'Data - Monthly Metrics'!A:A,$B$4,'Data - Monthly Metrics'!B:B,"Jan",'Data - Monthly Metrics'!C:C,"Southeast",'Data - Monthly Metrics'!D:D,"Penetration - Restaurant Non-Target %"))</f>
        <v/>
      </c>
      <c r="G105" s="115">
        <f>IF(COUNTIFS('Data - Monthly Metrics'!A:A,$B$4,'Data - Monthly Metrics'!B:B,"Feb",'Data - Monthly Metrics'!C:C,"Southeast",'Data - Monthly Metrics'!D:D,"Penetration - Restaurant Non-Target %")=0,"-",SUMIFS('Data - Monthly Metrics'!E:E,'Data - Monthly Metrics'!A:A,$B$4,'Data - Monthly Metrics'!B:B,"Feb",'Data - Monthly Metrics'!C:C,"Southeast",'Data - Monthly Metrics'!D:D,"Penetration - Restaurant Non-Target %"))</f>
        <v/>
      </c>
      <c r="H105" s="115">
        <f>IF(COUNTIFS('Data - Monthly Metrics'!A:A,$B$4,'Data - Monthly Metrics'!B:B,"Mar",'Data - Monthly Metrics'!C:C,"Southeast",'Data - Monthly Metrics'!D:D,"Penetration - Restaurant Non-Target %")=0,"-",SUMIFS('Data - Monthly Metrics'!E:E,'Data - Monthly Metrics'!A:A,$B$4,'Data - Monthly Metrics'!B:B,"Mar",'Data - Monthly Metrics'!C:C,"Southeast",'Data - Monthly Metrics'!D:D,"Penetration - Restaurant Non-Target %"))</f>
        <v/>
      </c>
      <c r="I105" s="116">
        <f>IF(ISNUMBER(H105),H105,IF(ISNUMBER(G105),G105,IF(ISNUMBER(F105),F105,"-")))</f>
        <v/>
      </c>
      <c r="J105" s="115">
        <f>IF(COUNTIFS('Data - Monthly Metrics'!A:A,$B$4,'Data - Monthly Metrics'!B:B,"Apr",'Data - Monthly Metrics'!C:C,"Southeast",'Data - Monthly Metrics'!D:D,"Penetration - Restaurant Non-Target %")=0,"-",SUMIFS('Data - Monthly Metrics'!E:E,'Data - Monthly Metrics'!A:A,$B$4,'Data - Monthly Metrics'!B:B,"Apr",'Data - Monthly Metrics'!C:C,"Southeast",'Data - Monthly Metrics'!D:D,"Penetration - Restaurant Non-Target %"))</f>
        <v/>
      </c>
      <c r="K105" s="115">
        <f>IF(COUNTIFS('Data - Monthly Metrics'!A:A,$B$4,'Data - Monthly Metrics'!B:B,"May",'Data - Monthly Metrics'!C:C,"Southeast",'Data - Monthly Metrics'!D:D,"Penetration - Restaurant Non-Target %")=0,"-",SUMIFS('Data - Monthly Metrics'!E:E,'Data - Monthly Metrics'!A:A,$B$4,'Data - Monthly Metrics'!B:B,"May",'Data - Monthly Metrics'!C:C,"Southeast",'Data - Monthly Metrics'!D:D,"Penetration - Restaurant Non-Target %"))</f>
        <v/>
      </c>
      <c r="L105" s="115">
        <f>IF(COUNTIFS('Data - Monthly Metrics'!A:A,$B$4,'Data - Monthly Metrics'!B:B,"Jun",'Data - Monthly Metrics'!C:C,"Southeast",'Data - Monthly Metrics'!D:D,"Penetration - Restaurant Non-Target %")=0,"-",SUMIFS('Data - Monthly Metrics'!E:E,'Data - Monthly Metrics'!A:A,$B$4,'Data - Monthly Metrics'!B:B,"Jun",'Data - Monthly Metrics'!C:C,"Southeast",'Data - Monthly Metrics'!D:D,"Penetration - Restaurant Non-Target %"))</f>
        <v/>
      </c>
      <c r="M105" s="116">
        <f>IF(ISNUMBER(L105),L105,IF(ISNUMBER(K105),K105,IF(ISNUMBER(J105),J105,"-")))</f>
        <v/>
      </c>
      <c r="N105" s="115">
        <f>IF(COUNTIFS('Data - Monthly Metrics'!A:A,$B$4,'Data - Monthly Metrics'!B:B,"Jul",'Data - Monthly Metrics'!C:C,"Southeast",'Data - Monthly Metrics'!D:D,"Penetration - Restaurant Non-Target %")=0,"-",SUMIFS('Data - Monthly Metrics'!E:E,'Data - Monthly Metrics'!A:A,$B$4,'Data - Monthly Metrics'!B:B,"Jul",'Data - Monthly Metrics'!C:C,"Southeast",'Data - Monthly Metrics'!D:D,"Penetration - Restaurant Non-Target %"))</f>
        <v/>
      </c>
      <c r="O105" s="115">
        <f>IF(COUNTIFS('Data - Monthly Metrics'!A:A,$B$4,'Data - Monthly Metrics'!B:B,"Aug",'Data - Monthly Metrics'!C:C,"Southeast",'Data - Monthly Metrics'!D:D,"Penetration - Restaurant Non-Target %")=0,"-",SUMIFS('Data - Monthly Metrics'!E:E,'Data - Monthly Metrics'!A:A,$B$4,'Data - Monthly Metrics'!B:B,"Aug",'Data - Monthly Metrics'!C:C,"Southeast",'Data - Monthly Metrics'!D:D,"Penetration - Restaurant Non-Target %"))</f>
        <v/>
      </c>
      <c r="P105" s="115">
        <f>IF(COUNTIFS('Data - Monthly Metrics'!A:A,$B$4,'Data - Monthly Metrics'!B:B,"Sep",'Data - Monthly Metrics'!C:C,"Southeast",'Data - Monthly Metrics'!D:D,"Penetration - Restaurant Non-Target %")=0,"-",SUMIFS('Data - Monthly Metrics'!E:E,'Data - Monthly Metrics'!A:A,$B$4,'Data - Monthly Metrics'!B:B,"Sep",'Data - Monthly Metrics'!C:C,"Southeast",'Data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Metrics'!C:C,"Southeast",'Data - Monthly Metrics'!D:D,"Penetration - Lodging Non-Target %")=0,"-",SUMIFS('Data - Monthly Metrics'!E:E,'Data - Monthly Metrics'!A:A,$B$4-1,'Data - Monthly Metrics'!B:B,"Oct",'Data - Monthly Metrics'!C:C,"Southeast",'Data - Monthly Metrics'!D:D,"Penetration - Lodging Non-Target %"))</f>
        <v/>
      </c>
      <c r="C106" s="118">
        <f>IF(COUNTIFS('Data - Monthly Metrics'!A:A,$B$4-1,'Data - Monthly Metrics'!B:B,"Nov",'Data - Monthly Metrics'!C:C,"Southeast",'Data - Monthly Metrics'!D:D,"Penetration - Lodging Non-Target %")=0,"-",SUMIFS('Data - Monthly Metrics'!E:E,'Data - Monthly Metrics'!A:A,$B$4-1,'Data - Monthly Metrics'!B:B,"Nov",'Data - Monthly Metrics'!C:C,"Southeast",'Data - Monthly Metrics'!D:D,"Penetration - Lodging Non-Target %"))</f>
        <v/>
      </c>
      <c r="D106" s="118">
        <f>IF(COUNTIFS('Data - Monthly Metrics'!A:A,$B$4-1,'Data - Monthly Metrics'!B:B,"Dec",'Data - Monthly Metrics'!C:C,"Southeast",'Data - Monthly Metrics'!D:D,"Penetration - Lodging Non-Target %")=0,"-",SUMIFS('Data - Monthly Metrics'!E:E,'Data - Monthly Metrics'!A:A,$B$4-1,'Data - Monthly Metrics'!B:B,"Dec",'Data - Monthly Metrics'!C:C,"Southeast",'Data - Monthly Metrics'!D:D,"Penetration - Lodging Non-Target %"))</f>
        <v/>
      </c>
      <c r="E106" s="116">
        <f>IF(ISNUMBER(D106),D106,IF(ISNUMBER(C106),C106,IF(ISNUMBER(B106),B106,"-")))</f>
        <v/>
      </c>
      <c r="F106" s="118">
        <f>IF(COUNTIFS('Data - Monthly Metrics'!A:A,$B$4,'Data - Monthly Metrics'!B:B,"Jan",'Data - Monthly Metrics'!C:C,"Southeast",'Data - Monthly Metrics'!D:D,"Penetration - Lodging Non-Target %")=0,"-",SUMIFS('Data - Monthly Metrics'!E:E,'Data - Monthly Metrics'!A:A,$B$4,'Data - Monthly Metrics'!B:B,"Jan",'Data - Monthly Metrics'!C:C,"Southeast",'Data - Monthly Metrics'!D:D,"Penetration - Lodging Non-Target %"))</f>
        <v/>
      </c>
      <c r="G106" s="118">
        <f>IF(COUNTIFS('Data - Monthly Metrics'!A:A,$B$4,'Data - Monthly Metrics'!B:B,"Feb",'Data - Monthly Metrics'!C:C,"Southeast",'Data - Monthly Metrics'!D:D,"Penetration - Lodging Non-Target %")=0,"-",SUMIFS('Data - Monthly Metrics'!E:E,'Data - Monthly Metrics'!A:A,$B$4,'Data - Monthly Metrics'!B:B,"Feb",'Data - Monthly Metrics'!C:C,"Southeast",'Data - Monthly Metrics'!D:D,"Penetration - Lodging Non-Target %"))</f>
        <v/>
      </c>
      <c r="H106" s="118">
        <f>IF(COUNTIFS('Data - Monthly Metrics'!A:A,$B$4,'Data - Monthly Metrics'!B:B,"Mar",'Data - Monthly Metrics'!C:C,"Southeast",'Data - Monthly Metrics'!D:D,"Penetration - Lodging Non-Target %")=0,"-",SUMIFS('Data - Monthly Metrics'!E:E,'Data - Monthly Metrics'!A:A,$B$4,'Data - Monthly Metrics'!B:B,"Mar",'Data - Monthly Metrics'!C:C,"Southeast",'Data - Monthly Metrics'!D:D,"Penetration - Lodging Non-Target %"))</f>
        <v/>
      </c>
      <c r="I106" s="116">
        <f>IF(ISNUMBER(H106),H106,IF(ISNUMBER(G106),G106,IF(ISNUMBER(F106),F106,"-")))</f>
        <v/>
      </c>
      <c r="J106" s="118">
        <f>IF(COUNTIFS('Data - Monthly Metrics'!A:A,$B$4,'Data - Monthly Metrics'!B:B,"Apr",'Data - Monthly Metrics'!C:C,"Southeast",'Data - Monthly Metrics'!D:D,"Penetration - Lodging Non-Target %")=0,"-",SUMIFS('Data - Monthly Metrics'!E:E,'Data - Monthly Metrics'!A:A,$B$4,'Data - Monthly Metrics'!B:B,"Apr",'Data - Monthly Metrics'!C:C,"Southeast",'Data - Monthly Metrics'!D:D,"Penetration - Lodging Non-Target %"))</f>
        <v/>
      </c>
      <c r="K106" s="118">
        <f>IF(COUNTIFS('Data - Monthly Metrics'!A:A,$B$4,'Data - Monthly Metrics'!B:B,"May",'Data - Monthly Metrics'!C:C,"Southeast",'Data - Monthly Metrics'!D:D,"Penetration - Lodging Non-Target %")=0,"-",SUMIFS('Data - Monthly Metrics'!E:E,'Data - Monthly Metrics'!A:A,$B$4,'Data - Monthly Metrics'!B:B,"May",'Data - Monthly Metrics'!C:C,"Southeast",'Data - Monthly Metrics'!D:D,"Penetration - Lodging Non-Target %"))</f>
        <v/>
      </c>
      <c r="L106" s="118">
        <f>IF(COUNTIFS('Data - Monthly Metrics'!A:A,$B$4,'Data - Monthly Metrics'!B:B,"Jun",'Data - Monthly Metrics'!C:C,"Southeast",'Data - Monthly Metrics'!D:D,"Penetration - Lodging Non-Target %")=0,"-",SUMIFS('Data - Monthly Metrics'!E:E,'Data - Monthly Metrics'!A:A,$B$4,'Data - Monthly Metrics'!B:B,"Jun",'Data - Monthly Metrics'!C:C,"Southeast",'Data - Monthly Metrics'!D:D,"Penetration - Lodging Non-Target %"))</f>
        <v/>
      </c>
      <c r="M106" s="116">
        <f>IF(ISNUMBER(L106),L106,IF(ISNUMBER(K106),K106,IF(ISNUMBER(J106),J106,"-")))</f>
        <v/>
      </c>
      <c r="N106" s="118">
        <f>IF(COUNTIFS('Data - Monthly Metrics'!A:A,$B$4,'Data - Monthly Metrics'!B:B,"Jul",'Data - Monthly Metrics'!C:C,"Southeast",'Data - Monthly Metrics'!D:D,"Penetration - Lodging Non-Target %")=0,"-",SUMIFS('Data - Monthly Metrics'!E:E,'Data - Monthly Metrics'!A:A,$B$4,'Data - Monthly Metrics'!B:B,"Jul",'Data - Monthly Metrics'!C:C,"Southeast",'Data - Monthly Metrics'!D:D,"Penetration - Lodging Non-Target %"))</f>
        <v/>
      </c>
      <c r="O106" s="118">
        <f>IF(COUNTIFS('Data - Monthly Metrics'!A:A,$B$4,'Data - Monthly Metrics'!B:B,"Aug",'Data - Monthly Metrics'!C:C,"Southeast",'Data - Monthly Metrics'!D:D,"Penetration - Lodging Non-Target %")=0,"-",SUMIFS('Data - Monthly Metrics'!E:E,'Data - Monthly Metrics'!A:A,$B$4,'Data - Monthly Metrics'!B:B,"Aug",'Data - Monthly Metrics'!C:C,"Southeast",'Data - Monthly Metrics'!D:D,"Penetration - Lodging Non-Target %"))</f>
        <v/>
      </c>
      <c r="P106" s="118">
        <f>IF(COUNTIFS('Data - Monthly Metrics'!A:A,$B$4,'Data - Monthly Metrics'!B:B,"Sep",'Data - Monthly Metrics'!C:C,"Southeast",'Data - Monthly Metrics'!D:D,"Penetration - Lodging Non-Target %")=0,"-",SUMIFS('Data - Monthly Metrics'!E:E,'Data - Monthly Metrics'!A:A,$B$4,'Data - Monthly Metrics'!B:B,"Sep",'Data - Monthly Metrics'!C:C,"Southeast",'Data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Metrics'!C:C,"Southeast",'Data - Monthly Metrics'!D:D,"Penetration - Combined Non-Target %")=0,"-",SUMIFS('Data - Monthly Metrics'!E:E,'Data - Monthly Metrics'!A:A,$B$4-1,'Data - Monthly Metrics'!B:B,"Oct",'Data - Monthly Metrics'!C:C,"Southeast",'Data - Monthly Metrics'!D:D,"Penetration - Combined Non-Target %"))</f>
        <v/>
      </c>
      <c r="C107" s="115">
        <f>IF(COUNTIFS('Data - Monthly Metrics'!A:A,$B$4-1,'Data - Monthly Metrics'!B:B,"Nov",'Data - Monthly Metrics'!C:C,"Southeast",'Data - Monthly Metrics'!D:D,"Penetration - Combined Non-Target %")=0,"-",SUMIFS('Data - Monthly Metrics'!E:E,'Data - Monthly Metrics'!A:A,$B$4-1,'Data - Monthly Metrics'!B:B,"Nov",'Data - Monthly Metrics'!C:C,"Southeast",'Data - Monthly Metrics'!D:D,"Penetration - Combined Non-Target %"))</f>
        <v/>
      </c>
      <c r="D107" s="115">
        <f>IF(COUNTIFS('Data - Monthly Metrics'!A:A,$B$4-1,'Data - Monthly Metrics'!B:B,"Dec",'Data - Monthly Metrics'!C:C,"Southeast",'Data - Monthly Metrics'!D:D,"Penetration - Combined Non-Target %")=0,"-",SUMIFS('Data - Monthly Metrics'!E:E,'Data - Monthly Metrics'!A:A,$B$4-1,'Data - Monthly Metrics'!B:B,"Dec",'Data - Monthly Metrics'!C:C,"Southeast",'Data - Monthly Metrics'!D:D,"Penetration - Combined Non-Target %"))</f>
        <v/>
      </c>
      <c r="E107" s="116">
        <f>IF(ISNUMBER(D107),D107,IF(ISNUMBER(C107),C107,IF(ISNUMBER(B107),B107,"-")))</f>
        <v/>
      </c>
      <c r="F107" s="115">
        <f>IF(COUNTIFS('Data - Monthly Metrics'!A:A,$B$4,'Data - Monthly Metrics'!B:B,"Jan",'Data - Monthly Metrics'!C:C,"Southeast",'Data - Monthly Metrics'!D:D,"Penetration - Combined Non-Target %")=0,"-",SUMIFS('Data - Monthly Metrics'!E:E,'Data - Monthly Metrics'!A:A,$B$4,'Data - Monthly Metrics'!B:B,"Jan",'Data - Monthly Metrics'!C:C,"Southeast",'Data - Monthly Metrics'!D:D,"Penetration - Combined Non-Target %"))</f>
        <v/>
      </c>
      <c r="G107" s="115">
        <f>IF(COUNTIFS('Data - Monthly Metrics'!A:A,$B$4,'Data - Monthly Metrics'!B:B,"Feb",'Data - Monthly Metrics'!C:C,"Southeast",'Data - Monthly Metrics'!D:D,"Penetration - Combined Non-Target %")=0,"-",SUMIFS('Data - Monthly Metrics'!E:E,'Data - Monthly Metrics'!A:A,$B$4,'Data - Monthly Metrics'!B:B,"Feb",'Data - Monthly Metrics'!C:C,"Southeast",'Data - Monthly Metrics'!D:D,"Penetration - Combined Non-Target %"))</f>
        <v/>
      </c>
      <c r="H107" s="115">
        <f>IF(COUNTIFS('Data - Monthly Metrics'!A:A,$B$4,'Data - Monthly Metrics'!B:B,"Mar",'Data - Monthly Metrics'!C:C,"Southeast",'Data - Monthly Metrics'!D:D,"Penetration - Combined Non-Target %")=0,"-",SUMIFS('Data - Monthly Metrics'!E:E,'Data - Monthly Metrics'!A:A,$B$4,'Data - Monthly Metrics'!B:B,"Mar",'Data - Monthly Metrics'!C:C,"Southeast",'Data - Monthly Metrics'!D:D,"Penetration - Combined Non-Target %"))</f>
        <v/>
      </c>
      <c r="I107" s="116">
        <f>IF(ISNUMBER(H107),H107,IF(ISNUMBER(G107),G107,IF(ISNUMBER(F107),F107,"-")))</f>
        <v/>
      </c>
      <c r="J107" s="115">
        <f>IF(COUNTIFS('Data - Monthly Metrics'!A:A,$B$4,'Data - Monthly Metrics'!B:B,"Apr",'Data - Monthly Metrics'!C:C,"Southeast",'Data - Monthly Metrics'!D:D,"Penetration - Combined Non-Target %")=0,"-",SUMIFS('Data - Monthly Metrics'!E:E,'Data - Monthly Metrics'!A:A,$B$4,'Data - Monthly Metrics'!B:B,"Apr",'Data - Monthly Metrics'!C:C,"Southeast",'Data - Monthly Metrics'!D:D,"Penetration - Combined Non-Target %"))</f>
        <v/>
      </c>
      <c r="K107" s="115">
        <f>IF(COUNTIFS('Data - Monthly Metrics'!A:A,$B$4,'Data - Monthly Metrics'!B:B,"May",'Data - Monthly Metrics'!C:C,"Southeast",'Data - Monthly Metrics'!D:D,"Penetration - Combined Non-Target %")=0,"-",SUMIFS('Data - Monthly Metrics'!E:E,'Data - Monthly Metrics'!A:A,$B$4,'Data - Monthly Metrics'!B:B,"May",'Data - Monthly Metrics'!C:C,"Southeast",'Data - Monthly Metrics'!D:D,"Penetration - Combined Non-Target %"))</f>
        <v/>
      </c>
      <c r="L107" s="115">
        <f>IF(COUNTIFS('Data - Monthly Metrics'!A:A,$B$4,'Data - Monthly Metrics'!B:B,"Jun",'Data - Monthly Metrics'!C:C,"Southeast",'Data - Monthly Metrics'!D:D,"Penetration - Combined Non-Target %")=0,"-",SUMIFS('Data - Monthly Metrics'!E:E,'Data - Monthly Metrics'!A:A,$B$4,'Data - Monthly Metrics'!B:B,"Jun",'Data - Monthly Metrics'!C:C,"Southeast",'Data - Monthly Metrics'!D:D,"Penetration - Combined Non-Target %"))</f>
        <v/>
      </c>
      <c r="M107" s="116">
        <f>IF(ISNUMBER(L107),L107,IF(ISNUMBER(K107),K107,IF(ISNUMBER(J107),J107,"-")))</f>
        <v/>
      </c>
      <c r="N107" s="115">
        <f>IF(COUNTIFS('Data - Monthly Metrics'!A:A,$B$4,'Data - Monthly Metrics'!B:B,"Jul",'Data - Monthly Metrics'!C:C,"Southeast",'Data - Monthly Metrics'!D:D,"Penetration - Combined Non-Target %")=0,"-",SUMIFS('Data - Monthly Metrics'!E:E,'Data - Monthly Metrics'!A:A,$B$4,'Data - Monthly Metrics'!B:B,"Jul",'Data - Monthly Metrics'!C:C,"Southeast",'Data - Monthly Metrics'!D:D,"Penetration - Combined Non-Target %"))</f>
        <v/>
      </c>
      <c r="O107" s="115">
        <f>IF(COUNTIFS('Data - Monthly Metrics'!A:A,$B$4,'Data - Monthly Metrics'!B:B,"Aug",'Data - Monthly Metrics'!C:C,"Southeast",'Data - Monthly Metrics'!D:D,"Penetration - Combined Non-Target %")=0,"-",SUMIFS('Data - Monthly Metrics'!E:E,'Data - Monthly Metrics'!A:A,$B$4,'Data - Monthly Metrics'!B:B,"Aug",'Data - Monthly Metrics'!C:C,"Southeast",'Data - Monthly Metrics'!D:D,"Penetration - Combined Non-Target %"))</f>
        <v/>
      </c>
      <c r="P107" s="115">
        <f>IF(COUNTIFS('Data - Monthly Metrics'!A:A,$B$4,'Data - Monthly Metrics'!B:B,"Sep",'Data - Monthly Metrics'!C:C,"Southeast",'Data - Monthly Metrics'!D:D,"Penetration - Combined Non-Target %")=0,"-",SUMIFS('Data - Monthly Metrics'!E:E,'Data - Monthly Metrics'!A:A,$B$4,'Data - Monthly Metrics'!B:B,"Sep",'Data - Monthly Metrics'!C:C,"Southeast",'Data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Metrics'!$C:$C,"Southeast",'Data - Monthly Metrics'!$D:$D,"Goal - Retention %")&gt;0,B53&gt;=SUMIFS('Data - Monthly Metrics'!$E:$E,'Data - Monthly Metrics'!$A:$A,$B$4-1,'Data - Monthly Metrics'!$B:$B,B$8,'Data - Monthly Metrics'!$C:$C,"Southeast",'Data - Monthly Metrics'!$D:$D,"Goal - Retention %"))</formula>
    </cfRule>
    <cfRule type="expression" rank="0" priority="11" equalAverage="0" aboveAverage="0" dxfId="2" stopIfTrue="1" text="" percent="0" bottom="0">
      <formula>AND(ISNUMBER(B53),COUNTIFS('Data - Monthly Metrics'!$A:$A,$B$4-1,'Data - Monthly Metrics'!$B:$B,B$8,'Data - Monthly Metrics'!$C:$C,"Southeast",'Data - Monthly Metrics'!$D:$D,"Goal - Retention %")&gt;0,B53&gt;=SUMIFS('Data - Monthly Metrics'!$E:$E,'Data - Monthly Metrics'!$A:$A,$B$4-1,'Data - Monthly Metrics'!$B:$B,B$8,'Data - Monthly Metrics'!$C:$C,"Southeast",'Data - Monthly Metrics'!$D:$D,"Goal - Retention %")-0.05)</formula>
    </cfRule>
    <cfRule type="expression" rank="0" priority="12" equalAverage="0" aboveAverage="0" dxfId="1" stopIfTrue="1" text="" percent="0" bottom="0">
      <formula>AND(ISNUMBER(B53),COUNTIFS('Data - Monthly Metrics'!$A:$A,$B$4-1,'Data - Monthly Metrics'!$B:$B,B$8,'Data - Monthly Metrics'!$C:$C,"Southeast",'Data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Metrics'!$C:$C,"Southeast",'Data - Monthly Metrics'!$D:$D,"Goal - Retention %")&gt;0,C53&gt;=SUMIFS('Data - Monthly Metrics'!$E:$E,'Data - Monthly Metrics'!$A:$A,$B$4-1,'Data - Monthly Metrics'!$B:$B,C$8,'Data - Monthly Metrics'!$C:$C,"Southeast",'Data - Monthly Metrics'!$D:$D,"Goal - Retention %"))</formula>
    </cfRule>
    <cfRule type="expression" rank="0" priority="14" equalAverage="0" aboveAverage="0" dxfId="2" stopIfTrue="1" text="" percent="0" bottom="0">
      <formula>AND(ISNUMBER(C53),COUNTIFS('Data - Monthly Metrics'!$A:$A,$B$4-1,'Data - Monthly Metrics'!$B:$B,C$8,'Data - Monthly Metrics'!$C:$C,"Southeast",'Data - Monthly Metrics'!$D:$D,"Goal - Retention %")&gt;0,C53&gt;=SUMIFS('Data - Monthly Metrics'!$E:$E,'Data - Monthly Metrics'!$A:$A,$B$4-1,'Data - Monthly Metrics'!$B:$B,C$8,'Data - Monthly Metrics'!$C:$C,"Southeast",'Data - Monthly Metrics'!$D:$D,"Goal - Retention %")-0.05)</formula>
    </cfRule>
    <cfRule type="expression" rank="0" priority="15" equalAverage="0" aboveAverage="0" dxfId="1" stopIfTrue="1" text="" percent="0" bottom="0">
      <formula>AND(ISNUMBER(C53),COUNTIFS('Data - Monthly Metrics'!$A:$A,$B$4-1,'Data - Monthly Metrics'!$B:$B,C$8,'Data - Monthly Metrics'!$C:$C,"Southeast",'Data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Metrics'!$C:$C,"Southeast",'Data - Monthly Metrics'!$D:$D,"Goal - Retention %")&gt;0,D53&gt;=SUMIFS('Data - Monthly Metrics'!$E:$E,'Data - Monthly Metrics'!$A:$A,$B$4-1,'Data - Monthly Metrics'!$B:$B,D$8,'Data - Monthly Metrics'!$C:$C,"Southeast",'Data - Monthly Metrics'!$D:$D,"Goal - Retention %"))</formula>
    </cfRule>
    <cfRule type="expression" rank="0" priority="17" equalAverage="0" aboveAverage="0" dxfId="2" stopIfTrue="1" text="" percent="0" bottom="0">
      <formula>AND(ISNUMBER(D53),COUNTIFS('Data - Monthly Metrics'!$A:$A,$B$4-1,'Data - Monthly Metrics'!$B:$B,D$8,'Data - Monthly Metrics'!$C:$C,"Southeast",'Data - Monthly Metrics'!$D:$D,"Goal - Retention %")&gt;0,D53&gt;=SUMIFS('Data - Monthly Metrics'!$E:$E,'Data - Monthly Metrics'!$A:$A,$B$4-1,'Data - Monthly Metrics'!$B:$B,D$8,'Data - Monthly Metrics'!$C:$C,"Southeast",'Data - Monthly Metrics'!$D:$D,"Goal - Retention %")-0.05)</formula>
    </cfRule>
    <cfRule type="expression" rank="0" priority="18" equalAverage="0" aboveAverage="0" dxfId="1" stopIfTrue="1" text="" percent="0" bottom="0">
      <formula>AND(ISNUMBER(D53),COUNTIFS('Data - Monthly Metrics'!$A:$A,$B$4-1,'Data - Monthly Metrics'!$B:$B,D$8,'Data - Monthly Metrics'!$C:$C,"Southeast",'Data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Metrics'!$C:$C,"Southeast",'Data - Monthly Metrics'!$D:$D,"Goal - Retention %")&gt;0,F53&gt;=SUMIFS('Data - Monthly Metrics'!$E:$E,'Data - Monthly Metrics'!$A:$A,$B$4,'Data - Monthly Metrics'!$B:$B,F$8,'Data - Monthly Metrics'!$C:$C,"Southeast",'Data - Monthly Metrics'!$D:$D,"Goal - Retention %"))</formula>
    </cfRule>
    <cfRule type="expression" rank="0" priority="20" equalAverage="0" aboveAverage="0" dxfId="2" stopIfTrue="1" text="" percent="0" bottom="0">
      <formula>AND(ISNUMBER(F53),COUNTIFS('Data - Monthly Metrics'!$A:$A,$B$4,'Data - Monthly Metrics'!$B:$B,F$8,'Data - Monthly Metrics'!$C:$C,"Southeast",'Data - Monthly Metrics'!$D:$D,"Goal - Retention %")&gt;0,F53&gt;=SUMIFS('Data - Monthly Metrics'!$E:$E,'Data - Monthly Metrics'!$A:$A,$B$4,'Data - Monthly Metrics'!$B:$B,F$8,'Data - Monthly Metrics'!$C:$C,"Southeast",'Data - Monthly Metrics'!$D:$D,"Goal - Retention %")-0.05)</formula>
    </cfRule>
    <cfRule type="expression" rank="0" priority="21" equalAverage="0" aboveAverage="0" dxfId="1" stopIfTrue="1" text="" percent="0" bottom="0">
      <formula>AND(ISNUMBER(F53),COUNTIFS('Data - Monthly Metrics'!$A:$A,$B$4,'Data - Monthly Metrics'!$B:$B,F$8,'Data - Monthly Metrics'!$C:$C,"Southeast",'Data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Metrics'!$C:$C,"Southeast",'Data - Monthly Metrics'!$D:$D,"Goal - Retention %")&gt;0,G53&gt;=SUMIFS('Data - Monthly Metrics'!$E:$E,'Data - Monthly Metrics'!$A:$A,$B$4,'Data - Monthly Metrics'!$B:$B,G$8,'Data - Monthly Metrics'!$C:$C,"Southeast",'Data - Monthly Metrics'!$D:$D,"Goal - Retention %"))</formula>
    </cfRule>
    <cfRule type="expression" rank="0" priority="23" equalAverage="0" aboveAverage="0" dxfId="2" stopIfTrue="1" text="" percent="0" bottom="0">
      <formula>AND(ISNUMBER(G53),COUNTIFS('Data - Monthly Metrics'!$A:$A,$B$4,'Data - Monthly Metrics'!$B:$B,G$8,'Data - Monthly Metrics'!$C:$C,"Southeast",'Data - Monthly Metrics'!$D:$D,"Goal - Retention %")&gt;0,G53&gt;=SUMIFS('Data - Monthly Metrics'!$E:$E,'Data - Monthly Metrics'!$A:$A,$B$4,'Data - Monthly Metrics'!$B:$B,G$8,'Data - Monthly Metrics'!$C:$C,"Southeast",'Data - Monthly Metrics'!$D:$D,"Goal - Retention %")-0.05)</formula>
    </cfRule>
    <cfRule type="expression" rank="0" priority="24" equalAverage="0" aboveAverage="0" dxfId="1" stopIfTrue="1" text="" percent="0" bottom="0">
      <formula>AND(ISNUMBER(G53),COUNTIFS('Data - Monthly Metrics'!$A:$A,$B$4,'Data - Monthly Metrics'!$B:$B,G$8,'Data - Monthly Metrics'!$C:$C,"Southeast",'Data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Metrics'!$C:$C,"Southeast",'Data - Monthly Metrics'!$D:$D,"Goal - Retention %")&gt;0,H53&gt;=SUMIFS('Data - Monthly Metrics'!$E:$E,'Data - Monthly Metrics'!$A:$A,$B$4,'Data - Monthly Metrics'!$B:$B,H$8,'Data - Monthly Metrics'!$C:$C,"Southeast",'Data - Monthly Metrics'!$D:$D,"Goal - Retention %"))</formula>
    </cfRule>
    <cfRule type="expression" rank="0" priority="26" equalAverage="0" aboveAverage="0" dxfId="2" stopIfTrue="1" text="" percent="0" bottom="0">
      <formula>AND(ISNUMBER(H53),COUNTIFS('Data - Monthly Metrics'!$A:$A,$B$4,'Data - Monthly Metrics'!$B:$B,H$8,'Data - Monthly Metrics'!$C:$C,"Southeast",'Data - Monthly Metrics'!$D:$D,"Goal - Retention %")&gt;0,H53&gt;=SUMIFS('Data - Monthly Metrics'!$E:$E,'Data - Monthly Metrics'!$A:$A,$B$4,'Data - Monthly Metrics'!$B:$B,H$8,'Data - Monthly Metrics'!$C:$C,"Southeast",'Data - Monthly Metrics'!$D:$D,"Goal - Retention %")-0.05)</formula>
    </cfRule>
    <cfRule type="expression" rank="0" priority="27" equalAverage="0" aboveAverage="0" dxfId="1" stopIfTrue="1" text="" percent="0" bottom="0">
      <formula>AND(ISNUMBER(H53),COUNTIFS('Data - Monthly Metrics'!$A:$A,$B$4,'Data - Monthly Metrics'!$B:$B,H$8,'Data - Monthly Metrics'!$C:$C,"Southeast",'Data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Metrics'!$C:$C,"Southeast",'Data - Monthly Metrics'!$D:$D,"Goal - Retention %")&gt;0,J53&gt;=SUMIFS('Data - Monthly Metrics'!$E:$E,'Data - Monthly Metrics'!$A:$A,$B$4,'Data - Monthly Metrics'!$B:$B,J$8,'Data - Monthly Metrics'!$C:$C,"Southeast",'Data - Monthly Metrics'!$D:$D,"Goal - Retention %"))</formula>
    </cfRule>
    <cfRule type="expression" rank="0" priority="29" equalAverage="0" aboveAverage="0" dxfId="2" stopIfTrue="1" text="" percent="0" bottom="0">
      <formula>AND(ISNUMBER(J53),COUNTIFS('Data - Monthly Metrics'!$A:$A,$B$4,'Data - Monthly Metrics'!$B:$B,J$8,'Data - Monthly Metrics'!$C:$C,"Southeast",'Data - Monthly Metrics'!$D:$D,"Goal - Retention %")&gt;0,J53&gt;=SUMIFS('Data - Monthly Metrics'!$E:$E,'Data - Monthly Metrics'!$A:$A,$B$4,'Data - Monthly Metrics'!$B:$B,J$8,'Data - Monthly Metrics'!$C:$C,"Southeast",'Data - Monthly Metrics'!$D:$D,"Goal - Retention %")-0.05)</formula>
    </cfRule>
    <cfRule type="expression" rank="0" priority="30" equalAverage="0" aboveAverage="0" dxfId="1" stopIfTrue="1" text="" percent="0" bottom="0">
      <formula>AND(ISNUMBER(J53),COUNTIFS('Data - Monthly Metrics'!$A:$A,$B$4,'Data - Monthly Metrics'!$B:$B,J$8,'Data - Monthly Metrics'!$C:$C,"Southeast",'Data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Metrics'!$C:$C,"Southeast",'Data - Monthly Metrics'!$D:$D,"Goal - Retention %")&gt;0,K53&gt;=SUMIFS('Data - Monthly Metrics'!$E:$E,'Data - Monthly Metrics'!$A:$A,$B$4,'Data - Monthly Metrics'!$B:$B,K$8,'Data - Monthly Metrics'!$C:$C,"Southeast",'Data - Monthly Metrics'!$D:$D,"Goal - Retention %"))</formula>
    </cfRule>
    <cfRule type="expression" rank="0" priority="32" equalAverage="0" aboveAverage="0" dxfId="2" stopIfTrue="1" text="" percent="0" bottom="0">
      <formula>AND(ISNUMBER(K53),COUNTIFS('Data - Monthly Metrics'!$A:$A,$B$4,'Data - Monthly Metrics'!$B:$B,K$8,'Data - Monthly Metrics'!$C:$C,"Southeast",'Data - Monthly Metrics'!$D:$D,"Goal - Retention %")&gt;0,K53&gt;=SUMIFS('Data - Monthly Metrics'!$E:$E,'Data - Monthly Metrics'!$A:$A,$B$4,'Data - Monthly Metrics'!$B:$B,K$8,'Data - Monthly Metrics'!$C:$C,"Southeast",'Data - Monthly Metrics'!$D:$D,"Goal - Retention %")-0.05)</formula>
    </cfRule>
    <cfRule type="expression" rank="0" priority="33" equalAverage="0" aboveAverage="0" dxfId="1" stopIfTrue="1" text="" percent="0" bottom="0">
      <formula>AND(ISNUMBER(K53),COUNTIFS('Data - Monthly Metrics'!$A:$A,$B$4,'Data - Monthly Metrics'!$B:$B,K$8,'Data - Monthly Metrics'!$C:$C,"Southeast",'Data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Metrics'!$C:$C,"Southeast",'Data - Monthly Metrics'!$D:$D,"Goal - Retention %")&gt;0,L53&gt;=SUMIFS('Data - Monthly Metrics'!$E:$E,'Data - Monthly Metrics'!$A:$A,$B$4,'Data - Monthly Metrics'!$B:$B,L$8,'Data - Monthly Metrics'!$C:$C,"Southeast",'Data - Monthly Metrics'!$D:$D,"Goal - Retention %"))</formula>
    </cfRule>
    <cfRule type="expression" rank="0" priority="35" equalAverage="0" aboveAverage="0" dxfId="2" stopIfTrue="1" text="" percent="0" bottom="0">
      <formula>AND(ISNUMBER(L53),COUNTIFS('Data - Monthly Metrics'!$A:$A,$B$4,'Data - Monthly Metrics'!$B:$B,L$8,'Data - Monthly Metrics'!$C:$C,"Southeast",'Data - Monthly Metrics'!$D:$D,"Goal - Retention %")&gt;0,L53&gt;=SUMIFS('Data - Monthly Metrics'!$E:$E,'Data - Monthly Metrics'!$A:$A,$B$4,'Data - Monthly Metrics'!$B:$B,L$8,'Data - Monthly Metrics'!$C:$C,"Southeast",'Data - Monthly Metrics'!$D:$D,"Goal - Retention %")-0.05)</formula>
    </cfRule>
    <cfRule type="expression" rank="0" priority="36" equalAverage="0" aboveAverage="0" dxfId="1" stopIfTrue="1" text="" percent="0" bottom="0">
      <formula>AND(ISNUMBER(L53),COUNTIFS('Data - Monthly Metrics'!$A:$A,$B$4,'Data - Monthly Metrics'!$B:$B,L$8,'Data - Monthly Metrics'!$C:$C,"Southeast",'Data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Metrics'!$C:$C,"Southeast",'Data - Monthly Metrics'!$D:$D,"Goal - Retention %")&gt;0,N53&gt;=SUMIFS('Data - Monthly Metrics'!$E:$E,'Data - Monthly Metrics'!$A:$A,$B$4,'Data - Monthly Metrics'!$B:$B,N$8,'Data - Monthly Metrics'!$C:$C,"Southeast",'Data - Monthly Metrics'!$D:$D,"Goal - Retention %"))</formula>
    </cfRule>
    <cfRule type="expression" rank="0" priority="38" equalAverage="0" aboveAverage="0" dxfId="2" stopIfTrue="1" text="" percent="0" bottom="0">
      <formula>AND(ISNUMBER(N53),COUNTIFS('Data - Monthly Metrics'!$A:$A,$B$4,'Data - Monthly Metrics'!$B:$B,N$8,'Data - Monthly Metrics'!$C:$C,"Southeast",'Data - Monthly Metrics'!$D:$D,"Goal - Retention %")&gt;0,N53&gt;=SUMIFS('Data - Monthly Metrics'!$E:$E,'Data - Monthly Metrics'!$A:$A,$B$4,'Data - Monthly Metrics'!$B:$B,N$8,'Data - Monthly Metrics'!$C:$C,"Southeast",'Data - Monthly Metrics'!$D:$D,"Goal - Retention %")-0.05)</formula>
    </cfRule>
    <cfRule type="expression" rank="0" priority="39" equalAverage="0" aboveAverage="0" dxfId="1" stopIfTrue="1" text="" percent="0" bottom="0">
      <formula>AND(ISNUMBER(N53),COUNTIFS('Data - Monthly Metrics'!$A:$A,$B$4,'Data - Monthly Metrics'!$B:$B,N$8,'Data - Monthly Metrics'!$C:$C,"Southeast",'Data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Metrics'!$C:$C,"Southeast",'Data - Monthly Metrics'!$D:$D,"Goal - Retention %")&gt;0,O53&gt;=SUMIFS('Data - Monthly Metrics'!$E:$E,'Data - Monthly Metrics'!$A:$A,$B$4,'Data - Monthly Metrics'!$B:$B,O$8,'Data - Monthly Metrics'!$C:$C,"Southeast",'Data - Monthly Metrics'!$D:$D,"Goal - Retention %"))</formula>
    </cfRule>
    <cfRule type="expression" rank="0" priority="41" equalAverage="0" aboveAverage="0" dxfId="2" stopIfTrue="1" text="" percent="0" bottom="0">
      <formula>AND(ISNUMBER(O53),COUNTIFS('Data - Monthly Metrics'!$A:$A,$B$4,'Data - Monthly Metrics'!$B:$B,O$8,'Data - Monthly Metrics'!$C:$C,"Southeast",'Data - Monthly Metrics'!$D:$D,"Goal - Retention %")&gt;0,O53&gt;=SUMIFS('Data - Monthly Metrics'!$E:$E,'Data - Monthly Metrics'!$A:$A,$B$4,'Data - Monthly Metrics'!$B:$B,O$8,'Data - Monthly Metrics'!$C:$C,"Southeast",'Data - Monthly Metrics'!$D:$D,"Goal - Retention %")-0.05)</formula>
    </cfRule>
    <cfRule type="expression" rank="0" priority="42" equalAverage="0" aboveAverage="0" dxfId="1" stopIfTrue="1" text="" percent="0" bottom="0">
      <formula>AND(ISNUMBER(O53),COUNTIFS('Data - Monthly Metrics'!$A:$A,$B$4,'Data - Monthly Metrics'!$B:$B,O$8,'Data - Monthly Metrics'!$C:$C,"Southeast",'Data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Metrics'!$C:$C,"Southeast",'Data - Monthly Metrics'!$D:$D,"Goal - Retention %")&gt;0,P53&gt;=SUMIFS('Data - Monthly Metrics'!$E:$E,'Data - Monthly Metrics'!$A:$A,$B$4,'Data - Monthly Metrics'!$B:$B,P$8,'Data - Monthly Metrics'!$C:$C,"Southeast",'Data - Monthly Metrics'!$D:$D,"Goal - Retention %"))</formula>
    </cfRule>
    <cfRule type="expression" rank="0" priority="44" equalAverage="0" aboveAverage="0" dxfId="2" stopIfTrue="1" text="" percent="0" bottom="0">
      <formula>AND(ISNUMBER(P53),COUNTIFS('Data - Monthly Metrics'!$A:$A,$B$4,'Data - Monthly Metrics'!$B:$B,P$8,'Data - Monthly Metrics'!$C:$C,"Southeast",'Data - Monthly Metrics'!$D:$D,"Goal - Retention %")&gt;0,P53&gt;=SUMIFS('Data - Monthly Metrics'!$E:$E,'Data - Monthly Metrics'!$A:$A,$B$4,'Data - Monthly Metrics'!$B:$B,P$8,'Data - Monthly Metrics'!$C:$C,"Southeast",'Data - Monthly Metrics'!$D:$D,"Goal - Retention %")-0.05)</formula>
    </cfRule>
    <cfRule type="expression" rank="0" priority="45" equalAverage="0" aboveAverage="0" dxfId="1" stopIfTrue="1" text="" percent="0" bottom="0">
      <formula>AND(ISNUMBER(P53),COUNTIFS('Data - Monthly Metrics'!$A:$A,$B$4,'Data - Monthly Metrics'!$B:$B,P$8,'Data - Monthly Metrics'!$C:$C,"Southeast",'Data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Metrics'!$C:$C,"Southeast",'Data - Monthly Metrics'!$D:$D,"Goal - Retention %")&gt;0,B93&gt;=SUMIFS('Data - Monthly Metrics'!$E:$E,'Data - Monthly Metrics'!$A:$A,$B$4-1,'Data - Monthly Metrics'!$B:$B,B$8,'Data - Monthly Metrics'!$C:$C,"Southeast",'Data - Monthly Metrics'!$D:$D,"Goal - Retention %"))</formula>
    </cfRule>
    <cfRule type="expression" rank="0" priority="47" equalAverage="0" aboveAverage="0" dxfId="2" stopIfTrue="1" text="" percent="0" bottom="0">
      <formula>AND(ISNUMBER(B93),COUNTIFS('Data - Monthly Metrics'!$A:$A,$B$4-1,'Data - Monthly Metrics'!$B:$B,B$8,'Data - Monthly Metrics'!$C:$C,"Southeast",'Data - Monthly Metrics'!$D:$D,"Goal - Retention %")&gt;0,B93&gt;=SUMIFS('Data - Monthly Metrics'!$E:$E,'Data - Monthly Metrics'!$A:$A,$B$4-1,'Data - Monthly Metrics'!$B:$B,B$8,'Data - Monthly Metrics'!$C:$C,"Southeast",'Data - Monthly Metrics'!$D:$D,"Goal - Retention %")-0.05)</formula>
    </cfRule>
    <cfRule type="expression" rank="0" priority="48" equalAverage="0" aboveAverage="0" dxfId="1" stopIfTrue="1" text="" percent="0" bottom="0">
      <formula>AND(ISNUMBER(B93),COUNTIFS('Data - Monthly Metrics'!$A:$A,$B$4-1,'Data - Monthly Metrics'!$B:$B,B$8,'Data - Monthly Metrics'!$C:$C,"Southeast",'Data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Metrics'!$C:$C,"Southeast",'Data - Monthly Metrics'!$D:$D,"Goal - Retention %")&gt;0,C93&gt;=SUMIFS('Data - Monthly Metrics'!$E:$E,'Data - Monthly Metrics'!$A:$A,$B$4-1,'Data - Monthly Metrics'!$B:$B,C$8,'Data - Monthly Metrics'!$C:$C,"Southeast",'Data - Monthly Metrics'!$D:$D,"Goal - Retention %"))</formula>
    </cfRule>
    <cfRule type="expression" rank="0" priority="50" equalAverage="0" aboveAverage="0" dxfId="2" stopIfTrue="1" text="" percent="0" bottom="0">
      <formula>AND(ISNUMBER(C93),COUNTIFS('Data - Monthly Metrics'!$A:$A,$B$4-1,'Data - Monthly Metrics'!$B:$B,C$8,'Data - Monthly Metrics'!$C:$C,"Southeast",'Data - Monthly Metrics'!$D:$D,"Goal - Retention %")&gt;0,C93&gt;=SUMIFS('Data - Monthly Metrics'!$E:$E,'Data - Monthly Metrics'!$A:$A,$B$4-1,'Data - Monthly Metrics'!$B:$B,C$8,'Data - Monthly Metrics'!$C:$C,"Southeast",'Data - Monthly Metrics'!$D:$D,"Goal - Retention %")-0.05)</formula>
    </cfRule>
    <cfRule type="expression" rank="0" priority="51" equalAverage="0" aboveAverage="0" dxfId="1" stopIfTrue="1" text="" percent="0" bottom="0">
      <formula>AND(ISNUMBER(C93),COUNTIFS('Data - Monthly Metrics'!$A:$A,$B$4-1,'Data - Monthly Metrics'!$B:$B,C$8,'Data - Monthly Metrics'!$C:$C,"Southeast",'Data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Metrics'!$C:$C,"Southeast",'Data - Monthly Metrics'!$D:$D,"Goal - Retention %")&gt;0,D93&gt;=SUMIFS('Data - Monthly Metrics'!$E:$E,'Data - Monthly Metrics'!$A:$A,$B$4-1,'Data - Monthly Metrics'!$B:$B,D$8,'Data - Monthly Metrics'!$C:$C,"Southeast",'Data - Monthly Metrics'!$D:$D,"Goal - Retention %"))</formula>
    </cfRule>
    <cfRule type="expression" rank="0" priority="53" equalAverage="0" aboveAverage="0" dxfId="2" stopIfTrue="1" text="" percent="0" bottom="0">
      <formula>AND(ISNUMBER(D93),COUNTIFS('Data - Monthly Metrics'!$A:$A,$B$4-1,'Data - Monthly Metrics'!$B:$B,D$8,'Data - Monthly Metrics'!$C:$C,"Southeast",'Data - Monthly Metrics'!$D:$D,"Goal - Retention %")&gt;0,D93&gt;=SUMIFS('Data - Monthly Metrics'!$E:$E,'Data - Monthly Metrics'!$A:$A,$B$4-1,'Data - Monthly Metrics'!$B:$B,D$8,'Data - Monthly Metrics'!$C:$C,"Southeast",'Data - Monthly Metrics'!$D:$D,"Goal - Retention %")-0.05)</formula>
    </cfRule>
    <cfRule type="expression" rank="0" priority="54" equalAverage="0" aboveAverage="0" dxfId="1" stopIfTrue="1" text="" percent="0" bottom="0">
      <formula>AND(ISNUMBER(D93),COUNTIFS('Data - Monthly Metrics'!$A:$A,$B$4-1,'Data - Monthly Metrics'!$B:$B,D$8,'Data - Monthly Metrics'!$C:$C,"Southeast",'Data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Metrics'!$C:$C,"Southeast",'Data - Monthly Metrics'!$D:$D,"Goal - Retention %")&gt;0,F93&gt;=SUMIFS('Data - Monthly Metrics'!$E:$E,'Data - Monthly Metrics'!$A:$A,$B$4,'Data - Monthly Metrics'!$B:$B,F$8,'Data - Monthly Metrics'!$C:$C,"Southeast",'Data - Monthly Metrics'!$D:$D,"Goal - Retention %"))</formula>
    </cfRule>
    <cfRule type="expression" rank="0" priority="56" equalAverage="0" aboveAverage="0" dxfId="2" stopIfTrue="1" text="" percent="0" bottom="0">
      <formula>AND(ISNUMBER(F93),COUNTIFS('Data - Monthly Metrics'!$A:$A,$B$4,'Data - Monthly Metrics'!$B:$B,F$8,'Data - Monthly Metrics'!$C:$C,"Southeast",'Data - Monthly Metrics'!$D:$D,"Goal - Retention %")&gt;0,F93&gt;=SUMIFS('Data - Monthly Metrics'!$E:$E,'Data - Monthly Metrics'!$A:$A,$B$4,'Data - Monthly Metrics'!$B:$B,F$8,'Data - Monthly Metrics'!$C:$C,"Southeast",'Data - Monthly Metrics'!$D:$D,"Goal - Retention %")-0.05)</formula>
    </cfRule>
    <cfRule type="expression" rank="0" priority="57" equalAverage="0" aboveAverage="0" dxfId="1" stopIfTrue="1" text="" percent="0" bottom="0">
      <formula>AND(ISNUMBER(F93),COUNTIFS('Data - Monthly Metrics'!$A:$A,$B$4,'Data - Monthly Metrics'!$B:$B,F$8,'Data - Monthly Metrics'!$C:$C,"Southeast",'Data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Metrics'!$C:$C,"Southeast",'Data - Monthly Metrics'!$D:$D,"Goal - Retention %")&gt;0,G93&gt;=SUMIFS('Data - Monthly Metrics'!$E:$E,'Data - Monthly Metrics'!$A:$A,$B$4,'Data - Monthly Metrics'!$B:$B,G$8,'Data - Monthly Metrics'!$C:$C,"Southeast",'Data - Monthly Metrics'!$D:$D,"Goal - Retention %"))</formula>
    </cfRule>
    <cfRule type="expression" rank="0" priority="59" equalAverage="0" aboveAverage="0" dxfId="2" stopIfTrue="1" text="" percent="0" bottom="0">
      <formula>AND(ISNUMBER(G93),COUNTIFS('Data - Monthly Metrics'!$A:$A,$B$4,'Data - Monthly Metrics'!$B:$B,G$8,'Data - Monthly Metrics'!$C:$C,"Southeast",'Data - Monthly Metrics'!$D:$D,"Goal - Retention %")&gt;0,G93&gt;=SUMIFS('Data - Monthly Metrics'!$E:$E,'Data - Monthly Metrics'!$A:$A,$B$4,'Data - Monthly Metrics'!$B:$B,G$8,'Data - Monthly Metrics'!$C:$C,"Southeast",'Data - Monthly Metrics'!$D:$D,"Goal - Retention %")-0.05)</formula>
    </cfRule>
    <cfRule type="expression" rank="0" priority="60" equalAverage="0" aboveAverage="0" dxfId="1" stopIfTrue="1" text="" percent="0" bottom="0">
      <formula>AND(ISNUMBER(G93),COUNTIFS('Data - Monthly Metrics'!$A:$A,$B$4,'Data - Monthly Metrics'!$B:$B,G$8,'Data - Monthly Metrics'!$C:$C,"Southeast",'Data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Metrics'!$C:$C,"Southeast",'Data - Monthly Metrics'!$D:$D,"Goal - Retention %")&gt;0,H93&gt;=SUMIFS('Data - Monthly Metrics'!$E:$E,'Data - Monthly Metrics'!$A:$A,$B$4,'Data - Monthly Metrics'!$B:$B,H$8,'Data - Monthly Metrics'!$C:$C,"Southeast",'Data - Monthly Metrics'!$D:$D,"Goal - Retention %"))</formula>
    </cfRule>
    <cfRule type="expression" rank="0" priority="62" equalAverage="0" aboveAverage="0" dxfId="2" stopIfTrue="1" text="" percent="0" bottom="0">
      <formula>AND(ISNUMBER(H93),COUNTIFS('Data - Monthly Metrics'!$A:$A,$B$4,'Data - Monthly Metrics'!$B:$B,H$8,'Data - Monthly Metrics'!$C:$C,"Southeast",'Data - Monthly Metrics'!$D:$D,"Goal - Retention %")&gt;0,H93&gt;=SUMIFS('Data - Monthly Metrics'!$E:$E,'Data - Monthly Metrics'!$A:$A,$B$4,'Data - Monthly Metrics'!$B:$B,H$8,'Data - Monthly Metrics'!$C:$C,"Southeast",'Data - Monthly Metrics'!$D:$D,"Goal - Retention %")-0.05)</formula>
    </cfRule>
    <cfRule type="expression" rank="0" priority="63" equalAverage="0" aboveAverage="0" dxfId="1" stopIfTrue="1" text="" percent="0" bottom="0">
      <formula>AND(ISNUMBER(H93),COUNTIFS('Data - Monthly Metrics'!$A:$A,$B$4,'Data - Monthly Metrics'!$B:$B,H$8,'Data - Monthly Metrics'!$C:$C,"Southeast",'Data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Metrics'!$C:$C,"Southeast",'Data - Monthly Metrics'!$D:$D,"Goal - Retention %")&gt;0,J93&gt;=SUMIFS('Data - Monthly Metrics'!$E:$E,'Data - Monthly Metrics'!$A:$A,$B$4,'Data - Monthly Metrics'!$B:$B,J$8,'Data - Monthly Metrics'!$C:$C,"Southeast",'Data - Monthly Metrics'!$D:$D,"Goal - Retention %"))</formula>
    </cfRule>
    <cfRule type="expression" rank="0" priority="65" equalAverage="0" aboveAverage="0" dxfId="2" stopIfTrue="1" text="" percent="0" bottom="0">
      <formula>AND(ISNUMBER(J93),COUNTIFS('Data - Monthly Metrics'!$A:$A,$B$4,'Data - Monthly Metrics'!$B:$B,J$8,'Data - Monthly Metrics'!$C:$C,"Southeast",'Data - Monthly Metrics'!$D:$D,"Goal - Retention %")&gt;0,J93&gt;=SUMIFS('Data - Monthly Metrics'!$E:$E,'Data - Monthly Metrics'!$A:$A,$B$4,'Data - Monthly Metrics'!$B:$B,J$8,'Data - Monthly Metrics'!$C:$C,"Southeast",'Data - Monthly Metrics'!$D:$D,"Goal - Retention %")-0.05)</formula>
    </cfRule>
    <cfRule type="expression" rank="0" priority="66" equalAverage="0" aboveAverage="0" dxfId="1" stopIfTrue="1" text="" percent="0" bottom="0">
      <formula>AND(ISNUMBER(J93),COUNTIFS('Data - Monthly Metrics'!$A:$A,$B$4,'Data - Monthly Metrics'!$B:$B,J$8,'Data - Monthly Metrics'!$C:$C,"Southeast",'Data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Metrics'!$C:$C,"Southeast",'Data - Monthly Metrics'!$D:$D,"Goal - Retention %")&gt;0,K93&gt;=SUMIFS('Data - Monthly Metrics'!$E:$E,'Data - Monthly Metrics'!$A:$A,$B$4,'Data - Monthly Metrics'!$B:$B,K$8,'Data - Monthly Metrics'!$C:$C,"Southeast",'Data - Monthly Metrics'!$D:$D,"Goal - Retention %"))</formula>
    </cfRule>
    <cfRule type="expression" rank="0" priority="68" equalAverage="0" aboveAverage="0" dxfId="2" stopIfTrue="1" text="" percent="0" bottom="0">
      <formula>AND(ISNUMBER(K93),COUNTIFS('Data - Monthly Metrics'!$A:$A,$B$4,'Data - Monthly Metrics'!$B:$B,K$8,'Data - Monthly Metrics'!$C:$C,"Southeast",'Data - Monthly Metrics'!$D:$D,"Goal - Retention %")&gt;0,K93&gt;=SUMIFS('Data - Monthly Metrics'!$E:$E,'Data - Monthly Metrics'!$A:$A,$B$4,'Data - Monthly Metrics'!$B:$B,K$8,'Data - Monthly Metrics'!$C:$C,"Southeast",'Data - Monthly Metrics'!$D:$D,"Goal - Retention %")-0.05)</formula>
    </cfRule>
    <cfRule type="expression" rank="0" priority="69" equalAverage="0" aboveAverage="0" dxfId="1" stopIfTrue="1" text="" percent="0" bottom="0">
      <formula>AND(ISNUMBER(K93),COUNTIFS('Data - Monthly Metrics'!$A:$A,$B$4,'Data - Monthly Metrics'!$B:$B,K$8,'Data - Monthly Metrics'!$C:$C,"Southeast",'Data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Metrics'!$C:$C,"Southeast",'Data - Monthly Metrics'!$D:$D,"Goal - Retention %")&gt;0,L93&gt;=SUMIFS('Data - Monthly Metrics'!$E:$E,'Data - Monthly Metrics'!$A:$A,$B$4,'Data - Monthly Metrics'!$B:$B,L$8,'Data - Monthly Metrics'!$C:$C,"Southeast",'Data - Monthly Metrics'!$D:$D,"Goal - Retention %"))</formula>
    </cfRule>
    <cfRule type="expression" rank="0" priority="71" equalAverage="0" aboveAverage="0" dxfId="2" stopIfTrue="1" text="" percent="0" bottom="0">
      <formula>AND(ISNUMBER(L93),COUNTIFS('Data - Monthly Metrics'!$A:$A,$B$4,'Data - Monthly Metrics'!$B:$B,L$8,'Data - Monthly Metrics'!$C:$C,"Southeast",'Data - Monthly Metrics'!$D:$D,"Goal - Retention %")&gt;0,L93&gt;=SUMIFS('Data - Monthly Metrics'!$E:$E,'Data - Monthly Metrics'!$A:$A,$B$4,'Data - Monthly Metrics'!$B:$B,L$8,'Data - Monthly Metrics'!$C:$C,"Southeast",'Data - Monthly Metrics'!$D:$D,"Goal - Retention %")-0.05)</formula>
    </cfRule>
    <cfRule type="expression" rank="0" priority="72" equalAverage="0" aboveAverage="0" dxfId="1" stopIfTrue="1" text="" percent="0" bottom="0">
      <formula>AND(ISNUMBER(L93),COUNTIFS('Data - Monthly Metrics'!$A:$A,$B$4,'Data - Monthly Metrics'!$B:$B,L$8,'Data - Monthly Metrics'!$C:$C,"Southeast",'Data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Metrics'!$C:$C,"Southeast",'Data - Monthly Metrics'!$D:$D,"Goal - Retention %")&gt;0,N93&gt;=SUMIFS('Data - Monthly Metrics'!$E:$E,'Data - Monthly Metrics'!$A:$A,$B$4,'Data - Monthly Metrics'!$B:$B,N$8,'Data - Monthly Metrics'!$C:$C,"Southeast",'Data - Monthly Metrics'!$D:$D,"Goal - Retention %"))</formula>
    </cfRule>
    <cfRule type="expression" rank="0" priority="74" equalAverage="0" aboveAverage="0" dxfId="2" stopIfTrue="1" text="" percent="0" bottom="0">
      <formula>AND(ISNUMBER(N93),COUNTIFS('Data - Monthly Metrics'!$A:$A,$B$4,'Data - Monthly Metrics'!$B:$B,N$8,'Data - Monthly Metrics'!$C:$C,"Southeast",'Data - Monthly Metrics'!$D:$D,"Goal - Retention %")&gt;0,N93&gt;=SUMIFS('Data - Monthly Metrics'!$E:$E,'Data - Monthly Metrics'!$A:$A,$B$4,'Data - Monthly Metrics'!$B:$B,N$8,'Data - Monthly Metrics'!$C:$C,"Southeast",'Data - Monthly Metrics'!$D:$D,"Goal - Retention %")-0.05)</formula>
    </cfRule>
    <cfRule type="expression" rank="0" priority="75" equalAverage="0" aboveAverage="0" dxfId="1" stopIfTrue="1" text="" percent="0" bottom="0">
      <formula>AND(ISNUMBER(N93),COUNTIFS('Data - Monthly Metrics'!$A:$A,$B$4,'Data - Monthly Metrics'!$B:$B,N$8,'Data - Monthly Metrics'!$C:$C,"Southeast",'Data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Metrics'!$C:$C,"Southeast",'Data - Monthly Metrics'!$D:$D,"Goal - Retention %")&gt;0,O93&gt;=SUMIFS('Data - Monthly Metrics'!$E:$E,'Data - Monthly Metrics'!$A:$A,$B$4,'Data - Monthly Metrics'!$B:$B,O$8,'Data - Monthly Metrics'!$C:$C,"Southeast",'Data - Monthly Metrics'!$D:$D,"Goal - Retention %"))</formula>
    </cfRule>
    <cfRule type="expression" rank="0" priority="77" equalAverage="0" aboveAverage="0" dxfId="2" stopIfTrue="1" text="" percent="0" bottom="0">
      <formula>AND(ISNUMBER(O93),COUNTIFS('Data - Monthly Metrics'!$A:$A,$B$4,'Data - Monthly Metrics'!$B:$B,O$8,'Data - Monthly Metrics'!$C:$C,"Southeast",'Data - Monthly Metrics'!$D:$D,"Goal - Retention %")&gt;0,O93&gt;=SUMIFS('Data - Monthly Metrics'!$E:$E,'Data - Monthly Metrics'!$A:$A,$B$4,'Data - Monthly Metrics'!$B:$B,O$8,'Data - Monthly Metrics'!$C:$C,"Southeast",'Data - Monthly Metrics'!$D:$D,"Goal - Retention %")-0.05)</formula>
    </cfRule>
    <cfRule type="expression" rank="0" priority="78" equalAverage="0" aboveAverage="0" dxfId="1" stopIfTrue="1" text="" percent="0" bottom="0">
      <formula>AND(ISNUMBER(O93),COUNTIFS('Data - Monthly Metrics'!$A:$A,$B$4,'Data - Monthly Metrics'!$B:$B,O$8,'Data - Monthly Metrics'!$C:$C,"Southeast",'Data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Metrics'!$C:$C,"Southeast",'Data - Monthly Metrics'!$D:$D,"Goal - Retention %")&gt;0,P93&gt;=SUMIFS('Data - Monthly Metrics'!$E:$E,'Data - Monthly Metrics'!$A:$A,$B$4,'Data - Monthly Metrics'!$B:$B,P$8,'Data - Monthly Metrics'!$C:$C,"Southeast",'Data - Monthly Metrics'!$D:$D,"Goal - Retention %"))</formula>
    </cfRule>
    <cfRule type="expression" rank="0" priority="80" equalAverage="0" aboveAverage="0" dxfId="2" stopIfTrue="1" text="" percent="0" bottom="0">
      <formula>AND(ISNUMBER(P93),COUNTIFS('Data - Monthly Metrics'!$A:$A,$B$4,'Data - Monthly Metrics'!$B:$B,P$8,'Data - Monthly Metrics'!$C:$C,"Southeast",'Data - Monthly Metrics'!$D:$D,"Goal - Retention %")&gt;0,P93&gt;=SUMIFS('Data - Monthly Metrics'!$E:$E,'Data - Monthly Metrics'!$A:$A,$B$4,'Data - Monthly Metrics'!$B:$B,P$8,'Data - Monthly Metrics'!$C:$C,"Southeast",'Data - Monthly Metrics'!$D:$D,"Goal - Retention %")-0.05)</formula>
    </cfRule>
    <cfRule type="expression" rank="0" priority="81" equalAverage="0" aboveAverage="0" dxfId="1" stopIfTrue="1" text="" percent="0" bottom="0">
      <formula>AND(ISNUMBER(P93),COUNTIFS('Data - Monthly Metrics'!$A:$A,$B$4,'Data - Monthly Metrics'!$B:$B,P$8,'Data - Monthly Metrics'!$C:$C,"Southeast",'Data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Metrics'!$C:$C,"Southeast",'Data - Monthly Metrics'!$D:$D,"Goal - Retention %")&gt;0,B59&gt;=SUMIFS('Data - Monthly Metrics'!$E:$E,'Data - Monthly Metrics'!$A:$A,$B$4-1,'Data - Monthly Metrics'!$B:$B,B$8,'Data - Monthly Metrics'!$C:$C,"Southeast",'Data - Monthly Metrics'!$D:$D,"Goal - Retention %"))</formula>
    </cfRule>
    <cfRule type="expression" rank="0" priority="83" equalAverage="0" aboveAverage="0" dxfId="2" stopIfTrue="1" text="" percent="0" bottom="0">
      <formula>AND(ISNUMBER(B59),COUNTIFS('Data - Monthly Metrics'!$A:$A,$B$4-1,'Data - Monthly Metrics'!$B:$B,B$8,'Data - Monthly Metrics'!$C:$C,"Southeast",'Data - Monthly Metrics'!$D:$D,"Goal - Retention %")&gt;0,B59&gt;=SUMIFS('Data - Monthly Metrics'!$E:$E,'Data - Monthly Metrics'!$A:$A,$B$4-1,'Data - Monthly Metrics'!$B:$B,B$8,'Data - Monthly Metrics'!$C:$C,"Southeast",'Data - Monthly Metrics'!$D:$D,"Goal - Retention %")-0.05)</formula>
    </cfRule>
    <cfRule type="expression" rank="0" priority="84" equalAverage="0" aboveAverage="0" dxfId="1" stopIfTrue="1" text="" percent="0" bottom="0">
      <formula>AND(ISNUMBER(B59),COUNTIFS('Data - Monthly Metrics'!$A:$A,$B$4-1,'Data - Monthly Metrics'!$B:$B,B$8,'Data - Monthly Metrics'!$C:$C,"Southeast",'Data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Metrics'!$C:$C,"Southeast",'Data - Monthly Metrics'!$D:$D,"Goal - Retention %")&gt;0,C59&gt;=SUMIFS('Data - Monthly Metrics'!$E:$E,'Data - Monthly Metrics'!$A:$A,$B$4-1,'Data - Monthly Metrics'!$B:$B,C$8,'Data - Monthly Metrics'!$C:$C,"Southeast",'Data - Monthly Metrics'!$D:$D,"Goal - Retention %"))</formula>
    </cfRule>
    <cfRule type="expression" rank="0" priority="86" equalAverage="0" aboveAverage="0" dxfId="2" stopIfTrue="1" text="" percent="0" bottom="0">
      <formula>AND(ISNUMBER(C59),COUNTIFS('Data - Monthly Metrics'!$A:$A,$B$4-1,'Data - Monthly Metrics'!$B:$B,C$8,'Data - Monthly Metrics'!$C:$C,"Southeast",'Data - Monthly Metrics'!$D:$D,"Goal - Retention %")&gt;0,C59&gt;=SUMIFS('Data - Monthly Metrics'!$E:$E,'Data - Monthly Metrics'!$A:$A,$B$4-1,'Data - Monthly Metrics'!$B:$B,C$8,'Data - Monthly Metrics'!$C:$C,"Southeast",'Data - Monthly Metrics'!$D:$D,"Goal - Retention %")-0.05)</formula>
    </cfRule>
    <cfRule type="expression" rank="0" priority="87" equalAverage="0" aboveAverage="0" dxfId="1" stopIfTrue="1" text="" percent="0" bottom="0">
      <formula>AND(ISNUMBER(C59),COUNTIFS('Data - Monthly Metrics'!$A:$A,$B$4-1,'Data - Monthly Metrics'!$B:$B,C$8,'Data - Monthly Metrics'!$C:$C,"Southeast",'Data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Metrics'!$C:$C,"Southeast",'Data - Monthly Metrics'!$D:$D,"Goal - Retention %")&gt;0,D59&gt;=SUMIFS('Data - Monthly Metrics'!$E:$E,'Data - Monthly Metrics'!$A:$A,$B$4-1,'Data - Monthly Metrics'!$B:$B,D$8,'Data - Monthly Metrics'!$C:$C,"Southeast",'Data - Monthly Metrics'!$D:$D,"Goal - Retention %"))</formula>
    </cfRule>
    <cfRule type="expression" rank="0" priority="89" equalAverage="0" aboveAverage="0" dxfId="2" stopIfTrue="1" text="" percent="0" bottom="0">
      <formula>AND(ISNUMBER(D59),COUNTIFS('Data - Monthly Metrics'!$A:$A,$B$4-1,'Data - Monthly Metrics'!$B:$B,D$8,'Data - Monthly Metrics'!$C:$C,"Southeast",'Data - Monthly Metrics'!$D:$D,"Goal - Retention %")&gt;0,D59&gt;=SUMIFS('Data - Monthly Metrics'!$E:$E,'Data - Monthly Metrics'!$A:$A,$B$4-1,'Data - Monthly Metrics'!$B:$B,D$8,'Data - Monthly Metrics'!$C:$C,"Southeast",'Data - Monthly Metrics'!$D:$D,"Goal - Retention %")-0.05)</formula>
    </cfRule>
    <cfRule type="expression" rank="0" priority="90" equalAverage="0" aboveAverage="0" dxfId="1" stopIfTrue="1" text="" percent="0" bottom="0">
      <formula>AND(ISNUMBER(D59),COUNTIFS('Data - Monthly Metrics'!$A:$A,$B$4-1,'Data - Monthly Metrics'!$B:$B,D$8,'Data - Monthly Metrics'!$C:$C,"Southeast",'Data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Metrics'!$C:$C,"Southeast",'Data - Monthly Metrics'!$D:$D,"Goal - Retention %")&gt;0,F59&gt;=SUMIFS('Data - Monthly Metrics'!$E:$E,'Data - Monthly Metrics'!$A:$A,$B$4,'Data - Monthly Metrics'!$B:$B,F$8,'Data - Monthly Metrics'!$C:$C,"Southeast",'Data - Monthly Metrics'!$D:$D,"Goal - Retention %"))</formula>
    </cfRule>
    <cfRule type="expression" rank="0" priority="92" equalAverage="0" aboveAverage="0" dxfId="2" stopIfTrue="1" text="" percent="0" bottom="0">
      <formula>AND(ISNUMBER(F59),COUNTIFS('Data - Monthly Metrics'!$A:$A,$B$4,'Data - Monthly Metrics'!$B:$B,F$8,'Data - Monthly Metrics'!$C:$C,"Southeast",'Data - Monthly Metrics'!$D:$D,"Goal - Retention %")&gt;0,F59&gt;=SUMIFS('Data - Monthly Metrics'!$E:$E,'Data - Monthly Metrics'!$A:$A,$B$4,'Data - Monthly Metrics'!$B:$B,F$8,'Data - Monthly Metrics'!$C:$C,"Southeast",'Data - Monthly Metrics'!$D:$D,"Goal - Retention %")-0.05)</formula>
    </cfRule>
    <cfRule type="expression" rank="0" priority="93" equalAverage="0" aboveAverage="0" dxfId="1" stopIfTrue="1" text="" percent="0" bottom="0">
      <formula>AND(ISNUMBER(F59),COUNTIFS('Data - Monthly Metrics'!$A:$A,$B$4,'Data - Monthly Metrics'!$B:$B,F$8,'Data - Monthly Metrics'!$C:$C,"Southeast",'Data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Metrics'!$C:$C,"Southeast",'Data - Monthly Metrics'!$D:$D,"Goal - Retention %")&gt;0,G59&gt;=SUMIFS('Data - Monthly Metrics'!$E:$E,'Data - Monthly Metrics'!$A:$A,$B$4,'Data - Monthly Metrics'!$B:$B,G$8,'Data - Monthly Metrics'!$C:$C,"Southeast",'Data - Monthly Metrics'!$D:$D,"Goal - Retention %"))</formula>
    </cfRule>
    <cfRule type="expression" rank="0" priority="95" equalAverage="0" aboveAverage="0" dxfId="2" stopIfTrue="1" text="" percent="0" bottom="0">
      <formula>AND(ISNUMBER(G59),COUNTIFS('Data - Monthly Metrics'!$A:$A,$B$4,'Data - Monthly Metrics'!$B:$B,G$8,'Data - Monthly Metrics'!$C:$C,"Southeast",'Data - Monthly Metrics'!$D:$D,"Goal - Retention %")&gt;0,G59&gt;=SUMIFS('Data - Monthly Metrics'!$E:$E,'Data - Monthly Metrics'!$A:$A,$B$4,'Data - Monthly Metrics'!$B:$B,G$8,'Data - Monthly Metrics'!$C:$C,"Southeast",'Data - Monthly Metrics'!$D:$D,"Goal - Retention %")-0.05)</formula>
    </cfRule>
    <cfRule type="expression" rank="0" priority="96" equalAverage="0" aboveAverage="0" dxfId="1" stopIfTrue="1" text="" percent="0" bottom="0">
      <formula>AND(ISNUMBER(G59),COUNTIFS('Data - Monthly Metrics'!$A:$A,$B$4,'Data - Monthly Metrics'!$B:$B,G$8,'Data - Monthly Metrics'!$C:$C,"Southeast",'Data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Metrics'!$C:$C,"Southeast",'Data - Monthly Metrics'!$D:$D,"Goal - Retention %")&gt;0,H59&gt;=SUMIFS('Data - Monthly Metrics'!$E:$E,'Data - Monthly Metrics'!$A:$A,$B$4,'Data - Monthly Metrics'!$B:$B,H$8,'Data - Monthly Metrics'!$C:$C,"Southeast",'Data - Monthly Metrics'!$D:$D,"Goal - Retention %"))</formula>
    </cfRule>
    <cfRule type="expression" rank="0" priority="98" equalAverage="0" aboveAverage="0" dxfId="2" stopIfTrue="1" text="" percent="0" bottom="0">
      <formula>AND(ISNUMBER(H59),COUNTIFS('Data - Monthly Metrics'!$A:$A,$B$4,'Data - Monthly Metrics'!$B:$B,H$8,'Data - Monthly Metrics'!$C:$C,"Southeast",'Data - Monthly Metrics'!$D:$D,"Goal - Retention %")&gt;0,H59&gt;=SUMIFS('Data - Monthly Metrics'!$E:$E,'Data - Monthly Metrics'!$A:$A,$B$4,'Data - Monthly Metrics'!$B:$B,H$8,'Data - Monthly Metrics'!$C:$C,"Southeast",'Data - Monthly Metrics'!$D:$D,"Goal - Retention %")-0.05)</formula>
    </cfRule>
    <cfRule type="expression" rank="0" priority="99" equalAverage="0" aboveAverage="0" dxfId="1" stopIfTrue="1" text="" percent="0" bottom="0">
      <formula>AND(ISNUMBER(H59),COUNTIFS('Data - Monthly Metrics'!$A:$A,$B$4,'Data - Monthly Metrics'!$B:$B,H$8,'Data - Monthly Metrics'!$C:$C,"Southeast",'Data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Metrics'!$C:$C,"Southeast",'Data - Monthly Metrics'!$D:$D,"Goal - Retention %")&gt;0,J59&gt;=SUMIFS('Data - Monthly Metrics'!$E:$E,'Data - Monthly Metrics'!$A:$A,$B$4,'Data - Monthly Metrics'!$B:$B,J$8,'Data - Monthly Metrics'!$C:$C,"Southeast",'Data - Monthly Metrics'!$D:$D,"Goal - Retention %"))</formula>
    </cfRule>
    <cfRule type="expression" rank="0" priority="101" equalAverage="0" aboveAverage="0" dxfId="2" stopIfTrue="1" text="" percent="0" bottom="0">
      <formula>AND(ISNUMBER(J59),COUNTIFS('Data - Monthly Metrics'!$A:$A,$B$4,'Data - Monthly Metrics'!$B:$B,J$8,'Data - Monthly Metrics'!$C:$C,"Southeast",'Data - Monthly Metrics'!$D:$D,"Goal - Retention %")&gt;0,J59&gt;=SUMIFS('Data - Monthly Metrics'!$E:$E,'Data - Monthly Metrics'!$A:$A,$B$4,'Data - Monthly Metrics'!$B:$B,J$8,'Data - Monthly Metrics'!$C:$C,"Southeast",'Data - Monthly Metrics'!$D:$D,"Goal - Retention %")-0.05)</formula>
    </cfRule>
    <cfRule type="expression" rank="0" priority="102" equalAverage="0" aboveAverage="0" dxfId="1" stopIfTrue="1" text="" percent="0" bottom="0">
      <formula>AND(ISNUMBER(J59),COUNTIFS('Data - Monthly Metrics'!$A:$A,$B$4,'Data - Monthly Metrics'!$B:$B,J$8,'Data - Monthly Metrics'!$C:$C,"Southeast",'Data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Metrics'!$C:$C,"Southeast",'Data - Monthly Metrics'!$D:$D,"Goal - Retention %")&gt;0,K59&gt;=SUMIFS('Data - Monthly Metrics'!$E:$E,'Data - Monthly Metrics'!$A:$A,$B$4,'Data - Monthly Metrics'!$B:$B,K$8,'Data - Monthly Metrics'!$C:$C,"Southeast",'Data - Monthly Metrics'!$D:$D,"Goal - Retention %"))</formula>
    </cfRule>
    <cfRule type="expression" rank="0" priority="104" equalAverage="0" aboveAverage="0" dxfId="2" stopIfTrue="1" text="" percent="0" bottom="0">
      <formula>AND(ISNUMBER(K59),COUNTIFS('Data - Monthly Metrics'!$A:$A,$B$4,'Data - Monthly Metrics'!$B:$B,K$8,'Data - Monthly Metrics'!$C:$C,"Southeast",'Data - Monthly Metrics'!$D:$D,"Goal - Retention %")&gt;0,K59&gt;=SUMIFS('Data - Monthly Metrics'!$E:$E,'Data - Monthly Metrics'!$A:$A,$B$4,'Data - Monthly Metrics'!$B:$B,K$8,'Data - Monthly Metrics'!$C:$C,"Southeast",'Data - Monthly Metrics'!$D:$D,"Goal - Retention %")-0.05)</formula>
    </cfRule>
    <cfRule type="expression" rank="0" priority="105" equalAverage="0" aboveAverage="0" dxfId="1" stopIfTrue="1" text="" percent="0" bottom="0">
      <formula>AND(ISNUMBER(K59),COUNTIFS('Data - Monthly Metrics'!$A:$A,$B$4,'Data - Monthly Metrics'!$B:$B,K$8,'Data - Monthly Metrics'!$C:$C,"Southeast",'Data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Metrics'!$C:$C,"Southeast",'Data - Monthly Metrics'!$D:$D,"Goal - Retention %")&gt;0,L59&gt;=SUMIFS('Data - Monthly Metrics'!$E:$E,'Data - Monthly Metrics'!$A:$A,$B$4,'Data - Monthly Metrics'!$B:$B,L$8,'Data - Monthly Metrics'!$C:$C,"Southeast",'Data - Monthly Metrics'!$D:$D,"Goal - Retention %"))</formula>
    </cfRule>
    <cfRule type="expression" rank="0" priority="107" equalAverage="0" aboveAverage="0" dxfId="2" stopIfTrue="1" text="" percent="0" bottom="0">
      <formula>AND(ISNUMBER(L59),COUNTIFS('Data - Monthly Metrics'!$A:$A,$B$4,'Data - Monthly Metrics'!$B:$B,L$8,'Data - Monthly Metrics'!$C:$C,"Southeast",'Data - Monthly Metrics'!$D:$D,"Goal - Retention %")&gt;0,L59&gt;=SUMIFS('Data - Monthly Metrics'!$E:$E,'Data - Monthly Metrics'!$A:$A,$B$4,'Data - Monthly Metrics'!$B:$B,L$8,'Data - Monthly Metrics'!$C:$C,"Southeast",'Data - Monthly Metrics'!$D:$D,"Goal - Retention %")-0.05)</formula>
    </cfRule>
    <cfRule type="expression" rank="0" priority="108" equalAverage="0" aboveAverage="0" dxfId="1" stopIfTrue="1" text="" percent="0" bottom="0">
      <formula>AND(ISNUMBER(L59),COUNTIFS('Data - Monthly Metrics'!$A:$A,$B$4,'Data - Monthly Metrics'!$B:$B,L$8,'Data - Monthly Metrics'!$C:$C,"Southeast",'Data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Metrics'!$C:$C,"Southeast",'Data - Monthly Metrics'!$D:$D,"Goal - Retention %")&gt;0,N59&gt;=SUMIFS('Data - Monthly Metrics'!$E:$E,'Data - Monthly Metrics'!$A:$A,$B$4,'Data - Monthly Metrics'!$B:$B,N$8,'Data - Monthly Metrics'!$C:$C,"Southeast",'Data - Monthly Metrics'!$D:$D,"Goal - Retention %"))</formula>
    </cfRule>
    <cfRule type="expression" rank="0" priority="110" equalAverage="0" aboveAverage="0" dxfId="2" stopIfTrue="1" text="" percent="0" bottom="0">
      <formula>AND(ISNUMBER(N59),COUNTIFS('Data - Monthly Metrics'!$A:$A,$B$4,'Data - Monthly Metrics'!$B:$B,N$8,'Data - Monthly Metrics'!$C:$C,"Southeast",'Data - Monthly Metrics'!$D:$D,"Goal - Retention %")&gt;0,N59&gt;=SUMIFS('Data - Monthly Metrics'!$E:$E,'Data - Monthly Metrics'!$A:$A,$B$4,'Data - Monthly Metrics'!$B:$B,N$8,'Data - Monthly Metrics'!$C:$C,"Southeast",'Data - Monthly Metrics'!$D:$D,"Goal - Retention %")-0.05)</formula>
    </cfRule>
    <cfRule type="expression" rank="0" priority="111" equalAverage="0" aboveAverage="0" dxfId="1" stopIfTrue="1" text="" percent="0" bottom="0">
      <formula>AND(ISNUMBER(N59),COUNTIFS('Data - Monthly Metrics'!$A:$A,$B$4,'Data - Monthly Metrics'!$B:$B,N$8,'Data - Monthly Metrics'!$C:$C,"Southeast",'Data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Metrics'!$C:$C,"Southeast",'Data - Monthly Metrics'!$D:$D,"Goal - Retention %")&gt;0,O59&gt;=SUMIFS('Data - Monthly Metrics'!$E:$E,'Data - Monthly Metrics'!$A:$A,$B$4,'Data - Monthly Metrics'!$B:$B,O$8,'Data - Monthly Metrics'!$C:$C,"Southeast",'Data - Monthly Metrics'!$D:$D,"Goal - Retention %"))</formula>
    </cfRule>
    <cfRule type="expression" rank="0" priority="113" equalAverage="0" aboveAverage="0" dxfId="2" stopIfTrue="1" text="" percent="0" bottom="0">
      <formula>AND(ISNUMBER(O59),COUNTIFS('Data - Monthly Metrics'!$A:$A,$B$4,'Data - Monthly Metrics'!$B:$B,O$8,'Data - Monthly Metrics'!$C:$C,"Southeast",'Data - Monthly Metrics'!$D:$D,"Goal - Retention %")&gt;0,O59&gt;=SUMIFS('Data - Monthly Metrics'!$E:$E,'Data - Monthly Metrics'!$A:$A,$B$4,'Data - Monthly Metrics'!$B:$B,O$8,'Data - Monthly Metrics'!$C:$C,"Southeast",'Data - Monthly Metrics'!$D:$D,"Goal - Retention %")-0.05)</formula>
    </cfRule>
    <cfRule type="expression" rank="0" priority="114" equalAverage="0" aboveAverage="0" dxfId="1" stopIfTrue="1" text="" percent="0" bottom="0">
      <formula>AND(ISNUMBER(O59),COUNTIFS('Data - Monthly Metrics'!$A:$A,$B$4,'Data - Monthly Metrics'!$B:$B,O$8,'Data - Monthly Metrics'!$C:$C,"Southeast",'Data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Metrics'!$C:$C,"Southeast",'Data - Monthly Metrics'!$D:$D,"Goal - Retention %")&gt;0,P59&gt;=SUMIFS('Data - Monthly Metrics'!$E:$E,'Data - Monthly Metrics'!$A:$A,$B$4,'Data - Monthly Metrics'!$B:$B,P$8,'Data - Monthly Metrics'!$C:$C,"Southeast",'Data - Monthly Metrics'!$D:$D,"Goal - Retention %"))</formula>
    </cfRule>
    <cfRule type="expression" rank="0" priority="116" equalAverage="0" aboveAverage="0" dxfId="2" stopIfTrue="1" text="" percent="0" bottom="0">
      <formula>AND(ISNUMBER(P59),COUNTIFS('Data - Monthly Metrics'!$A:$A,$B$4,'Data - Monthly Metrics'!$B:$B,P$8,'Data - Monthly Metrics'!$C:$C,"Southeast",'Data - Monthly Metrics'!$D:$D,"Goal - Retention %")&gt;0,P59&gt;=SUMIFS('Data - Monthly Metrics'!$E:$E,'Data - Monthly Metrics'!$A:$A,$B$4,'Data - Monthly Metrics'!$B:$B,P$8,'Data - Monthly Metrics'!$C:$C,"Southeast",'Data - Monthly Metrics'!$D:$D,"Goal - Retention %")-0.05)</formula>
    </cfRule>
    <cfRule type="expression" rank="0" priority="117" equalAverage="0" aboveAverage="0" dxfId="1" stopIfTrue="1" text="" percent="0" bottom="0">
      <formula>AND(ISNUMBER(P59),COUNTIFS('Data - Monthly Metrics'!$A:$A,$B$4,'Data - Monthly Metrics'!$B:$B,P$8,'Data - Monthly Metrics'!$C:$C,"Southeast",'Data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Metrics'!$C:$C,"Southeast",'Data - Monthly Metrics'!$D:$D,"Goal - Penetration %")&gt;0,B68&gt;=SUMIFS('Data - Monthly Metrics'!$E:$E,'Data - Monthly Metrics'!$A:$A,$B$4-1,'Data - Monthly Metrics'!$B:$B,B$8,'Data - Monthly Metrics'!$C:$C,"Southeast",'Data - Monthly Metrics'!$D:$D,"Goal - Penetration %"))</formula>
    </cfRule>
    <cfRule type="expression" rank="0" priority="119" equalAverage="0" aboveAverage="0" dxfId="2" stopIfTrue="1" text="" percent="0" bottom="0">
      <formula>AND(ISNUMBER(B68),COUNTIFS('Data - Monthly Metrics'!$A:$A,$B$4-1,'Data - Monthly Metrics'!$B:$B,B$8,'Data - Monthly Metrics'!$C:$C,"Southeast",'Data - Monthly Metrics'!$D:$D,"Goal - Penetration %")&gt;0,B68&gt;=SUMIFS('Data - Monthly Metrics'!$E:$E,'Data - Monthly Metrics'!$A:$A,$B$4-1,'Data - Monthly Metrics'!$B:$B,B$8,'Data - Monthly Metrics'!$C:$C,"Southeast",'Data - Monthly Metrics'!$D:$D,"Goal - Penetration %")-0.05)</formula>
    </cfRule>
    <cfRule type="expression" rank="0" priority="120" equalAverage="0" aboveAverage="0" dxfId="1" stopIfTrue="1" text="" percent="0" bottom="0">
      <formula>AND(ISNUMBER(B68),COUNTIFS('Data - Monthly Metrics'!$A:$A,$B$4-1,'Data - Monthly Metrics'!$B:$B,B$8,'Data - Monthly Metrics'!$C:$C,"Southeast",'Data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Metrics'!$C:$C,"Southeast",'Data - Monthly Metrics'!$D:$D,"Goal - Penetration %")&gt;0,C68&gt;=SUMIFS('Data - Monthly Metrics'!$E:$E,'Data - Monthly Metrics'!$A:$A,$B$4-1,'Data - Monthly Metrics'!$B:$B,C$8,'Data - Monthly Metrics'!$C:$C,"Southeast",'Data - Monthly Metrics'!$D:$D,"Goal - Penetration %"))</formula>
    </cfRule>
    <cfRule type="expression" rank="0" priority="122" equalAverage="0" aboveAverage="0" dxfId="2" stopIfTrue="1" text="" percent="0" bottom="0">
      <formula>AND(ISNUMBER(C68),COUNTIFS('Data - Monthly Metrics'!$A:$A,$B$4-1,'Data - Monthly Metrics'!$B:$B,C$8,'Data - Monthly Metrics'!$C:$C,"Southeast",'Data - Monthly Metrics'!$D:$D,"Goal - Penetration %")&gt;0,C68&gt;=SUMIFS('Data - Monthly Metrics'!$E:$E,'Data - Monthly Metrics'!$A:$A,$B$4-1,'Data - Monthly Metrics'!$B:$B,C$8,'Data - Monthly Metrics'!$C:$C,"Southeast",'Data - Monthly Metrics'!$D:$D,"Goal - Penetration %")-0.05)</formula>
    </cfRule>
    <cfRule type="expression" rank="0" priority="123" equalAverage="0" aboveAverage="0" dxfId="1" stopIfTrue="1" text="" percent="0" bottom="0">
      <formula>AND(ISNUMBER(C68),COUNTIFS('Data - Monthly Metrics'!$A:$A,$B$4-1,'Data - Monthly Metrics'!$B:$B,C$8,'Data - Monthly Metrics'!$C:$C,"Southeast",'Data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Metrics'!$C:$C,"Southeast",'Data - Monthly Metrics'!$D:$D,"Goal - Penetration %")&gt;0,D68&gt;=SUMIFS('Data - Monthly Metrics'!$E:$E,'Data - Monthly Metrics'!$A:$A,$B$4-1,'Data - Monthly Metrics'!$B:$B,D$8,'Data - Monthly Metrics'!$C:$C,"Southeast",'Data - Monthly Metrics'!$D:$D,"Goal - Penetration %"))</formula>
    </cfRule>
    <cfRule type="expression" rank="0" priority="125" equalAverage="0" aboveAverage="0" dxfId="2" stopIfTrue="1" text="" percent="0" bottom="0">
      <formula>AND(ISNUMBER(D68),COUNTIFS('Data - Monthly Metrics'!$A:$A,$B$4-1,'Data - Monthly Metrics'!$B:$B,D$8,'Data - Monthly Metrics'!$C:$C,"Southeast",'Data - Monthly Metrics'!$D:$D,"Goal - Penetration %")&gt;0,D68&gt;=SUMIFS('Data - Monthly Metrics'!$E:$E,'Data - Monthly Metrics'!$A:$A,$B$4-1,'Data - Monthly Metrics'!$B:$B,D$8,'Data - Monthly Metrics'!$C:$C,"Southeast",'Data - Monthly Metrics'!$D:$D,"Goal - Penetration %")-0.05)</formula>
    </cfRule>
    <cfRule type="expression" rank="0" priority="126" equalAverage="0" aboveAverage="0" dxfId="1" stopIfTrue="1" text="" percent="0" bottom="0">
      <formula>AND(ISNUMBER(D68),COUNTIFS('Data - Monthly Metrics'!$A:$A,$B$4-1,'Data - Monthly Metrics'!$B:$B,D$8,'Data - Monthly Metrics'!$C:$C,"Southeast",'Data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Metrics'!$C:$C,"Southeast",'Data - Monthly Metrics'!$D:$D,"Goal - Penetration %")&gt;0,F68&gt;=SUMIFS('Data - Monthly Metrics'!$E:$E,'Data - Monthly Metrics'!$A:$A,$B$4,'Data - Monthly Metrics'!$B:$B,F$8,'Data - Monthly Metrics'!$C:$C,"Southeast",'Data - Monthly Metrics'!$D:$D,"Goal - Penetration %"))</formula>
    </cfRule>
    <cfRule type="expression" rank="0" priority="128" equalAverage="0" aboveAverage="0" dxfId="2" stopIfTrue="1" text="" percent="0" bottom="0">
      <formula>AND(ISNUMBER(F68),COUNTIFS('Data - Monthly Metrics'!$A:$A,$B$4,'Data - Monthly Metrics'!$B:$B,F$8,'Data - Monthly Metrics'!$C:$C,"Southeast",'Data - Monthly Metrics'!$D:$D,"Goal - Penetration %")&gt;0,F68&gt;=SUMIFS('Data - Monthly Metrics'!$E:$E,'Data - Monthly Metrics'!$A:$A,$B$4,'Data - Monthly Metrics'!$B:$B,F$8,'Data - Monthly Metrics'!$C:$C,"Southeast",'Data - Monthly Metrics'!$D:$D,"Goal - Penetration %")-0.05)</formula>
    </cfRule>
    <cfRule type="expression" rank="0" priority="129" equalAverage="0" aboveAverage="0" dxfId="1" stopIfTrue="1" text="" percent="0" bottom="0">
      <formula>AND(ISNUMBER(F68),COUNTIFS('Data - Monthly Metrics'!$A:$A,$B$4,'Data - Monthly Metrics'!$B:$B,F$8,'Data - Monthly Metrics'!$C:$C,"Southeast",'Data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Metrics'!$C:$C,"Southeast",'Data - Monthly Metrics'!$D:$D,"Goal - Penetration %")&gt;0,G68&gt;=SUMIFS('Data - Monthly Metrics'!$E:$E,'Data - Monthly Metrics'!$A:$A,$B$4,'Data - Monthly Metrics'!$B:$B,G$8,'Data - Monthly Metrics'!$C:$C,"Southeast",'Data - Monthly Metrics'!$D:$D,"Goal - Penetration %"))</formula>
    </cfRule>
    <cfRule type="expression" rank="0" priority="131" equalAverage="0" aboveAverage="0" dxfId="2" stopIfTrue="1" text="" percent="0" bottom="0">
      <formula>AND(ISNUMBER(G68),COUNTIFS('Data - Monthly Metrics'!$A:$A,$B$4,'Data - Monthly Metrics'!$B:$B,G$8,'Data - Monthly Metrics'!$C:$C,"Southeast",'Data - Monthly Metrics'!$D:$D,"Goal - Penetration %")&gt;0,G68&gt;=SUMIFS('Data - Monthly Metrics'!$E:$E,'Data - Monthly Metrics'!$A:$A,$B$4,'Data - Monthly Metrics'!$B:$B,G$8,'Data - Monthly Metrics'!$C:$C,"Southeast",'Data - Monthly Metrics'!$D:$D,"Goal - Penetration %")-0.05)</formula>
    </cfRule>
    <cfRule type="expression" rank="0" priority="132" equalAverage="0" aboveAverage="0" dxfId="1" stopIfTrue="1" text="" percent="0" bottom="0">
      <formula>AND(ISNUMBER(G68),COUNTIFS('Data - Monthly Metrics'!$A:$A,$B$4,'Data - Monthly Metrics'!$B:$B,G$8,'Data - Monthly Metrics'!$C:$C,"Southeast",'Data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Metrics'!$C:$C,"Southeast",'Data - Monthly Metrics'!$D:$D,"Goal - Penetration %")&gt;0,H68&gt;=SUMIFS('Data - Monthly Metrics'!$E:$E,'Data - Monthly Metrics'!$A:$A,$B$4,'Data - Monthly Metrics'!$B:$B,H$8,'Data - Monthly Metrics'!$C:$C,"Southeast",'Data - Monthly Metrics'!$D:$D,"Goal - Penetration %"))</formula>
    </cfRule>
    <cfRule type="expression" rank="0" priority="134" equalAverage="0" aboveAverage="0" dxfId="2" stopIfTrue="1" text="" percent="0" bottom="0">
      <formula>AND(ISNUMBER(H68),COUNTIFS('Data - Monthly Metrics'!$A:$A,$B$4,'Data - Monthly Metrics'!$B:$B,H$8,'Data - Monthly Metrics'!$C:$C,"Southeast",'Data - Monthly Metrics'!$D:$D,"Goal - Penetration %")&gt;0,H68&gt;=SUMIFS('Data - Monthly Metrics'!$E:$E,'Data - Monthly Metrics'!$A:$A,$B$4,'Data - Monthly Metrics'!$B:$B,H$8,'Data - Monthly Metrics'!$C:$C,"Southeast",'Data - Monthly Metrics'!$D:$D,"Goal - Penetration %")-0.05)</formula>
    </cfRule>
    <cfRule type="expression" rank="0" priority="135" equalAverage="0" aboveAverage="0" dxfId="1" stopIfTrue="1" text="" percent="0" bottom="0">
      <formula>AND(ISNUMBER(H68),COUNTIFS('Data - Monthly Metrics'!$A:$A,$B$4,'Data - Monthly Metrics'!$B:$B,H$8,'Data - Monthly Metrics'!$C:$C,"Southeast",'Data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Metrics'!$C:$C,"Southeast",'Data - Monthly Metrics'!$D:$D,"Goal - Penetration %")&gt;0,J68&gt;=SUMIFS('Data - Monthly Metrics'!$E:$E,'Data - Monthly Metrics'!$A:$A,$B$4,'Data - Monthly Metrics'!$B:$B,J$8,'Data - Monthly Metrics'!$C:$C,"Southeast",'Data - Monthly Metrics'!$D:$D,"Goal - Penetration %"))</formula>
    </cfRule>
    <cfRule type="expression" rank="0" priority="137" equalAverage="0" aboveAverage="0" dxfId="2" stopIfTrue="1" text="" percent="0" bottom="0">
      <formula>AND(ISNUMBER(J68),COUNTIFS('Data - Monthly Metrics'!$A:$A,$B$4,'Data - Monthly Metrics'!$B:$B,J$8,'Data - Monthly Metrics'!$C:$C,"Southeast",'Data - Monthly Metrics'!$D:$D,"Goal - Penetration %")&gt;0,J68&gt;=SUMIFS('Data - Monthly Metrics'!$E:$E,'Data - Monthly Metrics'!$A:$A,$B$4,'Data - Monthly Metrics'!$B:$B,J$8,'Data - Monthly Metrics'!$C:$C,"Southeast",'Data - Monthly Metrics'!$D:$D,"Goal - Penetration %")-0.05)</formula>
    </cfRule>
    <cfRule type="expression" rank="0" priority="138" equalAverage="0" aboveAverage="0" dxfId="1" stopIfTrue="1" text="" percent="0" bottom="0">
      <formula>AND(ISNUMBER(J68),COUNTIFS('Data - Monthly Metrics'!$A:$A,$B$4,'Data - Monthly Metrics'!$B:$B,J$8,'Data - Monthly Metrics'!$C:$C,"Southeast",'Data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Metrics'!$C:$C,"Southeast",'Data - Monthly Metrics'!$D:$D,"Goal - Penetration %")&gt;0,K68&gt;=SUMIFS('Data - Monthly Metrics'!$E:$E,'Data - Monthly Metrics'!$A:$A,$B$4,'Data - Monthly Metrics'!$B:$B,K$8,'Data - Monthly Metrics'!$C:$C,"Southeast",'Data - Monthly Metrics'!$D:$D,"Goal - Penetration %"))</formula>
    </cfRule>
    <cfRule type="expression" rank="0" priority="140" equalAverage="0" aboveAverage="0" dxfId="2" stopIfTrue="1" text="" percent="0" bottom="0">
      <formula>AND(ISNUMBER(K68),COUNTIFS('Data - Monthly Metrics'!$A:$A,$B$4,'Data - Monthly Metrics'!$B:$B,K$8,'Data - Monthly Metrics'!$C:$C,"Southeast",'Data - Monthly Metrics'!$D:$D,"Goal - Penetration %")&gt;0,K68&gt;=SUMIFS('Data - Monthly Metrics'!$E:$E,'Data - Monthly Metrics'!$A:$A,$B$4,'Data - Monthly Metrics'!$B:$B,K$8,'Data - Monthly Metrics'!$C:$C,"Southeast",'Data - Monthly Metrics'!$D:$D,"Goal - Penetration %")-0.05)</formula>
    </cfRule>
    <cfRule type="expression" rank="0" priority="141" equalAverage="0" aboveAverage="0" dxfId="1" stopIfTrue="1" text="" percent="0" bottom="0">
      <formula>AND(ISNUMBER(K68),COUNTIFS('Data - Monthly Metrics'!$A:$A,$B$4,'Data - Monthly Metrics'!$B:$B,K$8,'Data - Monthly Metrics'!$C:$C,"Southeast",'Data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Metrics'!$C:$C,"Southeast",'Data - Monthly Metrics'!$D:$D,"Goal - Penetration %")&gt;0,L68&gt;=SUMIFS('Data - Monthly Metrics'!$E:$E,'Data - Monthly Metrics'!$A:$A,$B$4,'Data - Monthly Metrics'!$B:$B,L$8,'Data - Monthly Metrics'!$C:$C,"Southeast",'Data - Monthly Metrics'!$D:$D,"Goal - Penetration %"))</formula>
    </cfRule>
    <cfRule type="expression" rank="0" priority="143" equalAverage="0" aboveAverage="0" dxfId="2" stopIfTrue="1" text="" percent="0" bottom="0">
      <formula>AND(ISNUMBER(L68),COUNTIFS('Data - Monthly Metrics'!$A:$A,$B$4,'Data - Monthly Metrics'!$B:$B,L$8,'Data - Monthly Metrics'!$C:$C,"Southeast",'Data - Monthly Metrics'!$D:$D,"Goal - Penetration %")&gt;0,L68&gt;=SUMIFS('Data - Monthly Metrics'!$E:$E,'Data - Monthly Metrics'!$A:$A,$B$4,'Data - Monthly Metrics'!$B:$B,L$8,'Data - Monthly Metrics'!$C:$C,"Southeast",'Data - Monthly Metrics'!$D:$D,"Goal - Penetration %")-0.05)</formula>
    </cfRule>
    <cfRule type="expression" rank="0" priority="144" equalAverage="0" aboveAverage="0" dxfId="1" stopIfTrue="1" text="" percent="0" bottom="0">
      <formula>AND(ISNUMBER(L68),COUNTIFS('Data - Monthly Metrics'!$A:$A,$B$4,'Data - Monthly Metrics'!$B:$B,L$8,'Data - Monthly Metrics'!$C:$C,"Southeast",'Data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Metrics'!$C:$C,"Southeast",'Data - Monthly Metrics'!$D:$D,"Goal - Penetration %")&gt;0,N68&gt;=SUMIFS('Data - Monthly Metrics'!$E:$E,'Data - Monthly Metrics'!$A:$A,$B$4,'Data - Monthly Metrics'!$B:$B,N$8,'Data - Monthly Metrics'!$C:$C,"Southeast",'Data - Monthly Metrics'!$D:$D,"Goal - Penetration %"))</formula>
    </cfRule>
    <cfRule type="expression" rank="0" priority="146" equalAverage="0" aboveAverage="0" dxfId="2" stopIfTrue="1" text="" percent="0" bottom="0">
      <formula>AND(ISNUMBER(N68),COUNTIFS('Data - Monthly Metrics'!$A:$A,$B$4,'Data - Monthly Metrics'!$B:$B,N$8,'Data - Monthly Metrics'!$C:$C,"Southeast",'Data - Monthly Metrics'!$D:$D,"Goal - Penetration %")&gt;0,N68&gt;=SUMIFS('Data - Monthly Metrics'!$E:$E,'Data - Monthly Metrics'!$A:$A,$B$4,'Data - Monthly Metrics'!$B:$B,N$8,'Data - Monthly Metrics'!$C:$C,"Southeast",'Data - Monthly Metrics'!$D:$D,"Goal - Penetration %")-0.05)</formula>
    </cfRule>
    <cfRule type="expression" rank="0" priority="147" equalAverage="0" aboveAverage="0" dxfId="1" stopIfTrue="1" text="" percent="0" bottom="0">
      <formula>AND(ISNUMBER(N68),COUNTIFS('Data - Monthly Metrics'!$A:$A,$B$4,'Data - Monthly Metrics'!$B:$B,N$8,'Data - Monthly Metrics'!$C:$C,"Southeast",'Data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Metrics'!$C:$C,"Southeast",'Data - Monthly Metrics'!$D:$D,"Goal - Penetration %")&gt;0,O68&gt;=SUMIFS('Data - Monthly Metrics'!$E:$E,'Data - Monthly Metrics'!$A:$A,$B$4,'Data - Monthly Metrics'!$B:$B,O$8,'Data - Monthly Metrics'!$C:$C,"Southeast",'Data - Monthly Metrics'!$D:$D,"Goal - Penetration %"))</formula>
    </cfRule>
    <cfRule type="expression" rank="0" priority="149" equalAverage="0" aboveAverage="0" dxfId="2" stopIfTrue="1" text="" percent="0" bottom="0">
      <formula>AND(ISNUMBER(O68),COUNTIFS('Data - Monthly Metrics'!$A:$A,$B$4,'Data - Monthly Metrics'!$B:$B,O$8,'Data - Monthly Metrics'!$C:$C,"Southeast",'Data - Monthly Metrics'!$D:$D,"Goal - Penetration %")&gt;0,O68&gt;=SUMIFS('Data - Monthly Metrics'!$E:$E,'Data - Monthly Metrics'!$A:$A,$B$4,'Data - Monthly Metrics'!$B:$B,O$8,'Data - Monthly Metrics'!$C:$C,"Southeast",'Data - Monthly Metrics'!$D:$D,"Goal - Penetration %")-0.05)</formula>
    </cfRule>
    <cfRule type="expression" rank="0" priority="150" equalAverage="0" aboveAverage="0" dxfId="1" stopIfTrue="1" text="" percent="0" bottom="0">
      <formula>AND(ISNUMBER(O68),COUNTIFS('Data - Monthly Metrics'!$A:$A,$B$4,'Data - Monthly Metrics'!$B:$B,O$8,'Data - Monthly Metrics'!$C:$C,"Southeast",'Data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Metrics'!$C:$C,"Southeast",'Data - Monthly Metrics'!$D:$D,"Goal - Penetration %")&gt;0,P68&gt;=SUMIFS('Data - Monthly Metrics'!$E:$E,'Data - Monthly Metrics'!$A:$A,$B$4,'Data - Monthly Metrics'!$B:$B,P$8,'Data - Monthly Metrics'!$C:$C,"Southeast",'Data - Monthly Metrics'!$D:$D,"Goal - Penetration %"))</formula>
    </cfRule>
    <cfRule type="expression" rank="0" priority="152" equalAverage="0" aboveAverage="0" dxfId="2" stopIfTrue="1" text="" percent="0" bottom="0">
      <formula>AND(ISNUMBER(P68),COUNTIFS('Data - Monthly Metrics'!$A:$A,$B$4,'Data - Monthly Metrics'!$B:$B,P$8,'Data - Monthly Metrics'!$C:$C,"Southeast",'Data - Monthly Metrics'!$D:$D,"Goal - Penetration %")&gt;0,P68&gt;=SUMIFS('Data - Monthly Metrics'!$E:$E,'Data - Monthly Metrics'!$A:$A,$B$4,'Data - Monthly Metrics'!$B:$B,P$8,'Data - Monthly Metrics'!$C:$C,"Southeast",'Data - Monthly Metrics'!$D:$D,"Goal - Penetration %")-0.05)</formula>
    </cfRule>
    <cfRule type="expression" rank="0" priority="153" equalAverage="0" aboveAverage="0" dxfId="1" stopIfTrue="1" text="" percent="0" bottom="0">
      <formula>AND(ISNUMBER(P68),COUNTIFS('Data - Monthly Metrics'!$A:$A,$B$4,'Data - Monthly Metrics'!$B:$B,P$8,'Data - Monthly Metrics'!$C:$C,"Southeast",'Data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Metrics'!$C:$C,"Southeast",'Data - Monthly Metrics'!$D:$D,"Goal - Penetration %")&gt;0,B69&gt;=SUMIFS('Data - Monthly Metrics'!$E:$E,'Data - Monthly Metrics'!$A:$A,$B$4-1,'Data - Monthly Metrics'!$B:$B,B$8,'Data - Monthly Metrics'!$C:$C,"Southeast",'Data - Monthly Metrics'!$D:$D,"Goal - Penetration %"))</formula>
    </cfRule>
    <cfRule type="expression" rank="0" priority="155" equalAverage="0" aboveAverage="0" dxfId="2" stopIfTrue="1" text="" percent="0" bottom="0">
      <formula>AND(ISNUMBER(B69),COUNTIFS('Data - Monthly Metrics'!$A:$A,$B$4-1,'Data - Monthly Metrics'!$B:$B,B$8,'Data - Monthly Metrics'!$C:$C,"Southeast",'Data - Monthly Metrics'!$D:$D,"Goal - Penetration %")&gt;0,B69&gt;=SUMIFS('Data - Monthly Metrics'!$E:$E,'Data - Monthly Metrics'!$A:$A,$B$4-1,'Data - Monthly Metrics'!$B:$B,B$8,'Data - Monthly Metrics'!$C:$C,"Southeast",'Data - Monthly Metrics'!$D:$D,"Goal - Penetration %")-0.05)</formula>
    </cfRule>
    <cfRule type="expression" rank="0" priority="156" equalAverage="0" aboveAverage="0" dxfId="1" stopIfTrue="1" text="" percent="0" bottom="0">
      <formula>AND(ISNUMBER(B69),COUNTIFS('Data - Monthly Metrics'!$A:$A,$B$4-1,'Data - Monthly Metrics'!$B:$B,B$8,'Data - Monthly Metrics'!$C:$C,"Southeast",'Data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Metrics'!$C:$C,"Southeast",'Data - Monthly Metrics'!$D:$D,"Goal - Penetration %")&gt;0,C69&gt;=SUMIFS('Data - Monthly Metrics'!$E:$E,'Data - Monthly Metrics'!$A:$A,$B$4-1,'Data - Monthly Metrics'!$B:$B,C$8,'Data - Monthly Metrics'!$C:$C,"Southeast",'Data - Monthly Metrics'!$D:$D,"Goal - Penetration %"))</formula>
    </cfRule>
    <cfRule type="expression" rank="0" priority="158" equalAverage="0" aboveAverage="0" dxfId="2" stopIfTrue="1" text="" percent="0" bottom="0">
      <formula>AND(ISNUMBER(C69),COUNTIFS('Data - Monthly Metrics'!$A:$A,$B$4-1,'Data - Monthly Metrics'!$B:$B,C$8,'Data - Monthly Metrics'!$C:$C,"Southeast",'Data - Monthly Metrics'!$D:$D,"Goal - Penetration %")&gt;0,C69&gt;=SUMIFS('Data - Monthly Metrics'!$E:$E,'Data - Monthly Metrics'!$A:$A,$B$4-1,'Data - Monthly Metrics'!$B:$B,C$8,'Data - Monthly Metrics'!$C:$C,"Southeast",'Data - Monthly Metrics'!$D:$D,"Goal - Penetration %")-0.05)</formula>
    </cfRule>
    <cfRule type="expression" rank="0" priority="159" equalAverage="0" aboveAverage="0" dxfId="1" stopIfTrue="1" text="" percent="0" bottom="0">
      <formula>AND(ISNUMBER(C69),COUNTIFS('Data - Monthly Metrics'!$A:$A,$B$4-1,'Data - Monthly Metrics'!$B:$B,C$8,'Data - Monthly Metrics'!$C:$C,"Southeast",'Data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Metrics'!$C:$C,"Southeast",'Data - Monthly Metrics'!$D:$D,"Goal - Penetration %")&gt;0,D69&gt;=SUMIFS('Data - Monthly Metrics'!$E:$E,'Data - Monthly Metrics'!$A:$A,$B$4-1,'Data - Monthly Metrics'!$B:$B,D$8,'Data - Monthly Metrics'!$C:$C,"Southeast",'Data - Monthly Metrics'!$D:$D,"Goal - Penetration %"))</formula>
    </cfRule>
    <cfRule type="expression" rank="0" priority="161" equalAverage="0" aboveAverage="0" dxfId="2" stopIfTrue="1" text="" percent="0" bottom="0">
      <formula>AND(ISNUMBER(D69),COUNTIFS('Data - Monthly Metrics'!$A:$A,$B$4-1,'Data - Monthly Metrics'!$B:$B,D$8,'Data - Monthly Metrics'!$C:$C,"Southeast",'Data - Monthly Metrics'!$D:$D,"Goal - Penetration %")&gt;0,D69&gt;=SUMIFS('Data - Monthly Metrics'!$E:$E,'Data - Monthly Metrics'!$A:$A,$B$4-1,'Data - Monthly Metrics'!$B:$B,D$8,'Data - Monthly Metrics'!$C:$C,"Southeast",'Data - Monthly Metrics'!$D:$D,"Goal - Penetration %")-0.05)</formula>
    </cfRule>
    <cfRule type="expression" rank="0" priority="162" equalAverage="0" aboveAverage="0" dxfId="1" stopIfTrue="1" text="" percent="0" bottom="0">
      <formula>AND(ISNUMBER(D69),COUNTIFS('Data - Monthly Metrics'!$A:$A,$B$4-1,'Data - Monthly Metrics'!$B:$B,D$8,'Data - Monthly Metrics'!$C:$C,"Southeast",'Data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Metrics'!$C:$C,"Southeast",'Data - Monthly Metrics'!$D:$D,"Goal - Penetration %")&gt;0,F69&gt;=SUMIFS('Data - Monthly Metrics'!$E:$E,'Data - Monthly Metrics'!$A:$A,$B$4,'Data - Monthly Metrics'!$B:$B,F$8,'Data - Monthly Metrics'!$C:$C,"Southeast",'Data - Monthly Metrics'!$D:$D,"Goal - Penetration %"))</formula>
    </cfRule>
    <cfRule type="expression" rank="0" priority="164" equalAverage="0" aboveAverage="0" dxfId="2" stopIfTrue="1" text="" percent="0" bottom="0">
      <formula>AND(ISNUMBER(F69),COUNTIFS('Data - Monthly Metrics'!$A:$A,$B$4,'Data - Monthly Metrics'!$B:$B,F$8,'Data - Monthly Metrics'!$C:$C,"Southeast",'Data - Monthly Metrics'!$D:$D,"Goal - Penetration %")&gt;0,F69&gt;=SUMIFS('Data - Monthly Metrics'!$E:$E,'Data - Monthly Metrics'!$A:$A,$B$4,'Data - Monthly Metrics'!$B:$B,F$8,'Data - Monthly Metrics'!$C:$C,"Southeast",'Data - Monthly Metrics'!$D:$D,"Goal - Penetration %")-0.05)</formula>
    </cfRule>
    <cfRule type="expression" rank="0" priority="165" equalAverage="0" aboveAverage="0" dxfId="1" stopIfTrue="1" text="" percent="0" bottom="0">
      <formula>AND(ISNUMBER(F69),COUNTIFS('Data - Monthly Metrics'!$A:$A,$B$4,'Data - Monthly Metrics'!$B:$B,F$8,'Data - Monthly Metrics'!$C:$C,"Southeast",'Data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Metrics'!$C:$C,"Southeast",'Data - Monthly Metrics'!$D:$D,"Goal - Penetration %")&gt;0,G69&gt;=SUMIFS('Data - Monthly Metrics'!$E:$E,'Data - Monthly Metrics'!$A:$A,$B$4,'Data - Monthly Metrics'!$B:$B,G$8,'Data - Monthly Metrics'!$C:$C,"Southeast",'Data - Monthly Metrics'!$D:$D,"Goal - Penetration %"))</formula>
    </cfRule>
    <cfRule type="expression" rank="0" priority="167" equalAverage="0" aboveAverage="0" dxfId="2" stopIfTrue="1" text="" percent="0" bottom="0">
      <formula>AND(ISNUMBER(G69),COUNTIFS('Data - Monthly Metrics'!$A:$A,$B$4,'Data - Monthly Metrics'!$B:$B,G$8,'Data - Monthly Metrics'!$C:$C,"Southeast",'Data - Monthly Metrics'!$D:$D,"Goal - Penetration %")&gt;0,G69&gt;=SUMIFS('Data - Monthly Metrics'!$E:$E,'Data - Monthly Metrics'!$A:$A,$B$4,'Data - Monthly Metrics'!$B:$B,G$8,'Data - Monthly Metrics'!$C:$C,"Southeast",'Data - Monthly Metrics'!$D:$D,"Goal - Penetration %")-0.05)</formula>
    </cfRule>
    <cfRule type="expression" rank="0" priority="168" equalAverage="0" aboveAverage="0" dxfId="1" stopIfTrue="1" text="" percent="0" bottom="0">
      <formula>AND(ISNUMBER(G69),COUNTIFS('Data - Monthly Metrics'!$A:$A,$B$4,'Data - Monthly Metrics'!$B:$B,G$8,'Data - Monthly Metrics'!$C:$C,"Southeast",'Data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Metrics'!$C:$C,"Southeast",'Data - Monthly Metrics'!$D:$D,"Goal - Penetration %")&gt;0,H69&gt;=SUMIFS('Data - Monthly Metrics'!$E:$E,'Data - Monthly Metrics'!$A:$A,$B$4,'Data - Monthly Metrics'!$B:$B,H$8,'Data - Monthly Metrics'!$C:$C,"Southeast",'Data - Monthly Metrics'!$D:$D,"Goal - Penetration %"))</formula>
    </cfRule>
    <cfRule type="expression" rank="0" priority="170" equalAverage="0" aboveAverage="0" dxfId="2" stopIfTrue="1" text="" percent="0" bottom="0">
      <formula>AND(ISNUMBER(H69),COUNTIFS('Data - Monthly Metrics'!$A:$A,$B$4,'Data - Monthly Metrics'!$B:$B,H$8,'Data - Monthly Metrics'!$C:$C,"Southeast",'Data - Monthly Metrics'!$D:$D,"Goal - Penetration %")&gt;0,H69&gt;=SUMIFS('Data - Monthly Metrics'!$E:$E,'Data - Monthly Metrics'!$A:$A,$B$4,'Data - Monthly Metrics'!$B:$B,H$8,'Data - Monthly Metrics'!$C:$C,"Southeast",'Data - Monthly Metrics'!$D:$D,"Goal - Penetration %")-0.05)</formula>
    </cfRule>
    <cfRule type="expression" rank="0" priority="171" equalAverage="0" aboveAverage="0" dxfId="1" stopIfTrue="1" text="" percent="0" bottom="0">
      <formula>AND(ISNUMBER(H69),COUNTIFS('Data - Monthly Metrics'!$A:$A,$B$4,'Data - Monthly Metrics'!$B:$B,H$8,'Data - Monthly Metrics'!$C:$C,"Southeast",'Data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Metrics'!$C:$C,"Southeast",'Data - Monthly Metrics'!$D:$D,"Goal - Penetration %")&gt;0,J69&gt;=SUMIFS('Data - Monthly Metrics'!$E:$E,'Data - Monthly Metrics'!$A:$A,$B$4,'Data - Monthly Metrics'!$B:$B,J$8,'Data - Monthly Metrics'!$C:$C,"Southeast",'Data - Monthly Metrics'!$D:$D,"Goal - Penetration %"))</formula>
    </cfRule>
    <cfRule type="expression" rank="0" priority="173" equalAverage="0" aboveAverage="0" dxfId="2" stopIfTrue="1" text="" percent="0" bottom="0">
      <formula>AND(ISNUMBER(J69),COUNTIFS('Data - Monthly Metrics'!$A:$A,$B$4,'Data - Monthly Metrics'!$B:$B,J$8,'Data - Monthly Metrics'!$C:$C,"Southeast",'Data - Monthly Metrics'!$D:$D,"Goal - Penetration %")&gt;0,J69&gt;=SUMIFS('Data - Monthly Metrics'!$E:$E,'Data - Monthly Metrics'!$A:$A,$B$4,'Data - Monthly Metrics'!$B:$B,J$8,'Data - Monthly Metrics'!$C:$C,"Southeast",'Data - Monthly Metrics'!$D:$D,"Goal - Penetration %")-0.05)</formula>
    </cfRule>
    <cfRule type="expression" rank="0" priority="174" equalAverage="0" aboveAverage="0" dxfId="1" stopIfTrue="1" text="" percent="0" bottom="0">
      <formula>AND(ISNUMBER(J69),COUNTIFS('Data - Monthly Metrics'!$A:$A,$B$4,'Data - Monthly Metrics'!$B:$B,J$8,'Data - Monthly Metrics'!$C:$C,"Southeast",'Data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Metrics'!$C:$C,"Southeast",'Data - Monthly Metrics'!$D:$D,"Goal - Penetration %")&gt;0,K69&gt;=SUMIFS('Data - Monthly Metrics'!$E:$E,'Data - Monthly Metrics'!$A:$A,$B$4,'Data - Monthly Metrics'!$B:$B,K$8,'Data - Monthly Metrics'!$C:$C,"Southeast",'Data - Monthly Metrics'!$D:$D,"Goal - Penetration %"))</formula>
    </cfRule>
    <cfRule type="expression" rank="0" priority="176" equalAverage="0" aboveAverage="0" dxfId="2" stopIfTrue="1" text="" percent="0" bottom="0">
      <formula>AND(ISNUMBER(K69),COUNTIFS('Data - Monthly Metrics'!$A:$A,$B$4,'Data - Monthly Metrics'!$B:$B,K$8,'Data - Monthly Metrics'!$C:$C,"Southeast",'Data - Monthly Metrics'!$D:$D,"Goal - Penetration %")&gt;0,K69&gt;=SUMIFS('Data - Monthly Metrics'!$E:$E,'Data - Monthly Metrics'!$A:$A,$B$4,'Data - Monthly Metrics'!$B:$B,K$8,'Data - Monthly Metrics'!$C:$C,"Southeast",'Data - Monthly Metrics'!$D:$D,"Goal - Penetration %")-0.05)</formula>
    </cfRule>
    <cfRule type="expression" rank="0" priority="177" equalAverage="0" aboveAverage="0" dxfId="1" stopIfTrue="1" text="" percent="0" bottom="0">
      <formula>AND(ISNUMBER(K69),COUNTIFS('Data - Monthly Metrics'!$A:$A,$B$4,'Data - Monthly Metrics'!$B:$B,K$8,'Data - Monthly Metrics'!$C:$C,"Southeast",'Data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Metrics'!$C:$C,"Southeast",'Data - Monthly Metrics'!$D:$D,"Goal - Penetration %")&gt;0,L69&gt;=SUMIFS('Data - Monthly Metrics'!$E:$E,'Data - Monthly Metrics'!$A:$A,$B$4,'Data - Monthly Metrics'!$B:$B,L$8,'Data - Monthly Metrics'!$C:$C,"Southeast",'Data - Monthly Metrics'!$D:$D,"Goal - Penetration %"))</formula>
    </cfRule>
    <cfRule type="expression" rank="0" priority="179" equalAverage="0" aboveAverage="0" dxfId="2" stopIfTrue="1" text="" percent="0" bottom="0">
      <formula>AND(ISNUMBER(L69),COUNTIFS('Data - Monthly Metrics'!$A:$A,$B$4,'Data - Monthly Metrics'!$B:$B,L$8,'Data - Monthly Metrics'!$C:$C,"Southeast",'Data - Monthly Metrics'!$D:$D,"Goal - Penetration %")&gt;0,L69&gt;=SUMIFS('Data - Monthly Metrics'!$E:$E,'Data - Monthly Metrics'!$A:$A,$B$4,'Data - Monthly Metrics'!$B:$B,L$8,'Data - Monthly Metrics'!$C:$C,"Southeast",'Data - Monthly Metrics'!$D:$D,"Goal - Penetration %")-0.05)</formula>
    </cfRule>
    <cfRule type="expression" rank="0" priority="180" equalAverage="0" aboveAverage="0" dxfId="1" stopIfTrue="1" text="" percent="0" bottom="0">
      <formula>AND(ISNUMBER(L69),COUNTIFS('Data - Monthly Metrics'!$A:$A,$B$4,'Data - Monthly Metrics'!$B:$B,L$8,'Data - Monthly Metrics'!$C:$C,"Southeast",'Data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Metrics'!$C:$C,"Southeast",'Data - Monthly Metrics'!$D:$D,"Goal - Penetration %")&gt;0,N69&gt;=SUMIFS('Data - Monthly Metrics'!$E:$E,'Data - Monthly Metrics'!$A:$A,$B$4,'Data - Monthly Metrics'!$B:$B,N$8,'Data - Monthly Metrics'!$C:$C,"Southeast",'Data - Monthly Metrics'!$D:$D,"Goal - Penetration %"))</formula>
    </cfRule>
    <cfRule type="expression" rank="0" priority="182" equalAverage="0" aboveAverage="0" dxfId="2" stopIfTrue="1" text="" percent="0" bottom="0">
      <formula>AND(ISNUMBER(N69),COUNTIFS('Data - Monthly Metrics'!$A:$A,$B$4,'Data - Monthly Metrics'!$B:$B,N$8,'Data - Monthly Metrics'!$C:$C,"Southeast",'Data - Monthly Metrics'!$D:$D,"Goal - Penetration %")&gt;0,N69&gt;=SUMIFS('Data - Monthly Metrics'!$E:$E,'Data - Monthly Metrics'!$A:$A,$B$4,'Data - Monthly Metrics'!$B:$B,N$8,'Data - Monthly Metrics'!$C:$C,"Southeast",'Data - Monthly Metrics'!$D:$D,"Goal - Penetration %")-0.05)</formula>
    </cfRule>
    <cfRule type="expression" rank="0" priority="183" equalAverage="0" aboveAverage="0" dxfId="1" stopIfTrue="1" text="" percent="0" bottom="0">
      <formula>AND(ISNUMBER(N69),COUNTIFS('Data - Monthly Metrics'!$A:$A,$B$4,'Data - Monthly Metrics'!$B:$B,N$8,'Data - Monthly Metrics'!$C:$C,"Southeast",'Data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Metrics'!$C:$C,"Southeast",'Data - Monthly Metrics'!$D:$D,"Goal - Penetration %")&gt;0,O69&gt;=SUMIFS('Data - Monthly Metrics'!$E:$E,'Data - Monthly Metrics'!$A:$A,$B$4,'Data - Monthly Metrics'!$B:$B,O$8,'Data - Monthly Metrics'!$C:$C,"Southeast",'Data - Monthly Metrics'!$D:$D,"Goal - Penetration %"))</formula>
    </cfRule>
    <cfRule type="expression" rank="0" priority="185" equalAverage="0" aboveAverage="0" dxfId="2" stopIfTrue="1" text="" percent="0" bottom="0">
      <formula>AND(ISNUMBER(O69),COUNTIFS('Data - Monthly Metrics'!$A:$A,$B$4,'Data - Monthly Metrics'!$B:$B,O$8,'Data - Monthly Metrics'!$C:$C,"Southeast",'Data - Monthly Metrics'!$D:$D,"Goal - Penetration %")&gt;0,O69&gt;=SUMIFS('Data - Monthly Metrics'!$E:$E,'Data - Monthly Metrics'!$A:$A,$B$4,'Data - Monthly Metrics'!$B:$B,O$8,'Data - Monthly Metrics'!$C:$C,"Southeast",'Data - Monthly Metrics'!$D:$D,"Goal - Penetration %")-0.05)</formula>
    </cfRule>
    <cfRule type="expression" rank="0" priority="186" equalAverage="0" aboveAverage="0" dxfId="1" stopIfTrue="1" text="" percent="0" bottom="0">
      <formula>AND(ISNUMBER(O69),COUNTIFS('Data - Monthly Metrics'!$A:$A,$B$4,'Data - Monthly Metrics'!$B:$B,O$8,'Data - Monthly Metrics'!$C:$C,"Southeast",'Data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Metrics'!$C:$C,"Southeast",'Data - Monthly Metrics'!$D:$D,"Goal - Penetration %")&gt;0,P69&gt;=SUMIFS('Data - Monthly Metrics'!$E:$E,'Data - Monthly Metrics'!$A:$A,$B$4,'Data - Monthly Metrics'!$B:$B,P$8,'Data - Monthly Metrics'!$C:$C,"Southeast",'Data - Monthly Metrics'!$D:$D,"Goal - Penetration %"))</formula>
    </cfRule>
    <cfRule type="expression" rank="0" priority="188" equalAverage="0" aboveAverage="0" dxfId="2" stopIfTrue="1" text="" percent="0" bottom="0">
      <formula>AND(ISNUMBER(P69),COUNTIFS('Data - Monthly Metrics'!$A:$A,$B$4,'Data - Monthly Metrics'!$B:$B,P$8,'Data - Monthly Metrics'!$C:$C,"Southeast",'Data - Monthly Metrics'!$D:$D,"Goal - Penetration %")&gt;0,P69&gt;=SUMIFS('Data - Monthly Metrics'!$E:$E,'Data - Monthly Metrics'!$A:$A,$B$4,'Data - Monthly Metrics'!$B:$B,P$8,'Data - Monthly Metrics'!$C:$C,"Southeast",'Data - Monthly Metrics'!$D:$D,"Goal - Penetration %")-0.05)</formula>
    </cfRule>
    <cfRule type="expression" rank="0" priority="189" equalAverage="0" aboveAverage="0" dxfId="1" stopIfTrue="1" text="" percent="0" bottom="0">
      <formula>AND(ISNUMBER(P69),COUNTIFS('Data - Monthly Metrics'!$A:$A,$B$4,'Data - Monthly Metrics'!$B:$B,P$8,'Data - Monthly Metrics'!$C:$C,"Southeast",'Data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Metrics'!$C:$C,"Southeast",'Data - Monthly Metrics'!$D:$D,"Goal - Penetration %")&gt;0,B70&gt;=SUMIFS('Data - Monthly Metrics'!$E:$E,'Data - Monthly Metrics'!$A:$A,$B$4-1,'Data - Monthly Metrics'!$B:$B,B$8,'Data - Monthly Metrics'!$C:$C,"Southeast",'Data - Monthly Metrics'!$D:$D,"Goal - Penetration %"))</formula>
    </cfRule>
    <cfRule type="expression" rank="0" priority="191" equalAverage="0" aboveAverage="0" dxfId="2" stopIfTrue="1" text="" percent="0" bottom="0">
      <formula>AND(ISNUMBER(B70),COUNTIFS('Data - Monthly Metrics'!$A:$A,$B$4-1,'Data - Monthly Metrics'!$B:$B,B$8,'Data - Monthly Metrics'!$C:$C,"Southeast",'Data - Monthly Metrics'!$D:$D,"Goal - Penetration %")&gt;0,B70&gt;=SUMIFS('Data - Monthly Metrics'!$E:$E,'Data - Monthly Metrics'!$A:$A,$B$4-1,'Data - Monthly Metrics'!$B:$B,B$8,'Data - Monthly Metrics'!$C:$C,"Southeast",'Data - Monthly Metrics'!$D:$D,"Goal - Penetration %")-0.05)</formula>
    </cfRule>
    <cfRule type="expression" rank="0" priority="192" equalAverage="0" aboveAverage="0" dxfId="1" stopIfTrue="1" text="" percent="0" bottom="0">
      <formula>AND(ISNUMBER(B70),COUNTIFS('Data - Monthly Metrics'!$A:$A,$B$4-1,'Data - Monthly Metrics'!$B:$B,B$8,'Data - Monthly Metrics'!$C:$C,"Southeast",'Data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Metrics'!$C:$C,"Southeast",'Data - Monthly Metrics'!$D:$D,"Goal - Penetration %")&gt;0,C70&gt;=SUMIFS('Data - Monthly Metrics'!$E:$E,'Data - Monthly Metrics'!$A:$A,$B$4-1,'Data - Monthly Metrics'!$B:$B,C$8,'Data - Monthly Metrics'!$C:$C,"Southeast",'Data - Monthly Metrics'!$D:$D,"Goal - Penetration %"))</formula>
    </cfRule>
    <cfRule type="expression" rank="0" priority="194" equalAverage="0" aboveAverage="0" dxfId="2" stopIfTrue="1" text="" percent="0" bottom="0">
      <formula>AND(ISNUMBER(C70),COUNTIFS('Data - Monthly Metrics'!$A:$A,$B$4-1,'Data - Monthly Metrics'!$B:$B,C$8,'Data - Monthly Metrics'!$C:$C,"Southeast",'Data - Monthly Metrics'!$D:$D,"Goal - Penetration %")&gt;0,C70&gt;=SUMIFS('Data - Monthly Metrics'!$E:$E,'Data - Monthly Metrics'!$A:$A,$B$4-1,'Data - Monthly Metrics'!$B:$B,C$8,'Data - Monthly Metrics'!$C:$C,"Southeast",'Data - Monthly Metrics'!$D:$D,"Goal - Penetration %")-0.05)</formula>
    </cfRule>
    <cfRule type="expression" rank="0" priority="195" equalAverage="0" aboveAverage="0" dxfId="1" stopIfTrue="1" text="" percent="0" bottom="0">
      <formula>AND(ISNUMBER(C70),COUNTIFS('Data - Monthly Metrics'!$A:$A,$B$4-1,'Data - Monthly Metrics'!$B:$B,C$8,'Data - Monthly Metrics'!$C:$C,"Southeast",'Data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Metrics'!$C:$C,"Southeast",'Data - Monthly Metrics'!$D:$D,"Goal - Penetration %")&gt;0,D70&gt;=SUMIFS('Data - Monthly Metrics'!$E:$E,'Data - Monthly Metrics'!$A:$A,$B$4-1,'Data - Monthly Metrics'!$B:$B,D$8,'Data - Monthly Metrics'!$C:$C,"Southeast",'Data - Monthly Metrics'!$D:$D,"Goal - Penetration %"))</formula>
    </cfRule>
    <cfRule type="expression" rank="0" priority="197" equalAverage="0" aboveAverage="0" dxfId="2" stopIfTrue="1" text="" percent="0" bottom="0">
      <formula>AND(ISNUMBER(D70),COUNTIFS('Data - Monthly Metrics'!$A:$A,$B$4-1,'Data - Monthly Metrics'!$B:$B,D$8,'Data - Monthly Metrics'!$C:$C,"Southeast",'Data - Monthly Metrics'!$D:$D,"Goal - Penetration %")&gt;0,D70&gt;=SUMIFS('Data - Monthly Metrics'!$E:$E,'Data - Monthly Metrics'!$A:$A,$B$4-1,'Data - Monthly Metrics'!$B:$B,D$8,'Data - Monthly Metrics'!$C:$C,"Southeast",'Data - Monthly Metrics'!$D:$D,"Goal - Penetration %")-0.05)</formula>
    </cfRule>
    <cfRule type="expression" rank="0" priority="198" equalAverage="0" aboveAverage="0" dxfId="1" stopIfTrue="1" text="" percent="0" bottom="0">
      <formula>AND(ISNUMBER(D70),COUNTIFS('Data - Monthly Metrics'!$A:$A,$B$4-1,'Data - Monthly Metrics'!$B:$B,D$8,'Data - Monthly Metrics'!$C:$C,"Southeast",'Data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Metrics'!$C:$C,"Southeast",'Data - Monthly Metrics'!$D:$D,"Goal - Penetration %")&gt;0,F70&gt;=SUMIFS('Data - Monthly Metrics'!$E:$E,'Data - Monthly Metrics'!$A:$A,$B$4,'Data - Monthly Metrics'!$B:$B,F$8,'Data - Monthly Metrics'!$C:$C,"Southeast",'Data - Monthly Metrics'!$D:$D,"Goal - Penetration %"))</formula>
    </cfRule>
    <cfRule type="expression" rank="0" priority="200" equalAverage="0" aboveAverage="0" dxfId="2" stopIfTrue="1" text="" percent="0" bottom="0">
      <formula>AND(ISNUMBER(F70),COUNTIFS('Data - Monthly Metrics'!$A:$A,$B$4,'Data - Monthly Metrics'!$B:$B,F$8,'Data - Monthly Metrics'!$C:$C,"Southeast",'Data - Monthly Metrics'!$D:$D,"Goal - Penetration %")&gt;0,F70&gt;=SUMIFS('Data - Monthly Metrics'!$E:$E,'Data - Monthly Metrics'!$A:$A,$B$4,'Data - Monthly Metrics'!$B:$B,F$8,'Data - Monthly Metrics'!$C:$C,"Southeast",'Data - Monthly Metrics'!$D:$D,"Goal - Penetration %")-0.05)</formula>
    </cfRule>
    <cfRule type="expression" rank="0" priority="201" equalAverage="0" aboveAverage="0" dxfId="1" stopIfTrue="1" text="" percent="0" bottom="0">
      <formula>AND(ISNUMBER(F70),COUNTIFS('Data - Monthly Metrics'!$A:$A,$B$4,'Data - Monthly Metrics'!$B:$B,F$8,'Data - Monthly Metrics'!$C:$C,"Southeast",'Data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Metrics'!$C:$C,"Southeast",'Data - Monthly Metrics'!$D:$D,"Goal - Penetration %")&gt;0,G70&gt;=SUMIFS('Data - Monthly Metrics'!$E:$E,'Data - Monthly Metrics'!$A:$A,$B$4,'Data - Monthly Metrics'!$B:$B,G$8,'Data - Monthly Metrics'!$C:$C,"Southeast",'Data - Monthly Metrics'!$D:$D,"Goal - Penetration %"))</formula>
    </cfRule>
    <cfRule type="expression" rank="0" priority="203" equalAverage="0" aboveAverage="0" dxfId="2" stopIfTrue="1" text="" percent="0" bottom="0">
      <formula>AND(ISNUMBER(G70),COUNTIFS('Data - Monthly Metrics'!$A:$A,$B$4,'Data - Monthly Metrics'!$B:$B,G$8,'Data - Monthly Metrics'!$C:$C,"Southeast",'Data - Monthly Metrics'!$D:$D,"Goal - Penetration %")&gt;0,G70&gt;=SUMIFS('Data - Monthly Metrics'!$E:$E,'Data - Monthly Metrics'!$A:$A,$B$4,'Data - Monthly Metrics'!$B:$B,G$8,'Data - Monthly Metrics'!$C:$C,"Southeast",'Data - Monthly Metrics'!$D:$D,"Goal - Penetration %")-0.05)</formula>
    </cfRule>
    <cfRule type="expression" rank="0" priority="204" equalAverage="0" aboveAverage="0" dxfId="1" stopIfTrue="1" text="" percent="0" bottom="0">
      <formula>AND(ISNUMBER(G70),COUNTIFS('Data - Monthly Metrics'!$A:$A,$B$4,'Data - Monthly Metrics'!$B:$B,G$8,'Data - Monthly Metrics'!$C:$C,"Southeast",'Data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Metrics'!$C:$C,"Southeast",'Data - Monthly Metrics'!$D:$D,"Goal - Penetration %")&gt;0,H70&gt;=SUMIFS('Data - Monthly Metrics'!$E:$E,'Data - Monthly Metrics'!$A:$A,$B$4,'Data - Monthly Metrics'!$B:$B,H$8,'Data - Monthly Metrics'!$C:$C,"Southeast",'Data - Monthly Metrics'!$D:$D,"Goal - Penetration %"))</formula>
    </cfRule>
    <cfRule type="expression" rank="0" priority="206" equalAverage="0" aboveAverage="0" dxfId="2" stopIfTrue="1" text="" percent="0" bottom="0">
      <formula>AND(ISNUMBER(H70),COUNTIFS('Data - Monthly Metrics'!$A:$A,$B$4,'Data - Monthly Metrics'!$B:$B,H$8,'Data - Monthly Metrics'!$C:$C,"Southeast",'Data - Monthly Metrics'!$D:$D,"Goal - Penetration %")&gt;0,H70&gt;=SUMIFS('Data - Monthly Metrics'!$E:$E,'Data - Monthly Metrics'!$A:$A,$B$4,'Data - Monthly Metrics'!$B:$B,H$8,'Data - Monthly Metrics'!$C:$C,"Southeast",'Data - Monthly Metrics'!$D:$D,"Goal - Penetration %")-0.05)</formula>
    </cfRule>
    <cfRule type="expression" rank="0" priority="207" equalAverage="0" aboveAverage="0" dxfId="1" stopIfTrue="1" text="" percent="0" bottom="0">
      <formula>AND(ISNUMBER(H70),COUNTIFS('Data - Monthly Metrics'!$A:$A,$B$4,'Data - Monthly Metrics'!$B:$B,H$8,'Data - Monthly Metrics'!$C:$C,"Southeast",'Data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Metrics'!$C:$C,"Southeast",'Data - Monthly Metrics'!$D:$D,"Goal - Penetration %")&gt;0,J70&gt;=SUMIFS('Data - Monthly Metrics'!$E:$E,'Data - Monthly Metrics'!$A:$A,$B$4,'Data - Monthly Metrics'!$B:$B,J$8,'Data - Monthly Metrics'!$C:$C,"Southeast",'Data - Monthly Metrics'!$D:$D,"Goal - Penetration %"))</formula>
    </cfRule>
    <cfRule type="expression" rank="0" priority="209" equalAverage="0" aboveAverage="0" dxfId="2" stopIfTrue="1" text="" percent="0" bottom="0">
      <formula>AND(ISNUMBER(J70),COUNTIFS('Data - Monthly Metrics'!$A:$A,$B$4,'Data - Monthly Metrics'!$B:$B,J$8,'Data - Monthly Metrics'!$C:$C,"Southeast",'Data - Monthly Metrics'!$D:$D,"Goal - Penetration %")&gt;0,J70&gt;=SUMIFS('Data - Monthly Metrics'!$E:$E,'Data - Monthly Metrics'!$A:$A,$B$4,'Data - Monthly Metrics'!$B:$B,J$8,'Data - Monthly Metrics'!$C:$C,"Southeast",'Data - Monthly Metrics'!$D:$D,"Goal - Penetration %")-0.05)</formula>
    </cfRule>
    <cfRule type="expression" rank="0" priority="210" equalAverage="0" aboveAverage="0" dxfId="1" stopIfTrue="1" text="" percent="0" bottom="0">
      <formula>AND(ISNUMBER(J70),COUNTIFS('Data - Monthly Metrics'!$A:$A,$B$4,'Data - Monthly Metrics'!$B:$B,J$8,'Data - Monthly Metrics'!$C:$C,"Southeast",'Data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Metrics'!$C:$C,"Southeast",'Data - Monthly Metrics'!$D:$D,"Goal - Penetration %")&gt;0,K70&gt;=SUMIFS('Data - Monthly Metrics'!$E:$E,'Data - Monthly Metrics'!$A:$A,$B$4,'Data - Monthly Metrics'!$B:$B,K$8,'Data - Monthly Metrics'!$C:$C,"Southeast",'Data - Monthly Metrics'!$D:$D,"Goal - Penetration %"))</formula>
    </cfRule>
    <cfRule type="expression" rank="0" priority="212" equalAverage="0" aboveAverage="0" dxfId="2" stopIfTrue="1" text="" percent="0" bottom="0">
      <formula>AND(ISNUMBER(K70),COUNTIFS('Data - Monthly Metrics'!$A:$A,$B$4,'Data - Monthly Metrics'!$B:$B,K$8,'Data - Monthly Metrics'!$C:$C,"Southeast",'Data - Monthly Metrics'!$D:$D,"Goal - Penetration %")&gt;0,K70&gt;=SUMIFS('Data - Monthly Metrics'!$E:$E,'Data - Monthly Metrics'!$A:$A,$B$4,'Data - Monthly Metrics'!$B:$B,K$8,'Data - Monthly Metrics'!$C:$C,"Southeast",'Data - Monthly Metrics'!$D:$D,"Goal - Penetration %")-0.05)</formula>
    </cfRule>
    <cfRule type="expression" rank="0" priority="213" equalAverage="0" aboveAverage="0" dxfId="1" stopIfTrue="1" text="" percent="0" bottom="0">
      <formula>AND(ISNUMBER(K70),COUNTIFS('Data - Monthly Metrics'!$A:$A,$B$4,'Data - Monthly Metrics'!$B:$B,K$8,'Data - Monthly Metrics'!$C:$C,"Southeast",'Data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Metrics'!$C:$C,"Southeast",'Data - Monthly Metrics'!$D:$D,"Goal - Penetration %")&gt;0,L70&gt;=SUMIFS('Data - Monthly Metrics'!$E:$E,'Data - Monthly Metrics'!$A:$A,$B$4,'Data - Monthly Metrics'!$B:$B,L$8,'Data - Monthly Metrics'!$C:$C,"Southeast",'Data - Monthly Metrics'!$D:$D,"Goal - Penetration %"))</formula>
    </cfRule>
    <cfRule type="expression" rank="0" priority="215" equalAverage="0" aboveAverage="0" dxfId="2" stopIfTrue="1" text="" percent="0" bottom="0">
      <formula>AND(ISNUMBER(L70),COUNTIFS('Data - Monthly Metrics'!$A:$A,$B$4,'Data - Monthly Metrics'!$B:$B,L$8,'Data - Monthly Metrics'!$C:$C,"Southeast",'Data - Monthly Metrics'!$D:$D,"Goal - Penetration %")&gt;0,L70&gt;=SUMIFS('Data - Monthly Metrics'!$E:$E,'Data - Monthly Metrics'!$A:$A,$B$4,'Data - Monthly Metrics'!$B:$B,L$8,'Data - Monthly Metrics'!$C:$C,"Southeast",'Data - Monthly Metrics'!$D:$D,"Goal - Penetration %")-0.05)</formula>
    </cfRule>
    <cfRule type="expression" rank="0" priority="216" equalAverage="0" aboveAverage="0" dxfId="1" stopIfTrue="1" text="" percent="0" bottom="0">
      <formula>AND(ISNUMBER(L70),COUNTIFS('Data - Monthly Metrics'!$A:$A,$B$4,'Data - Monthly Metrics'!$B:$B,L$8,'Data - Monthly Metrics'!$C:$C,"Southeast",'Data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Metrics'!$C:$C,"Southeast",'Data - Monthly Metrics'!$D:$D,"Goal - Penetration %")&gt;0,N70&gt;=SUMIFS('Data - Monthly Metrics'!$E:$E,'Data - Monthly Metrics'!$A:$A,$B$4,'Data - Monthly Metrics'!$B:$B,N$8,'Data - Monthly Metrics'!$C:$C,"Southeast",'Data - Monthly Metrics'!$D:$D,"Goal - Penetration %"))</formula>
    </cfRule>
    <cfRule type="expression" rank="0" priority="218" equalAverage="0" aboveAverage="0" dxfId="2" stopIfTrue="1" text="" percent="0" bottom="0">
      <formula>AND(ISNUMBER(N70),COUNTIFS('Data - Monthly Metrics'!$A:$A,$B$4,'Data - Monthly Metrics'!$B:$B,N$8,'Data - Monthly Metrics'!$C:$C,"Southeast",'Data - Monthly Metrics'!$D:$D,"Goal - Penetration %")&gt;0,N70&gt;=SUMIFS('Data - Monthly Metrics'!$E:$E,'Data - Monthly Metrics'!$A:$A,$B$4,'Data - Monthly Metrics'!$B:$B,N$8,'Data - Monthly Metrics'!$C:$C,"Southeast",'Data - Monthly Metrics'!$D:$D,"Goal - Penetration %")-0.05)</formula>
    </cfRule>
    <cfRule type="expression" rank="0" priority="219" equalAverage="0" aboveAverage="0" dxfId="1" stopIfTrue="1" text="" percent="0" bottom="0">
      <formula>AND(ISNUMBER(N70),COUNTIFS('Data - Monthly Metrics'!$A:$A,$B$4,'Data - Monthly Metrics'!$B:$B,N$8,'Data - Monthly Metrics'!$C:$C,"Southeast",'Data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Metrics'!$C:$C,"Southeast",'Data - Monthly Metrics'!$D:$D,"Goal - Penetration %")&gt;0,O70&gt;=SUMIFS('Data - Monthly Metrics'!$E:$E,'Data - Monthly Metrics'!$A:$A,$B$4,'Data - Monthly Metrics'!$B:$B,O$8,'Data - Monthly Metrics'!$C:$C,"Southeast",'Data - Monthly Metrics'!$D:$D,"Goal - Penetration %"))</formula>
    </cfRule>
    <cfRule type="expression" rank="0" priority="221" equalAverage="0" aboveAverage="0" dxfId="2" stopIfTrue="1" text="" percent="0" bottom="0">
      <formula>AND(ISNUMBER(O70),COUNTIFS('Data - Monthly Metrics'!$A:$A,$B$4,'Data - Monthly Metrics'!$B:$B,O$8,'Data - Monthly Metrics'!$C:$C,"Southeast",'Data - Monthly Metrics'!$D:$D,"Goal - Penetration %")&gt;0,O70&gt;=SUMIFS('Data - Monthly Metrics'!$E:$E,'Data - Monthly Metrics'!$A:$A,$B$4,'Data - Monthly Metrics'!$B:$B,O$8,'Data - Monthly Metrics'!$C:$C,"Southeast",'Data - Monthly Metrics'!$D:$D,"Goal - Penetration %")-0.05)</formula>
    </cfRule>
    <cfRule type="expression" rank="0" priority="222" equalAverage="0" aboveAverage="0" dxfId="1" stopIfTrue="1" text="" percent="0" bottom="0">
      <formula>AND(ISNUMBER(O70),COUNTIFS('Data - Monthly Metrics'!$A:$A,$B$4,'Data - Monthly Metrics'!$B:$B,O$8,'Data - Monthly Metrics'!$C:$C,"Southeast",'Data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Metrics'!$C:$C,"Southeast",'Data - Monthly Metrics'!$D:$D,"Goal - Penetration %")&gt;0,P70&gt;=SUMIFS('Data - Monthly Metrics'!$E:$E,'Data - Monthly Metrics'!$A:$A,$B$4,'Data - Monthly Metrics'!$B:$B,P$8,'Data - Monthly Metrics'!$C:$C,"Southeast",'Data - Monthly Metrics'!$D:$D,"Goal - Penetration %"))</formula>
    </cfRule>
    <cfRule type="expression" rank="0" priority="224" equalAverage="0" aboveAverage="0" dxfId="2" stopIfTrue="1" text="" percent="0" bottom="0">
      <formula>AND(ISNUMBER(P70),COUNTIFS('Data - Monthly Metrics'!$A:$A,$B$4,'Data - Monthly Metrics'!$B:$B,P$8,'Data - Monthly Metrics'!$C:$C,"Southeast",'Data - Monthly Metrics'!$D:$D,"Goal - Penetration %")&gt;0,P70&gt;=SUMIFS('Data - Monthly Metrics'!$E:$E,'Data - Monthly Metrics'!$A:$A,$B$4,'Data - Monthly Metrics'!$B:$B,P$8,'Data - Monthly Metrics'!$C:$C,"Southeast",'Data - Monthly Metrics'!$D:$D,"Goal - Penetration %")-0.05)</formula>
    </cfRule>
    <cfRule type="expression" rank="0" priority="225" equalAverage="0" aboveAverage="0" dxfId="1" stopIfTrue="1" text="" percent="0" bottom="0">
      <formula>AND(ISNUMBER(P70),COUNTIFS('Data - Monthly Metrics'!$A:$A,$B$4,'Data - Monthly Metrics'!$B:$B,P$8,'Data - Monthly Metrics'!$C:$C,"Southeast",'Data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Metrics'!$C:$C,"Southeast",'Data - Monthly Metrics'!$D:$D,"Goal - Penetration %")&gt;0,B105&gt;=SUMIFS('Data - Monthly Metrics'!$E:$E,'Data - Monthly Metrics'!$A:$A,$B$4-1,'Data - Monthly Metrics'!$B:$B,B$8,'Data - Monthly Metrics'!$C:$C,"Southeast",'Data - Monthly Metrics'!$D:$D,"Goal - Penetration %"))</formula>
    </cfRule>
    <cfRule type="expression" rank="0" priority="227" equalAverage="0" aboveAverage="0" dxfId="2" stopIfTrue="1" text="" percent="0" bottom="0">
      <formula>AND(ISNUMBER(B105),COUNTIFS('Data - Monthly Metrics'!$A:$A,$B$4-1,'Data - Monthly Metrics'!$B:$B,B$8,'Data - Monthly Metrics'!$C:$C,"Southeast",'Data - Monthly Metrics'!$D:$D,"Goal - Penetration %")&gt;0,B105&gt;=SUMIFS('Data - Monthly Metrics'!$E:$E,'Data - Monthly Metrics'!$A:$A,$B$4-1,'Data - Monthly Metrics'!$B:$B,B$8,'Data - Monthly Metrics'!$C:$C,"Southeast",'Data - Monthly Metrics'!$D:$D,"Goal - Penetration %")-0.05)</formula>
    </cfRule>
    <cfRule type="expression" rank="0" priority="228" equalAverage="0" aboveAverage="0" dxfId="1" stopIfTrue="1" text="" percent="0" bottom="0">
      <formula>AND(ISNUMBER(B105),COUNTIFS('Data - Monthly Metrics'!$A:$A,$B$4-1,'Data - Monthly Metrics'!$B:$B,B$8,'Data - Monthly Metrics'!$C:$C,"Southeast",'Data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Metrics'!$C:$C,"Southeast",'Data - Monthly Metrics'!$D:$D,"Goal - Penetration %")&gt;0,C105&gt;=SUMIFS('Data - Monthly Metrics'!$E:$E,'Data - Monthly Metrics'!$A:$A,$B$4-1,'Data - Monthly Metrics'!$B:$B,C$8,'Data - Monthly Metrics'!$C:$C,"Southeast",'Data - Monthly Metrics'!$D:$D,"Goal - Penetration %"))</formula>
    </cfRule>
    <cfRule type="expression" rank="0" priority="230" equalAverage="0" aboveAverage="0" dxfId="2" stopIfTrue="1" text="" percent="0" bottom="0">
      <formula>AND(ISNUMBER(C105),COUNTIFS('Data - Monthly Metrics'!$A:$A,$B$4-1,'Data - Monthly Metrics'!$B:$B,C$8,'Data - Monthly Metrics'!$C:$C,"Southeast",'Data - Monthly Metrics'!$D:$D,"Goal - Penetration %")&gt;0,C105&gt;=SUMIFS('Data - Monthly Metrics'!$E:$E,'Data - Monthly Metrics'!$A:$A,$B$4-1,'Data - Monthly Metrics'!$B:$B,C$8,'Data - Monthly Metrics'!$C:$C,"Southeast",'Data - Monthly Metrics'!$D:$D,"Goal - Penetration %")-0.05)</formula>
    </cfRule>
    <cfRule type="expression" rank="0" priority="231" equalAverage="0" aboveAverage="0" dxfId="1" stopIfTrue="1" text="" percent="0" bottom="0">
      <formula>AND(ISNUMBER(C105),COUNTIFS('Data - Monthly Metrics'!$A:$A,$B$4-1,'Data - Monthly Metrics'!$B:$B,C$8,'Data - Monthly Metrics'!$C:$C,"Southeast",'Data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Metrics'!$C:$C,"Southeast",'Data - Monthly Metrics'!$D:$D,"Goal - Penetration %")&gt;0,D105&gt;=SUMIFS('Data - Monthly Metrics'!$E:$E,'Data - Monthly Metrics'!$A:$A,$B$4-1,'Data - Monthly Metrics'!$B:$B,D$8,'Data - Monthly Metrics'!$C:$C,"Southeast",'Data - Monthly Metrics'!$D:$D,"Goal - Penetration %"))</formula>
    </cfRule>
    <cfRule type="expression" rank="0" priority="233" equalAverage="0" aboveAverage="0" dxfId="2" stopIfTrue="1" text="" percent="0" bottom="0">
      <formula>AND(ISNUMBER(D105),COUNTIFS('Data - Monthly Metrics'!$A:$A,$B$4-1,'Data - Monthly Metrics'!$B:$B,D$8,'Data - Monthly Metrics'!$C:$C,"Southeast",'Data - Monthly Metrics'!$D:$D,"Goal - Penetration %")&gt;0,D105&gt;=SUMIFS('Data - Monthly Metrics'!$E:$E,'Data - Monthly Metrics'!$A:$A,$B$4-1,'Data - Monthly Metrics'!$B:$B,D$8,'Data - Monthly Metrics'!$C:$C,"Southeast",'Data - Monthly Metrics'!$D:$D,"Goal - Penetration %")-0.05)</formula>
    </cfRule>
    <cfRule type="expression" rank="0" priority="234" equalAverage="0" aboveAverage="0" dxfId="1" stopIfTrue="1" text="" percent="0" bottom="0">
      <formula>AND(ISNUMBER(D105),COUNTIFS('Data - Monthly Metrics'!$A:$A,$B$4-1,'Data - Monthly Metrics'!$B:$B,D$8,'Data - Monthly Metrics'!$C:$C,"Southeast",'Data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Metrics'!$C:$C,"Southeast",'Data - Monthly Metrics'!$D:$D,"Goal - Penetration %")&gt;0,F105&gt;=SUMIFS('Data - Monthly Metrics'!$E:$E,'Data - Monthly Metrics'!$A:$A,$B$4,'Data - Monthly Metrics'!$B:$B,F$8,'Data - Monthly Metrics'!$C:$C,"Southeast",'Data - Monthly Metrics'!$D:$D,"Goal - Penetration %"))</formula>
    </cfRule>
    <cfRule type="expression" rank="0" priority="236" equalAverage="0" aboveAverage="0" dxfId="2" stopIfTrue="1" text="" percent="0" bottom="0">
      <formula>AND(ISNUMBER(F105),COUNTIFS('Data - Monthly Metrics'!$A:$A,$B$4,'Data - Monthly Metrics'!$B:$B,F$8,'Data - Monthly Metrics'!$C:$C,"Southeast",'Data - Monthly Metrics'!$D:$D,"Goal - Penetration %")&gt;0,F105&gt;=SUMIFS('Data - Monthly Metrics'!$E:$E,'Data - Monthly Metrics'!$A:$A,$B$4,'Data - Monthly Metrics'!$B:$B,F$8,'Data - Monthly Metrics'!$C:$C,"Southeast",'Data - Monthly Metrics'!$D:$D,"Goal - Penetration %")-0.05)</formula>
    </cfRule>
    <cfRule type="expression" rank="0" priority="237" equalAverage="0" aboveAverage="0" dxfId="1" stopIfTrue="1" text="" percent="0" bottom="0">
      <formula>AND(ISNUMBER(F105),COUNTIFS('Data - Monthly Metrics'!$A:$A,$B$4,'Data - Monthly Metrics'!$B:$B,F$8,'Data - Monthly Metrics'!$C:$C,"Southeast",'Data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Metrics'!$C:$C,"Southeast",'Data - Monthly Metrics'!$D:$D,"Goal - Penetration %")&gt;0,G105&gt;=SUMIFS('Data - Monthly Metrics'!$E:$E,'Data - Monthly Metrics'!$A:$A,$B$4,'Data - Monthly Metrics'!$B:$B,G$8,'Data - Monthly Metrics'!$C:$C,"Southeast",'Data - Monthly Metrics'!$D:$D,"Goal - Penetration %"))</formula>
    </cfRule>
    <cfRule type="expression" rank="0" priority="239" equalAverage="0" aboveAverage="0" dxfId="2" stopIfTrue="1" text="" percent="0" bottom="0">
      <formula>AND(ISNUMBER(G105),COUNTIFS('Data - Monthly Metrics'!$A:$A,$B$4,'Data - Monthly Metrics'!$B:$B,G$8,'Data - Monthly Metrics'!$C:$C,"Southeast",'Data - Monthly Metrics'!$D:$D,"Goal - Penetration %")&gt;0,G105&gt;=SUMIFS('Data - Monthly Metrics'!$E:$E,'Data - Monthly Metrics'!$A:$A,$B$4,'Data - Monthly Metrics'!$B:$B,G$8,'Data - Monthly Metrics'!$C:$C,"Southeast",'Data - Monthly Metrics'!$D:$D,"Goal - Penetration %")-0.05)</formula>
    </cfRule>
    <cfRule type="expression" rank="0" priority="240" equalAverage="0" aboveAverage="0" dxfId="1" stopIfTrue="1" text="" percent="0" bottom="0">
      <formula>AND(ISNUMBER(G105),COUNTIFS('Data - Monthly Metrics'!$A:$A,$B$4,'Data - Monthly Metrics'!$B:$B,G$8,'Data - Monthly Metrics'!$C:$C,"Southeast",'Data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Metrics'!$C:$C,"Southeast",'Data - Monthly Metrics'!$D:$D,"Goal - Penetration %")&gt;0,H105&gt;=SUMIFS('Data - Monthly Metrics'!$E:$E,'Data - Monthly Metrics'!$A:$A,$B$4,'Data - Monthly Metrics'!$B:$B,H$8,'Data - Monthly Metrics'!$C:$C,"Southeast",'Data - Monthly Metrics'!$D:$D,"Goal - Penetration %"))</formula>
    </cfRule>
    <cfRule type="expression" rank="0" priority="242" equalAverage="0" aboveAverage="0" dxfId="2" stopIfTrue="1" text="" percent="0" bottom="0">
      <formula>AND(ISNUMBER(H105),COUNTIFS('Data - Monthly Metrics'!$A:$A,$B$4,'Data - Monthly Metrics'!$B:$B,H$8,'Data - Monthly Metrics'!$C:$C,"Southeast",'Data - Monthly Metrics'!$D:$D,"Goal - Penetration %")&gt;0,H105&gt;=SUMIFS('Data - Monthly Metrics'!$E:$E,'Data - Monthly Metrics'!$A:$A,$B$4,'Data - Monthly Metrics'!$B:$B,H$8,'Data - Monthly Metrics'!$C:$C,"Southeast",'Data - Monthly Metrics'!$D:$D,"Goal - Penetration %")-0.05)</formula>
    </cfRule>
    <cfRule type="expression" rank="0" priority="243" equalAverage="0" aboveAverage="0" dxfId="1" stopIfTrue="1" text="" percent="0" bottom="0">
      <formula>AND(ISNUMBER(H105),COUNTIFS('Data - Monthly Metrics'!$A:$A,$B$4,'Data - Monthly Metrics'!$B:$B,H$8,'Data - Monthly Metrics'!$C:$C,"Southeast",'Data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Metrics'!$C:$C,"Southeast",'Data - Monthly Metrics'!$D:$D,"Goal - Penetration %")&gt;0,J105&gt;=SUMIFS('Data - Monthly Metrics'!$E:$E,'Data - Monthly Metrics'!$A:$A,$B$4,'Data - Monthly Metrics'!$B:$B,J$8,'Data - Monthly Metrics'!$C:$C,"Southeast",'Data - Monthly Metrics'!$D:$D,"Goal - Penetration %"))</formula>
    </cfRule>
    <cfRule type="expression" rank="0" priority="245" equalAverage="0" aboveAverage="0" dxfId="2" stopIfTrue="1" text="" percent="0" bottom="0">
      <formula>AND(ISNUMBER(J105),COUNTIFS('Data - Monthly Metrics'!$A:$A,$B$4,'Data - Monthly Metrics'!$B:$B,J$8,'Data - Monthly Metrics'!$C:$C,"Southeast",'Data - Monthly Metrics'!$D:$D,"Goal - Penetration %")&gt;0,J105&gt;=SUMIFS('Data - Monthly Metrics'!$E:$E,'Data - Monthly Metrics'!$A:$A,$B$4,'Data - Monthly Metrics'!$B:$B,J$8,'Data - Monthly Metrics'!$C:$C,"Southeast",'Data - Monthly Metrics'!$D:$D,"Goal - Penetration %")-0.05)</formula>
    </cfRule>
    <cfRule type="expression" rank="0" priority="246" equalAverage="0" aboveAverage="0" dxfId="1" stopIfTrue="1" text="" percent="0" bottom="0">
      <formula>AND(ISNUMBER(J105),COUNTIFS('Data - Monthly Metrics'!$A:$A,$B$4,'Data - Monthly Metrics'!$B:$B,J$8,'Data - Monthly Metrics'!$C:$C,"Southeast",'Data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Metrics'!$C:$C,"Southeast",'Data - Monthly Metrics'!$D:$D,"Goal - Penetration %")&gt;0,K105&gt;=SUMIFS('Data - Monthly Metrics'!$E:$E,'Data - Monthly Metrics'!$A:$A,$B$4,'Data - Monthly Metrics'!$B:$B,K$8,'Data - Monthly Metrics'!$C:$C,"Southeast",'Data - Monthly Metrics'!$D:$D,"Goal - Penetration %"))</formula>
    </cfRule>
    <cfRule type="expression" rank="0" priority="248" equalAverage="0" aboveAverage="0" dxfId="2" stopIfTrue="1" text="" percent="0" bottom="0">
      <formula>AND(ISNUMBER(K105),COUNTIFS('Data - Monthly Metrics'!$A:$A,$B$4,'Data - Monthly Metrics'!$B:$B,K$8,'Data - Monthly Metrics'!$C:$C,"Southeast",'Data - Monthly Metrics'!$D:$D,"Goal - Penetration %")&gt;0,K105&gt;=SUMIFS('Data - Monthly Metrics'!$E:$E,'Data - Monthly Metrics'!$A:$A,$B$4,'Data - Monthly Metrics'!$B:$B,K$8,'Data - Monthly Metrics'!$C:$C,"Southeast",'Data - Monthly Metrics'!$D:$D,"Goal - Penetration %")-0.05)</formula>
    </cfRule>
    <cfRule type="expression" rank="0" priority="249" equalAverage="0" aboveAverage="0" dxfId="1" stopIfTrue="1" text="" percent="0" bottom="0">
      <formula>AND(ISNUMBER(K105),COUNTIFS('Data - Monthly Metrics'!$A:$A,$B$4,'Data - Monthly Metrics'!$B:$B,K$8,'Data - Monthly Metrics'!$C:$C,"Southeast",'Data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Metrics'!$C:$C,"Southeast",'Data - Monthly Metrics'!$D:$D,"Goal - Penetration %")&gt;0,L105&gt;=SUMIFS('Data - Monthly Metrics'!$E:$E,'Data - Monthly Metrics'!$A:$A,$B$4,'Data - Monthly Metrics'!$B:$B,L$8,'Data - Monthly Metrics'!$C:$C,"Southeast",'Data - Monthly Metrics'!$D:$D,"Goal - Penetration %"))</formula>
    </cfRule>
    <cfRule type="expression" rank="0" priority="251" equalAverage="0" aboveAverage="0" dxfId="2" stopIfTrue="1" text="" percent="0" bottom="0">
      <formula>AND(ISNUMBER(L105),COUNTIFS('Data - Monthly Metrics'!$A:$A,$B$4,'Data - Monthly Metrics'!$B:$B,L$8,'Data - Monthly Metrics'!$C:$C,"Southeast",'Data - Monthly Metrics'!$D:$D,"Goal - Penetration %")&gt;0,L105&gt;=SUMIFS('Data - Monthly Metrics'!$E:$E,'Data - Monthly Metrics'!$A:$A,$B$4,'Data - Monthly Metrics'!$B:$B,L$8,'Data - Monthly Metrics'!$C:$C,"Southeast",'Data - Monthly Metrics'!$D:$D,"Goal - Penetration %")-0.05)</formula>
    </cfRule>
    <cfRule type="expression" rank="0" priority="252" equalAverage="0" aboveAverage="0" dxfId="1" stopIfTrue="1" text="" percent="0" bottom="0">
      <formula>AND(ISNUMBER(L105),COUNTIFS('Data - Monthly Metrics'!$A:$A,$B$4,'Data - Monthly Metrics'!$B:$B,L$8,'Data - Monthly Metrics'!$C:$C,"Southeast",'Data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Metrics'!$C:$C,"Southeast",'Data - Monthly Metrics'!$D:$D,"Goal - Penetration %")&gt;0,N105&gt;=SUMIFS('Data - Monthly Metrics'!$E:$E,'Data - Monthly Metrics'!$A:$A,$B$4,'Data - Monthly Metrics'!$B:$B,N$8,'Data - Monthly Metrics'!$C:$C,"Southeast",'Data - Monthly Metrics'!$D:$D,"Goal - Penetration %"))</formula>
    </cfRule>
    <cfRule type="expression" rank="0" priority="254" equalAverage="0" aboveAverage="0" dxfId="2" stopIfTrue="1" text="" percent="0" bottom="0">
      <formula>AND(ISNUMBER(N105),COUNTIFS('Data - Monthly Metrics'!$A:$A,$B$4,'Data - Monthly Metrics'!$B:$B,N$8,'Data - Monthly Metrics'!$C:$C,"Southeast",'Data - Monthly Metrics'!$D:$D,"Goal - Penetration %")&gt;0,N105&gt;=SUMIFS('Data - Monthly Metrics'!$E:$E,'Data - Monthly Metrics'!$A:$A,$B$4,'Data - Monthly Metrics'!$B:$B,N$8,'Data - Monthly Metrics'!$C:$C,"Southeast",'Data - Monthly Metrics'!$D:$D,"Goal - Penetration %")-0.05)</formula>
    </cfRule>
    <cfRule type="expression" rank="0" priority="255" equalAverage="0" aboveAverage="0" dxfId="1" stopIfTrue="1" text="" percent="0" bottom="0">
      <formula>AND(ISNUMBER(N105),COUNTIFS('Data - Monthly Metrics'!$A:$A,$B$4,'Data - Monthly Metrics'!$B:$B,N$8,'Data - Monthly Metrics'!$C:$C,"Southeast",'Data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Metrics'!$C:$C,"Southeast",'Data - Monthly Metrics'!$D:$D,"Goal - Penetration %")&gt;0,O105&gt;=SUMIFS('Data - Monthly Metrics'!$E:$E,'Data - Monthly Metrics'!$A:$A,$B$4,'Data - Monthly Metrics'!$B:$B,O$8,'Data - Monthly Metrics'!$C:$C,"Southeast",'Data - Monthly Metrics'!$D:$D,"Goal - Penetration %"))</formula>
    </cfRule>
    <cfRule type="expression" rank="0" priority="257" equalAverage="0" aboveAverage="0" dxfId="2" stopIfTrue="1" text="" percent="0" bottom="0">
      <formula>AND(ISNUMBER(O105),COUNTIFS('Data - Monthly Metrics'!$A:$A,$B$4,'Data - Monthly Metrics'!$B:$B,O$8,'Data - Monthly Metrics'!$C:$C,"Southeast",'Data - Monthly Metrics'!$D:$D,"Goal - Penetration %")&gt;0,O105&gt;=SUMIFS('Data - Monthly Metrics'!$E:$E,'Data - Monthly Metrics'!$A:$A,$B$4,'Data - Monthly Metrics'!$B:$B,O$8,'Data - Monthly Metrics'!$C:$C,"Southeast",'Data - Monthly Metrics'!$D:$D,"Goal - Penetration %")-0.05)</formula>
    </cfRule>
    <cfRule type="expression" rank="0" priority="258" equalAverage="0" aboveAverage="0" dxfId="1" stopIfTrue="1" text="" percent="0" bottom="0">
      <formula>AND(ISNUMBER(O105),COUNTIFS('Data - Monthly Metrics'!$A:$A,$B$4,'Data - Monthly Metrics'!$B:$B,O$8,'Data - Monthly Metrics'!$C:$C,"Southeast",'Data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Metrics'!$C:$C,"Southeast",'Data - Monthly Metrics'!$D:$D,"Goal - Penetration %")&gt;0,P105&gt;=SUMIFS('Data - Monthly Metrics'!$E:$E,'Data - Monthly Metrics'!$A:$A,$B$4,'Data - Monthly Metrics'!$B:$B,P$8,'Data - Monthly Metrics'!$C:$C,"Southeast",'Data - Monthly Metrics'!$D:$D,"Goal - Penetration %"))</formula>
    </cfRule>
    <cfRule type="expression" rank="0" priority="260" equalAverage="0" aboveAverage="0" dxfId="2" stopIfTrue="1" text="" percent="0" bottom="0">
      <formula>AND(ISNUMBER(P105),COUNTIFS('Data - Monthly Metrics'!$A:$A,$B$4,'Data - Monthly Metrics'!$B:$B,P$8,'Data - Monthly Metrics'!$C:$C,"Southeast",'Data - Monthly Metrics'!$D:$D,"Goal - Penetration %")&gt;0,P105&gt;=SUMIFS('Data - Monthly Metrics'!$E:$E,'Data - Monthly Metrics'!$A:$A,$B$4,'Data - Monthly Metrics'!$B:$B,P$8,'Data - Monthly Metrics'!$C:$C,"Southeast",'Data - Monthly Metrics'!$D:$D,"Goal - Penetration %")-0.05)</formula>
    </cfRule>
    <cfRule type="expression" rank="0" priority="261" equalAverage="0" aboveAverage="0" dxfId="1" stopIfTrue="1" text="" percent="0" bottom="0">
      <formula>AND(ISNUMBER(P105),COUNTIFS('Data - Monthly Metrics'!$A:$A,$B$4,'Data - Monthly Metrics'!$B:$B,P$8,'Data - Monthly Metrics'!$C:$C,"Southeast",'Data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Metrics'!$C:$C,"Southeast",'Data - Monthly Metrics'!$D:$D,"Goal - Penetration %")&gt;0,B106&gt;=SUMIFS('Data - Monthly Metrics'!$E:$E,'Data - Monthly Metrics'!$A:$A,$B$4-1,'Data - Monthly Metrics'!$B:$B,B$8,'Data - Monthly Metrics'!$C:$C,"Southeast",'Data - Monthly Metrics'!$D:$D,"Goal - Penetration %"))</formula>
    </cfRule>
    <cfRule type="expression" rank="0" priority="263" equalAverage="0" aboveAverage="0" dxfId="2" stopIfTrue="1" text="" percent="0" bottom="0">
      <formula>AND(ISNUMBER(B106),COUNTIFS('Data - Monthly Metrics'!$A:$A,$B$4-1,'Data - Monthly Metrics'!$B:$B,B$8,'Data - Monthly Metrics'!$C:$C,"Southeast",'Data - Monthly Metrics'!$D:$D,"Goal - Penetration %")&gt;0,B106&gt;=SUMIFS('Data - Monthly Metrics'!$E:$E,'Data - Monthly Metrics'!$A:$A,$B$4-1,'Data - Monthly Metrics'!$B:$B,B$8,'Data - Monthly Metrics'!$C:$C,"Southeast",'Data - Monthly Metrics'!$D:$D,"Goal - Penetration %")-0.05)</formula>
    </cfRule>
    <cfRule type="expression" rank="0" priority="264" equalAverage="0" aboveAverage="0" dxfId="1" stopIfTrue="1" text="" percent="0" bottom="0">
      <formula>AND(ISNUMBER(B106),COUNTIFS('Data - Monthly Metrics'!$A:$A,$B$4-1,'Data - Monthly Metrics'!$B:$B,B$8,'Data - Monthly Metrics'!$C:$C,"Southeast",'Data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Metrics'!$C:$C,"Southeast",'Data - Monthly Metrics'!$D:$D,"Goal - Penetration %")&gt;0,C106&gt;=SUMIFS('Data - Monthly Metrics'!$E:$E,'Data - Monthly Metrics'!$A:$A,$B$4-1,'Data - Monthly Metrics'!$B:$B,C$8,'Data - Monthly Metrics'!$C:$C,"Southeast",'Data - Monthly Metrics'!$D:$D,"Goal - Penetration %"))</formula>
    </cfRule>
    <cfRule type="expression" rank="0" priority="266" equalAverage="0" aboveAverage="0" dxfId="2" stopIfTrue="1" text="" percent="0" bottom="0">
      <formula>AND(ISNUMBER(C106),COUNTIFS('Data - Monthly Metrics'!$A:$A,$B$4-1,'Data - Monthly Metrics'!$B:$B,C$8,'Data - Monthly Metrics'!$C:$C,"Southeast",'Data - Monthly Metrics'!$D:$D,"Goal - Penetration %")&gt;0,C106&gt;=SUMIFS('Data - Monthly Metrics'!$E:$E,'Data - Monthly Metrics'!$A:$A,$B$4-1,'Data - Monthly Metrics'!$B:$B,C$8,'Data - Monthly Metrics'!$C:$C,"Southeast",'Data - Monthly Metrics'!$D:$D,"Goal - Penetration %")-0.05)</formula>
    </cfRule>
    <cfRule type="expression" rank="0" priority="267" equalAverage="0" aboveAverage="0" dxfId="1" stopIfTrue="1" text="" percent="0" bottom="0">
      <formula>AND(ISNUMBER(C106),COUNTIFS('Data - Monthly Metrics'!$A:$A,$B$4-1,'Data - Monthly Metrics'!$B:$B,C$8,'Data - Monthly Metrics'!$C:$C,"Southeast",'Data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Metrics'!$C:$C,"Southeast",'Data - Monthly Metrics'!$D:$D,"Goal - Penetration %")&gt;0,D106&gt;=SUMIFS('Data - Monthly Metrics'!$E:$E,'Data - Monthly Metrics'!$A:$A,$B$4-1,'Data - Monthly Metrics'!$B:$B,D$8,'Data - Monthly Metrics'!$C:$C,"Southeast",'Data - Monthly Metrics'!$D:$D,"Goal - Penetration %"))</formula>
    </cfRule>
    <cfRule type="expression" rank="0" priority="269" equalAverage="0" aboveAverage="0" dxfId="2" stopIfTrue="1" text="" percent="0" bottom="0">
      <formula>AND(ISNUMBER(D106),COUNTIFS('Data - Monthly Metrics'!$A:$A,$B$4-1,'Data - Monthly Metrics'!$B:$B,D$8,'Data - Monthly Metrics'!$C:$C,"Southeast",'Data - Monthly Metrics'!$D:$D,"Goal - Penetration %")&gt;0,D106&gt;=SUMIFS('Data - Monthly Metrics'!$E:$E,'Data - Monthly Metrics'!$A:$A,$B$4-1,'Data - Monthly Metrics'!$B:$B,D$8,'Data - Monthly Metrics'!$C:$C,"Southeast",'Data - Monthly Metrics'!$D:$D,"Goal - Penetration %")-0.05)</formula>
    </cfRule>
    <cfRule type="expression" rank="0" priority="270" equalAverage="0" aboveAverage="0" dxfId="1" stopIfTrue="1" text="" percent="0" bottom="0">
      <formula>AND(ISNUMBER(D106),COUNTIFS('Data - Monthly Metrics'!$A:$A,$B$4-1,'Data - Monthly Metrics'!$B:$B,D$8,'Data - Monthly Metrics'!$C:$C,"Southeast",'Data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Metrics'!$C:$C,"Southeast",'Data - Monthly Metrics'!$D:$D,"Goal - Penetration %")&gt;0,F106&gt;=SUMIFS('Data - Monthly Metrics'!$E:$E,'Data - Monthly Metrics'!$A:$A,$B$4,'Data - Monthly Metrics'!$B:$B,F$8,'Data - Monthly Metrics'!$C:$C,"Southeast",'Data - Monthly Metrics'!$D:$D,"Goal - Penetration %"))</formula>
    </cfRule>
    <cfRule type="expression" rank="0" priority="272" equalAverage="0" aboveAverage="0" dxfId="2" stopIfTrue="1" text="" percent="0" bottom="0">
      <formula>AND(ISNUMBER(F106),COUNTIFS('Data - Monthly Metrics'!$A:$A,$B$4,'Data - Monthly Metrics'!$B:$B,F$8,'Data - Monthly Metrics'!$C:$C,"Southeast",'Data - Monthly Metrics'!$D:$D,"Goal - Penetration %")&gt;0,F106&gt;=SUMIFS('Data - Monthly Metrics'!$E:$E,'Data - Monthly Metrics'!$A:$A,$B$4,'Data - Monthly Metrics'!$B:$B,F$8,'Data - Monthly Metrics'!$C:$C,"Southeast",'Data - Monthly Metrics'!$D:$D,"Goal - Penetration %")-0.05)</formula>
    </cfRule>
    <cfRule type="expression" rank="0" priority="273" equalAverage="0" aboveAverage="0" dxfId="1" stopIfTrue="1" text="" percent="0" bottom="0">
      <formula>AND(ISNUMBER(F106),COUNTIFS('Data - Monthly Metrics'!$A:$A,$B$4,'Data - Monthly Metrics'!$B:$B,F$8,'Data - Monthly Metrics'!$C:$C,"Southeast",'Data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Metrics'!$C:$C,"Southeast",'Data - Monthly Metrics'!$D:$D,"Goal - Penetration %")&gt;0,G106&gt;=SUMIFS('Data - Monthly Metrics'!$E:$E,'Data - Monthly Metrics'!$A:$A,$B$4,'Data - Monthly Metrics'!$B:$B,G$8,'Data - Monthly Metrics'!$C:$C,"Southeast",'Data - Monthly Metrics'!$D:$D,"Goal - Penetration %"))</formula>
    </cfRule>
    <cfRule type="expression" rank="0" priority="275" equalAverage="0" aboveAverage="0" dxfId="2" stopIfTrue="1" text="" percent="0" bottom="0">
      <formula>AND(ISNUMBER(G106),COUNTIFS('Data - Monthly Metrics'!$A:$A,$B$4,'Data - Monthly Metrics'!$B:$B,G$8,'Data - Monthly Metrics'!$C:$C,"Southeast",'Data - Monthly Metrics'!$D:$D,"Goal - Penetration %")&gt;0,G106&gt;=SUMIFS('Data - Monthly Metrics'!$E:$E,'Data - Monthly Metrics'!$A:$A,$B$4,'Data - Monthly Metrics'!$B:$B,G$8,'Data - Monthly Metrics'!$C:$C,"Southeast",'Data - Monthly Metrics'!$D:$D,"Goal - Penetration %")-0.05)</formula>
    </cfRule>
    <cfRule type="expression" rank="0" priority="276" equalAverage="0" aboveAverage="0" dxfId="1" stopIfTrue="1" text="" percent="0" bottom="0">
      <formula>AND(ISNUMBER(G106),COUNTIFS('Data - Monthly Metrics'!$A:$A,$B$4,'Data - Monthly Metrics'!$B:$B,G$8,'Data - Monthly Metrics'!$C:$C,"Southeast",'Data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Metrics'!$C:$C,"Southeast",'Data - Monthly Metrics'!$D:$D,"Goal - Penetration %")&gt;0,H106&gt;=SUMIFS('Data - Monthly Metrics'!$E:$E,'Data - Monthly Metrics'!$A:$A,$B$4,'Data - Monthly Metrics'!$B:$B,H$8,'Data - Monthly Metrics'!$C:$C,"Southeast",'Data - Monthly Metrics'!$D:$D,"Goal - Penetration %"))</formula>
    </cfRule>
    <cfRule type="expression" rank="0" priority="278" equalAverage="0" aboveAverage="0" dxfId="2" stopIfTrue="1" text="" percent="0" bottom="0">
      <formula>AND(ISNUMBER(H106),COUNTIFS('Data - Monthly Metrics'!$A:$A,$B$4,'Data - Monthly Metrics'!$B:$B,H$8,'Data - Monthly Metrics'!$C:$C,"Southeast",'Data - Monthly Metrics'!$D:$D,"Goal - Penetration %")&gt;0,H106&gt;=SUMIFS('Data - Monthly Metrics'!$E:$E,'Data - Monthly Metrics'!$A:$A,$B$4,'Data - Monthly Metrics'!$B:$B,H$8,'Data - Monthly Metrics'!$C:$C,"Southeast",'Data - Monthly Metrics'!$D:$D,"Goal - Penetration %")-0.05)</formula>
    </cfRule>
    <cfRule type="expression" rank="0" priority="279" equalAverage="0" aboveAverage="0" dxfId="1" stopIfTrue="1" text="" percent="0" bottom="0">
      <formula>AND(ISNUMBER(H106),COUNTIFS('Data - Monthly Metrics'!$A:$A,$B$4,'Data - Monthly Metrics'!$B:$B,H$8,'Data - Monthly Metrics'!$C:$C,"Southeast",'Data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Metrics'!$C:$C,"Southeast",'Data - Monthly Metrics'!$D:$D,"Goal - Penetration %")&gt;0,J106&gt;=SUMIFS('Data - Monthly Metrics'!$E:$E,'Data - Monthly Metrics'!$A:$A,$B$4,'Data - Monthly Metrics'!$B:$B,J$8,'Data - Monthly Metrics'!$C:$C,"Southeast",'Data - Monthly Metrics'!$D:$D,"Goal - Penetration %"))</formula>
    </cfRule>
    <cfRule type="expression" rank="0" priority="281" equalAverage="0" aboveAverage="0" dxfId="2" stopIfTrue="1" text="" percent="0" bottom="0">
      <formula>AND(ISNUMBER(J106),COUNTIFS('Data - Monthly Metrics'!$A:$A,$B$4,'Data - Monthly Metrics'!$B:$B,J$8,'Data - Monthly Metrics'!$C:$C,"Southeast",'Data - Monthly Metrics'!$D:$D,"Goal - Penetration %")&gt;0,J106&gt;=SUMIFS('Data - Monthly Metrics'!$E:$E,'Data - Monthly Metrics'!$A:$A,$B$4,'Data - Monthly Metrics'!$B:$B,J$8,'Data - Monthly Metrics'!$C:$C,"Southeast",'Data - Monthly Metrics'!$D:$D,"Goal - Penetration %")-0.05)</formula>
    </cfRule>
    <cfRule type="expression" rank="0" priority="282" equalAverage="0" aboveAverage="0" dxfId="1" stopIfTrue="1" text="" percent="0" bottom="0">
      <formula>AND(ISNUMBER(J106),COUNTIFS('Data - Monthly Metrics'!$A:$A,$B$4,'Data - Monthly Metrics'!$B:$B,J$8,'Data - Monthly Metrics'!$C:$C,"Southeast",'Data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Metrics'!$C:$C,"Southeast",'Data - Monthly Metrics'!$D:$D,"Goal - Penetration %")&gt;0,K106&gt;=SUMIFS('Data - Monthly Metrics'!$E:$E,'Data - Monthly Metrics'!$A:$A,$B$4,'Data - Monthly Metrics'!$B:$B,K$8,'Data - Monthly Metrics'!$C:$C,"Southeast",'Data - Monthly Metrics'!$D:$D,"Goal - Penetration %"))</formula>
    </cfRule>
    <cfRule type="expression" rank="0" priority="284" equalAverage="0" aboveAverage="0" dxfId="2" stopIfTrue="1" text="" percent="0" bottom="0">
      <formula>AND(ISNUMBER(K106),COUNTIFS('Data - Monthly Metrics'!$A:$A,$B$4,'Data - Monthly Metrics'!$B:$B,K$8,'Data - Monthly Metrics'!$C:$C,"Southeast",'Data - Monthly Metrics'!$D:$D,"Goal - Penetration %")&gt;0,K106&gt;=SUMIFS('Data - Monthly Metrics'!$E:$E,'Data - Monthly Metrics'!$A:$A,$B$4,'Data - Monthly Metrics'!$B:$B,K$8,'Data - Monthly Metrics'!$C:$C,"Southeast",'Data - Monthly Metrics'!$D:$D,"Goal - Penetration %")-0.05)</formula>
    </cfRule>
    <cfRule type="expression" rank="0" priority="285" equalAverage="0" aboveAverage="0" dxfId="1" stopIfTrue="1" text="" percent="0" bottom="0">
      <formula>AND(ISNUMBER(K106),COUNTIFS('Data - Monthly Metrics'!$A:$A,$B$4,'Data - Monthly Metrics'!$B:$B,K$8,'Data - Monthly Metrics'!$C:$C,"Southeast",'Data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Metrics'!$C:$C,"Southeast",'Data - Monthly Metrics'!$D:$D,"Goal - Penetration %")&gt;0,L106&gt;=SUMIFS('Data - Monthly Metrics'!$E:$E,'Data - Monthly Metrics'!$A:$A,$B$4,'Data - Monthly Metrics'!$B:$B,L$8,'Data - Monthly Metrics'!$C:$C,"Southeast",'Data - Monthly Metrics'!$D:$D,"Goal - Penetration %"))</formula>
    </cfRule>
    <cfRule type="expression" rank="0" priority="287" equalAverage="0" aboveAverage="0" dxfId="2" stopIfTrue="1" text="" percent="0" bottom="0">
      <formula>AND(ISNUMBER(L106),COUNTIFS('Data - Monthly Metrics'!$A:$A,$B$4,'Data - Monthly Metrics'!$B:$B,L$8,'Data - Monthly Metrics'!$C:$C,"Southeast",'Data - Monthly Metrics'!$D:$D,"Goal - Penetration %")&gt;0,L106&gt;=SUMIFS('Data - Monthly Metrics'!$E:$E,'Data - Monthly Metrics'!$A:$A,$B$4,'Data - Monthly Metrics'!$B:$B,L$8,'Data - Monthly Metrics'!$C:$C,"Southeast",'Data - Monthly Metrics'!$D:$D,"Goal - Penetration %")-0.05)</formula>
    </cfRule>
    <cfRule type="expression" rank="0" priority="288" equalAverage="0" aboveAverage="0" dxfId="1" stopIfTrue="1" text="" percent="0" bottom="0">
      <formula>AND(ISNUMBER(L106),COUNTIFS('Data - Monthly Metrics'!$A:$A,$B$4,'Data - Monthly Metrics'!$B:$B,L$8,'Data - Monthly Metrics'!$C:$C,"Southeast",'Data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Metrics'!$C:$C,"Southeast",'Data - Monthly Metrics'!$D:$D,"Goal - Penetration %")&gt;0,N106&gt;=SUMIFS('Data - Monthly Metrics'!$E:$E,'Data - Monthly Metrics'!$A:$A,$B$4,'Data - Monthly Metrics'!$B:$B,N$8,'Data - Monthly Metrics'!$C:$C,"Southeast",'Data - Monthly Metrics'!$D:$D,"Goal - Penetration %"))</formula>
    </cfRule>
    <cfRule type="expression" rank="0" priority="290" equalAverage="0" aboveAverage="0" dxfId="2" stopIfTrue="1" text="" percent="0" bottom="0">
      <formula>AND(ISNUMBER(N106),COUNTIFS('Data - Monthly Metrics'!$A:$A,$B$4,'Data - Monthly Metrics'!$B:$B,N$8,'Data - Monthly Metrics'!$C:$C,"Southeast",'Data - Monthly Metrics'!$D:$D,"Goal - Penetration %")&gt;0,N106&gt;=SUMIFS('Data - Monthly Metrics'!$E:$E,'Data - Monthly Metrics'!$A:$A,$B$4,'Data - Monthly Metrics'!$B:$B,N$8,'Data - Monthly Metrics'!$C:$C,"Southeast",'Data - Monthly Metrics'!$D:$D,"Goal - Penetration %")-0.05)</formula>
    </cfRule>
    <cfRule type="expression" rank="0" priority="291" equalAverage="0" aboveAverage="0" dxfId="1" stopIfTrue="1" text="" percent="0" bottom="0">
      <formula>AND(ISNUMBER(N106),COUNTIFS('Data - Monthly Metrics'!$A:$A,$B$4,'Data - Monthly Metrics'!$B:$B,N$8,'Data - Monthly Metrics'!$C:$C,"Southeast",'Data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Metrics'!$C:$C,"Southeast",'Data - Monthly Metrics'!$D:$D,"Goal - Penetration %")&gt;0,O106&gt;=SUMIFS('Data - Monthly Metrics'!$E:$E,'Data - Monthly Metrics'!$A:$A,$B$4,'Data - Monthly Metrics'!$B:$B,O$8,'Data - Monthly Metrics'!$C:$C,"Southeast",'Data - Monthly Metrics'!$D:$D,"Goal - Penetration %"))</formula>
    </cfRule>
    <cfRule type="expression" rank="0" priority="293" equalAverage="0" aboveAverage="0" dxfId="2" stopIfTrue="1" text="" percent="0" bottom="0">
      <formula>AND(ISNUMBER(O106),COUNTIFS('Data - Monthly Metrics'!$A:$A,$B$4,'Data - Monthly Metrics'!$B:$B,O$8,'Data - Monthly Metrics'!$C:$C,"Southeast",'Data - Monthly Metrics'!$D:$D,"Goal - Penetration %")&gt;0,O106&gt;=SUMIFS('Data - Monthly Metrics'!$E:$E,'Data - Monthly Metrics'!$A:$A,$B$4,'Data - Monthly Metrics'!$B:$B,O$8,'Data - Monthly Metrics'!$C:$C,"Southeast",'Data - Monthly Metrics'!$D:$D,"Goal - Penetration %")-0.05)</formula>
    </cfRule>
    <cfRule type="expression" rank="0" priority="294" equalAverage="0" aboveAverage="0" dxfId="1" stopIfTrue="1" text="" percent="0" bottom="0">
      <formula>AND(ISNUMBER(O106),COUNTIFS('Data - Monthly Metrics'!$A:$A,$B$4,'Data - Monthly Metrics'!$B:$B,O$8,'Data - Monthly Metrics'!$C:$C,"Southeast",'Data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Metrics'!$C:$C,"Southeast",'Data - Monthly Metrics'!$D:$D,"Goal - Penetration %")&gt;0,P106&gt;=SUMIFS('Data - Monthly Metrics'!$E:$E,'Data - Monthly Metrics'!$A:$A,$B$4,'Data - Monthly Metrics'!$B:$B,P$8,'Data - Monthly Metrics'!$C:$C,"Southeast",'Data - Monthly Metrics'!$D:$D,"Goal - Penetration %"))</formula>
    </cfRule>
    <cfRule type="expression" rank="0" priority="296" equalAverage="0" aboveAverage="0" dxfId="2" stopIfTrue="1" text="" percent="0" bottom="0">
      <formula>AND(ISNUMBER(P106),COUNTIFS('Data - Monthly Metrics'!$A:$A,$B$4,'Data - Monthly Metrics'!$B:$B,P$8,'Data - Monthly Metrics'!$C:$C,"Southeast",'Data - Monthly Metrics'!$D:$D,"Goal - Penetration %")&gt;0,P106&gt;=SUMIFS('Data - Monthly Metrics'!$E:$E,'Data - Monthly Metrics'!$A:$A,$B$4,'Data - Monthly Metrics'!$B:$B,P$8,'Data - Monthly Metrics'!$C:$C,"Southeast",'Data - Monthly Metrics'!$D:$D,"Goal - Penetration %")-0.05)</formula>
    </cfRule>
    <cfRule type="expression" rank="0" priority="297" equalAverage="0" aboveAverage="0" dxfId="1" stopIfTrue="1" text="" percent="0" bottom="0">
      <formula>AND(ISNUMBER(P106),COUNTIFS('Data - Monthly Metrics'!$A:$A,$B$4,'Data - Monthly Metrics'!$B:$B,P$8,'Data - Monthly Metrics'!$C:$C,"Southeast",'Data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Metrics'!$C:$C,"Southeast",'Data - Monthly Metrics'!$D:$D,"Goal - Penetration %")&gt;0,B107&gt;=SUMIFS('Data - Monthly Metrics'!$E:$E,'Data - Monthly Metrics'!$A:$A,$B$4-1,'Data - Monthly Metrics'!$B:$B,B$8,'Data - Monthly Metrics'!$C:$C,"Southeast",'Data - Monthly Metrics'!$D:$D,"Goal - Penetration %"))</formula>
    </cfRule>
    <cfRule type="expression" rank="0" priority="299" equalAverage="0" aboveAverage="0" dxfId="2" stopIfTrue="1" text="" percent="0" bottom="0">
      <formula>AND(ISNUMBER(B107),COUNTIFS('Data - Monthly Metrics'!$A:$A,$B$4-1,'Data - Monthly Metrics'!$B:$B,B$8,'Data - Monthly Metrics'!$C:$C,"Southeast",'Data - Monthly Metrics'!$D:$D,"Goal - Penetration %")&gt;0,B107&gt;=SUMIFS('Data - Monthly Metrics'!$E:$E,'Data - Monthly Metrics'!$A:$A,$B$4-1,'Data - Monthly Metrics'!$B:$B,B$8,'Data - Monthly Metrics'!$C:$C,"Southeast",'Data - Monthly Metrics'!$D:$D,"Goal - Penetration %")-0.05)</formula>
    </cfRule>
    <cfRule type="expression" rank="0" priority="300" equalAverage="0" aboveAverage="0" dxfId="1" stopIfTrue="1" text="" percent="0" bottom="0">
      <formula>AND(ISNUMBER(B107),COUNTIFS('Data - Monthly Metrics'!$A:$A,$B$4-1,'Data - Monthly Metrics'!$B:$B,B$8,'Data - Monthly Metrics'!$C:$C,"Southeast",'Data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Metrics'!$C:$C,"Southeast",'Data - Monthly Metrics'!$D:$D,"Goal - Penetration %")&gt;0,C107&gt;=SUMIFS('Data - Monthly Metrics'!$E:$E,'Data - Monthly Metrics'!$A:$A,$B$4-1,'Data - Monthly Metrics'!$B:$B,C$8,'Data - Monthly Metrics'!$C:$C,"Southeast",'Data - Monthly Metrics'!$D:$D,"Goal - Penetration %"))</formula>
    </cfRule>
    <cfRule type="expression" rank="0" priority="302" equalAverage="0" aboveAverage="0" dxfId="2" stopIfTrue="1" text="" percent="0" bottom="0">
      <formula>AND(ISNUMBER(C107),COUNTIFS('Data - Monthly Metrics'!$A:$A,$B$4-1,'Data - Monthly Metrics'!$B:$B,C$8,'Data - Monthly Metrics'!$C:$C,"Southeast",'Data - Monthly Metrics'!$D:$D,"Goal - Penetration %")&gt;0,C107&gt;=SUMIFS('Data - Monthly Metrics'!$E:$E,'Data - Monthly Metrics'!$A:$A,$B$4-1,'Data - Monthly Metrics'!$B:$B,C$8,'Data - Monthly Metrics'!$C:$C,"Southeast",'Data - Monthly Metrics'!$D:$D,"Goal - Penetration %")-0.05)</formula>
    </cfRule>
    <cfRule type="expression" rank="0" priority="303" equalAverage="0" aboveAverage="0" dxfId="1" stopIfTrue="1" text="" percent="0" bottom="0">
      <formula>AND(ISNUMBER(C107),COUNTIFS('Data - Monthly Metrics'!$A:$A,$B$4-1,'Data - Monthly Metrics'!$B:$B,C$8,'Data - Monthly Metrics'!$C:$C,"Southeast",'Data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Metrics'!$C:$C,"Southeast",'Data - Monthly Metrics'!$D:$D,"Goal - Penetration %")&gt;0,D107&gt;=SUMIFS('Data - Monthly Metrics'!$E:$E,'Data - Monthly Metrics'!$A:$A,$B$4-1,'Data - Monthly Metrics'!$B:$B,D$8,'Data - Monthly Metrics'!$C:$C,"Southeast",'Data - Monthly Metrics'!$D:$D,"Goal - Penetration %"))</formula>
    </cfRule>
    <cfRule type="expression" rank="0" priority="305" equalAverage="0" aboveAverage="0" dxfId="2" stopIfTrue="1" text="" percent="0" bottom="0">
      <formula>AND(ISNUMBER(D107),COUNTIFS('Data - Monthly Metrics'!$A:$A,$B$4-1,'Data - Monthly Metrics'!$B:$B,D$8,'Data - Monthly Metrics'!$C:$C,"Southeast",'Data - Monthly Metrics'!$D:$D,"Goal - Penetration %")&gt;0,D107&gt;=SUMIFS('Data - Monthly Metrics'!$E:$E,'Data - Monthly Metrics'!$A:$A,$B$4-1,'Data - Monthly Metrics'!$B:$B,D$8,'Data - Monthly Metrics'!$C:$C,"Southeast",'Data - Monthly Metrics'!$D:$D,"Goal - Penetration %")-0.05)</formula>
    </cfRule>
    <cfRule type="expression" rank="0" priority="306" equalAverage="0" aboveAverage="0" dxfId="1" stopIfTrue="1" text="" percent="0" bottom="0">
      <formula>AND(ISNUMBER(D107),COUNTIFS('Data - Monthly Metrics'!$A:$A,$B$4-1,'Data - Monthly Metrics'!$B:$B,D$8,'Data - Monthly Metrics'!$C:$C,"Southeast",'Data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Metrics'!$C:$C,"Southeast",'Data - Monthly Metrics'!$D:$D,"Goal - Penetration %")&gt;0,F107&gt;=SUMIFS('Data - Monthly Metrics'!$E:$E,'Data - Monthly Metrics'!$A:$A,$B$4,'Data - Monthly Metrics'!$B:$B,F$8,'Data - Monthly Metrics'!$C:$C,"Southeast",'Data - Monthly Metrics'!$D:$D,"Goal - Penetration %"))</formula>
    </cfRule>
    <cfRule type="expression" rank="0" priority="308" equalAverage="0" aboveAverage="0" dxfId="2" stopIfTrue="1" text="" percent="0" bottom="0">
      <formula>AND(ISNUMBER(F107),COUNTIFS('Data - Monthly Metrics'!$A:$A,$B$4,'Data - Monthly Metrics'!$B:$B,F$8,'Data - Monthly Metrics'!$C:$C,"Southeast",'Data - Monthly Metrics'!$D:$D,"Goal - Penetration %")&gt;0,F107&gt;=SUMIFS('Data - Monthly Metrics'!$E:$E,'Data - Monthly Metrics'!$A:$A,$B$4,'Data - Monthly Metrics'!$B:$B,F$8,'Data - Monthly Metrics'!$C:$C,"Southeast",'Data - Monthly Metrics'!$D:$D,"Goal - Penetration %")-0.05)</formula>
    </cfRule>
    <cfRule type="expression" rank="0" priority="309" equalAverage="0" aboveAverage="0" dxfId="1" stopIfTrue="1" text="" percent="0" bottom="0">
      <formula>AND(ISNUMBER(F107),COUNTIFS('Data - Monthly Metrics'!$A:$A,$B$4,'Data - Monthly Metrics'!$B:$B,F$8,'Data - Monthly Metrics'!$C:$C,"Southeast",'Data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Metrics'!$C:$C,"Southeast",'Data - Monthly Metrics'!$D:$D,"Goal - Penetration %")&gt;0,G107&gt;=SUMIFS('Data - Monthly Metrics'!$E:$E,'Data - Monthly Metrics'!$A:$A,$B$4,'Data - Monthly Metrics'!$B:$B,G$8,'Data - Monthly Metrics'!$C:$C,"Southeast",'Data - Monthly Metrics'!$D:$D,"Goal - Penetration %"))</formula>
    </cfRule>
    <cfRule type="expression" rank="0" priority="311" equalAverage="0" aboveAverage="0" dxfId="2" stopIfTrue="1" text="" percent="0" bottom="0">
      <formula>AND(ISNUMBER(G107),COUNTIFS('Data - Monthly Metrics'!$A:$A,$B$4,'Data - Monthly Metrics'!$B:$B,G$8,'Data - Monthly Metrics'!$C:$C,"Southeast",'Data - Monthly Metrics'!$D:$D,"Goal - Penetration %")&gt;0,G107&gt;=SUMIFS('Data - Monthly Metrics'!$E:$E,'Data - Monthly Metrics'!$A:$A,$B$4,'Data - Monthly Metrics'!$B:$B,G$8,'Data - Monthly Metrics'!$C:$C,"Southeast",'Data - Monthly Metrics'!$D:$D,"Goal - Penetration %")-0.05)</formula>
    </cfRule>
    <cfRule type="expression" rank="0" priority="312" equalAverage="0" aboveAverage="0" dxfId="1" stopIfTrue="1" text="" percent="0" bottom="0">
      <formula>AND(ISNUMBER(G107),COUNTIFS('Data - Monthly Metrics'!$A:$A,$B$4,'Data - Monthly Metrics'!$B:$B,G$8,'Data - Monthly Metrics'!$C:$C,"Southeast",'Data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Metrics'!$C:$C,"Southeast",'Data - Monthly Metrics'!$D:$D,"Goal - Penetration %")&gt;0,H107&gt;=SUMIFS('Data - Monthly Metrics'!$E:$E,'Data - Monthly Metrics'!$A:$A,$B$4,'Data - Monthly Metrics'!$B:$B,H$8,'Data - Monthly Metrics'!$C:$C,"Southeast",'Data - Monthly Metrics'!$D:$D,"Goal - Penetration %"))</formula>
    </cfRule>
    <cfRule type="expression" rank="0" priority="314" equalAverage="0" aboveAverage="0" dxfId="2" stopIfTrue="1" text="" percent="0" bottom="0">
      <formula>AND(ISNUMBER(H107),COUNTIFS('Data - Monthly Metrics'!$A:$A,$B$4,'Data - Monthly Metrics'!$B:$B,H$8,'Data - Monthly Metrics'!$C:$C,"Southeast",'Data - Monthly Metrics'!$D:$D,"Goal - Penetration %")&gt;0,H107&gt;=SUMIFS('Data - Monthly Metrics'!$E:$E,'Data - Monthly Metrics'!$A:$A,$B$4,'Data - Monthly Metrics'!$B:$B,H$8,'Data - Monthly Metrics'!$C:$C,"Southeast",'Data - Monthly Metrics'!$D:$D,"Goal - Penetration %")-0.05)</formula>
    </cfRule>
    <cfRule type="expression" rank="0" priority="315" equalAverage="0" aboveAverage="0" dxfId="1" stopIfTrue="1" text="" percent="0" bottom="0">
      <formula>AND(ISNUMBER(H107),COUNTIFS('Data - Monthly Metrics'!$A:$A,$B$4,'Data - Monthly Metrics'!$B:$B,H$8,'Data - Monthly Metrics'!$C:$C,"Southeast",'Data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Metrics'!$C:$C,"Southeast",'Data - Monthly Metrics'!$D:$D,"Goal - Penetration %")&gt;0,J107&gt;=SUMIFS('Data - Monthly Metrics'!$E:$E,'Data - Monthly Metrics'!$A:$A,$B$4,'Data - Monthly Metrics'!$B:$B,J$8,'Data - Monthly Metrics'!$C:$C,"Southeast",'Data - Monthly Metrics'!$D:$D,"Goal - Penetration %"))</formula>
    </cfRule>
    <cfRule type="expression" rank="0" priority="317" equalAverage="0" aboveAverage="0" dxfId="2" stopIfTrue="1" text="" percent="0" bottom="0">
      <formula>AND(ISNUMBER(J107),COUNTIFS('Data - Monthly Metrics'!$A:$A,$B$4,'Data - Monthly Metrics'!$B:$B,J$8,'Data - Monthly Metrics'!$C:$C,"Southeast",'Data - Monthly Metrics'!$D:$D,"Goal - Penetration %")&gt;0,J107&gt;=SUMIFS('Data - Monthly Metrics'!$E:$E,'Data - Monthly Metrics'!$A:$A,$B$4,'Data - Monthly Metrics'!$B:$B,J$8,'Data - Monthly Metrics'!$C:$C,"Southeast",'Data - Monthly Metrics'!$D:$D,"Goal - Penetration %")-0.05)</formula>
    </cfRule>
    <cfRule type="expression" rank="0" priority="318" equalAverage="0" aboveAverage="0" dxfId="1" stopIfTrue="1" text="" percent="0" bottom="0">
      <formula>AND(ISNUMBER(J107),COUNTIFS('Data - Monthly Metrics'!$A:$A,$B$4,'Data - Monthly Metrics'!$B:$B,J$8,'Data - Monthly Metrics'!$C:$C,"Southeast",'Data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Metrics'!$C:$C,"Southeast",'Data - Monthly Metrics'!$D:$D,"Goal - Penetration %")&gt;0,K107&gt;=SUMIFS('Data - Monthly Metrics'!$E:$E,'Data - Monthly Metrics'!$A:$A,$B$4,'Data - Monthly Metrics'!$B:$B,K$8,'Data - Monthly Metrics'!$C:$C,"Southeast",'Data - Monthly Metrics'!$D:$D,"Goal - Penetration %"))</formula>
    </cfRule>
    <cfRule type="expression" rank="0" priority="320" equalAverage="0" aboveAverage="0" dxfId="2" stopIfTrue="1" text="" percent="0" bottom="0">
      <formula>AND(ISNUMBER(K107),COUNTIFS('Data - Monthly Metrics'!$A:$A,$B$4,'Data - Monthly Metrics'!$B:$B,K$8,'Data - Monthly Metrics'!$C:$C,"Southeast",'Data - Monthly Metrics'!$D:$D,"Goal - Penetration %")&gt;0,K107&gt;=SUMIFS('Data - Monthly Metrics'!$E:$E,'Data - Monthly Metrics'!$A:$A,$B$4,'Data - Monthly Metrics'!$B:$B,K$8,'Data - Monthly Metrics'!$C:$C,"Southeast",'Data - Monthly Metrics'!$D:$D,"Goal - Penetration %")-0.05)</formula>
    </cfRule>
    <cfRule type="expression" rank="0" priority="321" equalAverage="0" aboveAverage="0" dxfId="1" stopIfTrue="1" text="" percent="0" bottom="0">
      <formula>AND(ISNUMBER(K107),COUNTIFS('Data - Monthly Metrics'!$A:$A,$B$4,'Data - Monthly Metrics'!$B:$B,K$8,'Data - Monthly Metrics'!$C:$C,"Southeast",'Data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Metrics'!$C:$C,"Southeast",'Data - Monthly Metrics'!$D:$D,"Goal - Penetration %")&gt;0,L107&gt;=SUMIFS('Data - Monthly Metrics'!$E:$E,'Data - Monthly Metrics'!$A:$A,$B$4,'Data - Monthly Metrics'!$B:$B,L$8,'Data - Monthly Metrics'!$C:$C,"Southeast",'Data - Monthly Metrics'!$D:$D,"Goal - Penetration %"))</formula>
    </cfRule>
    <cfRule type="expression" rank="0" priority="323" equalAverage="0" aboveAverage="0" dxfId="2" stopIfTrue="1" text="" percent="0" bottom="0">
      <formula>AND(ISNUMBER(L107),COUNTIFS('Data - Monthly Metrics'!$A:$A,$B$4,'Data - Monthly Metrics'!$B:$B,L$8,'Data - Monthly Metrics'!$C:$C,"Southeast",'Data - Monthly Metrics'!$D:$D,"Goal - Penetration %")&gt;0,L107&gt;=SUMIFS('Data - Monthly Metrics'!$E:$E,'Data - Monthly Metrics'!$A:$A,$B$4,'Data - Monthly Metrics'!$B:$B,L$8,'Data - Monthly Metrics'!$C:$C,"Southeast",'Data - Monthly Metrics'!$D:$D,"Goal - Penetration %")-0.05)</formula>
    </cfRule>
    <cfRule type="expression" rank="0" priority="324" equalAverage="0" aboveAverage="0" dxfId="1" stopIfTrue="1" text="" percent="0" bottom="0">
      <formula>AND(ISNUMBER(L107),COUNTIFS('Data - Monthly Metrics'!$A:$A,$B$4,'Data - Monthly Metrics'!$B:$B,L$8,'Data - Monthly Metrics'!$C:$C,"Southeast",'Data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Metrics'!$C:$C,"Southeast",'Data - Monthly Metrics'!$D:$D,"Goal - Penetration %")&gt;0,N107&gt;=SUMIFS('Data - Monthly Metrics'!$E:$E,'Data - Monthly Metrics'!$A:$A,$B$4,'Data - Monthly Metrics'!$B:$B,N$8,'Data - Monthly Metrics'!$C:$C,"Southeast",'Data - Monthly Metrics'!$D:$D,"Goal - Penetration %"))</formula>
    </cfRule>
    <cfRule type="expression" rank="0" priority="326" equalAverage="0" aboveAverage="0" dxfId="2" stopIfTrue="1" text="" percent="0" bottom="0">
      <formula>AND(ISNUMBER(N107),COUNTIFS('Data - Monthly Metrics'!$A:$A,$B$4,'Data - Monthly Metrics'!$B:$B,N$8,'Data - Monthly Metrics'!$C:$C,"Southeast",'Data - Monthly Metrics'!$D:$D,"Goal - Penetration %")&gt;0,N107&gt;=SUMIFS('Data - Monthly Metrics'!$E:$E,'Data - Monthly Metrics'!$A:$A,$B$4,'Data - Monthly Metrics'!$B:$B,N$8,'Data - Monthly Metrics'!$C:$C,"Southeast",'Data - Monthly Metrics'!$D:$D,"Goal - Penetration %")-0.05)</formula>
    </cfRule>
    <cfRule type="expression" rank="0" priority="327" equalAverage="0" aboveAverage="0" dxfId="1" stopIfTrue="1" text="" percent="0" bottom="0">
      <formula>AND(ISNUMBER(N107),COUNTIFS('Data - Monthly Metrics'!$A:$A,$B$4,'Data - Monthly Metrics'!$B:$B,N$8,'Data - Monthly Metrics'!$C:$C,"Southeast",'Data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Metrics'!$C:$C,"Southeast",'Data - Monthly Metrics'!$D:$D,"Goal - Penetration %")&gt;0,O107&gt;=SUMIFS('Data - Monthly Metrics'!$E:$E,'Data - Monthly Metrics'!$A:$A,$B$4,'Data - Monthly Metrics'!$B:$B,O$8,'Data - Monthly Metrics'!$C:$C,"Southeast",'Data - Monthly Metrics'!$D:$D,"Goal - Penetration %"))</formula>
    </cfRule>
    <cfRule type="expression" rank="0" priority="329" equalAverage="0" aboveAverage="0" dxfId="2" stopIfTrue="1" text="" percent="0" bottom="0">
      <formula>AND(ISNUMBER(O107),COUNTIFS('Data - Monthly Metrics'!$A:$A,$B$4,'Data - Monthly Metrics'!$B:$B,O$8,'Data - Monthly Metrics'!$C:$C,"Southeast",'Data - Monthly Metrics'!$D:$D,"Goal - Penetration %")&gt;0,O107&gt;=SUMIFS('Data - Monthly Metrics'!$E:$E,'Data - Monthly Metrics'!$A:$A,$B$4,'Data - Monthly Metrics'!$B:$B,O$8,'Data - Monthly Metrics'!$C:$C,"Southeast",'Data - Monthly Metrics'!$D:$D,"Goal - Penetration %")-0.05)</formula>
    </cfRule>
    <cfRule type="expression" rank="0" priority="330" equalAverage="0" aboveAverage="0" dxfId="1" stopIfTrue="1" text="" percent="0" bottom="0">
      <formula>AND(ISNUMBER(O107),COUNTIFS('Data - Monthly Metrics'!$A:$A,$B$4,'Data - Monthly Metrics'!$B:$B,O$8,'Data - Monthly Metrics'!$C:$C,"Southeast",'Data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Metrics'!$C:$C,"Southeast",'Data - Monthly Metrics'!$D:$D,"Goal - Penetration %")&gt;0,P107&gt;=SUMIFS('Data - Monthly Metrics'!$E:$E,'Data - Monthly Metrics'!$A:$A,$B$4,'Data - Monthly Metrics'!$B:$B,P$8,'Data - Monthly Metrics'!$C:$C,"Southeast",'Data - Monthly Metrics'!$D:$D,"Goal - Penetration %"))</formula>
    </cfRule>
    <cfRule type="expression" rank="0" priority="332" equalAverage="0" aboveAverage="0" dxfId="2" stopIfTrue="1" text="" percent="0" bottom="0">
      <formula>AND(ISNUMBER(P107),COUNTIFS('Data - Monthly Metrics'!$A:$A,$B$4,'Data - Monthly Metrics'!$B:$B,P$8,'Data - Monthly Metrics'!$C:$C,"Southeast",'Data - Monthly Metrics'!$D:$D,"Goal - Penetration %")&gt;0,P107&gt;=SUMIFS('Data - Monthly Metrics'!$E:$E,'Data - Monthly Metrics'!$A:$A,$B$4,'Data - Monthly Metrics'!$B:$B,P$8,'Data - Monthly Metrics'!$C:$C,"Southeast",'Data - Monthly Metrics'!$D:$D,"Goal - Penetration %")-0.05)</formula>
    </cfRule>
    <cfRule type="expression" rank="0" priority="333" equalAverage="0" aboveAverage="0" dxfId="1" stopIfTrue="1" text="" percent="0" bottom="0">
      <formula>AND(ISNUMBER(P107),COUNTIFS('Data - Monthly Metrics'!$A:$A,$B$4,'Data - Monthly Metrics'!$B:$B,P$8,'Data - Monthly Metrics'!$C:$C,"Southeast",'Data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Metrics'!$C:$C,"Southeast",'Data - Monthly Metrics'!$D:$D,"Goal - Retention %")&gt;0,B19&gt;=SUMIFS('Data - Monthly Metrics'!$E:$E,'Data - Monthly Metrics'!$A:$A,$B$4-1,'Data - Monthly Metrics'!$B:$B,B$8,'Data - Monthly Metrics'!$C:$C,"Southeast",'Data - Monthly Metrics'!$D:$D,"Goal - Retention %"))</formula>
    </cfRule>
    <cfRule type="expression" rank="0" priority="335" equalAverage="0" aboveAverage="0" dxfId="2" stopIfTrue="1" text="" percent="0" bottom="0">
      <formula>AND(ISNUMBER(B19),COUNTIFS('Data - Monthly Metrics'!$A:$A,$B$4-1,'Data - Monthly Metrics'!$B:$B,B$8,'Data - Monthly Metrics'!$C:$C,"Southeast",'Data - Monthly Metrics'!$D:$D,"Goal - Retention %")&gt;0,B19&gt;=SUMIFS('Data - Monthly Metrics'!$E:$E,'Data - Monthly Metrics'!$A:$A,$B$4-1,'Data - Monthly Metrics'!$B:$B,B$8,'Data - Monthly Metrics'!$C:$C,"Southeast",'Data - Monthly Metrics'!$D:$D,"Goal - Retention %")-0.05)</formula>
    </cfRule>
    <cfRule type="expression" rank="0" priority="336" equalAverage="0" aboveAverage="0" dxfId="1" stopIfTrue="1" text="" percent="0" bottom="0">
      <formula>AND(ISNUMBER(B19),COUNTIFS('Data - Monthly Metrics'!$A:$A,$B$4-1,'Data - Monthly Metrics'!$B:$B,B$8,'Data - Monthly Metrics'!$C:$C,"Southeast",'Data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Metrics'!$C:$C,"Southeast",'Data - Monthly Metrics'!$D:$D,"Goal - Retention %")&gt;0,C19&gt;=SUMIFS('Data - Monthly Metrics'!$E:$E,'Data - Monthly Metrics'!$A:$A,$B$4-1,'Data - Monthly Metrics'!$B:$B,C$8,'Data - Monthly Metrics'!$C:$C,"Southeast",'Data - Monthly Metrics'!$D:$D,"Goal - Retention %"))</formula>
    </cfRule>
    <cfRule type="expression" rank="0" priority="338" equalAverage="0" aboveAverage="0" dxfId="2" stopIfTrue="1" text="" percent="0" bottom="0">
      <formula>AND(ISNUMBER(C19),COUNTIFS('Data - Monthly Metrics'!$A:$A,$B$4-1,'Data - Monthly Metrics'!$B:$B,C$8,'Data - Monthly Metrics'!$C:$C,"Southeast",'Data - Monthly Metrics'!$D:$D,"Goal - Retention %")&gt;0,C19&gt;=SUMIFS('Data - Monthly Metrics'!$E:$E,'Data - Monthly Metrics'!$A:$A,$B$4-1,'Data - Monthly Metrics'!$B:$B,C$8,'Data - Monthly Metrics'!$C:$C,"Southeast",'Data - Monthly Metrics'!$D:$D,"Goal - Retention %")-0.05)</formula>
    </cfRule>
    <cfRule type="expression" rank="0" priority="339" equalAverage="0" aboveAverage="0" dxfId="1" stopIfTrue="1" text="" percent="0" bottom="0">
      <formula>AND(ISNUMBER(C19),COUNTIFS('Data - Monthly Metrics'!$A:$A,$B$4-1,'Data - Monthly Metrics'!$B:$B,C$8,'Data - Monthly Metrics'!$C:$C,"Southeast",'Data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Metrics'!$C:$C,"Southeast",'Data - Monthly Metrics'!$D:$D,"Goal - Retention %")&gt;0,D19&gt;=SUMIFS('Data - Monthly Metrics'!$E:$E,'Data - Monthly Metrics'!$A:$A,$B$4-1,'Data - Monthly Metrics'!$B:$B,D$8,'Data - Monthly Metrics'!$C:$C,"Southeast",'Data - Monthly Metrics'!$D:$D,"Goal - Retention %"))</formula>
    </cfRule>
    <cfRule type="expression" rank="0" priority="341" equalAverage="0" aboveAverage="0" dxfId="2" stopIfTrue="1" text="" percent="0" bottom="0">
      <formula>AND(ISNUMBER(D19),COUNTIFS('Data - Monthly Metrics'!$A:$A,$B$4-1,'Data - Monthly Metrics'!$B:$B,D$8,'Data - Monthly Metrics'!$C:$C,"Southeast",'Data - Monthly Metrics'!$D:$D,"Goal - Retention %")&gt;0,D19&gt;=SUMIFS('Data - Monthly Metrics'!$E:$E,'Data - Monthly Metrics'!$A:$A,$B$4-1,'Data - Monthly Metrics'!$B:$B,D$8,'Data - Monthly Metrics'!$C:$C,"Southeast",'Data - Monthly Metrics'!$D:$D,"Goal - Retention %")-0.05)</formula>
    </cfRule>
    <cfRule type="expression" rank="0" priority="342" equalAverage="0" aboveAverage="0" dxfId="1" stopIfTrue="1" text="" percent="0" bottom="0">
      <formula>AND(ISNUMBER(D19),COUNTIFS('Data - Monthly Metrics'!$A:$A,$B$4-1,'Data - Monthly Metrics'!$B:$B,D$8,'Data - Monthly Metrics'!$C:$C,"Southeast",'Data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Metrics'!$C:$C,"Southeast",'Data - Monthly Metrics'!$D:$D,"Goal - Retention %")&gt;0,F19&gt;=SUMIFS('Data - Monthly Metrics'!$E:$E,'Data - Monthly Metrics'!$A:$A,$B$4,'Data - Monthly Metrics'!$B:$B,F$8,'Data - Monthly Metrics'!$C:$C,"Southeast",'Data - Monthly Metrics'!$D:$D,"Goal - Retention %"))</formula>
    </cfRule>
    <cfRule type="expression" rank="0" priority="344" equalAverage="0" aboveAverage="0" dxfId="2" stopIfTrue="1" text="" percent="0" bottom="0">
      <formula>AND(ISNUMBER(F19),COUNTIFS('Data - Monthly Metrics'!$A:$A,$B$4,'Data - Monthly Metrics'!$B:$B,F$8,'Data - Monthly Metrics'!$C:$C,"Southeast",'Data - Monthly Metrics'!$D:$D,"Goal - Retention %")&gt;0,F19&gt;=SUMIFS('Data - Monthly Metrics'!$E:$E,'Data - Monthly Metrics'!$A:$A,$B$4,'Data - Monthly Metrics'!$B:$B,F$8,'Data - Monthly Metrics'!$C:$C,"Southeast",'Data - Monthly Metrics'!$D:$D,"Goal - Retention %")-0.05)</formula>
    </cfRule>
    <cfRule type="expression" rank="0" priority="345" equalAverage="0" aboveAverage="0" dxfId="1" stopIfTrue="1" text="" percent="0" bottom="0">
      <formula>AND(ISNUMBER(F19),COUNTIFS('Data - Monthly Metrics'!$A:$A,$B$4,'Data - Monthly Metrics'!$B:$B,F$8,'Data - Monthly Metrics'!$C:$C,"Southeast",'Data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Metrics'!$C:$C,"Southeast",'Data - Monthly Metrics'!$D:$D,"Goal - Retention %")&gt;0,G19&gt;=SUMIFS('Data - Monthly Metrics'!$E:$E,'Data - Monthly Metrics'!$A:$A,$B$4,'Data - Monthly Metrics'!$B:$B,G$8,'Data - Monthly Metrics'!$C:$C,"Southeast",'Data - Monthly Metrics'!$D:$D,"Goal - Retention %"))</formula>
    </cfRule>
    <cfRule type="expression" rank="0" priority="347" equalAverage="0" aboveAverage="0" dxfId="2" stopIfTrue="1" text="" percent="0" bottom="0">
      <formula>AND(ISNUMBER(G19),COUNTIFS('Data - Monthly Metrics'!$A:$A,$B$4,'Data - Monthly Metrics'!$B:$B,G$8,'Data - Monthly Metrics'!$C:$C,"Southeast",'Data - Monthly Metrics'!$D:$D,"Goal - Retention %")&gt;0,G19&gt;=SUMIFS('Data - Monthly Metrics'!$E:$E,'Data - Monthly Metrics'!$A:$A,$B$4,'Data - Monthly Metrics'!$B:$B,G$8,'Data - Monthly Metrics'!$C:$C,"Southeast",'Data - Monthly Metrics'!$D:$D,"Goal - Retention %")-0.05)</formula>
    </cfRule>
    <cfRule type="expression" rank="0" priority="348" equalAverage="0" aboveAverage="0" dxfId="1" stopIfTrue="1" text="" percent="0" bottom="0">
      <formula>AND(ISNUMBER(G19),COUNTIFS('Data - Monthly Metrics'!$A:$A,$B$4,'Data - Monthly Metrics'!$B:$B,G$8,'Data - Monthly Metrics'!$C:$C,"Southeast",'Data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Metrics'!$C:$C,"Southeast",'Data - Monthly Metrics'!$D:$D,"Goal - Retention %")&gt;0,H19&gt;=SUMIFS('Data - Monthly Metrics'!$E:$E,'Data - Monthly Metrics'!$A:$A,$B$4,'Data - Monthly Metrics'!$B:$B,H$8,'Data - Monthly Metrics'!$C:$C,"Southeast",'Data - Monthly Metrics'!$D:$D,"Goal - Retention %"))</formula>
    </cfRule>
    <cfRule type="expression" rank="0" priority="350" equalAverage="0" aboveAverage="0" dxfId="2" stopIfTrue="1" text="" percent="0" bottom="0">
      <formula>AND(ISNUMBER(H19),COUNTIFS('Data - Monthly Metrics'!$A:$A,$B$4,'Data - Monthly Metrics'!$B:$B,H$8,'Data - Monthly Metrics'!$C:$C,"Southeast",'Data - Monthly Metrics'!$D:$D,"Goal - Retention %")&gt;0,H19&gt;=SUMIFS('Data - Monthly Metrics'!$E:$E,'Data - Monthly Metrics'!$A:$A,$B$4,'Data - Monthly Metrics'!$B:$B,H$8,'Data - Monthly Metrics'!$C:$C,"Southeast",'Data - Monthly Metrics'!$D:$D,"Goal - Retention %")-0.05)</formula>
    </cfRule>
    <cfRule type="expression" rank="0" priority="351" equalAverage="0" aboveAverage="0" dxfId="1" stopIfTrue="1" text="" percent="0" bottom="0">
      <formula>AND(ISNUMBER(H19),COUNTIFS('Data - Monthly Metrics'!$A:$A,$B$4,'Data - Monthly Metrics'!$B:$B,H$8,'Data - Monthly Metrics'!$C:$C,"Southeast",'Data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Metrics'!$C:$C,"Southeast",'Data - Monthly Metrics'!$D:$D,"Goal - Retention %")&gt;0,J19&gt;=SUMIFS('Data - Monthly Metrics'!$E:$E,'Data - Monthly Metrics'!$A:$A,$B$4,'Data - Monthly Metrics'!$B:$B,J$8,'Data - Monthly Metrics'!$C:$C,"Southeast",'Data - Monthly Metrics'!$D:$D,"Goal - Retention %"))</formula>
    </cfRule>
    <cfRule type="expression" rank="0" priority="353" equalAverage="0" aboveAverage="0" dxfId="2" stopIfTrue="1" text="" percent="0" bottom="0">
      <formula>AND(ISNUMBER(J19),COUNTIFS('Data - Monthly Metrics'!$A:$A,$B$4,'Data - Monthly Metrics'!$B:$B,J$8,'Data - Monthly Metrics'!$C:$C,"Southeast",'Data - Monthly Metrics'!$D:$D,"Goal - Retention %")&gt;0,J19&gt;=SUMIFS('Data - Monthly Metrics'!$E:$E,'Data - Monthly Metrics'!$A:$A,$B$4,'Data - Monthly Metrics'!$B:$B,J$8,'Data - Monthly Metrics'!$C:$C,"Southeast",'Data - Monthly Metrics'!$D:$D,"Goal - Retention %")-0.05)</formula>
    </cfRule>
    <cfRule type="expression" rank="0" priority="354" equalAverage="0" aboveAverage="0" dxfId="1" stopIfTrue="1" text="" percent="0" bottom="0">
      <formula>AND(ISNUMBER(J19),COUNTIFS('Data - Monthly Metrics'!$A:$A,$B$4,'Data - Monthly Metrics'!$B:$B,J$8,'Data - Monthly Metrics'!$C:$C,"Southeast",'Data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Metrics'!$C:$C,"Southeast",'Data - Monthly Metrics'!$D:$D,"Goal - Retention %")&gt;0,K19&gt;=SUMIFS('Data - Monthly Metrics'!$E:$E,'Data - Monthly Metrics'!$A:$A,$B$4,'Data - Monthly Metrics'!$B:$B,K$8,'Data - Monthly Metrics'!$C:$C,"Southeast",'Data - Monthly Metrics'!$D:$D,"Goal - Retention %"))</formula>
    </cfRule>
    <cfRule type="expression" rank="0" priority="356" equalAverage="0" aboveAverage="0" dxfId="2" stopIfTrue="1" text="" percent="0" bottom="0">
      <formula>AND(ISNUMBER(K19),COUNTIFS('Data - Monthly Metrics'!$A:$A,$B$4,'Data - Monthly Metrics'!$B:$B,K$8,'Data - Monthly Metrics'!$C:$C,"Southeast",'Data - Monthly Metrics'!$D:$D,"Goal - Retention %")&gt;0,K19&gt;=SUMIFS('Data - Monthly Metrics'!$E:$E,'Data - Monthly Metrics'!$A:$A,$B$4,'Data - Monthly Metrics'!$B:$B,K$8,'Data - Monthly Metrics'!$C:$C,"Southeast",'Data - Monthly Metrics'!$D:$D,"Goal - Retention %")-0.05)</formula>
    </cfRule>
    <cfRule type="expression" rank="0" priority="357" equalAverage="0" aboveAverage="0" dxfId="1" stopIfTrue="1" text="" percent="0" bottom="0">
      <formula>AND(ISNUMBER(K19),COUNTIFS('Data - Monthly Metrics'!$A:$A,$B$4,'Data - Monthly Metrics'!$B:$B,K$8,'Data - Monthly Metrics'!$C:$C,"Southeast",'Data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Metrics'!$C:$C,"Southeast",'Data - Monthly Metrics'!$D:$D,"Goal - Retention %")&gt;0,L19&gt;=SUMIFS('Data - Monthly Metrics'!$E:$E,'Data - Monthly Metrics'!$A:$A,$B$4,'Data - Monthly Metrics'!$B:$B,L$8,'Data - Monthly Metrics'!$C:$C,"Southeast",'Data - Monthly Metrics'!$D:$D,"Goal - Retention %"))</formula>
    </cfRule>
    <cfRule type="expression" rank="0" priority="359" equalAverage="0" aboveAverage="0" dxfId="2" stopIfTrue="1" text="" percent="0" bottom="0">
      <formula>AND(ISNUMBER(L19),COUNTIFS('Data - Monthly Metrics'!$A:$A,$B$4,'Data - Monthly Metrics'!$B:$B,L$8,'Data - Monthly Metrics'!$C:$C,"Southeast",'Data - Monthly Metrics'!$D:$D,"Goal - Retention %")&gt;0,L19&gt;=SUMIFS('Data - Monthly Metrics'!$E:$E,'Data - Monthly Metrics'!$A:$A,$B$4,'Data - Monthly Metrics'!$B:$B,L$8,'Data - Monthly Metrics'!$C:$C,"Southeast",'Data - Monthly Metrics'!$D:$D,"Goal - Retention %")-0.05)</formula>
    </cfRule>
    <cfRule type="expression" rank="0" priority="360" equalAverage="0" aboveAverage="0" dxfId="1" stopIfTrue="1" text="" percent="0" bottom="0">
      <formula>AND(ISNUMBER(L19),COUNTIFS('Data - Monthly Metrics'!$A:$A,$B$4,'Data - Monthly Metrics'!$B:$B,L$8,'Data - Monthly Metrics'!$C:$C,"Southeast",'Data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Metrics'!$C:$C,"Southeast",'Data - Monthly Metrics'!$D:$D,"Goal - Retention %")&gt;0,N19&gt;=SUMIFS('Data - Monthly Metrics'!$E:$E,'Data - Monthly Metrics'!$A:$A,$B$4,'Data - Monthly Metrics'!$B:$B,N$8,'Data - Monthly Metrics'!$C:$C,"Southeast",'Data - Monthly Metrics'!$D:$D,"Goal - Retention %"))</formula>
    </cfRule>
    <cfRule type="expression" rank="0" priority="362" equalAverage="0" aboveAverage="0" dxfId="2" stopIfTrue="1" text="" percent="0" bottom="0">
      <formula>AND(ISNUMBER(N19),COUNTIFS('Data - Monthly Metrics'!$A:$A,$B$4,'Data - Monthly Metrics'!$B:$B,N$8,'Data - Monthly Metrics'!$C:$C,"Southeast",'Data - Monthly Metrics'!$D:$D,"Goal - Retention %")&gt;0,N19&gt;=SUMIFS('Data - Monthly Metrics'!$E:$E,'Data - Monthly Metrics'!$A:$A,$B$4,'Data - Monthly Metrics'!$B:$B,N$8,'Data - Monthly Metrics'!$C:$C,"Southeast",'Data - Monthly Metrics'!$D:$D,"Goal - Retention %")-0.05)</formula>
    </cfRule>
    <cfRule type="expression" rank="0" priority="363" equalAverage="0" aboveAverage="0" dxfId="1" stopIfTrue="1" text="" percent="0" bottom="0">
      <formula>AND(ISNUMBER(N19),COUNTIFS('Data - Monthly Metrics'!$A:$A,$B$4,'Data - Monthly Metrics'!$B:$B,N$8,'Data - Monthly Metrics'!$C:$C,"Southeast",'Data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Metrics'!$C:$C,"Southeast",'Data - Monthly Metrics'!$D:$D,"Goal - Retention %")&gt;0,O19&gt;=SUMIFS('Data - Monthly Metrics'!$E:$E,'Data - Monthly Metrics'!$A:$A,$B$4,'Data - Monthly Metrics'!$B:$B,O$8,'Data - Monthly Metrics'!$C:$C,"Southeast",'Data - Monthly Metrics'!$D:$D,"Goal - Retention %"))</formula>
    </cfRule>
    <cfRule type="expression" rank="0" priority="365" equalAverage="0" aboveAverage="0" dxfId="2" stopIfTrue="1" text="" percent="0" bottom="0">
      <formula>AND(ISNUMBER(O19),COUNTIFS('Data - Monthly Metrics'!$A:$A,$B$4,'Data - Monthly Metrics'!$B:$B,O$8,'Data - Monthly Metrics'!$C:$C,"Southeast",'Data - Monthly Metrics'!$D:$D,"Goal - Retention %")&gt;0,O19&gt;=SUMIFS('Data - Monthly Metrics'!$E:$E,'Data - Monthly Metrics'!$A:$A,$B$4,'Data - Monthly Metrics'!$B:$B,O$8,'Data - Monthly Metrics'!$C:$C,"Southeast",'Data - Monthly Metrics'!$D:$D,"Goal - Retention %")-0.05)</formula>
    </cfRule>
    <cfRule type="expression" rank="0" priority="366" equalAverage="0" aboveAverage="0" dxfId="1" stopIfTrue="1" text="" percent="0" bottom="0">
      <formula>AND(ISNUMBER(O19),COUNTIFS('Data - Monthly Metrics'!$A:$A,$B$4,'Data - Monthly Metrics'!$B:$B,O$8,'Data - Monthly Metrics'!$C:$C,"Southeast",'Data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Metrics'!$C:$C,"Southeast",'Data - Monthly Metrics'!$D:$D,"Goal - Retention %")&gt;0,P19&gt;=SUMIFS('Data - Monthly Metrics'!$E:$E,'Data - Monthly Metrics'!$A:$A,$B$4,'Data - Monthly Metrics'!$B:$B,P$8,'Data - Monthly Metrics'!$C:$C,"Southeast",'Data - Monthly Metrics'!$D:$D,"Goal - Retention %"))</formula>
    </cfRule>
    <cfRule type="expression" rank="0" priority="368" equalAverage="0" aboveAverage="0" dxfId="2" stopIfTrue="1" text="" percent="0" bottom="0">
      <formula>AND(ISNUMBER(P19),COUNTIFS('Data - Monthly Metrics'!$A:$A,$B$4,'Data - Monthly Metrics'!$B:$B,P$8,'Data - Monthly Metrics'!$C:$C,"Southeast",'Data - Monthly Metrics'!$D:$D,"Goal - Retention %")&gt;0,P19&gt;=SUMIFS('Data - Monthly Metrics'!$E:$E,'Data - Monthly Metrics'!$A:$A,$B$4,'Data - Monthly Metrics'!$B:$B,P$8,'Data - Monthly Metrics'!$C:$C,"Southeast",'Data - Monthly Metrics'!$D:$D,"Goal - Retention %")-0.05)</formula>
    </cfRule>
    <cfRule type="expression" rank="0" priority="369" equalAverage="0" aboveAverage="0" dxfId="1" stopIfTrue="1" text="" percent="0" bottom="0">
      <formula>AND(ISNUMBER(P19),COUNTIFS('Data - Monthly Metrics'!$A:$A,$B$4,'Data - Monthly Metrics'!$B:$B,P$8,'Data - Monthly Metrics'!$C:$C,"Southeast",'Data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Metrics'!$C:$C,"Southeast",'Data - Monthly Metrics'!$D:$D,"Goal - Retention %")&gt;0,B28&gt;=SUMIFS('Data - Monthly Metrics'!$E:$E,'Data - Monthly Metrics'!$A:$A,$B$4-1,'Data - Monthly Metrics'!$B:$B,B$8,'Data - Monthly Metrics'!$C:$C,"Southeast",'Data - Monthly Metrics'!$D:$D,"Goal - Retention %"))</formula>
    </cfRule>
    <cfRule type="expression" rank="0" priority="371" equalAverage="0" aboveAverage="0" dxfId="2" stopIfTrue="1" text="" percent="0" bottom="0">
      <formula>AND(ISNUMBER(B28),COUNTIFS('Data - Monthly Metrics'!$A:$A,$B$4-1,'Data - Monthly Metrics'!$B:$B,B$8,'Data - Monthly Metrics'!$C:$C,"Southeast",'Data - Monthly Metrics'!$D:$D,"Goal - Retention %")&gt;0,B28&gt;=SUMIFS('Data - Monthly Metrics'!$E:$E,'Data - Monthly Metrics'!$A:$A,$B$4-1,'Data - Monthly Metrics'!$B:$B,B$8,'Data - Monthly Metrics'!$C:$C,"Southeast",'Data - Monthly Metrics'!$D:$D,"Goal - Retention %")-0.05)</formula>
    </cfRule>
    <cfRule type="expression" rank="0" priority="372" equalAverage="0" aboveAverage="0" dxfId="1" stopIfTrue="1" text="" percent="0" bottom="0">
      <formula>AND(ISNUMBER(B28),COUNTIFS('Data - Monthly Metrics'!$A:$A,$B$4-1,'Data - Monthly Metrics'!$B:$B,B$8,'Data - Monthly Metrics'!$C:$C,"Southeast",'Data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Metrics'!$C:$C,"Southeast",'Data - Monthly Metrics'!$D:$D,"Goal - Retention %")&gt;0,C28&gt;=SUMIFS('Data - Monthly Metrics'!$E:$E,'Data - Monthly Metrics'!$A:$A,$B$4-1,'Data - Monthly Metrics'!$B:$B,C$8,'Data - Monthly Metrics'!$C:$C,"Southeast",'Data - Monthly Metrics'!$D:$D,"Goal - Retention %"))</formula>
    </cfRule>
    <cfRule type="expression" rank="0" priority="374" equalAverage="0" aboveAverage="0" dxfId="2" stopIfTrue="1" text="" percent="0" bottom="0">
      <formula>AND(ISNUMBER(C28),COUNTIFS('Data - Monthly Metrics'!$A:$A,$B$4-1,'Data - Monthly Metrics'!$B:$B,C$8,'Data - Monthly Metrics'!$C:$C,"Southeast",'Data - Monthly Metrics'!$D:$D,"Goal - Retention %")&gt;0,C28&gt;=SUMIFS('Data - Monthly Metrics'!$E:$E,'Data - Monthly Metrics'!$A:$A,$B$4-1,'Data - Monthly Metrics'!$B:$B,C$8,'Data - Monthly Metrics'!$C:$C,"Southeast",'Data - Monthly Metrics'!$D:$D,"Goal - Retention %")-0.05)</formula>
    </cfRule>
    <cfRule type="expression" rank="0" priority="375" equalAverage="0" aboveAverage="0" dxfId="1" stopIfTrue="1" text="" percent="0" bottom="0">
      <formula>AND(ISNUMBER(C28),COUNTIFS('Data - Monthly Metrics'!$A:$A,$B$4-1,'Data - Monthly Metrics'!$B:$B,C$8,'Data - Monthly Metrics'!$C:$C,"Southeast",'Data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Metrics'!$C:$C,"Southeast",'Data - Monthly Metrics'!$D:$D,"Goal - Retention %")&gt;0,D28&gt;=SUMIFS('Data - Monthly Metrics'!$E:$E,'Data - Monthly Metrics'!$A:$A,$B$4-1,'Data - Monthly Metrics'!$B:$B,D$8,'Data - Monthly Metrics'!$C:$C,"Southeast",'Data - Monthly Metrics'!$D:$D,"Goal - Retention %"))</formula>
    </cfRule>
    <cfRule type="expression" rank="0" priority="377" equalAverage="0" aboveAverage="0" dxfId="2" stopIfTrue="1" text="" percent="0" bottom="0">
      <formula>AND(ISNUMBER(D28),COUNTIFS('Data - Monthly Metrics'!$A:$A,$B$4-1,'Data - Monthly Metrics'!$B:$B,D$8,'Data - Monthly Metrics'!$C:$C,"Southeast",'Data - Monthly Metrics'!$D:$D,"Goal - Retention %")&gt;0,D28&gt;=SUMIFS('Data - Monthly Metrics'!$E:$E,'Data - Monthly Metrics'!$A:$A,$B$4-1,'Data - Monthly Metrics'!$B:$B,D$8,'Data - Monthly Metrics'!$C:$C,"Southeast",'Data - Monthly Metrics'!$D:$D,"Goal - Retention %")-0.05)</formula>
    </cfRule>
    <cfRule type="expression" rank="0" priority="378" equalAverage="0" aboveAverage="0" dxfId="1" stopIfTrue="1" text="" percent="0" bottom="0">
      <formula>AND(ISNUMBER(D28),COUNTIFS('Data - Monthly Metrics'!$A:$A,$B$4-1,'Data - Monthly Metrics'!$B:$B,D$8,'Data - Monthly Metrics'!$C:$C,"Southeast",'Data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Metrics'!$C:$C,"Southeast",'Data - Monthly Metrics'!$D:$D,"Goal - Retention %")&gt;0,F28&gt;=SUMIFS('Data - Monthly Metrics'!$E:$E,'Data - Monthly Metrics'!$A:$A,$B$4,'Data - Monthly Metrics'!$B:$B,F$8,'Data - Monthly Metrics'!$C:$C,"Southeast",'Data - Monthly Metrics'!$D:$D,"Goal - Retention %"))</formula>
    </cfRule>
    <cfRule type="expression" rank="0" priority="380" equalAverage="0" aboveAverage="0" dxfId="2" stopIfTrue="1" text="" percent="0" bottom="0">
      <formula>AND(ISNUMBER(F28),COUNTIFS('Data - Monthly Metrics'!$A:$A,$B$4,'Data - Monthly Metrics'!$B:$B,F$8,'Data - Monthly Metrics'!$C:$C,"Southeast",'Data - Monthly Metrics'!$D:$D,"Goal - Retention %")&gt;0,F28&gt;=SUMIFS('Data - Monthly Metrics'!$E:$E,'Data - Monthly Metrics'!$A:$A,$B$4,'Data - Monthly Metrics'!$B:$B,F$8,'Data - Monthly Metrics'!$C:$C,"Southeast",'Data - Monthly Metrics'!$D:$D,"Goal - Retention %")-0.05)</formula>
    </cfRule>
    <cfRule type="expression" rank="0" priority="381" equalAverage="0" aboveAverage="0" dxfId="1" stopIfTrue="1" text="" percent="0" bottom="0">
      <formula>AND(ISNUMBER(F28),COUNTIFS('Data - Monthly Metrics'!$A:$A,$B$4,'Data - Monthly Metrics'!$B:$B,F$8,'Data - Monthly Metrics'!$C:$C,"Southeast",'Data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Metrics'!$C:$C,"Southeast",'Data - Monthly Metrics'!$D:$D,"Goal - Retention %")&gt;0,G28&gt;=SUMIFS('Data - Monthly Metrics'!$E:$E,'Data - Monthly Metrics'!$A:$A,$B$4,'Data - Monthly Metrics'!$B:$B,G$8,'Data - Monthly Metrics'!$C:$C,"Southeast",'Data - Monthly Metrics'!$D:$D,"Goal - Retention %"))</formula>
    </cfRule>
    <cfRule type="expression" rank="0" priority="383" equalAverage="0" aboveAverage="0" dxfId="2" stopIfTrue="1" text="" percent="0" bottom="0">
      <formula>AND(ISNUMBER(G28),COUNTIFS('Data - Monthly Metrics'!$A:$A,$B$4,'Data - Monthly Metrics'!$B:$B,G$8,'Data - Monthly Metrics'!$C:$C,"Southeast",'Data - Monthly Metrics'!$D:$D,"Goal - Retention %")&gt;0,G28&gt;=SUMIFS('Data - Monthly Metrics'!$E:$E,'Data - Monthly Metrics'!$A:$A,$B$4,'Data - Monthly Metrics'!$B:$B,G$8,'Data - Monthly Metrics'!$C:$C,"Southeast",'Data - Monthly Metrics'!$D:$D,"Goal - Retention %")-0.05)</formula>
    </cfRule>
    <cfRule type="expression" rank="0" priority="384" equalAverage="0" aboveAverage="0" dxfId="1" stopIfTrue="1" text="" percent="0" bottom="0">
      <formula>AND(ISNUMBER(G28),COUNTIFS('Data - Monthly Metrics'!$A:$A,$B$4,'Data - Monthly Metrics'!$B:$B,G$8,'Data - Monthly Metrics'!$C:$C,"Southeast",'Data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Metrics'!$C:$C,"Southeast",'Data - Monthly Metrics'!$D:$D,"Goal - Retention %")&gt;0,H28&gt;=SUMIFS('Data - Monthly Metrics'!$E:$E,'Data - Monthly Metrics'!$A:$A,$B$4,'Data - Monthly Metrics'!$B:$B,H$8,'Data - Monthly Metrics'!$C:$C,"Southeast",'Data - Monthly Metrics'!$D:$D,"Goal - Retention %"))</formula>
    </cfRule>
    <cfRule type="expression" rank="0" priority="386" equalAverage="0" aboveAverage="0" dxfId="2" stopIfTrue="1" text="" percent="0" bottom="0">
      <formula>AND(ISNUMBER(H28),COUNTIFS('Data - Monthly Metrics'!$A:$A,$B$4,'Data - Monthly Metrics'!$B:$B,H$8,'Data - Monthly Metrics'!$C:$C,"Southeast",'Data - Monthly Metrics'!$D:$D,"Goal - Retention %")&gt;0,H28&gt;=SUMIFS('Data - Monthly Metrics'!$E:$E,'Data - Monthly Metrics'!$A:$A,$B$4,'Data - Monthly Metrics'!$B:$B,H$8,'Data - Monthly Metrics'!$C:$C,"Southeast",'Data - Monthly Metrics'!$D:$D,"Goal - Retention %")-0.05)</formula>
    </cfRule>
    <cfRule type="expression" rank="0" priority="387" equalAverage="0" aboveAverage="0" dxfId="1" stopIfTrue="1" text="" percent="0" bottom="0">
      <formula>AND(ISNUMBER(H28),COUNTIFS('Data - Monthly Metrics'!$A:$A,$B$4,'Data - Monthly Metrics'!$B:$B,H$8,'Data - Monthly Metrics'!$C:$C,"Southeast",'Data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Metrics'!$C:$C,"Southeast",'Data - Monthly Metrics'!$D:$D,"Goal - Retention %")&gt;0,J28&gt;=SUMIFS('Data - Monthly Metrics'!$E:$E,'Data - Monthly Metrics'!$A:$A,$B$4,'Data - Monthly Metrics'!$B:$B,J$8,'Data - Monthly Metrics'!$C:$C,"Southeast",'Data - Monthly Metrics'!$D:$D,"Goal - Retention %"))</formula>
    </cfRule>
    <cfRule type="expression" rank="0" priority="389" equalAverage="0" aboveAverage="0" dxfId="2" stopIfTrue="1" text="" percent="0" bottom="0">
      <formula>AND(ISNUMBER(J28),COUNTIFS('Data - Monthly Metrics'!$A:$A,$B$4,'Data - Monthly Metrics'!$B:$B,J$8,'Data - Monthly Metrics'!$C:$C,"Southeast",'Data - Monthly Metrics'!$D:$D,"Goal - Retention %")&gt;0,J28&gt;=SUMIFS('Data - Monthly Metrics'!$E:$E,'Data - Monthly Metrics'!$A:$A,$B$4,'Data - Monthly Metrics'!$B:$B,J$8,'Data - Monthly Metrics'!$C:$C,"Southeast",'Data - Monthly Metrics'!$D:$D,"Goal - Retention %")-0.05)</formula>
    </cfRule>
    <cfRule type="expression" rank="0" priority="390" equalAverage="0" aboveAverage="0" dxfId="1" stopIfTrue="1" text="" percent="0" bottom="0">
      <formula>AND(ISNUMBER(J28),COUNTIFS('Data - Monthly Metrics'!$A:$A,$B$4,'Data - Monthly Metrics'!$B:$B,J$8,'Data - Monthly Metrics'!$C:$C,"Southeast",'Data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Metrics'!$C:$C,"Southeast",'Data - Monthly Metrics'!$D:$D,"Goal - Retention %")&gt;0,K28&gt;=SUMIFS('Data - Monthly Metrics'!$E:$E,'Data - Monthly Metrics'!$A:$A,$B$4,'Data - Monthly Metrics'!$B:$B,K$8,'Data - Monthly Metrics'!$C:$C,"Southeast",'Data - Monthly Metrics'!$D:$D,"Goal - Retention %"))</formula>
    </cfRule>
    <cfRule type="expression" rank="0" priority="392" equalAverage="0" aboveAverage="0" dxfId="2" stopIfTrue="1" text="" percent="0" bottom="0">
      <formula>AND(ISNUMBER(K28),COUNTIFS('Data - Monthly Metrics'!$A:$A,$B$4,'Data - Monthly Metrics'!$B:$B,K$8,'Data - Monthly Metrics'!$C:$C,"Southeast",'Data - Monthly Metrics'!$D:$D,"Goal - Retention %")&gt;0,K28&gt;=SUMIFS('Data - Monthly Metrics'!$E:$E,'Data - Monthly Metrics'!$A:$A,$B$4,'Data - Monthly Metrics'!$B:$B,K$8,'Data - Monthly Metrics'!$C:$C,"Southeast",'Data - Monthly Metrics'!$D:$D,"Goal - Retention %")-0.05)</formula>
    </cfRule>
    <cfRule type="expression" rank="0" priority="393" equalAverage="0" aboveAverage="0" dxfId="1" stopIfTrue="1" text="" percent="0" bottom="0">
      <formula>AND(ISNUMBER(K28),COUNTIFS('Data - Monthly Metrics'!$A:$A,$B$4,'Data - Monthly Metrics'!$B:$B,K$8,'Data - Monthly Metrics'!$C:$C,"Southeast",'Data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Metrics'!$C:$C,"Southeast",'Data - Monthly Metrics'!$D:$D,"Goal - Retention %")&gt;0,L28&gt;=SUMIFS('Data - Monthly Metrics'!$E:$E,'Data - Monthly Metrics'!$A:$A,$B$4,'Data - Monthly Metrics'!$B:$B,L$8,'Data - Monthly Metrics'!$C:$C,"Southeast",'Data - Monthly Metrics'!$D:$D,"Goal - Retention %"))</formula>
    </cfRule>
    <cfRule type="expression" rank="0" priority="395" equalAverage="0" aboveAverage="0" dxfId="2" stopIfTrue="1" text="" percent="0" bottom="0">
      <formula>AND(ISNUMBER(L28),COUNTIFS('Data - Monthly Metrics'!$A:$A,$B$4,'Data - Monthly Metrics'!$B:$B,L$8,'Data - Monthly Metrics'!$C:$C,"Southeast",'Data - Monthly Metrics'!$D:$D,"Goal - Retention %")&gt;0,L28&gt;=SUMIFS('Data - Monthly Metrics'!$E:$E,'Data - Monthly Metrics'!$A:$A,$B$4,'Data - Monthly Metrics'!$B:$B,L$8,'Data - Monthly Metrics'!$C:$C,"Southeast",'Data - Monthly Metrics'!$D:$D,"Goal - Retention %")-0.05)</formula>
    </cfRule>
    <cfRule type="expression" rank="0" priority="396" equalAverage="0" aboveAverage="0" dxfId="1" stopIfTrue="1" text="" percent="0" bottom="0">
      <formula>AND(ISNUMBER(L28),COUNTIFS('Data - Monthly Metrics'!$A:$A,$B$4,'Data - Monthly Metrics'!$B:$B,L$8,'Data - Monthly Metrics'!$C:$C,"Southeast",'Data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Metrics'!$C:$C,"Southeast",'Data - Monthly Metrics'!$D:$D,"Goal - Retention %")&gt;0,N28&gt;=SUMIFS('Data - Monthly Metrics'!$E:$E,'Data - Monthly Metrics'!$A:$A,$B$4,'Data - Monthly Metrics'!$B:$B,N$8,'Data - Monthly Metrics'!$C:$C,"Southeast",'Data - Monthly Metrics'!$D:$D,"Goal - Retention %"))</formula>
    </cfRule>
    <cfRule type="expression" rank="0" priority="398" equalAverage="0" aboveAverage="0" dxfId="2" stopIfTrue="1" text="" percent="0" bottom="0">
      <formula>AND(ISNUMBER(N28),COUNTIFS('Data - Monthly Metrics'!$A:$A,$B$4,'Data - Monthly Metrics'!$B:$B,N$8,'Data - Monthly Metrics'!$C:$C,"Southeast",'Data - Monthly Metrics'!$D:$D,"Goal - Retention %")&gt;0,N28&gt;=SUMIFS('Data - Monthly Metrics'!$E:$E,'Data - Monthly Metrics'!$A:$A,$B$4,'Data - Monthly Metrics'!$B:$B,N$8,'Data - Monthly Metrics'!$C:$C,"Southeast",'Data - Monthly Metrics'!$D:$D,"Goal - Retention %")-0.05)</formula>
    </cfRule>
    <cfRule type="expression" rank="0" priority="399" equalAverage="0" aboveAverage="0" dxfId="1" stopIfTrue="1" text="" percent="0" bottom="0">
      <formula>AND(ISNUMBER(N28),COUNTIFS('Data - Monthly Metrics'!$A:$A,$B$4,'Data - Monthly Metrics'!$B:$B,N$8,'Data - Monthly Metrics'!$C:$C,"Southeast",'Data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Metrics'!$C:$C,"Southeast",'Data - Monthly Metrics'!$D:$D,"Goal - Retention %")&gt;0,O28&gt;=SUMIFS('Data - Monthly Metrics'!$E:$E,'Data - Monthly Metrics'!$A:$A,$B$4,'Data - Monthly Metrics'!$B:$B,O$8,'Data - Monthly Metrics'!$C:$C,"Southeast",'Data - Monthly Metrics'!$D:$D,"Goal - Retention %"))</formula>
    </cfRule>
    <cfRule type="expression" rank="0" priority="401" equalAverage="0" aboveAverage="0" dxfId="2" stopIfTrue="1" text="" percent="0" bottom="0">
      <formula>AND(ISNUMBER(O28),COUNTIFS('Data - Monthly Metrics'!$A:$A,$B$4,'Data - Monthly Metrics'!$B:$B,O$8,'Data - Monthly Metrics'!$C:$C,"Southeast",'Data - Monthly Metrics'!$D:$D,"Goal - Retention %")&gt;0,O28&gt;=SUMIFS('Data - Monthly Metrics'!$E:$E,'Data - Monthly Metrics'!$A:$A,$B$4,'Data - Monthly Metrics'!$B:$B,O$8,'Data - Monthly Metrics'!$C:$C,"Southeast",'Data - Monthly Metrics'!$D:$D,"Goal - Retention %")-0.05)</formula>
    </cfRule>
    <cfRule type="expression" rank="0" priority="402" equalAverage="0" aboveAverage="0" dxfId="1" stopIfTrue="1" text="" percent="0" bottom="0">
      <formula>AND(ISNUMBER(O28),COUNTIFS('Data - Monthly Metrics'!$A:$A,$B$4,'Data - Monthly Metrics'!$B:$B,O$8,'Data - Monthly Metrics'!$C:$C,"Southeast",'Data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Metrics'!$C:$C,"Southeast",'Data - Monthly Metrics'!$D:$D,"Goal - Retention %")&gt;0,P28&gt;=SUMIFS('Data - Monthly Metrics'!$E:$E,'Data - Monthly Metrics'!$A:$A,$B$4,'Data - Monthly Metrics'!$B:$B,P$8,'Data - Monthly Metrics'!$C:$C,"Southeast",'Data - Monthly Metrics'!$D:$D,"Goal - Retention %"))</formula>
    </cfRule>
    <cfRule type="expression" rank="0" priority="404" equalAverage="0" aboveAverage="0" dxfId="2" stopIfTrue="1" text="" percent="0" bottom="0">
      <formula>AND(ISNUMBER(P28),COUNTIFS('Data - Monthly Metrics'!$A:$A,$B$4,'Data - Monthly Metrics'!$B:$B,P$8,'Data - Monthly Metrics'!$C:$C,"Southeast",'Data - Monthly Metrics'!$D:$D,"Goal - Retention %")&gt;0,P28&gt;=SUMIFS('Data - Monthly Metrics'!$E:$E,'Data - Monthly Metrics'!$A:$A,$B$4,'Data - Monthly Metrics'!$B:$B,P$8,'Data - Monthly Metrics'!$C:$C,"Southeast",'Data - Monthly Metrics'!$D:$D,"Goal - Retention %")-0.05)</formula>
    </cfRule>
    <cfRule type="expression" rank="0" priority="405" equalAverage="0" aboveAverage="0" dxfId="1" stopIfTrue="1" text="" percent="0" bottom="0">
      <formula>AND(ISNUMBER(P28),COUNTIFS('Data - Monthly Metrics'!$A:$A,$B$4,'Data - Monthly Metrics'!$B:$B,P$8,'Data - Monthly Metrics'!$C:$C,"Southeast",'Data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Metrics'!$C:$C,"Southeast",'Data - Monthly Metrics'!$D:$D,"Goal - Penetration %")&gt;0,B29&gt;=SUMIFS('Data - Monthly Metrics'!$E:$E,'Data - Monthly Metrics'!$A:$A,$B$4-1,'Data - Monthly Metrics'!$B:$B,B$8,'Data - Monthly Metrics'!$C:$C,"Southeast",'Data - Monthly Metrics'!$D:$D,"Goal - Penetration %"))</formula>
    </cfRule>
    <cfRule type="expression" rank="0" priority="407" equalAverage="0" aboveAverage="0" dxfId="2" stopIfTrue="1" text="" percent="0" bottom="0">
      <formula>AND(ISNUMBER(B29),COUNTIFS('Data - Monthly Metrics'!$A:$A,$B$4-1,'Data - Monthly Metrics'!$B:$B,B$8,'Data - Monthly Metrics'!$C:$C,"Southeast",'Data - Monthly Metrics'!$D:$D,"Goal - Penetration %")&gt;0,B29&gt;=SUMIFS('Data - Monthly Metrics'!$E:$E,'Data - Monthly Metrics'!$A:$A,$B$4-1,'Data - Monthly Metrics'!$B:$B,B$8,'Data - Monthly Metrics'!$C:$C,"Southeast",'Data - Monthly Metrics'!$D:$D,"Goal - Penetration %")-0.05)</formula>
    </cfRule>
    <cfRule type="expression" rank="0" priority="408" equalAverage="0" aboveAverage="0" dxfId="1" stopIfTrue="1" text="" percent="0" bottom="0">
      <formula>AND(ISNUMBER(B29),COUNTIFS('Data - Monthly Metrics'!$A:$A,$B$4-1,'Data - Monthly Metrics'!$B:$B,B$8,'Data - Monthly Metrics'!$C:$C,"Southeast",'Data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Metrics'!$C:$C,"Southeast",'Data - Monthly Metrics'!$D:$D,"Goal - Penetration %")&gt;0,C29&gt;=SUMIFS('Data - Monthly Metrics'!$E:$E,'Data - Monthly Metrics'!$A:$A,$B$4-1,'Data - Monthly Metrics'!$B:$B,C$8,'Data - Monthly Metrics'!$C:$C,"Southeast",'Data - Monthly Metrics'!$D:$D,"Goal - Penetration %"))</formula>
    </cfRule>
    <cfRule type="expression" rank="0" priority="410" equalAverage="0" aboveAverage="0" dxfId="2" stopIfTrue="1" text="" percent="0" bottom="0">
      <formula>AND(ISNUMBER(C29),COUNTIFS('Data - Monthly Metrics'!$A:$A,$B$4-1,'Data - Monthly Metrics'!$B:$B,C$8,'Data - Monthly Metrics'!$C:$C,"Southeast",'Data - Monthly Metrics'!$D:$D,"Goal - Penetration %")&gt;0,C29&gt;=SUMIFS('Data - Monthly Metrics'!$E:$E,'Data - Monthly Metrics'!$A:$A,$B$4-1,'Data - Monthly Metrics'!$B:$B,C$8,'Data - Monthly Metrics'!$C:$C,"Southeast",'Data - Monthly Metrics'!$D:$D,"Goal - Penetration %")-0.05)</formula>
    </cfRule>
    <cfRule type="expression" rank="0" priority="411" equalAverage="0" aboveAverage="0" dxfId="1" stopIfTrue="1" text="" percent="0" bottom="0">
      <formula>AND(ISNUMBER(C29),COUNTIFS('Data - Monthly Metrics'!$A:$A,$B$4-1,'Data - Monthly Metrics'!$B:$B,C$8,'Data - Monthly Metrics'!$C:$C,"Southeast",'Data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Metrics'!$C:$C,"Southeast",'Data - Monthly Metrics'!$D:$D,"Goal - Penetration %")&gt;0,D29&gt;=SUMIFS('Data - Monthly Metrics'!$E:$E,'Data - Monthly Metrics'!$A:$A,$B$4-1,'Data - Monthly Metrics'!$B:$B,D$8,'Data - Monthly Metrics'!$C:$C,"Southeast",'Data - Monthly Metrics'!$D:$D,"Goal - Penetration %"))</formula>
    </cfRule>
    <cfRule type="expression" rank="0" priority="413" equalAverage="0" aboveAverage="0" dxfId="2" stopIfTrue="1" text="" percent="0" bottom="0">
      <formula>AND(ISNUMBER(D29),COUNTIFS('Data - Monthly Metrics'!$A:$A,$B$4-1,'Data - Monthly Metrics'!$B:$B,D$8,'Data - Monthly Metrics'!$C:$C,"Southeast",'Data - Monthly Metrics'!$D:$D,"Goal - Penetration %")&gt;0,D29&gt;=SUMIFS('Data - Monthly Metrics'!$E:$E,'Data - Monthly Metrics'!$A:$A,$B$4-1,'Data - Monthly Metrics'!$B:$B,D$8,'Data - Monthly Metrics'!$C:$C,"Southeast",'Data - Monthly Metrics'!$D:$D,"Goal - Penetration %")-0.05)</formula>
    </cfRule>
    <cfRule type="expression" rank="0" priority="414" equalAverage="0" aboveAverage="0" dxfId="1" stopIfTrue="1" text="" percent="0" bottom="0">
      <formula>AND(ISNUMBER(D29),COUNTIFS('Data - Monthly Metrics'!$A:$A,$B$4-1,'Data - Monthly Metrics'!$B:$B,D$8,'Data - Monthly Metrics'!$C:$C,"Southeast",'Data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Metrics'!$C:$C,"Southeast",'Data - Monthly Metrics'!$D:$D,"Goal - Penetration %")&gt;0,F29&gt;=SUMIFS('Data - Monthly Metrics'!$E:$E,'Data - Monthly Metrics'!$A:$A,$B$4,'Data - Monthly Metrics'!$B:$B,F$8,'Data - Monthly Metrics'!$C:$C,"Southeast",'Data - Monthly Metrics'!$D:$D,"Goal - Penetration %"))</formula>
    </cfRule>
    <cfRule type="expression" rank="0" priority="416" equalAverage="0" aboveAverage="0" dxfId="2" stopIfTrue="1" text="" percent="0" bottom="0">
      <formula>AND(ISNUMBER(F29),COUNTIFS('Data - Monthly Metrics'!$A:$A,$B$4,'Data - Monthly Metrics'!$B:$B,F$8,'Data - Monthly Metrics'!$C:$C,"Southeast",'Data - Monthly Metrics'!$D:$D,"Goal - Penetration %")&gt;0,F29&gt;=SUMIFS('Data - Monthly Metrics'!$E:$E,'Data - Monthly Metrics'!$A:$A,$B$4,'Data - Monthly Metrics'!$B:$B,F$8,'Data - Monthly Metrics'!$C:$C,"Southeast",'Data - Monthly Metrics'!$D:$D,"Goal - Penetration %")-0.05)</formula>
    </cfRule>
    <cfRule type="expression" rank="0" priority="417" equalAverage="0" aboveAverage="0" dxfId="1" stopIfTrue="1" text="" percent="0" bottom="0">
      <formula>AND(ISNUMBER(F29),COUNTIFS('Data - Monthly Metrics'!$A:$A,$B$4,'Data - Monthly Metrics'!$B:$B,F$8,'Data - Monthly Metrics'!$C:$C,"Southeast",'Data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Metrics'!$C:$C,"Southeast",'Data - Monthly Metrics'!$D:$D,"Goal - Penetration %")&gt;0,G29&gt;=SUMIFS('Data - Monthly Metrics'!$E:$E,'Data - Monthly Metrics'!$A:$A,$B$4,'Data - Monthly Metrics'!$B:$B,G$8,'Data - Monthly Metrics'!$C:$C,"Southeast",'Data - Monthly Metrics'!$D:$D,"Goal - Penetration %"))</formula>
    </cfRule>
    <cfRule type="expression" rank="0" priority="419" equalAverage="0" aboveAverage="0" dxfId="2" stopIfTrue="1" text="" percent="0" bottom="0">
      <formula>AND(ISNUMBER(G29),COUNTIFS('Data - Monthly Metrics'!$A:$A,$B$4,'Data - Monthly Metrics'!$B:$B,G$8,'Data - Monthly Metrics'!$C:$C,"Southeast",'Data - Monthly Metrics'!$D:$D,"Goal - Penetration %")&gt;0,G29&gt;=SUMIFS('Data - Monthly Metrics'!$E:$E,'Data - Monthly Metrics'!$A:$A,$B$4,'Data - Monthly Metrics'!$B:$B,G$8,'Data - Monthly Metrics'!$C:$C,"Southeast",'Data - Monthly Metrics'!$D:$D,"Goal - Penetration %")-0.05)</formula>
    </cfRule>
    <cfRule type="expression" rank="0" priority="420" equalAverage="0" aboveAverage="0" dxfId="1" stopIfTrue="1" text="" percent="0" bottom="0">
      <formula>AND(ISNUMBER(G29),COUNTIFS('Data - Monthly Metrics'!$A:$A,$B$4,'Data - Monthly Metrics'!$B:$B,G$8,'Data - Monthly Metrics'!$C:$C,"Southeast",'Data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Metrics'!$C:$C,"Southeast",'Data - Monthly Metrics'!$D:$D,"Goal - Penetration %")&gt;0,H29&gt;=SUMIFS('Data - Monthly Metrics'!$E:$E,'Data - Monthly Metrics'!$A:$A,$B$4,'Data - Monthly Metrics'!$B:$B,H$8,'Data - Monthly Metrics'!$C:$C,"Southeast",'Data - Monthly Metrics'!$D:$D,"Goal - Penetration %"))</formula>
    </cfRule>
    <cfRule type="expression" rank="0" priority="422" equalAverage="0" aboveAverage="0" dxfId="2" stopIfTrue="1" text="" percent="0" bottom="0">
      <formula>AND(ISNUMBER(H29),COUNTIFS('Data - Monthly Metrics'!$A:$A,$B$4,'Data - Monthly Metrics'!$B:$B,H$8,'Data - Monthly Metrics'!$C:$C,"Southeast",'Data - Monthly Metrics'!$D:$D,"Goal - Penetration %")&gt;0,H29&gt;=SUMIFS('Data - Monthly Metrics'!$E:$E,'Data - Monthly Metrics'!$A:$A,$B$4,'Data - Monthly Metrics'!$B:$B,H$8,'Data - Monthly Metrics'!$C:$C,"Southeast",'Data - Monthly Metrics'!$D:$D,"Goal - Penetration %")-0.05)</formula>
    </cfRule>
    <cfRule type="expression" rank="0" priority="423" equalAverage="0" aboveAverage="0" dxfId="1" stopIfTrue="1" text="" percent="0" bottom="0">
      <formula>AND(ISNUMBER(H29),COUNTIFS('Data - Monthly Metrics'!$A:$A,$B$4,'Data - Monthly Metrics'!$B:$B,H$8,'Data - Monthly Metrics'!$C:$C,"Southeast",'Data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Metrics'!$C:$C,"Southeast",'Data - Monthly Metrics'!$D:$D,"Goal - Penetration %")&gt;0,J29&gt;=SUMIFS('Data - Monthly Metrics'!$E:$E,'Data - Monthly Metrics'!$A:$A,$B$4,'Data - Monthly Metrics'!$B:$B,J$8,'Data - Monthly Metrics'!$C:$C,"Southeast",'Data - Monthly Metrics'!$D:$D,"Goal - Penetration %"))</formula>
    </cfRule>
    <cfRule type="expression" rank="0" priority="425" equalAverage="0" aboveAverage="0" dxfId="2" stopIfTrue="1" text="" percent="0" bottom="0">
      <formula>AND(ISNUMBER(J29),COUNTIFS('Data - Monthly Metrics'!$A:$A,$B$4,'Data - Monthly Metrics'!$B:$B,J$8,'Data - Monthly Metrics'!$C:$C,"Southeast",'Data - Monthly Metrics'!$D:$D,"Goal - Penetration %")&gt;0,J29&gt;=SUMIFS('Data - Monthly Metrics'!$E:$E,'Data - Monthly Metrics'!$A:$A,$B$4,'Data - Monthly Metrics'!$B:$B,J$8,'Data - Monthly Metrics'!$C:$C,"Southeast",'Data - Monthly Metrics'!$D:$D,"Goal - Penetration %")-0.05)</formula>
    </cfRule>
    <cfRule type="expression" rank="0" priority="426" equalAverage="0" aboveAverage="0" dxfId="1" stopIfTrue="1" text="" percent="0" bottom="0">
      <formula>AND(ISNUMBER(J29),COUNTIFS('Data - Monthly Metrics'!$A:$A,$B$4,'Data - Monthly Metrics'!$B:$B,J$8,'Data - Monthly Metrics'!$C:$C,"Southeast",'Data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Metrics'!$C:$C,"Southeast",'Data - Monthly Metrics'!$D:$D,"Goal - Penetration %")&gt;0,K29&gt;=SUMIFS('Data - Monthly Metrics'!$E:$E,'Data - Monthly Metrics'!$A:$A,$B$4,'Data - Monthly Metrics'!$B:$B,K$8,'Data - Monthly Metrics'!$C:$C,"Southeast",'Data - Monthly Metrics'!$D:$D,"Goal - Penetration %"))</formula>
    </cfRule>
    <cfRule type="expression" rank="0" priority="428" equalAverage="0" aboveAverage="0" dxfId="2" stopIfTrue="1" text="" percent="0" bottom="0">
      <formula>AND(ISNUMBER(K29),COUNTIFS('Data - Monthly Metrics'!$A:$A,$B$4,'Data - Monthly Metrics'!$B:$B,K$8,'Data - Monthly Metrics'!$C:$C,"Southeast",'Data - Monthly Metrics'!$D:$D,"Goal - Penetration %")&gt;0,K29&gt;=SUMIFS('Data - Monthly Metrics'!$E:$E,'Data - Monthly Metrics'!$A:$A,$B$4,'Data - Monthly Metrics'!$B:$B,K$8,'Data - Monthly Metrics'!$C:$C,"Southeast",'Data - Monthly Metrics'!$D:$D,"Goal - Penetration %")-0.05)</formula>
    </cfRule>
    <cfRule type="expression" rank="0" priority="429" equalAverage="0" aboveAverage="0" dxfId="1" stopIfTrue="1" text="" percent="0" bottom="0">
      <formula>AND(ISNUMBER(K29),COUNTIFS('Data - Monthly Metrics'!$A:$A,$B$4,'Data - Monthly Metrics'!$B:$B,K$8,'Data - Monthly Metrics'!$C:$C,"Southeast",'Data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Metrics'!$C:$C,"Southeast",'Data - Monthly Metrics'!$D:$D,"Goal - Penetration %")&gt;0,L29&gt;=SUMIFS('Data - Monthly Metrics'!$E:$E,'Data - Monthly Metrics'!$A:$A,$B$4,'Data - Monthly Metrics'!$B:$B,L$8,'Data - Monthly Metrics'!$C:$C,"Southeast",'Data - Monthly Metrics'!$D:$D,"Goal - Penetration %"))</formula>
    </cfRule>
    <cfRule type="expression" rank="0" priority="431" equalAverage="0" aboveAverage="0" dxfId="2" stopIfTrue="1" text="" percent="0" bottom="0">
      <formula>AND(ISNUMBER(L29),COUNTIFS('Data - Monthly Metrics'!$A:$A,$B$4,'Data - Monthly Metrics'!$B:$B,L$8,'Data - Monthly Metrics'!$C:$C,"Southeast",'Data - Monthly Metrics'!$D:$D,"Goal - Penetration %")&gt;0,L29&gt;=SUMIFS('Data - Monthly Metrics'!$E:$E,'Data - Monthly Metrics'!$A:$A,$B$4,'Data - Monthly Metrics'!$B:$B,L$8,'Data - Monthly Metrics'!$C:$C,"Southeast",'Data - Monthly Metrics'!$D:$D,"Goal - Penetration %")-0.05)</formula>
    </cfRule>
    <cfRule type="expression" rank="0" priority="432" equalAverage="0" aboveAverage="0" dxfId="1" stopIfTrue="1" text="" percent="0" bottom="0">
      <formula>AND(ISNUMBER(L29),COUNTIFS('Data - Monthly Metrics'!$A:$A,$B$4,'Data - Monthly Metrics'!$B:$B,L$8,'Data - Monthly Metrics'!$C:$C,"Southeast",'Data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Metrics'!$C:$C,"Southeast",'Data - Monthly Metrics'!$D:$D,"Goal - Penetration %")&gt;0,N29&gt;=SUMIFS('Data - Monthly Metrics'!$E:$E,'Data - Monthly Metrics'!$A:$A,$B$4,'Data - Monthly Metrics'!$B:$B,N$8,'Data - Monthly Metrics'!$C:$C,"Southeast",'Data - Monthly Metrics'!$D:$D,"Goal - Penetration %"))</formula>
    </cfRule>
    <cfRule type="expression" rank="0" priority="434" equalAverage="0" aboveAverage="0" dxfId="2" stopIfTrue="1" text="" percent="0" bottom="0">
      <formula>AND(ISNUMBER(N29),COUNTIFS('Data - Monthly Metrics'!$A:$A,$B$4,'Data - Monthly Metrics'!$B:$B,N$8,'Data - Monthly Metrics'!$C:$C,"Southeast",'Data - Monthly Metrics'!$D:$D,"Goal - Penetration %")&gt;0,N29&gt;=SUMIFS('Data - Monthly Metrics'!$E:$E,'Data - Monthly Metrics'!$A:$A,$B$4,'Data - Monthly Metrics'!$B:$B,N$8,'Data - Monthly Metrics'!$C:$C,"Southeast",'Data - Monthly Metrics'!$D:$D,"Goal - Penetration %")-0.05)</formula>
    </cfRule>
    <cfRule type="expression" rank="0" priority="435" equalAverage="0" aboveAverage="0" dxfId="1" stopIfTrue="1" text="" percent="0" bottom="0">
      <formula>AND(ISNUMBER(N29),COUNTIFS('Data - Monthly Metrics'!$A:$A,$B$4,'Data - Monthly Metrics'!$B:$B,N$8,'Data - Monthly Metrics'!$C:$C,"Southeast",'Data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Metrics'!$C:$C,"Southeast",'Data - Monthly Metrics'!$D:$D,"Goal - Penetration %")&gt;0,O29&gt;=SUMIFS('Data - Monthly Metrics'!$E:$E,'Data - Monthly Metrics'!$A:$A,$B$4,'Data - Monthly Metrics'!$B:$B,O$8,'Data - Monthly Metrics'!$C:$C,"Southeast",'Data - Monthly Metrics'!$D:$D,"Goal - Penetration %"))</formula>
    </cfRule>
    <cfRule type="expression" rank="0" priority="437" equalAverage="0" aboveAverage="0" dxfId="2" stopIfTrue="1" text="" percent="0" bottom="0">
      <formula>AND(ISNUMBER(O29),COUNTIFS('Data - Monthly Metrics'!$A:$A,$B$4,'Data - Monthly Metrics'!$B:$B,O$8,'Data - Monthly Metrics'!$C:$C,"Southeast",'Data - Monthly Metrics'!$D:$D,"Goal - Penetration %")&gt;0,O29&gt;=SUMIFS('Data - Monthly Metrics'!$E:$E,'Data - Monthly Metrics'!$A:$A,$B$4,'Data - Monthly Metrics'!$B:$B,O$8,'Data - Monthly Metrics'!$C:$C,"Southeast",'Data - Monthly Metrics'!$D:$D,"Goal - Penetration %")-0.05)</formula>
    </cfRule>
    <cfRule type="expression" rank="0" priority="438" equalAverage="0" aboveAverage="0" dxfId="1" stopIfTrue="1" text="" percent="0" bottom="0">
      <formula>AND(ISNUMBER(O29),COUNTIFS('Data - Monthly Metrics'!$A:$A,$B$4,'Data - Monthly Metrics'!$B:$B,O$8,'Data - Monthly Metrics'!$C:$C,"Southeast",'Data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Metrics'!$C:$C,"Southeast",'Data - Monthly Metrics'!$D:$D,"Goal - Penetration %")&gt;0,P29&gt;=SUMIFS('Data - Monthly Metrics'!$E:$E,'Data - Monthly Metrics'!$A:$A,$B$4,'Data - Monthly Metrics'!$B:$B,P$8,'Data - Monthly Metrics'!$C:$C,"Southeast",'Data - Monthly Metrics'!$D:$D,"Goal - Penetration %"))</formula>
    </cfRule>
    <cfRule type="expression" rank="0" priority="440" equalAverage="0" aboveAverage="0" dxfId="2" stopIfTrue="1" text="" percent="0" bottom="0">
      <formula>AND(ISNUMBER(P29),COUNTIFS('Data - Monthly Metrics'!$A:$A,$B$4,'Data - Monthly Metrics'!$B:$B,P$8,'Data - Monthly Metrics'!$C:$C,"Southeast",'Data - Monthly Metrics'!$D:$D,"Goal - Penetration %")&gt;0,P29&gt;=SUMIFS('Data - Monthly Metrics'!$E:$E,'Data - Monthly Metrics'!$A:$A,$B$4,'Data - Monthly Metrics'!$B:$B,P$8,'Data - Monthly Metrics'!$C:$C,"Southeast",'Data - Monthly Metrics'!$D:$D,"Goal - Penetration %")-0.05)</formula>
    </cfRule>
    <cfRule type="expression" rank="0" priority="441" equalAverage="0" aboveAverage="0" dxfId="1" stopIfTrue="1" text="" percent="0" bottom="0">
      <formula>AND(ISNUMBER(P29),COUNTIFS('Data - Monthly Metrics'!$A:$A,$B$4,'Data - Monthly Metrics'!$B:$B,P$8,'Data - Monthly Metrics'!$C:$C,"Southeast",'Data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Metrics'!$C:$C,"Southeast",'Data - Monthly Metrics'!$D:$D,"Goal - Penetration %")&gt;0,B30&gt;=SUMIFS('Data - Monthly Metrics'!$E:$E,'Data - Monthly Metrics'!$A:$A,$B$4-1,'Data - Monthly Metrics'!$B:$B,B$8,'Data - Monthly Metrics'!$C:$C,"Southeast",'Data - Monthly Metrics'!$D:$D,"Goal - Penetration %"))</formula>
    </cfRule>
    <cfRule type="expression" rank="0" priority="443" equalAverage="0" aboveAverage="0" dxfId="2" stopIfTrue="1" text="" percent="0" bottom="0">
      <formula>AND(ISNUMBER(B30),COUNTIFS('Data - Monthly Metrics'!$A:$A,$B$4-1,'Data - Monthly Metrics'!$B:$B,B$8,'Data - Monthly Metrics'!$C:$C,"Southeast",'Data - Monthly Metrics'!$D:$D,"Goal - Penetration %")&gt;0,B30&gt;=SUMIFS('Data - Monthly Metrics'!$E:$E,'Data - Monthly Metrics'!$A:$A,$B$4-1,'Data - Monthly Metrics'!$B:$B,B$8,'Data - Monthly Metrics'!$C:$C,"Southeast",'Data - Monthly Metrics'!$D:$D,"Goal - Penetration %")-0.05)</formula>
    </cfRule>
    <cfRule type="expression" rank="0" priority="444" equalAverage="0" aboveAverage="0" dxfId="1" stopIfTrue="1" text="" percent="0" bottom="0">
      <formula>AND(ISNUMBER(B30),COUNTIFS('Data - Monthly Metrics'!$A:$A,$B$4-1,'Data - Monthly Metrics'!$B:$B,B$8,'Data - Monthly Metrics'!$C:$C,"Southeast",'Data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Metrics'!$C:$C,"Southeast",'Data - Monthly Metrics'!$D:$D,"Goal - Penetration %")&gt;0,C30&gt;=SUMIFS('Data - Monthly Metrics'!$E:$E,'Data - Monthly Metrics'!$A:$A,$B$4-1,'Data - Monthly Metrics'!$B:$B,C$8,'Data - Monthly Metrics'!$C:$C,"Southeast",'Data - Monthly Metrics'!$D:$D,"Goal - Penetration %"))</formula>
    </cfRule>
    <cfRule type="expression" rank="0" priority="446" equalAverage="0" aboveAverage="0" dxfId="2" stopIfTrue="1" text="" percent="0" bottom="0">
      <formula>AND(ISNUMBER(C30),COUNTIFS('Data - Monthly Metrics'!$A:$A,$B$4-1,'Data - Monthly Metrics'!$B:$B,C$8,'Data - Monthly Metrics'!$C:$C,"Southeast",'Data - Monthly Metrics'!$D:$D,"Goal - Penetration %")&gt;0,C30&gt;=SUMIFS('Data - Monthly Metrics'!$E:$E,'Data - Monthly Metrics'!$A:$A,$B$4-1,'Data - Monthly Metrics'!$B:$B,C$8,'Data - Monthly Metrics'!$C:$C,"Southeast",'Data - Monthly Metrics'!$D:$D,"Goal - Penetration %")-0.05)</formula>
    </cfRule>
    <cfRule type="expression" rank="0" priority="447" equalAverage="0" aboveAverage="0" dxfId="1" stopIfTrue="1" text="" percent="0" bottom="0">
      <formula>AND(ISNUMBER(C30),COUNTIFS('Data - Monthly Metrics'!$A:$A,$B$4-1,'Data - Monthly Metrics'!$B:$B,C$8,'Data - Monthly Metrics'!$C:$C,"Southeast",'Data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Metrics'!$C:$C,"Southeast",'Data - Monthly Metrics'!$D:$D,"Goal - Penetration %")&gt;0,D30&gt;=SUMIFS('Data - Monthly Metrics'!$E:$E,'Data - Monthly Metrics'!$A:$A,$B$4-1,'Data - Monthly Metrics'!$B:$B,D$8,'Data - Monthly Metrics'!$C:$C,"Southeast",'Data - Monthly Metrics'!$D:$D,"Goal - Penetration %"))</formula>
    </cfRule>
    <cfRule type="expression" rank="0" priority="449" equalAverage="0" aboveAverage="0" dxfId="2" stopIfTrue="1" text="" percent="0" bottom="0">
      <formula>AND(ISNUMBER(D30),COUNTIFS('Data - Monthly Metrics'!$A:$A,$B$4-1,'Data - Monthly Metrics'!$B:$B,D$8,'Data - Monthly Metrics'!$C:$C,"Southeast",'Data - Monthly Metrics'!$D:$D,"Goal - Penetration %")&gt;0,D30&gt;=SUMIFS('Data - Monthly Metrics'!$E:$E,'Data - Monthly Metrics'!$A:$A,$B$4-1,'Data - Monthly Metrics'!$B:$B,D$8,'Data - Monthly Metrics'!$C:$C,"Southeast",'Data - Monthly Metrics'!$D:$D,"Goal - Penetration %")-0.05)</formula>
    </cfRule>
    <cfRule type="expression" rank="0" priority="450" equalAverage="0" aboveAverage="0" dxfId="1" stopIfTrue="1" text="" percent="0" bottom="0">
      <formula>AND(ISNUMBER(D30),COUNTIFS('Data - Monthly Metrics'!$A:$A,$B$4-1,'Data - Monthly Metrics'!$B:$B,D$8,'Data - Monthly Metrics'!$C:$C,"Southeast",'Data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Metrics'!$C:$C,"Southeast",'Data - Monthly Metrics'!$D:$D,"Goal - Penetration %")&gt;0,F30&gt;=SUMIFS('Data - Monthly Metrics'!$E:$E,'Data - Monthly Metrics'!$A:$A,$B$4,'Data - Monthly Metrics'!$B:$B,F$8,'Data - Monthly Metrics'!$C:$C,"Southeast",'Data - Monthly Metrics'!$D:$D,"Goal - Penetration %"))</formula>
    </cfRule>
    <cfRule type="expression" rank="0" priority="452" equalAverage="0" aboveAverage="0" dxfId="2" stopIfTrue="1" text="" percent="0" bottom="0">
      <formula>AND(ISNUMBER(F30),COUNTIFS('Data - Monthly Metrics'!$A:$A,$B$4,'Data - Monthly Metrics'!$B:$B,F$8,'Data - Monthly Metrics'!$C:$C,"Southeast",'Data - Monthly Metrics'!$D:$D,"Goal - Penetration %")&gt;0,F30&gt;=SUMIFS('Data - Monthly Metrics'!$E:$E,'Data - Monthly Metrics'!$A:$A,$B$4,'Data - Monthly Metrics'!$B:$B,F$8,'Data - Monthly Metrics'!$C:$C,"Southeast",'Data - Monthly Metrics'!$D:$D,"Goal - Penetration %")-0.05)</formula>
    </cfRule>
    <cfRule type="expression" rank="0" priority="453" equalAverage="0" aboveAverage="0" dxfId="1" stopIfTrue="1" text="" percent="0" bottom="0">
      <formula>AND(ISNUMBER(F30),COUNTIFS('Data - Monthly Metrics'!$A:$A,$B$4,'Data - Monthly Metrics'!$B:$B,F$8,'Data - Monthly Metrics'!$C:$C,"Southeast",'Data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Metrics'!$C:$C,"Southeast",'Data - Monthly Metrics'!$D:$D,"Goal - Penetration %")&gt;0,G30&gt;=SUMIFS('Data - Monthly Metrics'!$E:$E,'Data - Monthly Metrics'!$A:$A,$B$4,'Data - Monthly Metrics'!$B:$B,G$8,'Data - Monthly Metrics'!$C:$C,"Southeast",'Data - Monthly Metrics'!$D:$D,"Goal - Penetration %"))</formula>
    </cfRule>
    <cfRule type="expression" rank="0" priority="455" equalAverage="0" aboveAverage="0" dxfId="2" stopIfTrue="1" text="" percent="0" bottom="0">
      <formula>AND(ISNUMBER(G30),COUNTIFS('Data - Monthly Metrics'!$A:$A,$B$4,'Data - Monthly Metrics'!$B:$B,G$8,'Data - Monthly Metrics'!$C:$C,"Southeast",'Data - Monthly Metrics'!$D:$D,"Goal - Penetration %")&gt;0,G30&gt;=SUMIFS('Data - Monthly Metrics'!$E:$E,'Data - Monthly Metrics'!$A:$A,$B$4,'Data - Monthly Metrics'!$B:$B,G$8,'Data - Monthly Metrics'!$C:$C,"Southeast",'Data - Monthly Metrics'!$D:$D,"Goal - Penetration %")-0.05)</formula>
    </cfRule>
    <cfRule type="expression" rank="0" priority="456" equalAverage="0" aboveAverage="0" dxfId="1" stopIfTrue="1" text="" percent="0" bottom="0">
      <formula>AND(ISNUMBER(G30),COUNTIFS('Data - Monthly Metrics'!$A:$A,$B$4,'Data - Monthly Metrics'!$B:$B,G$8,'Data - Monthly Metrics'!$C:$C,"Southeast",'Data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Metrics'!$C:$C,"Southeast",'Data - Monthly Metrics'!$D:$D,"Goal - Penetration %")&gt;0,H30&gt;=SUMIFS('Data - Monthly Metrics'!$E:$E,'Data - Monthly Metrics'!$A:$A,$B$4,'Data - Monthly Metrics'!$B:$B,H$8,'Data - Monthly Metrics'!$C:$C,"Southeast",'Data - Monthly Metrics'!$D:$D,"Goal - Penetration %"))</formula>
    </cfRule>
    <cfRule type="expression" rank="0" priority="458" equalAverage="0" aboveAverage="0" dxfId="2" stopIfTrue="1" text="" percent="0" bottom="0">
      <formula>AND(ISNUMBER(H30),COUNTIFS('Data - Monthly Metrics'!$A:$A,$B$4,'Data - Monthly Metrics'!$B:$B,H$8,'Data - Monthly Metrics'!$C:$C,"Southeast",'Data - Monthly Metrics'!$D:$D,"Goal - Penetration %")&gt;0,H30&gt;=SUMIFS('Data - Monthly Metrics'!$E:$E,'Data - Monthly Metrics'!$A:$A,$B$4,'Data - Monthly Metrics'!$B:$B,H$8,'Data - Monthly Metrics'!$C:$C,"Southeast",'Data - Monthly Metrics'!$D:$D,"Goal - Penetration %")-0.05)</formula>
    </cfRule>
    <cfRule type="expression" rank="0" priority="459" equalAverage="0" aboveAverage="0" dxfId="1" stopIfTrue="1" text="" percent="0" bottom="0">
      <formula>AND(ISNUMBER(H30),COUNTIFS('Data - Monthly Metrics'!$A:$A,$B$4,'Data - Monthly Metrics'!$B:$B,H$8,'Data - Monthly Metrics'!$C:$C,"Southeast",'Data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Metrics'!$C:$C,"Southeast",'Data - Monthly Metrics'!$D:$D,"Goal - Penetration %")&gt;0,J30&gt;=SUMIFS('Data - Monthly Metrics'!$E:$E,'Data - Monthly Metrics'!$A:$A,$B$4,'Data - Monthly Metrics'!$B:$B,J$8,'Data - Monthly Metrics'!$C:$C,"Southeast",'Data - Monthly Metrics'!$D:$D,"Goal - Penetration %"))</formula>
    </cfRule>
    <cfRule type="expression" rank="0" priority="461" equalAverage="0" aboveAverage="0" dxfId="2" stopIfTrue="1" text="" percent="0" bottom="0">
      <formula>AND(ISNUMBER(J30),COUNTIFS('Data - Monthly Metrics'!$A:$A,$B$4,'Data - Monthly Metrics'!$B:$B,J$8,'Data - Monthly Metrics'!$C:$C,"Southeast",'Data - Monthly Metrics'!$D:$D,"Goal - Penetration %")&gt;0,J30&gt;=SUMIFS('Data - Monthly Metrics'!$E:$E,'Data - Monthly Metrics'!$A:$A,$B$4,'Data - Monthly Metrics'!$B:$B,J$8,'Data - Monthly Metrics'!$C:$C,"Southeast",'Data - Monthly Metrics'!$D:$D,"Goal - Penetration %")-0.05)</formula>
    </cfRule>
    <cfRule type="expression" rank="0" priority="462" equalAverage="0" aboveAverage="0" dxfId="1" stopIfTrue="1" text="" percent="0" bottom="0">
      <formula>AND(ISNUMBER(J30),COUNTIFS('Data - Monthly Metrics'!$A:$A,$B$4,'Data - Monthly Metrics'!$B:$B,J$8,'Data - Monthly Metrics'!$C:$C,"Southeast",'Data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Metrics'!$C:$C,"Southeast",'Data - Monthly Metrics'!$D:$D,"Goal - Penetration %")&gt;0,K30&gt;=SUMIFS('Data - Monthly Metrics'!$E:$E,'Data - Monthly Metrics'!$A:$A,$B$4,'Data - Monthly Metrics'!$B:$B,K$8,'Data - Monthly Metrics'!$C:$C,"Southeast",'Data - Monthly Metrics'!$D:$D,"Goal - Penetration %"))</formula>
    </cfRule>
    <cfRule type="expression" rank="0" priority="464" equalAverage="0" aboveAverage="0" dxfId="2" stopIfTrue="1" text="" percent="0" bottom="0">
      <formula>AND(ISNUMBER(K30),COUNTIFS('Data - Monthly Metrics'!$A:$A,$B$4,'Data - Monthly Metrics'!$B:$B,K$8,'Data - Monthly Metrics'!$C:$C,"Southeast",'Data - Monthly Metrics'!$D:$D,"Goal - Penetration %")&gt;0,K30&gt;=SUMIFS('Data - Monthly Metrics'!$E:$E,'Data - Monthly Metrics'!$A:$A,$B$4,'Data - Monthly Metrics'!$B:$B,K$8,'Data - Monthly Metrics'!$C:$C,"Southeast",'Data - Monthly Metrics'!$D:$D,"Goal - Penetration %")-0.05)</formula>
    </cfRule>
    <cfRule type="expression" rank="0" priority="465" equalAverage="0" aboveAverage="0" dxfId="1" stopIfTrue="1" text="" percent="0" bottom="0">
      <formula>AND(ISNUMBER(K30),COUNTIFS('Data - Monthly Metrics'!$A:$A,$B$4,'Data - Monthly Metrics'!$B:$B,K$8,'Data - Monthly Metrics'!$C:$C,"Southeast",'Data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Metrics'!$C:$C,"Southeast",'Data - Monthly Metrics'!$D:$D,"Goal - Penetration %")&gt;0,L30&gt;=SUMIFS('Data - Monthly Metrics'!$E:$E,'Data - Monthly Metrics'!$A:$A,$B$4,'Data - Monthly Metrics'!$B:$B,L$8,'Data - Monthly Metrics'!$C:$C,"Southeast",'Data - Monthly Metrics'!$D:$D,"Goal - Penetration %"))</formula>
    </cfRule>
    <cfRule type="expression" rank="0" priority="467" equalAverage="0" aboveAverage="0" dxfId="2" stopIfTrue="1" text="" percent="0" bottom="0">
      <formula>AND(ISNUMBER(L30),COUNTIFS('Data - Monthly Metrics'!$A:$A,$B$4,'Data - Monthly Metrics'!$B:$B,L$8,'Data - Monthly Metrics'!$C:$C,"Southeast",'Data - Monthly Metrics'!$D:$D,"Goal - Penetration %")&gt;0,L30&gt;=SUMIFS('Data - Monthly Metrics'!$E:$E,'Data - Monthly Metrics'!$A:$A,$B$4,'Data - Monthly Metrics'!$B:$B,L$8,'Data - Monthly Metrics'!$C:$C,"Southeast",'Data - Monthly Metrics'!$D:$D,"Goal - Penetration %")-0.05)</formula>
    </cfRule>
    <cfRule type="expression" rank="0" priority="468" equalAverage="0" aboveAverage="0" dxfId="1" stopIfTrue="1" text="" percent="0" bottom="0">
      <formula>AND(ISNUMBER(L30),COUNTIFS('Data - Monthly Metrics'!$A:$A,$B$4,'Data - Monthly Metrics'!$B:$B,L$8,'Data - Monthly Metrics'!$C:$C,"Southeast",'Data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Metrics'!$C:$C,"Southeast",'Data - Monthly Metrics'!$D:$D,"Goal - Penetration %")&gt;0,N30&gt;=SUMIFS('Data - Monthly Metrics'!$E:$E,'Data - Monthly Metrics'!$A:$A,$B$4,'Data - Monthly Metrics'!$B:$B,N$8,'Data - Monthly Metrics'!$C:$C,"Southeast",'Data - Monthly Metrics'!$D:$D,"Goal - Penetration %"))</formula>
    </cfRule>
    <cfRule type="expression" rank="0" priority="470" equalAverage="0" aboveAverage="0" dxfId="2" stopIfTrue="1" text="" percent="0" bottom="0">
      <formula>AND(ISNUMBER(N30),COUNTIFS('Data - Monthly Metrics'!$A:$A,$B$4,'Data - Monthly Metrics'!$B:$B,N$8,'Data - Monthly Metrics'!$C:$C,"Southeast",'Data - Monthly Metrics'!$D:$D,"Goal - Penetration %")&gt;0,N30&gt;=SUMIFS('Data - Monthly Metrics'!$E:$E,'Data - Monthly Metrics'!$A:$A,$B$4,'Data - Monthly Metrics'!$B:$B,N$8,'Data - Monthly Metrics'!$C:$C,"Southeast",'Data - Monthly Metrics'!$D:$D,"Goal - Penetration %")-0.05)</formula>
    </cfRule>
    <cfRule type="expression" rank="0" priority="471" equalAverage="0" aboveAverage="0" dxfId="1" stopIfTrue="1" text="" percent="0" bottom="0">
      <formula>AND(ISNUMBER(N30),COUNTIFS('Data - Monthly Metrics'!$A:$A,$B$4,'Data - Monthly Metrics'!$B:$B,N$8,'Data - Monthly Metrics'!$C:$C,"Southeast",'Data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Metrics'!$C:$C,"Southeast",'Data - Monthly Metrics'!$D:$D,"Goal - Penetration %")&gt;0,O30&gt;=SUMIFS('Data - Monthly Metrics'!$E:$E,'Data - Monthly Metrics'!$A:$A,$B$4,'Data - Monthly Metrics'!$B:$B,O$8,'Data - Monthly Metrics'!$C:$C,"Southeast",'Data - Monthly Metrics'!$D:$D,"Goal - Penetration %"))</formula>
    </cfRule>
    <cfRule type="expression" rank="0" priority="473" equalAverage="0" aboveAverage="0" dxfId="2" stopIfTrue="1" text="" percent="0" bottom="0">
      <formula>AND(ISNUMBER(O30),COUNTIFS('Data - Monthly Metrics'!$A:$A,$B$4,'Data - Monthly Metrics'!$B:$B,O$8,'Data - Monthly Metrics'!$C:$C,"Southeast",'Data - Monthly Metrics'!$D:$D,"Goal - Penetration %")&gt;0,O30&gt;=SUMIFS('Data - Monthly Metrics'!$E:$E,'Data - Monthly Metrics'!$A:$A,$B$4,'Data - Monthly Metrics'!$B:$B,O$8,'Data - Monthly Metrics'!$C:$C,"Southeast",'Data - Monthly Metrics'!$D:$D,"Goal - Penetration %")-0.05)</formula>
    </cfRule>
    <cfRule type="expression" rank="0" priority="474" equalAverage="0" aboveAverage="0" dxfId="1" stopIfTrue="1" text="" percent="0" bottom="0">
      <formula>AND(ISNUMBER(O30),COUNTIFS('Data - Monthly Metrics'!$A:$A,$B$4,'Data - Monthly Metrics'!$B:$B,O$8,'Data - Monthly Metrics'!$C:$C,"Southeast",'Data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Metrics'!$C:$C,"Southeast",'Data - Monthly Metrics'!$D:$D,"Goal - Penetration %")&gt;0,P30&gt;=SUMIFS('Data - Monthly Metrics'!$E:$E,'Data - Monthly Metrics'!$A:$A,$B$4,'Data - Monthly Metrics'!$B:$B,P$8,'Data - Monthly Metrics'!$C:$C,"Southeast",'Data - Monthly Metrics'!$D:$D,"Goal - Penetration %"))</formula>
    </cfRule>
    <cfRule type="expression" rank="0" priority="476" equalAverage="0" aboveAverage="0" dxfId="2" stopIfTrue="1" text="" percent="0" bottom="0">
      <formula>AND(ISNUMBER(P30),COUNTIFS('Data - Monthly Metrics'!$A:$A,$B$4,'Data - Monthly Metrics'!$B:$B,P$8,'Data - Monthly Metrics'!$C:$C,"Southeast",'Data - Monthly Metrics'!$D:$D,"Goal - Penetration %")&gt;0,P30&gt;=SUMIFS('Data - Monthly Metrics'!$E:$E,'Data - Monthly Metrics'!$A:$A,$B$4,'Data - Monthly Metrics'!$B:$B,P$8,'Data - Monthly Metrics'!$C:$C,"Southeast",'Data - Monthly Metrics'!$D:$D,"Goal - Penetration %")-0.05)</formula>
    </cfRule>
    <cfRule type="expression" rank="0" priority="477" equalAverage="0" aboveAverage="0" dxfId="1" stopIfTrue="1" text="" percent="0" bottom="0">
      <formula>AND(ISNUMBER(P30),COUNTIFS('Data - Monthly Metrics'!$A:$A,$B$4,'Data - Monthly Metrics'!$B:$B,P$8,'Data - Monthly Metrics'!$C:$C,"Southeast",'Data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Metrics'!$C:$C,"Southeast",'Data - Monthly Metrics'!$D:$D,"Goal - Penetration %")&gt;0,B31&gt;=SUMIFS('Data - Monthly Metrics'!$E:$E,'Data - Monthly Metrics'!$A:$A,$B$4-1,'Data - Monthly Metrics'!$B:$B,B$8,'Data - Monthly Metrics'!$C:$C,"Southeast",'Data - Monthly Metrics'!$D:$D,"Goal - Penetration %"))</formula>
    </cfRule>
    <cfRule type="expression" rank="0" priority="479" equalAverage="0" aboveAverage="0" dxfId="2" stopIfTrue="1" text="" percent="0" bottom="0">
      <formula>AND(ISNUMBER(B31),COUNTIFS('Data - Monthly Metrics'!$A:$A,$B$4-1,'Data - Monthly Metrics'!$B:$B,B$8,'Data - Monthly Metrics'!$C:$C,"Southeast",'Data - Monthly Metrics'!$D:$D,"Goal - Penetration %")&gt;0,B31&gt;=SUMIFS('Data - Monthly Metrics'!$E:$E,'Data - Monthly Metrics'!$A:$A,$B$4-1,'Data - Monthly Metrics'!$B:$B,B$8,'Data - Monthly Metrics'!$C:$C,"Southeast",'Data - Monthly Metrics'!$D:$D,"Goal - Penetration %")-0.05)</formula>
    </cfRule>
    <cfRule type="expression" rank="0" priority="480" equalAverage="0" aboveAverage="0" dxfId="1" stopIfTrue="1" text="" percent="0" bottom="0">
      <formula>AND(ISNUMBER(B31),COUNTIFS('Data - Monthly Metrics'!$A:$A,$B$4-1,'Data - Monthly Metrics'!$B:$B,B$8,'Data - Monthly Metrics'!$C:$C,"Southeast",'Data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Metrics'!$C:$C,"Southeast",'Data - Monthly Metrics'!$D:$D,"Goal - Penetration %")&gt;0,C31&gt;=SUMIFS('Data - Monthly Metrics'!$E:$E,'Data - Monthly Metrics'!$A:$A,$B$4-1,'Data - Monthly Metrics'!$B:$B,C$8,'Data - Monthly Metrics'!$C:$C,"Southeast",'Data - Monthly Metrics'!$D:$D,"Goal - Penetration %"))</formula>
    </cfRule>
    <cfRule type="expression" rank="0" priority="482" equalAverage="0" aboveAverage="0" dxfId="2" stopIfTrue="1" text="" percent="0" bottom="0">
      <formula>AND(ISNUMBER(C31),COUNTIFS('Data - Monthly Metrics'!$A:$A,$B$4-1,'Data - Monthly Metrics'!$B:$B,C$8,'Data - Monthly Metrics'!$C:$C,"Southeast",'Data - Monthly Metrics'!$D:$D,"Goal - Penetration %")&gt;0,C31&gt;=SUMIFS('Data - Monthly Metrics'!$E:$E,'Data - Monthly Metrics'!$A:$A,$B$4-1,'Data - Monthly Metrics'!$B:$B,C$8,'Data - Monthly Metrics'!$C:$C,"Southeast",'Data - Monthly Metrics'!$D:$D,"Goal - Penetration %")-0.05)</formula>
    </cfRule>
    <cfRule type="expression" rank="0" priority="483" equalAverage="0" aboveAverage="0" dxfId="1" stopIfTrue="1" text="" percent="0" bottom="0">
      <formula>AND(ISNUMBER(C31),COUNTIFS('Data - Monthly Metrics'!$A:$A,$B$4-1,'Data - Monthly Metrics'!$B:$B,C$8,'Data - Monthly Metrics'!$C:$C,"Southeast",'Data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Metrics'!$C:$C,"Southeast",'Data - Monthly Metrics'!$D:$D,"Goal - Penetration %")&gt;0,D31&gt;=SUMIFS('Data - Monthly Metrics'!$E:$E,'Data - Monthly Metrics'!$A:$A,$B$4-1,'Data - Monthly Metrics'!$B:$B,D$8,'Data - Monthly Metrics'!$C:$C,"Southeast",'Data - Monthly Metrics'!$D:$D,"Goal - Penetration %"))</formula>
    </cfRule>
    <cfRule type="expression" rank="0" priority="485" equalAverage="0" aboveAverage="0" dxfId="2" stopIfTrue="1" text="" percent="0" bottom="0">
      <formula>AND(ISNUMBER(D31),COUNTIFS('Data - Monthly Metrics'!$A:$A,$B$4-1,'Data - Monthly Metrics'!$B:$B,D$8,'Data - Monthly Metrics'!$C:$C,"Southeast",'Data - Monthly Metrics'!$D:$D,"Goal - Penetration %")&gt;0,D31&gt;=SUMIFS('Data - Monthly Metrics'!$E:$E,'Data - Monthly Metrics'!$A:$A,$B$4-1,'Data - Monthly Metrics'!$B:$B,D$8,'Data - Monthly Metrics'!$C:$C,"Southeast",'Data - Monthly Metrics'!$D:$D,"Goal - Penetration %")-0.05)</formula>
    </cfRule>
    <cfRule type="expression" rank="0" priority="486" equalAverage="0" aboveAverage="0" dxfId="1" stopIfTrue="1" text="" percent="0" bottom="0">
      <formula>AND(ISNUMBER(D31),COUNTIFS('Data - Monthly Metrics'!$A:$A,$B$4-1,'Data - Monthly Metrics'!$B:$B,D$8,'Data - Monthly Metrics'!$C:$C,"Southeast",'Data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Metrics'!$C:$C,"Southeast",'Data - Monthly Metrics'!$D:$D,"Goal - Penetration %")&gt;0,F31&gt;=SUMIFS('Data - Monthly Metrics'!$E:$E,'Data - Monthly Metrics'!$A:$A,$B$4,'Data - Monthly Metrics'!$B:$B,F$8,'Data - Monthly Metrics'!$C:$C,"Southeast",'Data - Monthly Metrics'!$D:$D,"Goal - Penetration %"))</formula>
    </cfRule>
    <cfRule type="expression" rank="0" priority="488" equalAverage="0" aboveAverage="0" dxfId="2" stopIfTrue="1" text="" percent="0" bottom="0">
      <formula>AND(ISNUMBER(F31),COUNTIFS('Data - Monthly Metrics'!$A:$A,$B$4,'Data - Monthly Metrics'!$B:$B,F$8,'Data - Monthly Metrics'!$C:$C,"Southeast",'Data - Monthly Metrics'!$D:$D,"Goal - Penetration %")&gt;0,F31&gt;=SUMIFS('Data - Monthly Metrics'!$E:$E,'Data - Monthly Metrics'!$A:$A,$B$4,'Data - Monthly Metrics'!$B:$B,F$8,'Data - Monthly Metrics'!$C:$C,"Southeast",'Data - Monthly Metrics'!$D:$D,"Goal - Penetration %")-0.05)</formula>
    </cfRule>
    <cfRule type="expression" rank="0" priority="489" equalAverage="0" aboveAverage="0" dxfId="1" stopIfTrue="1" text="" percent="0" bottom="0">
      <formula>AND(ISNUMBER(F31),COUNTIFS('Data - Monthly Metrics'!$A:$A,$B$4,'Data - Monthly Metrics'!$B:$B,F$8,'Data - Monthly Metrics'!$C:$C,"Southeast",'Data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Metrics'!$C:$C,"Southeast",'Data - Monthly Metrics'!$D:$D,"Goal - Penetration %")&gt;0,G31&gt;=SUMIFS('Data - Monthly Metrics'!$E:$E,'Data - Monthly Metrics'!$A:$A,$B$4,'Data - Monthly Metrics'!$B:$B,G$8,'Data - Monthly Metrics'!$C:$C,"Southeast",'Data - Monthly Metrics'!$D:$D,"Goal - Penetration %"))</formula>
    </cfRule>
    <cfRule type="expression" rank="0" priority="491" equalAverage="0" aboveAverage="0" dxfId="2" stopIfTrue="1" text="" percent="0" bottom="0">
      <formula>AND(ISNUMBER(G31),COUNTIFS('Data - Monthly Metrics'!$A:$A,$B$4,'Data - Monthly Metrics'!$B:$B,G$8,'Data - Monthly Metrics'!$C:$C,"Southeast",'Data - Monthly Metrics'!$D:$D,"Goal - Penetration %")&gt;0,G31&gt;=SUMIFS('Data - Monthly Metrics'!$E:$E,'Data - Monthly Metrics'!$A:$A,$B$4,'Data - Monthly Metrics'!$B:$B,G$8,'Data - Monthly Metrics'!$C:$C,"Southeast",'Data - Monthly Metrics'!$D:$D,"Goal - Penetration %")-0.05)</formula>
    </cfRule>
    <cfRule type="expression" rank="0" priority="492" equalAverage="0" aboveAverage="0" dxfId="1" stopIfTrue="1" text="" percent="0" bottom="0">
      <formula>AND(ISNUMBER(G31),COUNTIFS('Data - Monthly Metrics'!$A:$A,$B$4,'Data - Monthly Metrics'!$B:$B,G$8,'Data - Monthly Metrics'!$C:$C,"Southeast",'Data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Metrics'!$C:$C,"Southeast",'Data - Monthly Metrics'!$D:$D,"Goal - Penetration %")&gt;0,H31&gt;=SUMIFS('Data - Monthly Metrics'!$E:$E,'Data - Monthly Metrics'!$A:$A,$B$4,'Data - Monthly Metrics'!$B:$B,H$8,'Data - Monthly Metrics'!$C:$C,"Southeast",'Data - Monthly Metrics'!$D:$D,"Goal - Penetration %"))</formula>
    </cfRule>
    <cfRule type="expression" rank="0" priority="494" equalAverage="0" aboveAverage="0" dxfId="2" stopIfTrue="1" text="" percent="0" bottom="0">
      <formula>AND(ISNUMBER(H31),COUNTIFS('Data - Monthly Metrics'!$A:$A,$B$4,'Data - Monthly Metrics'!$B:$B,H$8,'Data - Monthly Metrics'!$C:$C,"Southeast",'Data - Monthly Metrics'!$D:$D,"Goal - Penetration %")&gt;0,H31&gt;=SUMIFS('Data - Monthly Metrics'!$E:$E,'Data - Monthly Metrics'!$A:$A,$B$4,'Data - Monthly Metrics'!$B:$B,H$8,'Data - Monthly Metrics'!$C:$C,"Southeast",'Data - Monthly Metrics'!$D:$D,"Goal - Penetration %")-0.05)</formula>
    </cfRule>
    <cfRule type="expression" rank="0" priority="495" equalAverage="0" aboveAverage="0" dxfId="1" stopIfTrue="1" text="" percent="0" bottom="0">
      <formula>AND(ISNUMBER(H31),COUNTIFS('Data - Monthly Metrics'!$A:$A,$B$4,'Data - Monthly Metrics'!$B:$B,H$8,'Data - Monthly Metrics'!$C:$C,"Southeast",'Data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Metrics'!$C:$C,"Southeast",'Data - Monthly Metrics'!$D:$D,"Goal - Penetration %")&gt;0,J31&gt;=SUMIFS('Data - Monthly Metrics'!$E:$E,'Data - Monthly Metrics'!$A:$A,$B$4,'Data - Monthly Metrics'!$B:$B,J$8,'Data - Monthly Metrics'!$C:$C,"Southeast",'Data - Monthly Metrics'!$D:$D,"Goal - Penetration %"))</formula>
    </cfRule>
    <cfRule type="expression" rank="0" priority="497" equalAverage="0" aboveAverage="0" dxfId="2" stopIfTrue="1" text="" percent="0" bottom="0">
      <formula>AND(ISNUMBER(J31),COUNTIFS('Data - Monthly Metrics'!$A:$A,$B$4,'Data - Monthly Metrics'!$B:$B,J$8,'Data - Monthly Metrics'!$C:$C,"Southeast",'Data - Monthly Metrics'!$D:$D,"Goal - Penetration %")&gt;0,J31&gt;=SUMIFS('Data - Monthly Metrics'!$E:$E,'Data - Monthly Metrics'!$A:$A,$B$4,'Data - Monthly Metrics'!$B:$B,J$8,'Data - Monthly Metrics'!$C:$C,"Southeast",'Data - Monthly Metrics'!$D:$D,"Goal - Penetration %")-0.05)</formula>
    </cfRule>
    <cfRule type="expression" rank="0" priority="498" equalAverage="0" aboveAverage="0" dxfId="1" stopIfTrue="1" text="" percent="0" bottom="0">
      <formula>AND(ISNUMBER(J31),COUNTIFS('Data - Monthly Metrics'!$A:$A,$B$4,'Data - Monthly Metrics'!$B:$B,J$8,'Data - Monthly Metrics'!$C:$C,"Southeast",'Data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Metrics'!$C:$C,"Southeast",'Data - Monthly Metrics'!$D:$D,"Goal - Penetration %")&gt;0,K31&gt;=SUMIFS('Data - Monthly Metrics'!$E:$E,'Data - Monthly Metrics'!$A:$A,$B$4,'Data - Monthly Metrics'!$B:$B,K$8,'Data - Monthly Metrics'!$C:$C,"Southeast",'Data - Monthly Metrics'!$D:$D,"Goal - Penetration %"))</formula>
    </cfRule>
    <cfRule type="expression" rank="0" priority="500" equalAverage="0" aboveAverage="0" dxfId="2" stopIfTrue="1" text="" percent="0" bottom="0">
      <formula>AND(ISNUMBER(K31),COUNTIFS('Data - Monthly Metrics'!$A:$A,$B$4,'Data - Monthly Metrics'!$B:$B,K$8,'Data - Monthly Metrics'!$C:$C,"Southeast",'Data - Monthly Metrics'!$D:$D,"Goal - Penetration %")&gt;0,K31&gt;=SUMIFS('Data - Monthly Metrics'!$E:$E,'Data - Monthly Metrics'!$A:$A,$B$4,'Data - Monthly Metrics'!$B:$B,K$8,'Data - Monthly Metrics'!$C:$C,"Southeast",'Data - Monthly Metrics'!$D:$D,"Goal - Penetration %")-0.05)</formula>
    </cfRule>
    <cfRule type="expression" rank="0" priority="501" equalAverage="0" aboveAverage="0" dxfId="1" stopIfTrue="1" text="" percent="0" bottom="0">
      <formula>AND(ISNUMBER(K31),COUNTIFS('Data - Monthly Metrics'!$A:$A,$B$4,'Data - Monthly Metrics'!$B:$B,K$8,'Data - Monthly Metrics'!$C:$C,"Southeast",'Data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Metrics'!$C:$C,"Southeast",'Data - Monthly Metrics'!$D:$D,"Goal - Penetration %")&gt;0,L31&gt;=SUMIFS('Data - Monthly Metrics'!$E:$E,'Data - Monthly Metrics'!$A:$A,$B$4,'Data - Monthly Metrics'!$B:$B,L$8,'Data - Monthly Metrics'!$C:$C,"Southeast",'Data - Monthly Metrics'!$D:$D,"Goal - Penetration %"))</formula>
    </cfRule>
    <cfRule type="expression" rank="0" priority="503" equalAverage="0" aboveAverage="0" dxfId="2" stopIfTrue="1" text="" percent="0" bottom="0">
      <formula>AND(ISNUMBER(L31),COUNTIFS('Data - Monthly Metrics'!$A:$A,$B$4,'Data - Monthly Metrics'!$B:$B,L$8,'Data - Monthly Metrics'!$C:$C,"Southeast",'Data - Monthly Metrics'!$D:$D,"Goal - Penetration %")&gt;0,L31&gt;=SUMIFS('Data - Monthly Metrics'!$E:$E,'Data - Monthly Metrics'!$A:$A,$B$4,'Data - Monthly Metrics'!$B:$B,L$8,'Data - Monthly Metrics'!$C:$C,"Southeast",'Data - Monthly Metrics'!$D:$D,"Goal - Penetration %")-0.05)</formula>
    </cfRule>
    <cfRule type="expression" rank="0" priority="504" equalAverage="0" aboveAverage="0" dxfId="1" stopIfTrue="1" text="" percent="0" bottom="0">
      <formula>AND(ISNUMBER(L31),COUNTIFS('Data - Monthly Metrics'!$A:$A,$B$4,'Data - Monthly Metrics'!$B:$B,L$8,'Data - Monthly Metrics'!$C:$C,"Southeast",'Data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Metrics'!$C:$C,"Southeast",'Data - Monthly Metrics'!$D:$D,"Goal - Penetration %")&gt;0,N31&gt;=SUMIFS('Data - Monthly Metrics'!$E:$E,'Data - Monthly Metrics'!$A:$A,$B$4,'Data - Monthly Metrics'!$B:$B,N$8,'Data - Monthly Metrics'!$C:$C,"Southeast",'Data - Monthly Metrics'!$D:$D,"Goal - Penetration %"))</formula>
    </cfRule>
    <cfRule type="expression" rank="0" priority="506" equalAverage="0" aboveAverage="0" dxfId="2" stopIfTrue="1" text="" percent="0" bottom="0">
      <formula>AND(ISNUMBER(N31),COUNTIFS('Data - Monthly Metrics'!$A:$A,$B$4,'Data - Monthly Metrics'!$B:$B,N$8,'Data - Monthly Metrics'!$C:$C,"Southeast",'Data - Monthly Metrics'!$D:$D,"Goal - Penetration %")&gt;0,N31&gt;=SUMIFS('Data - Monthly Metrics'!$E:$E,'Data - Monthly Metrics'!$A:$A,$B$4,'Data - Monthly Metrics'!$B:$B,N$8,'Data - Monthly Metrics'!$C:$C,"Southeast",'Data - Monthly Metrics'!$D:$D,"Goal - Penetration %")-0.05)</formula>
    </cfRule>
    <cfRule type="expression" rank="0" priority="507" equalAverage="0" aboveAverage="0" dxfId="1" stopIfTrue="1" text="" percent="0" bottom="0">
      <formula>AND(ISNUMBER(N31),COUNTIFS('Data - Monthly Metrics'!$A:$A,$B$4,'Data - Monthly Metrics'!$B:$B,N$8,'Data - Monthly Metrics'!$C:$C,"Southeast",'Data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Metrics'!$C:$C,"Southeast",'Data - Monthly Metrics'!$D:$D,"Goal - Penetration %")&gt;0,O31&gt;=SUMIFS('Data - Monthly Metrics'!$E:$E,'Data - Monthly Metrics'!$A:$A,$B$4,'Data - Monthly Metrics'!$B:$B,O$8,'Data - Monthly Metrics'!$C:$C,"Southeast",'Data - Monthly Metrics'!$D:$D,"Goal - Penetration %"))</formula>
    </cfRule>
    <cfRule type="expression" rank="0" priority="509" equalAverage="0" aboveAverage="0" dxfId="2" stopIfTrue="1" text="" percent="0" bottom="0">
      <formula>AND(ISNUMBER(O31),COUNTIFS('Data - Monthly Metrics'!$A:$A,$B$4,'Data - Monthly Metrics'!$B:$B,O$8,'Data - Monthly Metrics'!$C:$C,"Southeast",'Data - Monthly Metrics'!$D:$D,"Goal - Penetration %")&gt;0,O31&gt;=SUMIFS('Data - Monthly Metrics'!$E:$E,'Data - Monthly Metrics'!$A:$A,$B$4,'Data - Monthly Metrics'!$B:$B,O$8,'Data - Monthly Metrics'!$C:$C,"Southeast",'Data - Monthly Metrics'!$D:$D,"Goal - Penetration %")-0.05)</formula>
    </cfRule>
    <cfRule type="expression" rank="0" priority="510" equalAverage="0" aboveAverage="0" dxfId="1" stopIfTrue="1" text="" percent="0" bottom="0">
      <formula>AND(ISNUMBER(O31),COUNTIFS('Data - Monthly Metrics'!$A:$A,$B$4,'Data - Monthly Metrics'!$B:$B,O$8,'Data - Monthly Metrics'!$C:$C,"Southeast",'Data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Metrics'!$C:$C,"Southeast",'Data - Monthly Metrics'!$D:$D,"Goal - Penetration %")&gt;0,P31&gt;=SUMIFS('Data - Monthly Metrics'!$E:$E,'Data - Monthly Metrics'!$A:$A,$B$4,'Data - Monthly Metrics'!$B:$B,P$8,'Data - Monthly Metrics'!$C:$C,"Southeast",'Data - Monthly Metrics'!$D:$D,"Goal - Penetration %"))</formula>
    </cfRule>
    <cfRule type="expression" rank="0" priority="512" equalAverage="0" aboveAverage="0" dxfId="2" stopIfTrue="1" text="" percent="0" bottom="0">
      <formula>AND(ISNUMBER(P31),COUNTIFS('Data - Monthly Metrics'!$A:$A,$B$4,'Data - Monthly Metrics'!$B:$B,P$8,'Data - Monthly Metrics'!$C:$C,"Southeast",'Data - Monthly Metrics'!$D:$D,"Goal - Penetration %")&gt;0,P31&gt;=SUMIFS('Data - Monthly Metrics'!$E:$E,'Data - Monthly Metrics'!$A:$A,$B$4,'Data - Monthly Metrics'!$B:$B,P$8,'Data - Monthly Metrics'!$C:$C,"Southeast",'Data - Monthly Metrics'!$D:$D,"Goal - Penetration %")-0.05)</formula>
    </cfRule>
    <cfRule type="expression" rank="0" priority="513" equalAverage="0" aboveAverage="0" dxfId="1" stopIfTrue="1" text="" percent="0" bottom="0">
      <formula>AND(ISNUMBER(P31),COUNTIFS('Data - Monthly Metrics'!$A:$A,$B$4,'Data - Monthly Metrics'!$B:$B,P$8,'Data - Monthly Metrics'!$C:$C,"Southeast",'Data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NorthCentral</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Metrics'!C:C,"NorthCentral",'Data - Monthly Metrics'!D:D,"New Sales Revenue - BOB/Promo ($)")=0,"-",SUMIFS('Data - Monthly Metrics'!E:E,'Data - Monthly Metrics'!A:A,$B$4-1,'Data - Monthly Metrics'!B:B,"Oct",'Data - Monthly Metrics'!C:C,"NorthCentral",'Data - Monthly Metrics'!D:D,"New Sales Revenue - BOB/Promo ($)"))</f>
        <v/>
      </c>
      <c r="C10" s="91">
        <f>IF(COUNTIFS('Data - Monthly Metrics'!A:A,$B$4-1,'Data - Monthly Metrics'!B:B,"Nov",'Data - Monthly Metrics'!C:C,"NorthCentral",'Data - Monthly Metrics'!D:D,"New Sales Revenue - BOB/Promo ($)")=0,"-",SUMIFS('Data - Monthly Metrics'!E:E,'Data - Monthly Metrics'!A:A,$B$4-1,'Data - Monthly Metrics'!B:B,"Nov",'Data - Monthly Metrics'!C:C,"NorthCentral",'Data - Monthly Metrics'!D:D,"New Sales Revenue - BOB/Promo ($)"))</f>
        <v/>
      </c>
      <c r="D10" s="91">
        <f>IF(COUNTIFS('Data - Monthly Metrics'!A:A,$B$4-1,'Data - Monthly Metrics'!B:B,"Dec",'Data - Monthly Metrics'!C:C,"NorthCentral",'Data - Monthly Metrics'!D:D,"New Sales Revenue - BOB/Promo ($)")=0,"-",SUMIFS('Data - Monthly Metrics'!E:E,'Data - Monthly Metrics'!A:A,$B$4-1,'Data - Monthly Metrics'!B:B,"Dec",'Data - Monthly Metrics'!C:C,"NorthCentral",'Data - Monthly Metrics'!D:D,"New Sales Revenue - BOB/Promo ($)"))</f>
        <v/>
      </c>
      <c r="E10" s="101">
        <f>SUM(B10,C10,D10)</f>
        <v/>
      </c>
      <c r="F10" s="91">
        <f>IF(COUNTIFS('Data - Monthly Metrics'!A:A,$B$4,'Data - Monthly Metrics'!B:B,"Jan",'Data - Monthly Metrics'!C:C,"NorthCentral",'Data - Monthly Metrics'!D:D,"New Sales Revenue - BOB/Promo ($)")=0,"-",SUMIFS('Data - Monthly Metrics'!E:E,'Data - Monthly Metrics'!A:A,$B$4,'Data - Monthly Metrics'!B:B,"Jan",'Data - Monthly Metrics'!C:C,"NorthCentral",'Data - Monthly Metrics'!D:D,"New Sales Revenue - BOB/Promo ($)"))</f>
        <v/>
      </c>
      <c r="G10" s="91">
        <f>IF(COUNTIFS('Data - Monthly Metrics'!A:A,$B$4,'Data - Monthly Metrics'!B:B,"Feb",'Data - Monthly Metrics'!C:C,"NorthCentral",'Data - Monthly Metrics'!D:D,"New Sales Revenue - BOB/Promo ($)")=0,"-",SUMIFS('Data - Monthly Metrics'!E:E,'Data - Monthly Metrics'!A:A,$B$4,'Data - Monthly Metrics'!B:B,"Feb",'Data - Monthly Metrics'!C:C,"NorthCentral",'Data - Monthly Metrics'!D:D,"New Sales Revenue - BOB/Promo ($)"))</f>
        <v/>
      </c>
      <c r="H10" s="91">
        <f>IF(COUNTIFS('Data - Monthly Metrics'!A:A,$B$4,'Data - Monthly Metrics'!B:B,"Mar",'Data - Monthly Metrics'!C:C,"NorthCentral",'Data - Monthly Metrics'!D:D,"New Sales Revenue - BOB/Promo ($)")=0,"-",SUMIFS('Data - Monthly Metrics'!E:E,'Data - Monthly Metrics'!A:A,$B$4,'Data - Monthly Metrics'!B:B,"Mar",'Data - Monthly Metrics'!C:C,"NorthCentral",'Data - Monthly Metrics'!D:D,"New Sales Revenue - BOB/Promo ($)"))</f>
        <v/>
      </c>
      <c r="I10" s="101">
        <f>SUM(F10,G10,H10)</f>
        <v/>
      </c>
      <c r="J10" s="91">
        <f>IF(COUNTIFS('Data - Monthly Metrics'!A:A,$B$4,'Data - Monthly Metrics'!B:B,"Apr",'Data - Monthly Metrics'!C:C,"NorthCentral",'Data - Monthly Metrics'!D:D,"New Sales Revenue - BOB/Promo ($)")=0,"-",SUMIFS('Data - Monthly Metrics'!E:E,'Data - Monthly Metrics'!A:A,$B$4,'Data - Monthly Metrics'!B:B,"Apr",'Data - Monthly Metrics'!C:C,"NorthCentral",'Data - Monthly Metrics'!D:D,"New Sales Revenue - BOB/Promo ($)"))</f>
        <v/>
      </c>
      <c r="K10" s="91">
        <f>IF(COUNTIFS('Data - Monthly Metrics'!A:A,$B$4,'Data - Monthly Metrics'!B:B,"May",'Data - Monthly Metrics'!C:C,"NorthCentral",'Data - Monthly Metrics'!D:D,"New Sales Revenue - BOB/Promo ($)")=0,"-",SUMIFS('Data - Monthly Metrics'!E:E,'Data - Monthly Metrics'!A:A,$B$4,'Data - Monthly Metrics'!B:B,"May",'Data - Monthly Metrics'!C:C,"NorthCentral",'Data - Monthly Metrics'!D:D,"New Sales Revenue - BOB/Promo ($)"))</f>
        <v/>
      </c>
      <c r="L10" s="91">
        <f>IF(COUNTIFS('Data - Monthly Metrics'!A:A,$B$4,'Data - Monthly Metrics'!B:B,"Jun",'Data - Monthly Metrics'!C:C,"NorthCentral",'Data - Monthly Metrics'!D:D,"New Sales Revenue - BOB/Promo ($)")=0,"-",SUMIFS('Data - Monthly Metrics'!E:E,'Data - Monthly Metrics'!A:A,$B$4,'Data - Monthly Metrics'!B:B,"Jun",'Data - Monthly Metrics'!C:C,"NorthCentral",'Data - Monthly Metrics'!D:D,"New Sales Revenue - BOB/Promo ($)"))</f>
        <v/>
      </c>
      <c r="M10" s="101">
        <f>SUM(J10,K10,L10)</f>
        <v/>
      </c>
      <c r="N10" s="91">
        <f>IF(COUNTIFS('Data - Monthly Metrics'!A:A,$B$4,'Data - Monthly Metrics'!B:B,"Jul",'Data - Monthly Metrics'!C:C,"NorthCentral",'Data - Monthly Metrics'!D:D,"New Sales Revenue - BOB/Promo ($)")=0,"-",SUMIFS('Data - Monthly Metrics'!E:E,'Data - Monthly Metrics'!A:A,$B$4,'Data - Monthly Metrics'!B:B,"Jul",'Data - Monthly Metrics'!C:C,"NorthCentral",'Data - Monthly Metrics'!D:D,"New Sales Revenue - BOB/Promo ($)"))</f>
        <v/>
      </c>
      <c r="O10" s="91">
        <f>IF(COUNTIFS('Data - Monthly Metrics'!A:A,$B$4,'Data - Monthly Metrics'!B:B,"Aug",'Data - Monthly Metrics'!C:C,"NorthCentral",'Data - Monthly Metrics'!D:D,"New Sales Revenue - BOB/Promo ($)")=0,"-",SUMIFS('Data - Monthly Metrics'!E:E,'Data - Monthly Metrics'!A:A,$B$4,'Data - Monthly Metrics'!B:B,"Aug",'Data - Monthly Metrics'!C:C,"NorthCentral",'Data - Monthly Metrics'!D:D,"New Sales Revenue - BOB/Promo ($)"))</f>
        <v/>
      </c>
      <c r="P10" s="91">
        <f>IF(COUNTIFS('Data - Monthly Metrics'!A:A,$B$4,'Data - Monthly Metrics'!B:B,"Sep",'Data - Monthly Metrics'!C:C,"NorthCentral",'Data - Monthly Metrics'!D:D,"New Sales Revenue - BOB/Promo ($)")=0,"-",SUMIFS('Data - Monthly Metrics'!E:E,'Data - Monthly Metrics'!A:A,$B$4,'Data - Monthly Metrics'!B:B,"Sep",'Data - Monthly Metrics'!C:C,"NorthCentral",'Data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Metrics'!C:C,"NorthCentral",'Data - Monthly Metrics'!D:D,"New Members - BOB (#)")=0,"-",SUMIFS('Data - Monthly Metrics'!E:E,'Data - Monthly Metrics'!A:A,$B$4-1,'Data - Monthly Metrics'!B:B,"Oct",'Data - Monthly Metrics'!C:C,"NorthCentral",'Data - Monthly Metrics'!D:D,"New Members - BOB (#)"))</f>
        <v/>
      </c>
      <c r="C11" s="93">
        <f>IF(COUNTIFS('Data - Monthly Metrics'!A:A,$B$4-1,'Data - Monthly Metrics'!B:B,"Nov",'Data - Monthly Metrics'!C:C,"NorthCentral",'Data - Monthly Metrics'!D:D,"New Members - BOB (#)")=0,"-",SUMIFS('Data - Monthly Metrics'!E:E,'Data - Monthly Metrics'!A:A,$B$4-1,'Data - Monthly Metrics'!B:B,"Nov",'Data - Monthly Metrics'!C:C,"NorthCentral",'Data - Monthly Metrics'!D:D,"New Members - BOB (#)"))</f>
        <v/>
      </c>
      <c r="D11" s="93">
        <f>IF(COUNTIFS('Data - Monthly Metrics'!A:A,$B$4-1,'Data - Monthly Metrics'!B:B,"Dec",'Data - Monthly Metrics'!C:C,"NorthCentral",'Data - Monthly Metrics'!D:D,"New Members - BOB (#)")=0,"-",SUMIFS('Data - Monthly Metrics'!E:E,'Data - Monthly Metrics'!A:A,$B$4-1,'Data - Monthly Metrics'!B:B,"Dec",'Data - Monthly Metrics'!C:C,"NorthCentral",'Data - Monthly Metrics'!D:D,"New Members - BOB (#)"))</f>
        <v/>
      </c>
      <c r="E11" s="103">
        <f>SUM(B11,C11,D11)</f>
        <v/>
      </c>
      <c r="F11" s="93">
        <f>IF(COUNTIFS('Data - Monthly Metrics'!A:A,$B$4,'Data - Monthly Metrics'!B:B,"Jan",'Data - Monthly Metrics'!C:C,"NorthCentral",'Data - Monthly Metrics'!D:D,"New Members - BOB (#)")=0,"-",SUMIFS('Data - Monthly Metrics'!E:E,'Data - Monthly Metrics'!A:A,$B$4,'Data - Monthly Metrics'!B:B,"Jan",'Data - Monthly Metrics'!C:C,"NorthCentral",'Data - Monthly Metrics'!D:D,"New Members - BOB (#)"))</f>
        <v/>
      </c>
      <c r="G11" s="93">
        <f>IF(COUNTIFS('Data - Monthly Metrics'!A:A,$B$4,'Data - Monthly Metrics'!B:B,"Feb",'Data - Monthly Metrics'!C:C,"NorthCentral",'Data - Monthly Metrics'!D:D,"New Members - BOB (#)")=0,"-",SUMIFS('Data - Monthly Metrics'!E:E,'Data - Monthly Metrics'!A:A,$B$4,'Data - Monthly Metrics'!B:B,"Feb",'Data - Monthly Metrics'!C:C,"NorthCentral",'Data - Monthly Metrics'!D:D,"New Members - BOB (#)"))</f>
        <v/>
      </c>
      <c r="H11" s="93">
        <f>IF(COUNTIFS('Data - Monthly Metrics'!A:A,$B$4,'Data - Monthly Metrics'!B:B,"Mar",'Data - Monthly Metrics'!C:C,"NorthCentral",'Data - Monthly Metrics'!D:D,"New Members - BOB (#)")=0,"-",SUMIFS('Data - Monthly Metrics'!E:E,'Data - Monthly Metrics'!A:A,$B$4,'Data - Monthly Metrics'!B:B,"Mar",'Data - Monthly Metrics'!C:C,"NorthCentral",'Data - Monthly Metrics'!D:D,"New Members - BOB (#)"))</f>
        <v/>
      </c>
      <c r="I11" s="103">
        <f>SUM(F11,G11,H11)</f>
        <v/>
      </c>
      <c r="J11" s="93">
        <f>IF(COUNTIFS('Data - Monthly Metrics'!A:A,$B$4,'Data - Monthly Metrics'!B:B,"Apr",'Data - Monthly Metrics'!C:C,"NorthCentral",'Data - Monthly Metrics'!D:D,"New Members - BOB (#)")=0,"-",SUMIFS('Data - Monthly Metrics'!E:E,'Data - Monthly Metrics'!A:A,$B$4,'Data - Monthly Metrics'!B:B,"Apr",'Data - Monthly Metrics'!C:C,"NorthCentral",'Data - Monthly Metrics'!D:D,"New Members - BOB (#)"))</f>
        <v/>
      </c>
      <c r="K11" s="93">
        <f>IF(COUNTIFS('Data - Monthly Metrics'!A:A,$B$4,'Data - Monthly Metrics'!B:B,"May",'Data - Monthly Metrics'!C:C,"NorthCentral",'Data - Monthly Metrics'!D:D,"New Members - BOB (#)")=0,"-",SUMIFS('Data - Monthly Metrics'!E:E,'Data - Monthly Metrics'!A:A,$B$4,'Data - Monthly Metrics'!B:B,"May",'Data - Monthly Metrics'!C:C,"NorthCentral",'Data - Monthly Metrics'!D:D,"New Members - BOB (#)"))</f>
        <v/>
      </c>
      <c r="L11" s="93">
        <f>IF(COUNTIFS('Data - Monthly Metrics'!A:A,$B$4,'Data - Monthly Metrics'!B:B,"Jun",'Data - Monthly Metrics'!C:C,"NorthCentral",'Data - Monthly Metrics'!D:D,"New Members - BOB (#)")=0,"-",SUMIFS('Data - Monthly Metrics'!E:E,'Data - Monthly Metrics'!A:A,$B$4,'Data - Monthly Metrics'!B:B,"Jun",'Data - Monthly Metrics'!C:C,"NorthCentral",'Data - Monthly Metrics'!D:D,"New Members - BOB (#)"))</f>
        <v/>
      </c>
      <c r="M11" s="103">
        <f>SUM(J11,K11,L11)</f>
        <v/>
      </c>
      <c r="N11" s="93">
        <f>IF(COUNTIFS('Data - Monthly Metrics'!A:A,$B$4,'Data - Monthly Metrics'!B:B,"Jul",'Data - Monthly Metrics'!C:C,"NorthCentral",'Data - Monthly Metrics'!D:D,"New Members - BOB (#)")=0,"-",SUMIFS('Data - Monthly Metrics'!E:E,'Data - Monthly Metrics'!A:A,$B$4,'Data - Monthly Metrics'!B:B,"Jul",'Data - Monthly Metrics'!C:C,"NorthCentral",'Data - Monthly Metrics'!D:D,"New Members - BOB (#)"))</f>
        <v/>
      </c>
      <c r="O11" s="93">
        <f>IF(COUNTIFS('Data - Monthly Metrics'!A:A,$B$4,'Data - Monthly Metrics'!B:B,"Aug",'Data - Monthly Metrics'!C:C,"NorthCentral",'Data - Monthly Metrics'!D:D,"New Members - BOB (#)")=0,"-",SUMIFS('Data - Monthly Metrics'!E:E,'Data - Monthly Metrics'!A:A,$B$4,'Data - Monthly Metrics'!B:B,"Aug",'Data - Monthly Metrics'!C:C,"NorthCentral",'Data - Monthly Metrics'!D:D,"New Members - BOB (#)"))</f>
        <v/>
      </c>
      <c r="P11" s="93">
        <f>IF(COUNTIFS('Data - Monthly Metrics'!A:A,$B$4,'Data - Monthly Metrics'!B:B,"Sep",'Data - Monthly Metrics'!C:C,"NorthCentral",'Data - Monthly Metrics'!D:D,"New Members - BOB (#)")=0,"-",SUMIFS('Data - Monthly Metrics'!E:E,'Data - Monthly Metrics'!A:A,$B$4,'Data - Monthly Metrics'!B:B,"Sep",'Data - Monthly Metrics'!C:C,"NorthCentral",'Data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Metrics'!C:C,"NorthCentral",'Data - Monthly Metrics'!D:D,"New Sales - Comped ($)")=0,"-",SUMIFS('Data - Monthly Metrics'!E:E,'Data - Monthly Metrics'!A:A,$B$4-1,'Data - Monthly Metrics'!B:B,"Oct",'Data - Monthly Metrics'!C:C,"NorthCentral",'Data - Monthly Metrics'!D:D,"New Sales - Comped ($)"))</f>
        <v/>
      </c>
      <c r="C12" s="91">
        <f>IF(COUNTIFS('Data - Monthly Metrics'!A:A,$B$4-1,'Data - Monthly Metrics'!B:B,"Nov",'Data - Monthly Metrics'!C:C,"NorthCentral",'Data - Monthly Metrics'!D:D,"New Sales - Comped ($)")=0,"-",SUMIFS('Data - Monthly Metrics'!E:E,'Data - Monthly Metrics'!A:A,$B$4-1,'Data - Monthly Metrics'!B:B,"Nov",'Data - Monthly Metrics'!C:C,"NorthCentral",'Data - Monthly Metrics'!D:D,"New Sales - Comped ($)"))</f>
        <v/>
      </c>
      <c r="D12" s="91">
        <f>IF(COUNTIFS('Data - Monthly Metrics'!A:A,$B$4-1,'Data - Monthly Metrics'!B:B,"Dec",'Data - Monthly Metrics'!C:C,"NorthCentral",'Data - Monthly Metrics'!D:D,"New Sales - Comped ($)")=0,"-",SUMIFS('Data - Monthly Metrics'!E:E,'Data - Monthly Metrics'!A:A,$B$4-1,'Data - Monthly Metrics'!B:B,"Dec",'Data - Monthly Metrics'!C:C,"NorthCentral",'Data - Monthly Metrics'!D:D,"New Sales - Comped ($)"))</f>
        <v/>
      </c>
      <c r="E12" s="101">
        <f>SUM(B12,C12,D12)</f>
        <v/>
      </c>
      <c r="F12" s="91">
        <f>IF(COUNTIFS('Data - Monthly Metrics'!A:A,$B$4,'Data - Monthly Metrics'!B:B,"Jan",'Data - Monthly Metrics'!C:C,"NorthCentral",'Data - Monthly Metrics'!D:D,"New Sales - Comped ($)")=0,"-",SUMIFS('Data - Monthly Metrics'!E:E,'Data - Monthly Metrics'!A:A,$B$4,'Data - Monthly Metrics'!B:B,"Jan",'Data - Monthly Metrics'!C:C,"NorthCentral",'Data - Monthly Metrics'!D:D,"New Sales - Comped ($)"))</f>
        <v/>
      </c>
      <c r="G12" s="91">
        <f>IF(COUNTIFS('Data - Monthly Metrics'!A:A,$B$4,'Data - Monthly Metrics'!B:B,"Feb",'Data - Monthly Metrics'!C:C,"NorthCentral",'Data - Monthly Metrics'!D:D,"New Sales - Comped ($)")=0,"-",SUMIFS('Data - Monthly Metrics'!E:E,'Data - Monthly Metrics'!A:A,$B$4,'Data - Monthly Metrics'!B:B,"Feb",'Data - Monthly Metrics'!C:C,"NorthCentral",'Data - Monthly Metrics'!D:D,"New Sales - Comped ($)"))</f>
        <v/>
      </c>
      <c r="H12" s="91">
        <f>IF(COUNTIFS('Data - Monthly Metrics'!A:A,$B$4,'Data - Monthly Metrics'!B:B,"Mar",'Data - Monthly Metrics'!C:C,"NorthCentral",'Data - Monthly Metrics'!D:D,"New Sales - Comped ($)")=0,"-",SUMIFS('Data - Monthly Metrics'!E:E,'Data - Monthly Metrics'!A:A,$B$4,'Data - Monthly Metrics'!B:B,"Mar",'Data - Monthly Metrics'!C:C,"NorthCentral",'Data - Monthly Metrics'!D:D,"New Sales - Comped ($)"))</f>
        <v/>
      </c>
      <c r="I12" s="101">
        <f>SUM(F12,G12,H12)</f>
        <v/>
      </c>
      <c r="J12" s="91">
        <f>IF(COUNTIFS('Data - Monthly Metrics'!A:A,$B$4,'Data - Monthly Metrics'!B:B,"Apr",'Data - Monthly Metrics'!C:C,"NorthCentral",'Data - Monthly Metrics'!D:D,"New Sales - Comped ($)")=0,"-",SUMIFS('Data - Monthly Metrics'!E:E,'Data - Monthly Metrics'!A:A,$B$4,'Data - Monthly Metrics'!B:B,"Apr",'Data - Monthly Metrics'!C:C,"NorthCentral",'Data - Monthly Metrics'!D:D,"New Sales - Comped ($)"))</f>
        <v/>
      </c>
      <c r="K12" s="91">
        <f>IF(COUNTIFS('Data - Monthly Metrics'!A:A,$B$4,'Data - Monthly Metrics'!B:B,"May",'Data - Monthly Metrics'!C:C,"NorthCentral",'Data - Monthly Metrics'!D:D,"New Sales - Comped ($)")=0,"-",SUMIFS('Data - Monthly Metrics'!E:E,'Data - Monthly Metrics'!A:A,$B$4,'Data - Monthly Metrics'!B:B,"May",'Data - Monthly Metrics'!C:C,"NorthCentral",'Data - Monthly Metrics'!D:D,"New Sales - Comped ($)"))</f>
        <v/>
      </c>
      <c r="L12" s="91">
        <f>IF(COUNTIFS('Data - Monthly Metrics'!A:A,$B$4,'Data - Monthly Metrics'!B:B,"Jun",'Data - Monthly Metrics'!C:C,"NorthCentral",'Data - Monthly Metrics'!D:D,"New Sales - Comped ($)")=0,"-",SUMIFS('Data - Monthly Metrics'!E:E,'Data - Monthly Metrics'!A:A,$B$4,'Data - Monthly Metrics'!B:B,"Jun",'Data - Monthly Metrics'!C:C,"NorthCentral",'Data - Monthly Metrics'!D:D,"New Sales - Comped ($)"))</f>
        <v/>
      </c>
      <c r="M12" s="101">
        <f>SUM(J12,K12,L12)</f>
        <v/>
      </c>
      <c r="N12" s="91">
        <f>IF(COUNTIFS('Data - Monthly Metrics'!A:A,$B$4,'Data - Monthly Metrics'!B:B,"Jul",'Data - Monthly Metrics'!C:C,"NorthCentral",'Data - Monthly Metrics'!D:D,"New Sales - Comped ($)")=0,"-",SUMIFS('Data - Monthly Metrics'!E:E,'Data - Monthly Metrics'!A:A,$B$4,'Data - Monthly Metrics'!B:B,"Jul",'Data - Monthly Metrics'!C:C,"NorthCentral",'Data - Monthly Metrics'!D:D,"New Sales - Comped ($)"))</f>
        <v/>
      </c>
      <c r="O12" s="91">
        <f>IF(COUNTIFS('Data - Monthly Metrics'!A:A,$B$4,'Data - Monthly Metrics'!B:B,"Aug",'Data - Monthly Metrics'!C:C,"NorthCentral",'Data - Monthly Metrics'!D:D,"New Sales - Comped ($)")=0,"-",SUMIFS('Data - Monthly Metrics'!E:E,'Data - Monthly Metrics'!A:A,$B$4,'Data - Monthly Metrics'!B:B,"Aug",'Data - Monthly Metrics'!C:C,"NorthCentral",'Data - Monthly Metrics'!D:D,"New Sales - Comped ($)"))</f>
        <v/>
      </c>
      <c r="P12" s="91">
        <f>IF(COUNTIFS('Data - Monthly Metrics'!A:A,$B$4,'Data - Monthly Metrics'!B:B,"Sep",'Data - Monthly Metrics'!C:C,"NorthCentral",'Data - Monthly Metrics'!D:D,"New Sales - Comped ($)")=0,"-",SUMIFS('Data - Monthly Metrics'!E:E,'Data - Monthly Metrics'!A:A,$B$4,'Data - Monthly Metrics'!B:B,"Sep",'Data - Monthly Metrics'!C:C,"NorthCentral",'Data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Metrics'!C:C,"NorthCentral",'Data - Monthly Metrics'!D:D,"Revenue Up for Renewal - Target ($)")+SUMIFS('Data - Monthly Metrics'!E:E,'Data - Monthly Metrics'!A:A,$B$4-1,'Data - Monthly Metrics'!B:B,"Oct",'Data - Monthly Metrics'!C:C,"NorthCentral",'Data - Monthly Metrics'!D:D,"Revenue Up for Renewal - Non-Target ($)")</f>
        <v/>
      </c>
      <c r="C22" s="110">
        <f>SUMIFS('Data - Monthly Metrics'!E:E,'Data - Monthly Metrics'!A:A,$B$4-1,'Data - Monthly Metrics'!B:B,"Nov",'Data - Monthly Metrics'!C:C,"NorthCentral",'Data - Monthly Metrics'!D:D,"Revenue Up for Renewal - Target ($)")+SUMIFS('Data - Monthly Metrics'!E:E,'Data - Monthly Metrics'!A:A,$B$4-1,'Data - Monthly Metrics'!B:B,"Nov",'Data - Monthly Metrics'!C:C,"NorthCentral",'Data - Monthly Metrics'!D:D,"Revenue Up for Renewal - Non-Target ($)")</f>
        <v/>
      </c>
      <c r="D22" s="110">
        <f>SUMIFS('Data - Monthly Metrics'!E:E,'Data - Monthly Metrics'!A:A,$B$4-1,'Data - Monthly Metrics'!B:B,"Dec",'Data - Monthly Metrics'!C:C,"NorthCentral",'Data - Monthly Metrics'!D:D,"Revenue Up for Renewal - Target ($)")+SUMIFS('Data - Monthly Metrics'!E:E,'Data - Monthly Metrics'!A:A,$B$4-1,'Data - Monthly Metrics'!B:B,"Dec",'Data - Monthly Metrics'!C:C,"NorthCentral",'Data - Monthly Metrics'!D:D,"Revenue Up for Renewal - Non-Target ($)")</f>
        <v/>
      </c>
      <c r="E22" s="111">
        <f>SUM(B22,C22,D22)</f>
        <v/>
      </c>
      <c r="F22" s="110">
        <f>SUMIFS('Data - Monthly Metrics'!E:E,'Data - Monthly Metrics'!A:A,$B$4,'Data - Monthly Metrics'!B:B,"Jan",'Data - Monthly Metrics'!C:C,"NorthCentral",'Data - Monthly Metrics'!D:D,"Revenue Up for Renewal - Target ($)")+SUMIFS('Data - Monthly Metrics'!E:E,'Data - Monthly Metrics'!A:A,$B$4,'Data - Monthly Metrics'!B:B,"Jan",'Data - Monthly Metrics'!C:C,"NorthCentral",'Data - Monthly Metrics'!D:D,"Revenue Up for Renewal - Non-Target ($)")</f>
        <v/>
      </c>
      <c r="G22" s="110">
        <f>SUMIFS('Data - Monthly Metrics'!E:E,'Data - Monthly Metrics'!A:A,$B$4,'Data - Monthly Metrics'!B:B,"Feb",'Data - Monthly Metrics'!C:C,"NorthCentral",'Data - Monthly Metrics'!D:D,"Revenue Up for Renewal - Target ($)")+SUMIFS('Data - Monthly Metrics'!E:E,'Data - Monthly Metrics'!A:A,$B$4,'Data - Monthly Metrics'!B:B,"Feb",'Data - Monthly Metrics'!C:C,"NorthCentral",'Data - Monthly Metrics'!D:D,"Revenue Up for Renewal - Non-Target ($)")</f>
        <v/>
      </c>
      <c r="H22" s="110">
        <f>SUMIFS('Data - Monthly Metrics'!E:E,'Data - Monthly Metrics'!A:A,$B$4,'Data - Monthly Metrics'!B:B,"Mar",'Data - Monthly Metrics'!C:C,"NorthCentral",'Data - Monthly Metrics'!D:D,"Revenue Up for Renewal - Target ($)")+SUMIFS('Data - Monthly Metrics'!E:E,'Data - Monthly Metrics'!A:A,$B$4,'Data - Monthly Metrics'!B:B,"Mar",'Data - Monthly Metrics'!C:C,"NorthCentral",'Data - Monthly Metrics'!D:D,"Revenue Up for Renewal - Non-Target ($)")</f>
        <v/>
      </c>
      <c r="I22" s="111">
        <f>SUM(F22,G22,H22)</f>
        <v/>
      </c>
      <c r="J22" s="110">
        <f>SUMIFS('Data - Monthly Metrics'!E:E,'Data - Monthly Metrics'!A:A,$B$4,'Data - Monthly Metrics'!B:B,"Apr",'Data - Monthly Metrics'!C:C,"NorthCentral",'Data - Monthly Metrics'!D:D,"Revenue Up for Renewal - Target ($)")+SUMIFS('Data - Monthly Metrics'!E:E,'Data - Monthly Metrics'!A:A,$B$4,'Data - Monthly Metrics'!B:B,"Apr",'Data - Monthly Metrics'!C:C,"NorthCentral",'Data - Monthly Metrics'!D:D,"Revenue Up for Renewal - Non-Target ($)")</f>
        <v/>
      </c>
      <c r="K22" s="110">
        <f>SUMIFS('Data - Monthly Metrics'!E:E,'Data - Monthly Metrics'!A:A,$B$4,'Data - Monthly Metrics'!B:B,"May",'Data - Monthly Metrics'!C:C,"NorthCentral",'Data - Monthly Metrics'!D:D,"Revenue Up for Renewal - Target ($)")+SUMIFS('Data - Monthly Metrics'!E:E,'Data - Monthly Metrics'!A:A,$B$4,'Data - Monthly Metrics'!B:B,"May",'Data - Monthly Metrics'!C:C,"NorthCentral",'Data - Monthly Metrics'!D:D,"Revenue Up for Renewal - Non-Target ($)")</f>
        <v/>
      </c>
      <c r="L22" s="110">
        <f>SUMIFS('Data - Monthly Metrics'!E:E,'Data - Monthly Metrics'!A:A,$B$4,'Data - Monthly Metrics'!B:B,"Jun",'Data - Monthly Metrics'!C:C,"NorthCentral",'Data - Monthly Metrics'!D:D,"Revenue Up for Renewal - Target ($)")+SUMIFS('Data - Monthly Metrics'!E:E,'Data - Monthly Metrics'!A:A,$B$4,'Data - Monthly Metrics'!B:B,"Jun",'Data - Monthly Metrics'!C:C,"NorthCentral",'Data - Monthly Metrics'!D:D,"Revenue Up for Renewal - Non-Target ($)")</f>
        <v/>
      </c>
      <c r="M22" s="111">
        <f>SUM(J22,K22,L22)</f>
        <v/>
      </c>
      <c r="N22" s="110">
        <f>SUMIFS('Data - Monthly Metrics'!E:E,'Data - Monthly Metrics'!A:A,$B$4,'Data - Monthly Metrics'!B:B,"Jul",'Data - Monthly Metrics'!C:C,"NorthCentral",'Data - Monthly Metrics'!D:D,"Revenue Up for Renewal - Target ($)")+SUMIFS('Data - Monthly Metrics'!E:E,'Data - Monthly Metrics'!A:A,$B$4,'Data - Monthly Metrics'!B:B,"Jul",'Data - Monthly Metrics'!C:C,"NorthCentral",'Data - Monthly Metrics'!D:D,"Revenue Up for Renewal - Non-Target ($)")</f>
        <v/>
      </c>
      <c r="O22" s="110">
        <f>SUMIFS('Data - Monthly Metrics'!E:E,'Data - Monthly Metrics'!A:A,$B$4,'Data - Monthly Metrics'!B:B,"Aug",'Data - Monthly Metrics'!C:C,"NorthCentral",'Data - Monthly Metrics'!D:D,"Revenue Up for Renewal - Target ($)")+SUMIFS('Data - Monthly Metrics'!E:E,'Data - Monthly Metrics'!A:A,$B$4,'Data - Monthly Metrics'!B:B,"Aug",'Data - Monthly Metrics'!C:C,"NorthCentral",'Data - Monthly Metrics'!D:D,"Revenue Up for Renewal - Non-Target ($)")</f>
        <v/>
      </c>
      <c r="P22" s="110">
        <f>SUMIFS('Data - Monthly Metrics'!E:E,'Data - Monthly Metrics'!A:A,$B$4,'Data - Monthly Metrics'!B:B,"Sep",'Data - Monthly Metrics'!C:C,"NorthCentral",'Data - Monthly Metrics'!D:D,"Revenue Up for Renewal - Target ($)")+SUMIFS('Data - Monthly Metrics'!E:E,'Data - Monthly Metrics'!A:A,$B$4,'Data - Monthly Metrics'!B:B,"Sep",'Data - Monthly Metrics'!C:C,"NorthCentral",'Data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Metrics'!C:C,"NorthCentral",'Data - Monthly Metrics'!D:D,"Revenue Retained - Target ($)")+SUMIFS('Data - Monthly Metrics'!E:E,'Data - Monthly Metrics'!A:A,$B$4-1,'Data - Monthly Metrics'!B:B,"Oct",'Data - Monthly Metrics'!C:C,"NorthCentral",'Data - Monthly Metrics'!D:D,"Revenue Retained - Non-Target ($)")</f>
        <v/>
      </c>
      <c r="C23" s="112">
        <f>SUMIFS('Data - Monthly Metrics'!E:E,'Data - Monthly Metrics'!A:A,$B$4-1,'Data - Monthly Metrics'!B:B,"Nov",'Data - Monthly Metrics'!C:C,"NorthCentral",'Data - Monthly Metrics'!D:D,"Revenue Retained - Target ($)")+SUMIFS('Data - Monthly Metrics'!E:E,'Data - Monthly Metrics'!A:A,$B$4-1,'Data - Monthly Metrics'!B:B,"Nov",'Data - Monthly Metrics'!C:C,"NorthCentral",'Data - Monthly Metrics'!D:D,"Revenue Retained - Non-Target ($)")</f>
        <v/>
      </c>
      <c r="D23" s="112">
        <f>SUMIFS('Data - Monthly Metrics'!E:E,'Data - Monthly Metrics'!A:A,$B$4-1,'Data - Monthly Metrics'!B:B,"Dec",'Data - Monthly Metrics'!C:C,"NorthCentral",'Data - Monthly Metrics'!D:D,"Revenue Retained - Target ($)")+SUMIFS('Data - Monthly Metrics'!E:E,'Data - Monthly Metrics'!A:A,$B$4-1,'Data - Monthly Metrics'!B:B,"Dec",'Data - Monthly Metrics'!C:C,"NorthCentral",'Data - Monthly Metrics'!D:D,"Revenue Retained - Non-Target ($)")</f>
        <v/>
      </c>
      <c r="E23" s="111">
        <f>SUM(B23,C23,D23)</f>
        <v/>
      </c>
      <c r="F23" s="112">
        <f>SUMIFS('Data - Monthly Metrics'!E:E,'Data - Monthly Metrics'!A:A,$B$4,'Data - Monthly Metrics'!B:B,"Jan",'Data - Monthly Metrics'!C:C,"NorthCentral",'Data - Monthly Metrics'!D:D,"Revenue Retained - Target ($)")+SUMIFS('Data - Monthly Metrics'!E:E,'Data - Monthly Metrics'!A:A,$B$4,'Data - Monthly Metrics'!B:B,"Jan",'Data - Monthly Metrics'!C:C,"NorthCentral",'Data - Monthly Metrics'!D:D,"Revenue Retained - Non-Target ($)")</f>
        <v/>
      </c>
      <c r="G23" s="112">
        <f>SUMIFS('Data - Monthly Metrics'!E:E,'Data - Monthly Metrics'!A:A,$B$4,'Data - Monthly Metrics'!B:B,"Feb",'Data - Monthly Metrics'!C:C,"NorthCentral",'Data - Monthly Metrics'!D:D,"Revenue Retained - Target ($)")+SUMIFS('Data - Monthly Metrics'!E:E,'Data - Monthly Metrics'!A:A,$B$4,'Data - Monthly Metrics'!B:B,"Feb",'Data - Monthly Metrics'!C:C,"NorthCentral",'Data - Monthly Metrics'!D:D,"Revenue Retained - Non-Target ($)")</f>
        <v/>
      </c>
      <c r="H23" s="112">
        <f>SUMIFS('Data - Monthly Metrics'!E:E,'Data - Monthly Metrics'!A:A,$B$4,'Data - Monthly Metrics'!B:B,"Mar",'Data - Monthly Metrics'!C:C,"NorthCentral",'Data - Monthly Metrics'!D:D,"Revenue Retained - Target ($)")+SUMIFS('Data - Monthly Metrics'!E:E,'Data - Monthly Metrics'!A:A,$B$4,'Data - Monthly Metrics'!B:B,"Mar",'Data - Monthly Metrics'!C:C,"NorthCentral",'Data - Monthly Metrics'!D:D,"Revenue Retained - Non-Target ($)")</f>
        <v/>
      </c>
      <c r="I23" s="111">
        <f>SUM(F23,G23,H23)</f>
        <v/>
      </c>
      <c r="J23" s="112">
        <f>SUMIFS('Data - Monthly Metrics'!E:E,'Data - Monthly Metrics'!A:A,$B$4,'Data - Monthly Metrics'!B:B,"Apr",'Data - Monthly Metrics'!C:C,"NorthCentral",'Data - Monthly Metrics'!D:D,"Revenue Retained - Target ($)")+SUMIFS('Data - Monthly Metrics'!E:E,'Data - Monthly Metrics'!A:A,$B$4,'Data - Monthly Metrics'!B:B,"Apr",'Data - Monthly Metrics'!C:C,"NorthCentral",'Data - Monthly Metrics'!D:D,"Revenue Retained - Non-Target ($)")</f>
        <v/>
      </c>
      <c r="K23" s="112">
        <f>SUMIFS('Data - Monthly Metrics'!E:E,'Data - Monthly Metrics'!A:A,$B$4,'Data - Monthly Metrics'!B:B,"May",'Data - Monthly Metrics'!C:C,"NorthCentral",'Data - Monthly Metrics'!D:D,"Revenue Retained - Target ($)")+SUMIFS('Data - Monthly Metrics'!E:E,'Data - Monthly Metrics'!A:A,$B$4,'Data - Monthly Metrics'!B:B,"May",'Data - Monthly Metrics'!C:C,"NorthCentral",'Data - Monthly Metrics'!D:D,"Revenue Retained - Non-Target ($)")</f>
        <v/>
      </c>
      <c r="L23" s="112">
        <f>SUMIFS('Data - Monthly Metrics'!E:E,'Data - Monthly Metrics'!A:A,$B$4,'Data - Monthly Metrics'!B:B,"Jun",'Data - Monthly Metrics'!C:C,"NorthCentral",'Data - Monthly Metrics'!D:D,"Revenue Retained - Target ($)")+SUMIFS('Data - Monthly Metrics'!E:E,'Data - Monthly Metrics'!A:A,$B$4,'Data - Monthly Metrics'!B:B,"Jun",'Data - Monthly Metrics'!C:C,"NorthCentral",'Data - Monthly Metrics'!D:D,"Revenue Retained - Non-Target ($)")</f>
        <v/>
      </c>
      <c r="M23" s="111">
        <f>SUM(J23,K23,L23)</f>
        <v/>
      </c>
      <c r="N23" s="112">
        <f>SUMIFS('Data - Monthly Metrics'!E:E,'Data - Monthly Metrics'!A:A,$B$4,'Data - Monthly Metrics'!B:B,"Jul",'Data - Monthly Metrics'!C:C,"NorthCentral",'Data - Monthly Metrics'!D:D,"Revenue Retained - Target ($)")+SUMIFS('Data - Monthly Metrics'!E:E,'Data - Monthly Metrics'!A:A,$B$4,'Data - Monthly Metrics'!B:B,"Jul",'Data - Monthly Metrics'!C:C,"NorthCentral",'Data - Monthly Metrics'!D:D,"Revenue Retained - Non-Target ($)")</f>
        <v/>
      </c>
      <c r="O23" s="112">
        <f>SUMIFS('Data - Monthly Metrics'!E:E,'Data - Monthly Metrics'!A:A,$B$4,'Data - Monthly Metrics'!B:B,"Aug",'Data - Monthly Metrics'!C:C,"NorthCentral",'Data - Monthly Metrics'!D:D,"Revenue Retained - Target ($)")+SUMIFS('Data - Monthly Metrics'!E:E,'Data - Monthly Metrics'!A:A,$B$4,'Data - Monthly Metrics'!B:B,"Aug",'Data - Monthly Metrics'!C:C,"NorthCentral",'Data - Monthly Metrics'!D:D,"Revenue Retained - Non-Target ($)")</f>
        <v/>
      </c>
      <c r="P23" s="112">
        <f>SUMIFS('Data - Monthly Metrics'!E:E,'Data - Monthly Metrics'!A:A,$B$4,'Data - Monthly Metrics'!B:B,"Sep",'Data - Monthly Metrics'!C:C,"NorthCentral",'Data - Monthly Metrics'!D:D,"Revenue Retained - Target ($)")+SUMIFS('Data - Monthly Metrics'!E:E,'Data - Monthly Metrics'!A:A,$B$4,'Data - Monthly Metrics'!B:B,"Sep",'Data - Monthly Metrics'!C:C,"NorthCentral",'Data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Metrics'!C:C,"NorthCentral",'Data - Monthly Metrics'!D:D,"Retention - Comped ($)")</f>
        <v/>
      </c>
      <c r="C24" s="112">
        <f>SUMIFS('Data - Monthly Metrics'!E:E,'Data - Monthly Metrics'!A:A,$B$4-1,'Data - Monthly Metrics'!B:B,"Nov",'Data - Monthly Metrics'!C:C,"NorthCentral",'Data - Monthly Metrics'!D:D,"Retention - Comped ($)")</f>
        <v/>
      </c>
      <c r="D24" s="112">
        <f>SUMIFS('Data - Monthly Metrics'!E:E,'Data - Monthly Metrics'!A:A,$B$4-1,'Data - Monthly Metrics'!B:B,"Dec",'Data - Monthly Metrics'!C:C,"NorthCentral",'Data - Monthly Metrics'!D:D,"Retention - Comped ($)")</f>
        <v/>
      </c>
      <c r="E24" s="111">
        <f>SUM(B24,C24,D24)</f>
        <v/>
      </c>
      <c r="F24" s="112">
        <f>SUMIFS('Data - Monthly Metrics'!E:E,'Data - Monthly Metrics'!A:A,$B$4,'Data - Monthly Metrics'!B:B,"Jan",'Data - Monthly Metrics'!C:C,"NorthCentral",'Data - Monthly Metrics'!D:D,"Retention - Comped ($)")</f>
        <v/>
      </c>
      <c r="G24" s="112">
        <f>SUMIFS('Data - Monthly Metrics'!E:E,'Data - Monthly Metrics'!A:A,$B$4,'Data - Monthly Metrics'!B:B,"Feb",'Data - Monthly Metrics'!C:C,"NorthCentral",'Data - Monthly Metrics'!D:D,"Retention - Comped ($)")</f>
        <v/>
      </c>
      <c r="H24" s="112">
        <f>SUMIFS('Data - Monthly Metrics'!E:E,'Data - Monthly Metrics'!A:A,$B$4,'Data - Monthly Metrics'!B:B,"Mar",'Data - Monthly Metrics'!C:C,"NorthCentral",'Data - Monthly Metrics'!D:D,"Retention - Comped ($)")</f>
        <v/>
      </c>
      <c r="I24" s="111">
        <f>SUM(F24,G24,H24)</f>
        <v/>
      </c>
      <c r="J24" s="112">
        <f>SUMIFS('Data - Monthly Metrics'!E:E,'Data - Monthly Metrics'!A:A,$B$4,'Data - Monthly Metrics'!B:B,"Apr",'Data - Monthly Metrics'!C:C,"NorthCentral",'Data - Monthly Metrics'!D:D,"Retention - Comped ($)")</f>
        <v/>
      </c>
      <c r="K24" s="112">
        <f>SUMIFS('Data - Monthly Metrics'!E:E,'Data - Monthly Metrics'!A:A,$B$4,'Data - Monthly Metrics'!B:B,"May",'Data - Monthly Metrics'!C:C,"NorthCentral",'Data - Monthly Metrics'!D:D,"Retention - Comped ($)")</f>
        <v/>
      </c>
      <c r="L24" s="112">
        <f>SUMIFS('Data - Monthly Metrics'!E:E,'Data - Monthly Metrics'!A:A,$B$4,'Data - Monthly Metrics'!B:B,"Jun",'Data - Monthly Metrics'!C:C,"NorthCentral",'Data - Monthly Metrics'!D:D,"Retention - Comped ($)")</f>
        <v/>
      </c>
      <c r="M24" s="111">
        <f>SUM(J24,K24,L24)</f>
        <v/>
      </c>
      <c r="N24" s="112">
        <f>SUMIFS('Data - Monthly Metrics'!E:E,'Data - Monthly Metrics'!A:A,$B$4,'Data - Monthly Metrics'!B:B,"Jul",'Data - Monthly Metrics'!C:C,"NorthCentral",'Data - Monthly Metrics'!D:D,"Retention - Comped ($)")</f>
        <v/>
      </c>
      <c r="O24" s="112">
        <f>SUMIFS('Data - Monthly Metrics'!E:E,'Data - Monthly Metrics'!A:A,$B$4,'Data - Monthly Metrics'!B:B,"Aug",'Data - Monthly Metrics'!C:C,"NorthCentral",'Data - Monthly Metrics'!D:D,"Retention - Comped ($)")</f>
        <v/>
      </c>
      <c r="P24" s="112">
        <f>SUMIFS('Data - Monthly Metrics'!E:E,'Data - Monthly Metrics'!A:A,$B$4,'Data - Monthly Metrics'!B:B,"Sep",'Data - Monthly Metrics'!C:C,"NorthCentral",'Data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Metrics'!C:C,"NorthCentral",'Data - Monthly Metrics'!D:D,"Retention - Comped (#)")</f>
        <v/>
      </c>
      <c r="C25" s="113">
        <f>SUMIFS('Data - Monthly Metrics'!E:E,'Data - Monthly Metrics'!A:A,$B$4-1,'Data - Monthly Metrics'!B:B,"Nov",'Data - Monthly Metrics'!C:C,"NorthCentral",'Data - Monthly Metrics'!D:D,"Retention - Comped (#)")</f>
        <v/>
      </c>
      <c r="D25" s="113">
        <f>SUMIFS('Data - Monthly Metrics'!E:E,'Data - Monthly Metrics'!A:A,$B$4-1,'Data - Monthly Metrics'!B:B,"Dec",'Data - Monthly Metrics'!C:C,"NorthCentral",'Data - Monthly Metrics'!D:D,"Retention - Comped (#)")</f>
        <v/>
      </c>
      <c r="E25" s="114">
        <f>SUM(B25,C25,D25)</f>
        <v/>
      </c>
      <c r="F25" s="113">
        <f>SUMIFS('Data - Monthly Metrics'!E:E,'Data - Monthly Metrics'!A:A,$B$4,'Data - Monthly Metrics'!B:B,"Jan",'Data - Monthly Metrics'!C:C,"NorthCentral",'Data - Monthly Metrics'!D:D,"Retention - Comped (#)")</f>
        <v/>
      </c>
      <c r="G25" s="113">
        <f>SUMIFS('Data - Monthly Metrics'!E:E,'Data - Monthly Metrics'!A:A,$B$4,'Data - Monthly Metrics'!B:B,"Feb",'Data - Monthly Metrics'!C:C,"NorthCentral",'Data - Monthly Metrics'!D:D,"Retention - Comped (#)")</f>
        <v/>
      </c>
      <c r="H25" s="113">
        <f>SUMIFS('Data - Monthly Metrics'!E:E,'Data - Monthly Metrics'!A:A,$B$4,'Data - Monthly Metrics'!B:B,"Mar",'Data - Monthly Metrics'!C:C,"NorthCentral",'Data - Monthly Metrics'!D:D,"Retention - Comped (#)")</f>
        <v/>
      </c>
      <c r="I25" s="114">
        <f>SUM(F25,G25,H25)</f>
        <v/>
      </c>
      <c r="J25" s="113">
        <f>SUMIFS('Data - Monthly Metrics'!E:E,'Data - Monthly Metrics'!A:A,$B$4,'Data - Monthly Metrics'!B:B,"Apr",'Data - Monthly Metrics'!C:C,"NorthCentral",'Data - Monthly Metrics'!D:D,"Retention - Comped (#)")</f>
        <v/>
      </c>
      <c r="K25" s="113">
        <f>SUMIFS('Data - Monthly Metrics'!E:E,'Data - Monthly Metrics'!A:A,$B$4,'Data - Monthly Metrics'!B:B,"May",'Data - Monthly Metrics'!C:C,"NorthCentral",'Data - Monthly Metrics'!D:D,"Retention - Comped (#)")</f>
        <v/>
      </c>
      <c r="L25" s="113">
        <f>SUMIFS('Data - Monthly Metrics'!E:E,'Data - Monthly Metrics'!A:A,$B$4,'Data - Monthly Metrics'!B:B,"Jun",'Data - Monthly Metrics'!C:C,"NorthCentral",'Data - Monthly Metrics'!D:D,"Retention - Comped (#)")</f>
        <v/>
      </c>
      <c r="M25" s="114">
        <f>SUM(J25,K25,L25)</f>
        <v/>
      </c>
      <c r="N25" s="113">
        <f>SUMIFS('Data - Monthly Metrics'!E:E,'Data - Monthly Metrics'!A:A,$B$4,'Data - Monthly Metrics'!B:B,"Jul",'Data - Monthly Metrics'!C:C,"NorthCentral",'Data - Monthly Metrics'!D:D,"Retention - Comped (#)")</f>
        <v/>
      </c>
      <c r="O25" s="113">
        <f>SUMIFS('Data - Monthly Metrics'!E:E,'Data - Monthly Metrics'!A:A,$B$4,'Data - Monthly Metrics'!B:B,"Aug",'Data - Monthly Metrics'!C:C,"NorthCentral",'Data - Monthly Metrics'!D:D,"Retention - Comped (#)")</f>
        <v/>
      </c>
      <c r="P25" s="113">
        <f>SUMIFS('Data - Monthly Metrics'!E:E,'Data - Monthly Metrics'!A:A,$B$4,'Data - Monthly Metrics'!B:B,"Sep",'Data - Monthly Metrics'!C:C,"NorthCentral",'Data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Metrics'!C:C,"NorthCentral",'Data - Monthly Metrics'!D:D,"Retention - BOB ($)")</f>
        <v/>
      </c>
      <c r="C26" s="112">
        <f>SUMIFS('Data - Monthly Metrics'!E:E,'Data - Monthly Metrics'!A:A,$B$4-1,'Data - Monthly Metrics'!B:B,"Nov",'Data - Monthly Metrics'!C:C,"NorthCentral",'Data - Monthly Metrics'!D:D,"Retention - BOB ($)")</f>
        <v/>
      </c>
      <c r="D26" s="112">
        <f>SUMIFS('Data - Monthly Metrics'!E:E,'Data - Monthly Metrics'!A:A,$B$4-1,'Data - Monthly Metrics'!B:B,"Dec",'Data - Monthly Metrics'!C:C,"NorthCentral",'Data - Monthly Metrics'!D:D,"Retention - BOB ($)")</f>
        <v/>
      </c>
      <c r="E26" s="111">
        <f>SUM(B26,C26,D26)</f>
        <v/>
      </c>
      <c r="F26" s="112">
        <f>SUMIFS('Data - Monthly Metrics'!E:E,'Data - Monthly Metrics'!A:A,$B$4,'Data - Monthly Metrics'!B:B,"Jan",'Data - Monthly Metrics'!C:C,"NorthCentral",'Data - Monthly Metrics'!D:D,"Retention - BOB ($)")</f>
        <v/>
      </c>
      <c r="G26" s="112">
        <f>SUMIFS('Data - Monthly Metrics'!E:E,'Data - Monthly Metrics'!A:A,$B$4,'Data - Monthly Metrics'!B:B,"Feb",'Data - Monthly Metrics'!C:C,"NorthCentral",'Data - Monthly Metrics'!D:D,"Retention - BOB ($)")</f>
        <v/>
      </c>
      <c r="H26" s="112">
        <f>SUMIFS('Data - Monthly Metrics'!E:E,'Data - Monthly Metrics'!A:A,$B$4,'Data - Monthly Metrics'!B:B,"Mar",'Data - Monthly Metrics'!C:C,"NorthCentral",'Data - Monthly Metrics'!D:D,"Retention - BOB ($)")</f>
        <v/>
      </c>
      <c r="I26" s="111">
        <f>SUM(F26,G26,H26)</f>
        <v/>
      </c>
      <c r="J26" s="112">
        <f>SUMIFS('Data - Monthly Metrics'!E:E,'Data - Monthly Metrics'!A:A,$B$4,'Data - Monthly Metrics'!B:B,"Apr",'Data - Monthly Metrics'!C:C,"NorthCentral",'Data - Monthly Metrics'!D:D,"Retention - BOB ($)")</f>
        <v/>
      </c>
      <c r="K26" s="112">
        <f>SUMIFS('Data - Monthly Metrics'!E:E,'Data - Monthly Metrics'!A:A,$B$4,'Data - Monthly Metrics'!B:B,"May",'Data - Monthly Metrics'!C:C,"NorthCentral",'Data - Monthly Metrics'!D:D,"Retention - BOB ($)")</f>
        <v/>
      </c>
      <c r="L26" s="112">
        <f>SUMIFS('Data - Monthly Metrics'!E:E,'Data - Monthly Metrics'!A:A,$B$4,'Data - Monthly Metrics'!B:B,"Jun",'Data - Monthly Metrics'!C:C,"NorthCentral",'Data - Monthly Metrics'!D:D,"Retention - BOB ($)")</f>
        <v/>
      </c>
      <c r="M26" s="111">
        <f>SUM(J26,K26,L26)</f>
        <v/>
      </c>
      <c r="N26" s="112">
        <f>SUMIFS('Data - Monthly Metrics'!E:E,'Data - Monthly Metrics'!A:A,$B$4,'Data - Monthly Metrics'!B:B,"Jul",'Data - Monthly Metrics'!C:C,"NorthCentral",'Data - Monthly Metrics'!D:D,"Retention - BOB ($)")</f>
        <v/>
      </c>
      <c r="O26" s="112">
        <f>SUMIFS('Data - Monthly Metrics'!E:E,'Data - Monthly Metrics'!A:A,$B$4,'Data - Monthly Metrics'!B:B,"Aug",'Data - Monthly Metrics'!C:C,"NorthCentral",'Data - Monthly Metrics'!D:D,"Retention - BOB ($)")</f>
        <v/>
      </c>
      <c r="P26" s="112">
        <f>SUMIFS('Data - Monthly Metrics'!E:E,'Data - Monthly Metrics'!A:A,$B$4,'Data - Monthly Metrics'!B:B,"Sep",'Data - Monthly Metrics'!C:C,"NorthCentral",'Data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Metrics'!C:C,"NorthCentral",'Data - Monthly Metrics'!D:D,"Retention - BOB (#)")</f>
        <v/>
      </c>
      <c r="C27" s="113">
        <f>SUMIFS('Data - Monthly Metrics'!E:E,'Data - Monthly Metrics'!A:A,$B$4-1,'Data - Monthly Metrics'!B:B,"Nov",'Data - Monthly Metrics'!C:C,"NorthCentral",'Data - Monthly Metrics'!D:D,"Retention - BOB (#)")</f>
        <v/>
      </c>
      <c r="D27" s="113">
        <f>SUMIFS('Data - Monthly Metrics'!E:E,'Data - Monthly Metrics'!A:A,$B$4-1,'Data - Monthly Metrics'!B:B,"Dec",'Data - Monthly Metrics'!C:C,"NorthCentral",'Data - Monthly Metrics'!D:D,"Retention - BOB (#)")</f>
        <v/>
      </c>
      <c r="E27" s="114">
        <f>SUM(B27,C27,D27)</f>
        <v/>
      </c>
      <c r="F27" s="113">
        <f>SUMIFS('Data - Monthly Metrics'!E:E,'Data - Monthly Metrics'!A:A,$B$4,'Data - Monthly Metrics'!B:B,"Jan",'Data - Monthly Metrics'!C:C,"NorthCentral",'Data - Monthly Metrics'!D:D,"Retention - BOB (#)")</f>
        <v/>
      </c>
      <c r="G27" s="113">
        <f>SUMIFS('Data - Monthly Metrics'!E:E,'Data - Monthly Metrics'!A:A,$B$4,'Data - Monthly Metrics'!B:B,"Feb",'Data - Monthly Metrics'!C:C,"NorthCentral",'Data - Monthly Metrics'!D:D,"Retention - BOB (#)")</f>
        <v/>
      </c>
      <c r="H27" s="113">
        <f>SUMIFS('Data - Monthly Metrics'!E:E,'Data - Monthly Metrics'!A:A,$B$4,'Data - Monthly Metrics'!B:B,"Mar",'Data - Monthly Metrics'!C:C,"NorthCentral",'Data - Monthly Metrics'!D:D,"Retention - BOB (#)")</f>
        <v/>
      </c>
      <c r="I27" s="114">
        <f>SUM(F27,G27,H27)</f>
        <v/>
      </c>
      <c r="J27" s="113">
        <f>SUMIFS('Data - Monthly Metrics'!E:E,'Data - Monthly Metrics'!A:A,$B$4,'Data - Monthly Metrics'!B:B,"Apr",'Data - Monthly Metrics'!C:C,"NorthCentral",'Data - Monthly Metrics'!D:D,"Retention - BOB (#)")</f>
        <v/>
      </c>
      <c r="K27" s="113">
        <f>SUMIFS('Data - Monthly Metrics'!E:E,'Data - Monthly Metrics'!A:A,$B$4,'Data - Monthly Metrics'!B:B,"May",'Data - Monthly Metrics'!C:C,"NorthCentral",'Data - Monthly Metrics'!D:D,"Retention - BOB (#)")</f>
        <v/>
      </c>
      <c r="L27" s="113">
        <f>SUMIFS('Data - Monthly Metrics'!E:E,'Data - Monthly Metrics'!A:A,$B$4,'Data - Monthly Metrics'!B:B,"Jun",'Data - Monthly Metrics'!C:C,"NorthCentral",'Data - Monthly Metrics'!D:D,"Retention - BOB (#)")</f>
        <v/>
      </c>
      <c r="M27" s="114">
        <f>SUM(J27,K27,L27)</f>
        <v/>
      </c>
      <c r="N27" s="113">
        <f>SUMIFS('Data - Monthly Metrics'!E:E,'Data - Monthly Metrics'!A:A,$B$4,'Data - Monthly Metrics'!B:B,"Jul",'Data - Monthly Metrics'!C:C,"NorthCentral",'Data - Monthly Metrics'!D:D,"Retention - BOB (#)")</f>
        <v/>
      </c>
      <c r="O27" s="113">
        <f>SUMIFS('Data - Monthly Metrics'!E:E,'Data - Monthly Metrics'!A:A,$B$4,'Data - Monthly Metrics'!B:B,"Aug",'Data - Monthly Metrics'!C:C,"NorthCentral",'Data - Monthly Metrics'!D:D,"Retention - BOB (#)")</f>
        <v/>
      </c>
      <c r="P27" s="113">
        <f>SUMIFS('Data - Monthly Metrics'!E:E,'Data - Monthly Metrics'!A:A,$B$4,'Data - Monthly Metrics'!B:B,"Sep",'Data - Monthly Metrics'!C:C,"NorthCentral",'Data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Metrics'!C:C,"NorthCentral",'Data - Monthly Metrics'!D:D,"Revenue Up for Renewal - Target ($)")+SUMIFS('Data - Monthly Metrics'!E:E,'Data - Monthly Metrics'!A:A,$B$4-1,'Data - Monthly Metrics'!B:B,"Oct",'Data - Monthly Metrics'!C:C,"NorthCentral",'Data - Monthly Metrics'!D:D,"Revenue Up for Renewal - Non-Target ($)"))=0,"-",(SUMIFS('Data - Monthly Metrics'!E:E,'Data - Monthly Metrics'!A:A,$B$4-1,'Data - Monthly Metrics'!B:B,"Oct",'Data - Monthly Metrics'!C:C,"NorthCentral",'Data - Monthly Metrics'!D:D,"Revenue Retained - Target ($)")+SUMIFS('Data - Monthly Metrics'!E:E,'Data - Monthly Metrics'!A:A,$B$4-1,'Data - Monthly Metrics'!B:B,"Oct",'Data - Monthly Metrics'!C:C,"NorthCentral",'Data - Monthly Metrics'!D:D,"Revenue Retained - Non-Target ($)"))/(SUMIFS('Data - Monthly Metrics'!E:E,'Data - Monthly Metrics'!A:A,$B$4-1,'Data - Monthly Metrics'!B:B,"Oct",'Data - Monthly Metrics'!C:C,"NorthCentral",'Data - Monthly Metrics'!D:D,"Revenue Up for Renewal - Target ($)")+SUMIFS('Data - Monthly Metrics'!E:E,'Data - Monthly Metrics'!A:A,$B$4-1,'Data - Monthly Metrics'!B:B,"Oct",'Data - Monthly Metrics'!C:C,"NorthCentral",'Data - Monthly Metrics'!D:D,"Revenue Up for Renewal - Non-Target ($)")))</f>
        <v/>
      </c>
      <c r="C28" s="115">
        <f>IF((SUMIFS('Data - Monthly Metrics'!E:E,'Data - Monthly Metrics'!A:A,$B$4-1,'Data - Monthly Metrics'!B:B,"Nov",'Data - Monthly Metrics'!C:C,"NorthCentral",'Data - Monthly Metrics'!D:D,"Revenue Up for Renewal - Target ($)")+SUMIFS('Data - Monthly Metrics'!E:E,'Data - Monthly Metrics'!A:A,$B$4-1,'Data - Monthly Metrics'!B:B,"Nov",'Data - Monthly Metrics'!C:C,"NorthCentral",'Data - Monthly Metrics'!D:D,"Revenue Up for Renewal - Non-Target ($)"))=0,"-",(SUMIFS('Data - Monthly Metrics'!E:E,'Data - Monthly Metrics'!A:A,$B$4-1,'Data - Monthly Metrics'!B:B,"Nov",'Data - Monthly Metrics'!C:C,"NorthCentral",'Data - Monthly Metrics'!D:D,"Revenue Retained - Target ($)")+SUMIFS('Data - Monthly Metrics'!E:E,'Data - Monthly Metrics'!A:A,$B$4-1,'Data - Monthly Metrics'!B:B,"Nov",'Data - Monthly Metrics'!C:C,"NorthCentral",'Data - Monthly Metrics'!D:D,"Revenue Retained - Non-Target ($)"))/(SUMIFS('Data - Monthly Metrics'!E:E,'Data - Monthly Metrics'!A:A,$B$4-1,'Data - Monthly Metrics'!B:B,"Nov",'Data - Monthly Metrics'!C:C,"NorthCentral",'Data - Monthly Metrics'!D:D,"Revenue Up for Renewal - Target ($)")+SUMIFS('Data - Monthly Metrics'!E:E,'Data - Monthly Metrics'!A:A,$B$4-1,'Data - Monthly Metrics'!B:B,"Nov",'Data - Monthly Metrics'!C:C,"NorthCentral",'Data - Monthly Metrics'!D:D,"Revenue Up for Renewal - Non-Target ($)")))</f>
        <v/>
      </c>
      <c r="D28" s="115">
        <f>IF((SUMIFS('Data - Monthly Metrics'!E:E,'Data - Monthly Metrics'!A:A,$B$4-1,'Data - Monthly Metrics'!B:B,"Dec",'Data - Monthly Metrics'!C:C,"NorthCentral",'Data - Monthly Metrics'!D:D,"Revenue Up for Renewal - Target ($)")+SUMIFS('Data - Monthly Metrics'!E:E,'Data - Monthly Metrics'!A:A,$B$4-1,'Data - Monthly Metrics'!B:B,"Dec",'Data - Monthly Metrics'!C:C,"NorthCentral",'Data - Monthly Metrics'!D:D,"Revenue Up for Renewal - Non-Target ($)"))=0,"-",(SUMIFS('Data - Monthly Metrics'!E:E,'Data - Monthly Metrics'!A:A,$B$4-1,'Data - Monthly Metrics'!B:B,"Dec",'Data - Monthly Metrics'!C:C,"NorthCentral",'Data - Monthly Metrics'!D:D,"Revenue Retained - Target ($)")+SUMIFS('Data - Monthly Metrics'!E:E,'Data - Monthly Metrics'!A:A,$B$4-1,'Data - Monthly Metrics'!B:B,"Dec",'Data - Monthly Metrics'!C:C,"NorthCentral",'Data - Monthly Metrics'!D:D,"Revenue Retained - Non-Target ($)"))/(SUMIFS('Data - Monthly Metrics'!E:E,'Data - Monthly Metrics'!A:A,$B$4-1,'Data - Monthly Metrics'!B:B,"Dec",'Data - Monthly Metrics'!C:C,"NorthCentral",'Data - Monthly Metrics'!D:D,"Revenue Up for Renewal - Target ($)")+SUMIFS('Data - Monthly Metrics'!E:E,'Data - Monthly Metrics'!A:A,$B$4-1,'Data - Monthly Metrics'!B:B,"Dec",'Data - Monthly Metrics'!C:C,"NorthCentral",'Data - Monthly Metrics'!D:D,"Revenue Up for Renewal - Non-Target ($)")))</f>
        <v/>
      </c>
      <c r="E28" s="116">
        <f>IF(E22=0,0,E23/E22)</f>
        <v/>
      </c>
      <c r="F28" s="115">
        <f>IF((SUMIFS('Data - Monthly Metrics'!E:E,'Data - Monthly Metrics'!A:A,$B$4,'Data - Monthly Metrics'!B:B,"Jan",'Data - Monthly Metrics'!C:C,"NorthCentral",'Data - Monthly Metrics'!D:D,"Revenue Up for Renewal - Target ($)")+SUMIFS('Data - Monthly Metrics'!E:E,'Data - Monthly Metrics'!A:A,$B$4,'Data - Monthly Metrics'!B:B,"Jan",'Data - Monthly Metrics'!C:C,"NorthCentral",'Data - Monthly Metrics'!D:D,"Revenue Up for Renewal - Non-Target ($)"))=0,"-",(SUMIFS('Data - Monthly Metrics'!E:E,'Data - Monthly Metrics'!A:A,$B$4,'Data - Monthly Metrics'!B:B,"Jan",'Data - Monthly Metrics'!C:C,"NorthCentral",'Data - Monthly Metrics'!D:D,"Revenue Retained - Target ($)")+SUMIFS('Data - Monthly Metrics'!E:E,'Data - Monthly Metrics'!A:A,$B$4,'Data - Monthly Metrics'!B:B,"Jan",'Data - Monthly Metrics'!C:C,"NorthCentral",'Data - Monthly Metrics'!D:D,"Revenue Retained - Non-Target ($)"))/(SUMIFS('Data - Monthly Metrics'!E:E,'Data - Monthly Metrics'!A:A,$B$4,'Data - Monthly Metrics'!B:B,"Jan",'Data - Monthly Metrics'!C:C,"NorthCentral",'Data - Monthly Metrics'!D:D,"Revenue Up for Renewal - Target ($)")+SUMIFS('Data - Monthly Metrics'!E:E,'Data - Monthly Metrics'!A:A,$B$4,'Data - Monthly Metrics'!B:B,"Jan",'Data - Monthly Metrics'!C:C,"NorthCentral",'Data - Monthly Metrics'!D:D,"Revenue Up for Renewal - Non-Target ($)")))</f>
        <v/>
      </c>
      <c r="G28" s="115">
        <f>IF((SUMIFS('Data - Monthly Metrics'!E:E,'Data - Monthly Metrics'!A:A,$B$4,'Data - Monthly Metrics'!B:B,"Feb",'Data - Monthly Metrics'!C:C,"NorthCentral",'Data - Monthly Metrics'!D:D,"Revenue Up for Renewal - Target ($)")+SUMIFS('Data - Monthly Metrics'!E:E,'Data - Monthly Metrics'!A:A,$B$4,'Data - Monthly Metrics'!B:B,"Feb",'Data - Monthly Metrics'!C:C,"NorthCentral",'Data - Monthly Metrics'!D:D,"Revenue Up for Renewal - Non-Target ($)"))=0,"-",(SUMIFS('Data - Monthly Metrics'!E:E,'Data - Monthly Metrics'!A:A,$B$4,'Data - Monthly Metrics'!B:B,"Feb",'Data - Monthly Metrics'!C:C,"NorthCentral",'Data - Monthly Metrics'!D:D,"Revenue Retained - Target ($)")+SUMIFS('Data - Monthly Metrics'!E:E,'Data - Monthly Metrics'!A:A,$B$4,'Data - Monthly Metrics'!B:B,"Feb",'Data - Monthly Metrics'!C:C,"NorthCentral",'Data - Monthly Metrics'!D:D,"Revenue Retained - Non-Target ($)"))/(SUMIFS('Data - Monthly Metrics'!E:E,'Data - Monthly Metrics'!A:A,$B$4,'Data - Monthly Metrics'!B:B,"Feb",'Data - Monthly Metrics'!C:C,"NorthCentral",'Data - Monthly Metrics'!D:D,"Revenue Up for Renewal - Target ($)")+SUMIFS('Data - Monthly Metrics'!E:E,'Data - Monthly Metrics'!A:A,$B$4,'Data - Monthly Metrics'!B:B,"Feb",'Data - Monthly Metrics'!C:C,"NorthCentral",'Data - Monthly Metrics'!D:D,"Revenue Up for Renewal - Non-Target ($)")))</f>
        <v/>
      </c>
      <c r="H28" s="115">
        <f>IF((SUMIFS('Data - Monthly Metrics'!E:E,'Data - Monthly Metrics'!A:A,$B$4,'Data - Monthly Metrics'!B:B,"Mar",'Data - Monthly Metrics'!C:C,"NorthCentral",'Data - Monthly Metrics'!D:D,"Revenue Up for Renewal - Target ($)")+SUMIFS('Data - Monthly Metrics'!E:E,'Data - Monthly Metrics'!A:A,$B$4,'Data - Monthly Metrics'!B:B,"Mar",'Data - Monthly Metrics'!C:C,"NorthCentral",'Data - Monthly Metrics'!D:D,"Revenue Up for Renewal - Non-Target ($)"))=0,"-",(SUMIFS('Data - Monthly Metrics'!E:E,'Data - Monthly Metrics'!A:A,$B$4,'Data - Monthly Metrics'!B:B,"Mar",'Data - Monthly Metrics'!C:C,"NorthCentral",'Data - Monthly Metrics'!D:D,"Revenue Retained - Target ($)")+SUMIFS('Data - Monthly Metrics'!E:E,'Data - Monthly Metrics'!A:A,$B$4,'Data - Monthly Metrics'!B:B,"Mar",'Data - Monthly Metrics'!C:C,"NorthCentral",'Data - Monthly Metrics'!D:D,"Revenue Retained - Non-Target ($)"))/(SUMIFS('Data - Monthly Metrics'!E:E,'Data - Monthly Metrics'!A:A,$B$4,'Data - Monthly Metrics'!B:B,"Mar",'Data - Monthly Metrics'!C:C,"NorthCentral",'Data - Monthly Metrics'!D:D,"Revenue Up for Renewal - Target ($)")+SUMIFS('Data - Monthly Metrics'!E:E,'Data - Monthly Metrics'!A:A,$B$4,'Data - Monthly Metrics'!B:B,"Mar",'Data - Monthly Metrics'!C:C,"NorthCentral",'Data - Monthly Metrics'!D:D,"Revenue Up for Renewal - Non-Target ($)")))</f>
        <v/>
      </c>
      <c r="I28" s="116">
        <f>IF(I22=0,0,I23/I22)</f>
        <v/>
      </c>
      <c r="J28" s="115">
        <f>IF((SUMIFS('Data - Monthly Metrics'!E:E,'Data - Monthly Metrics'!A:A,$B$4,'Data - Monthly Metrics'!B:B,"Apr",'Data - Monthly Metrics'!C:C,"NorthCentral",'Data - Monthly Metrics'!D:D,"Revenue Up for Renewal - Target ($)")+SUMIFS('Data - Monthly Metrics'!E:E,'Data - Monthly Metrics'!A:A,$B$4,'Data - Monthly Metrics'!B:B,"Apr",'Data - Monthly Metrics'!C:C,"NorthCentral",'Data - Monthly Metrics'!D:D,"Revenue Up for Renewal - Non-Target ($)"))=0,"-",(SUMIFS('Data - Monthly Metrics'!E:E,'Data - Monthly Metrics'!A:A,$B$4,'Data - Monthly Metrics'!B:B,"Apr",'Data - Monthly Metrics'!C:C,"NorthCentral",'Data - Monthly Metrics'!D:D,"Revenue Retained - Target ($)")+SUMIFS('Data - Monthly Metrics'!E:E,'Data - Monthly Metrics'!A:A,$B$4,'Data - Monthly Metrics'!B:B,"Apr",'Data - Monthly Metrics'!C:C,"NorthCentral",'Data - Monthly Metrics'!D:D,"Revenue Retained - Non-Target ($)"))/(SUMIFS('Data - Monthly Metrics'!E:E,'Data - Monthly Metrics'!A:A,$B$4,'Data - Monthly Metrics'!B:B,"Apr",'Data - Monthly Metrics'!C:C,"NorthCentral",'Data - Monthly Metrics'!D:D,"Revenue Up for Renewal - Target ($)")+SUMIFS('Data - Monthly Metrics'!E:E,'Data - Monthly Metrics'!A:A,$B$4,'Data - Monthly Metrics'!B:B,"Apr",'Data - Monthly Metrics'!C:C,"NorthCentral",'Data - Monthly Metrics'!D:D,"Revenue Up for Renewal - Non-Target ($)")))</f>
        <v/>
      </c>
      <c r="K28" s="115">
        <f>IF((SUMIFS('Data - Monthly Metrics'!E:E,'Data - Monthly Metrics'!A:A,$B$4,'Data - Monthly Metrics'!B:B,"May",'Data - Monthly Metrics'!C:C,"NorthCentral",'Data - Monthly Metrics'!D:D,"Revenue Up for Renewal - Target ($)")+SUMIFS('Data - Monthly Metrics'!E:E,'Data - Monthly Metrics'!A:A,$B$4,'Data - Monthly Metrics'!B:B,"May",'Data - Monthly Metrics'!C:C,"NorthCentral",'Data - Monthly Metrics'!D:D,"Revenue Up for Renewal - Non-Target ($)"))=0,"-",(SUMIFS('Data - Monthly Metrics'!E:E,'Data - Monthly Metrics'!A:A,$B$4,'Data - Monthly Metrics'!B:B,"May",'Data - Monthly Metrics'!C:C,"NorthCentral",'Data - Monthly Metrics'!D:D,"Revenue Retained - Target ($)")+SUMIFS('Data - Monthly Metrics'!E:E,'Data - Monthly Metrics'!A:A,$B$4,'Data - Monthly Metrics'!B:B,"May",'Data - Monthly Metrics'!C:C,"NorthCentral",'Data - Monthly Metrics'!D:D,"Revenue Retained - Non-Target ($)"))/(SUMIFS('Data - Monthly Metrics'!E:E,'Data - Monthly Metrics'!A:A,$B$4,'Data - Monthly Metrics'!B:B,"May",'Data - Monthly Metrics'!C:C,"NorthCentral",'Data - Monthly Metrics'!D:D,"Revenue Up for Renewal - Target ($)")+SUMIFS('Data - Monthly Metrics'!E:E,'Data - Monthly Metrics'!A:A,$B$4,'Data - Monthly Metrics'!B:B,"May",'Data - Monthly Metrics'!C:C,"NorthCentral",'Data - Monthly Metrics'!D:D,"Revenue Up for Renewal - Non-Target ($)")))</f>
        <v/>
      </c>
      <c r="L28" s="115">
        <f>IF((SUMIFS('Data - Monthly Metrics'!E:E,'Data - Monthly Metrics'!A:A,$B$4,'Data - Monthly Metrics'!B:B,"Jun",'Data - Monthly Metrics'!C:C,"NorthCentral",'Data - Monthly Metrics'!D:D,"Revenue Up for Renewal - Target ($)")+SUMIFS('Data - Monthly Metrics'!E:E,'Data - Monthly Metrics'!A:A,$B$4,'Data - Monthly Metrics'!B:B,"Jun",'Data - Monthly Metrics'!C:C,"NorthCentral",'Data - Monthly Metrics'!D:D,"Revenue Up for Renewal - Non-Target ($)"))=0,"-",(SUMIFS('Data - Monthly Metrics'!E:E,'Data - Monthly Metrics'!A:A,$B$4,'Data - Monthly Metrics'!B:B,"Jun",'Data - Monthly Metrics'!C:C,"NorthCentral",'Data - Monthly Metrics'!D:D,"Revenue Retained - Target ($)")+SUMIFS('Data - Monthly Metrics'!E:E,'Data - Monthly Metrics'!A:A,$B$4,'Data - Monthly Metrics'!B:B,"Jun",'Data - Monthly Metrics'!C:C,"NorthCentral",'Data - Monthly Metrics'!D:D,"Revenue Retained - Non-Target ($)"))/(SUMIFS('Data - Monthly Metrics'!E:E,'Data - Monthly Metrics'!A:A,$B$4,'Data - Monthly Metrics'!B:B,"Jun",'Data - Monthly Metrics'!C:C,"NorthCentral",'Data - Monthly Metrics'!D:D,"Revenue Up for Renewal - Target ($)")+SUMIFS('Data - Monthly Metrics'!E:E,'Data - Monthly Metrics'!A:A,$B$4,'Data - Monthly Metrics'!B:B,"Jun",'Data - Monthly Metrics'!C:C,"NorthCentral",'Data - Monthly Metrics'!D:D,"Revenue Up for Renewal - Non-Target ($)")))</f>
        <v/>
      </c>
      <c r="M28" s="116">
        <f>IF(M22=0,0,M23/M22)</f>
        <v/>
      </c>
      <c r="N28" s="115">
        <f>IF((SUMIFS('Data - Monthly Metrics'!E:E,'Data - Monthly Metrics'!A:A,$B$4,'Data - Monthly Metrics'!B:B,"Jul",'Data - Monthly Metrics'!C:C,"NorthCentral",'Data - Monthly Metrics'!D:D,"Revenue Up for Renewal - Target ($)")+SUMIFS('Data - Monthly Metrics'!E:E,'Data - Monthly Metrics'!A:A,$B$4,'Data - Monthly Metrics'!B:B,"Jul",'Data - Monthly Metrics'!C:C,"NorthCentral",'Data - Monthly Metrics'!D:D,"Revenue Up for Renewal - Non-Target ($)"))=0,"-",(SUMIFS('Data - Monthly Metrics'!E:E,'Data - Monthly Metrics'!A:A,$B$4,'Data - Monthly Metrics'!B:B,"Jul",'Data - Monthly Metrics'!C:C,"NorthCentral",'Data - Monthly Metrics'!D:D,"Revenue Retained - Target ($)")+SUMIFS('Data - Monthly Metrics'!E:E,'Data - Monthly Metrics'!A:A,$B$4,'Data - Monthly Metrics'!B:B,"Jul",'Data - Monthly Metrics'!C:C,"NorthCentral",'Data - Monthly Metrics'!D:D,"Revenue Retained - Non-Target ($)"))/(SUMIFS('Data - Monthly Metrics'!E:E,'Data - Monthly Metrics'!A:A,$B$4,'Data - Monthly Metrics'!B:B,"Jul",'Data - Monthly Metrics'!C:C,"NorthCentral",'Data - Monthly Metrics'!D:D,"Revenue Up for Renewal - Target ($)")+SUMIFS('Data - Monthly Metrics'!E:E,'Data - Monthly Metrics'!A:A,$B$4,'Data - Monthly Metrics'!B:B,"Jul",'Data - Monthly Metrics'!C:C,"NorthCentral",'Data - Monthly Metrics'!D:D,"Revenue Up for Renewal - Non-Target ($)")))</f>
        <v/>
      </c>
      <c r="O28" s="115">
        <f>IF((SUMIFS('Data - Monthly Metrics'!E:E,'Data - Monthly Metrics'!A:A,$B$4,'Data - Monthly Metrics'!B:B,"Aug",'Data - Monthly Metrics'!C:C,"NorthCentral",'Data - Monthly Metrics'!D:D,"Revenue Up for Renewal - Target ($)")+SUMIFS('Data - Monthly Metrics'!E:E,'Data - Monthly Metrics'!A:A,$B$4,'Data - Monthly Metrics'!B:B,"Aug",'Data - Monthly Metrics'!C:C,"NorthCentral",'Data - Monthly Metrics'!D:D,"Revenue Up for Renewal - Non-Target ($)"))=0,"-",(SUMIFS('Data - Monthly Metrics'!E:E,'Data - Monthly Metrics'!A:A,$B$4,'Data - Monthly Metrics'!B:B,"Aug",'Data - Monthly Metrics'!C:C,"NorthCentral",'Data - Monthly Metrics'!D:D,"Revenue Retained - Target ($)")+SUMIFS('Data - Monthly Metrics'!E:E,'Data - Monthly Metrics'!A:A,$B$4,'Data - Monthly Metrics'!B:B,"Aug",'Data - Monthly Metrics'!C:C,"NorthCentral",'Data - Monthly Metrics'!D:D,"Revenue Retained - Non-Target ($)"))/(SUMIFS('Data - Monthly Metrics'!E:E,'Data - Monthly Metrics'!A:A,$B$4,'Data - Monthly Metrics'!B:B,"Aug",'Data - Monthly Metrics'!C:C,"NorthCentral",'Data - Monthly Metrics'!D:D,"Revenue Up for Renewal - Target ($)")+SUMIFS('Data - Monthly Metrics'!E:E,'Data - Monthly Metrics'!A:A,$B$4,'Data - Monthly Metrics'!B:B,"Aug",'Data - Monthly Metrics'!C:C,"NorthCentral",'Data - Monthly Metrics'!D:D,"Revenue Up for Renewal - Non-Target ($)")))</f>
        <v/>
      </c>
      <c r="P28" s="115">
        <f>IF((SUMIFS('Data - Monthly Metrics'!E:E,'Data - Monthly Metrics'!A:A,$B$4,'Data - Monthly Metrics'!B:B,"Sep",'Data - Monthly Metrics'!C:C,"NorthCentral",'Data - Monthly Metrics'!D:D,"Revenue Up for Renewal - Target ($)")+SUMIFS('Data - Monthly Metrics'!E:E,'Data - Monthly Metrics'!A:A,$B$4,'Data - Monthly Metrics'!B:B,"Sep",'Data - Monthly Metrics'!C:C,"NorthCentral",'Data - Monthly Metrics'!D:D,"Revenue Up for Renewal - Non-Target ($)"))=0,"-",(SUMIFS('Data - Monthly Metrics'!E:E,'Data - Monthly Metrics'!A:A,$B$4,'Data - Monthly Metrics'!B:B,"Sep",'Data - Monthly Metrics'!C:C,"NorthCentral",'Data - Monthly Metrics'!D:D,"Revenue Retained - Target ($)")+SUMIFS('Data - Monthly Metrics'!E:E,'Data - Monthly Metrics'!A:A,$B$4,'Data - Monthly Metrics'!B:B,"Sep",'Data - Monthly Metrics'!C:C,"NorthCentral",'Data - Monthly Metrics'!D:D,"Revenue Retained - Non-Target ($)"))/(SUMIFS('Data - Monthly Metrics'!E:E,'Data - Monthly Metrics'!A:A,$B$4,'Data - Monthly Metrics'!B:B,"Sep",'Data - Monthly Metrics'!C:C,"NorthCentral",'Data - Monthly Metrics'!D:D,"Revenue Up for Renewal - Target ($)")+SUMIFS('Data - Monthly Metrics'!E:E,'Data - Monthly Metrics'!A:A,$B$4,'Data - Monthly Metrics'!B:B,"Sep",'Data - Monthly Metrics'!C:C,"NorthCentral",'Data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Metrics'!C:C,"NorthCentral",'Data - Monthly Metrics'!D:D,"Total Target Locations - Restaurant (#)")+SUMIFS('Data - Monthly Metrics'!E:E,'Data - Monthly Metrics'!A:A,$B$4-1,'Data - Monthly Metrics'!B:B,"Oct",'Data - Monthly Metrics'!C:C,"NorthCentral",'Data - Monthly Metrics'!D:D,"Non-Target Locations - Restaurant (#)"))=0,"-",(SUMIFS('Data - Monthly Metrics'!E:E,'Data - Monthly Metrics'!A:A,$B$4-1,'Data - Monthly Metrics'!B:B,"Oct",'Data - Monthly Metrics'!C:C,"NorthCentral",'Data - Monthly Metrics'!D:D,"Target Members - Restaurant (#)")+SUMIFS('Data - Monthly Metrics'!E:E,'Data - Monthly Metrics'!A:A,$B$4-1,'Data - Monthly Metrics'!B:B,"Oct",'Data - Monthly Metrics'!C:C,"NorthCentral",'Data - Monthly Metrics'!D:D,"Non-Target Members - Restaurant (#)"))/(SUMIFS('Data - Monthly Metrics'!E:E,'Data - Monthly Metrics'!A:A,$B$4-1,'Data - Monthly Metrics'!B:B,"Oct",'Data - Monthly Metrics'!C:C,"NorthCentral",'Data - Monthly Metrics'!D:D,"Total Target Locations - Restaurant (#)")+SUMIFS('Data - Monthly Metrics'!E:E,'Data - Monthly Metrics'!A:A,$B$4-1,'Data - Monthly Metrics'!B:B,"Oct",'Data - Monthly Metrics'!C:C,"NorthCentral",'Data - Monthly Metrics'!D:D,"Non-Target Locations - Restaurant (#)")))</f>
        <v/>
      </c>
      <c r="C29" s="115">
        <f>IF((SUMIFS('Data - Monthly Metrics'!E:E,'Data - Monthly Metrics'!A:A,$B$4-1,'Data - Monthly Metrics'!B:B,"Nov",'Data - Monthly Metrics'!C:C,"NorthCentral",'Data - Monthly Metrics'!D:D,"Total Target Locations - Restaurant (#)")+SUMIFS('Data - Monthly Metrics'!E:E,'Data - Monthly Metrics'!A:A,$B$4-1,'Data - Monthly Metrics'!B:B,"Nov",'Data - Monthly Metrics'!C:C,"NorthCentral",'Data - Monthly Metrics'!D:D,"Non-Target Locations - Restaurant (#)"))=0,"-",(SUMIFS('Data - Monthly Metrics'!E:E,'Data - Monthly Metrics'!A:A,$B$4-1,'Data - Monthly Metrics'!B:B,"Nov",'Data - Monthly Metrics'!C:C,"NorthCentral",'Data - Monthly Metrics'!D:D,"Target Members - Restaurant (#)")+SUMIFS('Data - Monthly Metrics'!E:E,'Data - Monthly Metrics'!A:A,$B$4-1,'Data - Monthly Metrics'!B:B,"Nov",'Data - Monthly Metrics'!C:C,"NorthCentral",'Data - Monthly Metrics'!D:D,"Non-Target Members - Restaurant (#)"))/(SUMIFS('Data - Monthly Metrics'!E:E,'Data - Monthly Metrics'!A:A,$B$4-1,'Data - Monthly Metrics'!B:B,"Nov",'Data - Monthly Metrics'!C:C,"NorthCentral",'Data - Monthly Metrics'!D:D,"Total Target Locations - Restaurant (#)")+SUMIFS('Data - Monthly Metrics'!E:E,'Data - Monthly Metrics'!A:A,$B$4-1,'Data - Monthly Metrics'!B:B,"Nov",'Data - Monthly Metrics'!C:C,"NorthCentral",'Data - Monthly Metrics'!D:D,"Non-Target Locations - Restaurant (#)")))</f>
        <v/>
      </c>
      <c r="D29" s="115">
        <f>IF((SUMIFS('Data - Monthly Metrics'!E:E,'Data - Monthly Metrics'!A:A,$B$4-1,'Data - Monthly Metrics'!B:B,"Dec",'Data - Monthly Metrics'!C:C,"NorthCentral",'Data - Monthly Metrics'!D:D,"Total Target Locations - Restaurant (#)")+SUMIFS('Data - Monthly Metrics'!E:E,'Data - Monthly Metrics'!A:A,$B$4-1,'Data - Monthly Metrics'!B:B,"Dec",'Data - Monthly Metrics'!C:C,"NorthCentral",'Data - Monthly Metrics'!D:D,"Non-Target Locations - Restaurant (#)"))=0,"-",(SUMIFS('Data - Monthly Metrics'!E:E,'Data - Monthly Metrics'!A:A,$B$4-1,'Data - Monthly Metrics'!B:B,"Dec",'Data - Monthly Metrics'!C:C,"NorthCentral",'Data - Monthly Metrics'!D:D,"Target Members - Restaurant (#)")+SUMIFS('Data - Monthly Metrics'!E:E,'Data - Monthly Metrics'!A:A,$B$4-1,'Data - Monthly Metrics'!B:B,"Dec",'Data - Monthly Metrics'!C:C,"NorthCentral",'Data - Monthly Metrics'!D:D,"Non-Target Members - Restaurant (#)"))/(SUMIFS('Data - Monthly Metrics'!E:E,'Data - Monthly Metrics'!A:A,$B$4-1,'Data - Monthly Metrics'!B:B,"Dec",'Data - Monthly Metrics'!C:C,"NorthCentral",'Data - Monthly Metrics'!D:D,"Total Target Locations - Restaurant (#)")+SUMIFS('Data - Monthly Metrics'!E:E,'Data - Monthly Metrics'!A:A,$B$4-1,'Data - Monthly Metrics'!B:B,"Dec",'Data - Monthly Metrics'!C:C,"NorthCentral",'Data - Monthly Metrics'!D:D,"Non-Target Locations - Restaurant (#)")))</f>
        <v/>
      </c>
      <c r="E29" s="116">
        <f>IF(ISNUMBER(D29),D29,IF(ISNUMBER(C29),C29,IF(ISNUMBER(B29),B29,"-")))</f>
        <v/>
      </c>
      <c r="F29" s="115">
        <f>IF((SUMIFS('Data - Monthly Metrics'!E:E,'Data - Monthly Metrics'!A:A,$B$4,'Data - Monthly Metrics'!B:B,"Jan",'Data - Monthly Metrics'!C:C,"NorthCentral",'Data - Monthly Metrics'!D:D,"Total Target Locations - Restaurant (#)")+SUMIFS('Data - Monthly Metrics'!E:E,'Data - Monthly Metrics'!A:A,$B$4,'Data - Monthly Metrics'!B:B,"Jan",'Data - Monthly Metrics'!C:C,"NorthCentral",'Data - Monthly Metrics'!D:D,"Non-Target Locations - Restaurant (#)"))=0,"-",(SUMIFS('Data - Monthly Metrics'!E:E,'Data - Monthly Metrics'!A:A,$B$4,'Data - Monthly Metrics'!B:B,"Jan",'Data - Monthly Metrics'!C:C,"NorthCentral",'Data - Monthly Metrics'!D:D,"Target Members - Restaurant (#)")+SUMIFS('Data - Monthly Metrics'!E:E,'Data - Monthly Metrics'!A:A,$B$4,'Data - Monthly Metrics'!B:B,"Jan",'Data - Monthly Metrics'!C:C,"NorthCentral",'Data - Monthly Metrics'!D:D,"Non-Target Members - Restaurant (#)"))/(SUMIFS('Data - Monthly Metrics'!E:E,'Data - Monthly Metrics'!A:A,$B$4,'Data - Monthly Metrics'!B:B,"Jan",'Data - Monthly Metrics'!C:C,"NorthCentral",'Data - Monthly Metrics'!D:D,"Total Target Locations - Restaurant (#)")+SUMIFS('Data - Monthly Metrics'!E:E,'Data - Monthly Metrics'!A:A,$B$4,'Data - Monthly Metrics'!B:B,"Jan",'Data - Monthly Metrics'!C:C,"NorthCentral",'Data - Monthly Metrics'!D:D,"Non-Target Locations - Restaurant (#)")))</f>
        <v/>
      </c>
      <c r="G29" s="115">
        <f>IF((SUMIFS('Data - Monthly Metrics'!E:E,'Data - Monthly Metrics'!A:A,$B$4,'Data - Monthly Metrics'!B:B,"Feb",'Data - Monthly Metrics'!C:C,"NorthCentral",'Data - Monthly Metrics'!D:D,"Total Target Locations - Restaurant (#)")+SUMIFS('Data - Monthly Metrics'!E:E,'Data - Monthly Metrics'!A:A,$B$4,'Data - Monthly Metrics'!B:B,"Feb",'Data - Monthly Metrics'!C:C,"NorthCentral",'Data - Monthly Metrics'!D:D,"Non-Target Locations - Restaurant (#)"))=0,"-",(SUMIFS('Data - Monthly Metrics'!E:E,'Data - Monthly Metrics'!A:A,$B$4,'Data - Monthly Metrics'!B:B,"Feb",'Data - Monthly Metrics'!C:C,"NorthCentral",'Data - Monthly Metrics'!D:D,"Target Members - Restaurant (#)")+SUMIFS('Data - Monthly Metrics'!E:E,'Data - Monthly Metrics'!A:A,$B$4,'Data - Monthly Metrics'!B:B,"Feb",'Data - Monthly Metrics'!C:C,"NorthCentral",'Data - Monthly Metrics'!D:D,"Non-Target Members - Restaurant (#)"))/(SUMIFS('Data - Monthly Metrics'!E:E,'Data - Monthly Metrics'!A:A,$B$4,'Data - Monthly Metrics'!B:B,"Feb",'Data - Monthly Metrics'!C:C,"NorthCentral",'Data - Monthly Metrics'!D:D,"Total Target Locations - Restaurant (#)")+SUMIFS('Data - Monthly Metrics'!E:E,'Data - Monthly Metrics'!A:A,$B$4,'Data - Monthly Metrics'!B:B,"Feb",'Data - Monthly Metrics'!C:C,"NorthCentral",'Data - Monthly Metrics'!D:D,"Non-Target Locations - Restaurant (#)")))</f>
        <v/>
      </c>
      <c r="H29" s="115">
        <f>IF((SUMIFS('Data - Monthly Metrics'!E:E,'Data - Monthly Metrics'!A:A,$B$4,'Data - Monthly Metrics'!B:B,"Mar",'Data - Monthly Metrics'!C:C,"NorthCentral",'Data - Monthly Metrics'!D:D,"Total Target Locations - Restaurant (#)")+SUMIFS('Data - Monthly Metrics'!E:E,'Data - Monthly Metrics'!A:A,$B$4,'Data - Monthly Metrics'!B:B,"Mar",'Data - Monthly Metrics'!C:C,"NorthCentral",'Data - Monthly Metrics'!D:D,"Non-Target Locations - Restaurant (#)"))=0,"-",(SUMIFS('Data - Monthly Metrics'!E:E,'Data - Monthly Metrics'!A:A,$B$4,'Data - Monthly Metrics'!B:B,"Mar",'Data - Monthly Metrics'!C:C,"NorthCentral",'Data - Monthly Metrics'!D:D,"Target Members - Restaurant (#)")+SUMIFS('Data - Monthly Metrics'!E:E,'Data - Monthly Metrics'!A:A,$B$4,'Data - Monthly Metrics'!B:B,"Mar",'Data - Monthly Metrics'!C:C,"NorthCentral",'Data - Monthly Metrics'!D:D,"Non-Target Members - Restaurant (#)"))/(SUMIFS('Data - Monthly Metrics'!E:E,'Data - Monthly Metrics'!A:A,$B$4,'Data - Monthly Metrics'!B:B,"Mar",'Data - Monthly Metrics'!C:C,"NorthCentral",'Data - Monthly Metrics'!D:D,"Total Target Locations - Restaurant (#)")+SUMIFS('Data - Monthly Metrics'!E:E,'Data - Monthly Metrics'!A:A,$B$4,'Data - Monthly Metrics'!B:B,"Mar",'Data - Monthly Metrics'!C:C,"NorthCentral",'Data - Monthly Metrics'!D:D,"Non-Target Locations - Restaurant (#)")))</f>
        <v/>
      </c>
      <c r="I29" s="116">
        <f>IF(ISNUMBER(H29),H29,IF(ISNUMBER(G29),G29,IF(ISNUMBER(F29),F29,"-")))</f>
        <v/>
      </c>
      <c r="J29" s="115">
        <f>IF((SUMIFS('Data - Monthly Metrics'!E:E,'Data - Monthly Metrics'!A:A,$B$4,'Data - Monthly Metrics'!B:B,"Apr",'Data - Monthly Metrics'!C:C,"NorthCentral",'Data - Monthly Metrics'!D:D,"Total Target Locations - Restaurant (#)")+SUMIFS('Data - Monthly Metrics'!E:E,'Data - Monthly Metrics'!A:A,$B$4,'Data - Monthly Metrics'!B:B,"Apr",'Data - Monthly Metrics'!C:C,"NorthCentral",'Data - Monthly Metrics'!D:D,"Non-Target Locations - Restaurant (#)"))=0,"-",(SUMIFS('Data - Monthly Metrics'!E:E,'Data - Monthly Metrics'!A:A,$B$4,'Data - Monthly Metrics'!B:B,"Apr",'Data - Monthly Metrics'!C:C,"NorthCentral",'Data - Monthly Metrics'!D:D,"Target Members - Restaurant (#)")+SUMIFS('Data - Monthly Metrics'!E:E,'Data - Monthly Metrics'!A:A,$B$4,'Data - Monthly Metrics'!B:B,"Apr",'Data - Monthly Metrics'!C:C,"NorthCentral",'Data - Monthly Metrics'!D:D,"Non-Target Members - Restaurant (#)"))/(SUMIFS('Data - Monthly Metrics'!E:E,'Data - Monthly Metrics'!A:A,$B$4,'Data - Monthly Metrics'!B:B,"Apr",'Data - Monthly Metrics'!C:C,"NorthCentral",'Data - Monthly Metrics'!D:D,"Total Target Locations - Restaurant (#)")+SUMIFS('Data - Monthly Metrics'!E:E,'Data - Monthly Metrics'!A:A,$B$4,'Data - Monthly Metrics'!B:B,"Apr",'Data - Monthly Metrics'!C:C,"NorthCentral",'Data - Monthly Metrics'!D:D,"Non-Target Locations - Restaurant (#)")))</f>
        <v/>
      </c>
      <c r="K29" s="115">
        <f>IF((SUMIFS('Data - Monthly Metrics'!E:E,'Data - Monthly Metrics'!A:A,$B$4,'Data - Monthly Metrics'!B:B,"May",'Data - Monthly Metrics'!C:C,"NorthCentral",'Data - Monthly Metrics'!D:D,"Total Target Locations - Restaurant (#)")+SUMIFS('Data - Monthly Metrics'!E:E,'Data - Monthly Metrics'!A:A,$B$4,'Data - Monthly Metrics'!B:B,"May",'Data - Monthly Metrics'!C:C,"NorthCentral",'Data - Monthly Metrics'!D:D,"Non-Target Locations - Restaurant (#)"))=0,"-",(SUMIFS('Data - Monthly Metrics'!E:E,'Data - Monthly Metrics'!A:A,$B$4,'Data - Monthly Metrics'!B:B,"May",'Data - Monthly Metrics'!C:C,"NorthCentral",'Data - Monthly Metrics'!D:D,"Target Members - Restaurant (#)")+SUMIFS('Data - Monthly Metrics'!E:E,'Data - Monthly Metrics'!A:A,$B$4,'Data - Monthly Metrics'!B:B,"May",'Data - Monthly Metrics'!C:C,"NorthCentral",'Data - Monthly Metrics'!D:D,"Non-Target Members - Restaurant (#)"))/(SUMIFS('Data - Monthly Metrics'!E:E,'Data - Monthly Metrics'!A:A,$B$4,'Data - Monthly Metrics'!B:B,"May",'Data - Monthly Metrics'!C:C,"NorthCentral",'Data - Monthly Metrics'!D:D,"Total Target Locations - Restaurant (#)")+SUMIFS('Data - Monthly Metrics'!E:E,'Data - Monthly Metrics'!A:A,$B$4,'Data - Monthly Metrics'!B:B,"May",'Data - Monthly Metrics'!C:C,"NorthCentral",'Data - Monthly Metrics'!D:D,"Non-Target Locations - Restaurant (#)")))</f>
        <v/>
      </c>
      <c r="L29" s="115">
        <f>IF((SUMIFS('Data - Monthly Metrics'!E:E,'Data - Monthly Metrics'!A:A,$B$4,'Data - Monthly Metrics'!B:B,"Jun",'Data - Monthly Metrics'!C:C,"NorthCentral",'Data - Monthly Metrics'!D:D,"Total Target Locations - Restaurant (#)")+SUMIFS('Data - Monthly Metrics'!E:E,'Data - Monthly Metrics'!A:A,$B$4,'Data - Monthly Metrics'!B:B,"Jun",'Data - Monthly Metrics'!C:C,"NorthCentral",'Data - Monthly Metrics'!D:D,"Non-Target Locations - Restaurant (#)"))=0,"-",(SUMIFS('Data - Monthly Metrics'!E:E,'Data - Monthly Metrics'!A:A,$B$4,'Data - Monthly Metrics'!B:B,"Jun",'Data - Monthly Metrics'!C:C,"NorthCentral",'Data - Monthly Metrics'!D:D,"Target Members - Restaurant (#)")+SUMIFS('Data - Monthly Metrics'!E:E,'Data - Monthly Metrics'!A:A,$B$4,'Data - Monthly Metrics'!B:B,"Jun",'Data - Monthly Metrics'!C:C,"NorthCentral",'Data - Monthly Metrics'!D:D,"Non-Target Members - Restaurant (#)"))/(SUMIFS('Data - Monthly Metrics'!E:E,'Data - Monthly Metrics'!A:A,$B$4,'Data - Monthly Metrics'!B:B,"Jun",'Data - Monthly Metrics'!C:C,"NorthCentral",'Data - Monthly Metrics'!D:D,"Total Target Locations - Restaurant (#)")+SUMIFS('Data - Monthly Metrics'!E:E,'Data - Monthly Metrics'!A:A,$B$4,'Data - Monthly Metrics'!B:B,"Jun",'Data - Monthly Metrics'!C:C,"NorthCentral",'Data - Monthly Metrics'!D:D,"Non-Target Locations - Restaurant (#)")))</f>
        <v/>
      </c>
      <c r="M29" s="116">
        <f>IF(ISNUMBER(L29),L29,IF(ISNUMBER(K29),K29,IF(ISNUMBER(J29),J29,"-")))</f>
        <v/>
      </c>
      <c r="N29" s="115">
        <f>IF((SUMIFS('Data - Monthly Metrics'!E:E,'Data - Monthly Metrics'!A:A,$B$4,'Data - Monthly Metrics'!B:B,"Jul",'Data - Monthly Metrics'!C:C,"NorthCentral",'Data - Monthly Metrics'!D:D,"Total Target Locations - Restaurant (#)")+SUMIFS('Data - Monthly Metrics'!E:E,'Data - Monthly Metrics'!A:A,$B$4,'Data - Monthly Metrics'!B:B,"Jul",'Data - Monthly Metrics'!C:C,"NorthCentral",'Data - Monthly Metrics'!D:D,"Non-Target Locations - Restaurant (#)"))=0,"-",(SUMIFS('Data - Monthly Metrics'!E:E,'Data - Monthly Metrics'!A:A,$B$4,'Data - Monthly Metrics'!B:B,"Jul",'Data - Monthly Metrics'!C:C,"NorthCentral",'Data - Monthly Metrics'!D:D,"Target Members - Restaurant (#)")+SUMIFS('Data - Monthly Metrics'!E:E,'Data - Monthly Metrics'!A:A,$B$4,'Data - Monthly Metrics'!B:B,"Jul",'Data - Monthly Metrics'!C:C,"NorthCentral",'Data - Monthly Metrics'!D:D,"Non-Target Members - Restaurant (#)"))/(SUMIFS('Data - Monthly Metrics'!E:E,'Data - Monthly Metrics'!A:A,$B$4,'Data - Monthly Metrics'!B:B,"Jul",'Data - Monthly Metrics'!C:C,"NorthCentral",'Data - Monthly Metrics'!D:D,"Total Target Locations - Restaurant (#)")+SUMIFS('Data - Monthly Metrics'!E:E,'Data - Monthly Metrics'!A:A,$B$4,'Data - Monthly Metrics'!B:B,"Jul",'Data - Monthly Metrics'!C:C,"NorthCentral",'Data - Monthly Metrics'!D:D,"Non-Target Locations - Restaurant (#)")))</f>
        <v/>
      </c>
      <c r="O29" s="115">
        <f>IF((SUMIFS('Data - Monthly Metrics'!E:E,'Data - Monthly Metrics'!A:A,$B$4,'Data - Monthly Metrics'!B:B,"Aug",'Data - Monthly Metrics'!C:C,"NorthCentral",'Data - Monthly Metrics'!D:D,"Total Target Locations - Restaurant (#)")+SUMIFS('Data - Monthly Metrics'!E:E,'Data - Monthly Metrics'!A:A,$B$4,'Data - Monthly Metrics'!B:B,"Aug",'Data - Monthly Metrics'!C:C,"NorthCentral",'Data - Monthly Metrics'!D:D,"Non-Target Locations - Restaurant (#)"))=0,"-",(SUMIFS('Data - Monthly Metrics'!E:E,'Data - Monthly Metrics'!A:A,$B$4,'Data - Monthly Metrics'!B:B,"Aug",'Data - Monthly Metrics'!C:C,"NorthCentral",'Data - Monthly Metrics'!D:D,"Target Members - Restaurant (#)")+SUMIFS('Data - Monthly Metrics'!E:E,'Data - Monthly Metrics'!A:A,$B$4,'Data - Monthly Metrics'!B:B,"Aug",'Data - Monthly Metrics'!C:C,"NorthCentral",'Data - Monthly Metrics'!D:D,"Non-Target Members - Restaurant (#)"))/(SUMIFS('Data - Monthly Metrics'!E:E,'Data - Monthly Metrics'!A:A,$B$4,'Data - Monthly Metrics'!B:B,"Aug",'Data - Monthly Metrics'!C:C,"NorthCentral",'Data - Monthly Metrics'!D:D,"Total Target Locations - Restaurant (#)")+SUMIFS('Data - Monthly Metrics'!E:E,'Data - Monthly Metrics'!A:A,$B$4,'Data - Monthly Metrics'!B:B,"Aug",'Data - Monthly Metrics'!C:C,"NorthCentral",'Data - Monthly Metrics'!D:D,"Non-Target Locations - Restaurant (#)")))</f>
        <v/>
      </c>
      <c r="P29" s="115">
        <f>IF((SUMIFS('Data - Monthly Metrics'!E:E,'Data - Monthly Metrics'!A:A,$B$4,'Data - Monthly Metrics'!B:B,"Sep",'Data - Monthly Metrics'!C:C,"NorthCentral",'Data - Monthly Metrics'!D:D,"Total Target Locations - Restaurant (#)")+SUMIFS('Data - Monthly Metrics'!E:E,'Data - Monthly Metrics'!A:A,$B$4,'Data - Monthly Metrics'!B:B,"Sep",'Data - Monthly Metrics'!C:C,"NorthCentral",'Data - Monthly Metrics'!D:D,"Non-Target Locations - Restaurant (#)"))=0,"-",(SUMIFS('Data - Monthly Metrics'!E:E,'Data - Monthly Metrics'!A:A,$B$4,'Data - Monthly Metrics'!B:B,"Sep",'Data - Monthly Metrics'!C:C,"NorthCentral",'Data - Monthly Metrics'!D:D,"Target Members - Restaurant (#)")+SUMIFS('Data - Monthly Metrics'!E:E,'Data - Monthly Metrics'!A:A,$B$4,'Data - Monthly Metrics'!B:B,"Sep",'Data - Monthly Metrics'!C:C,"NorthCentral",'Data - Monthly Metrics'!D:D,"Non-Target Members - Restaurant (#)"))/(SUMIFS('Data - Monthly Metrics'!E:E,'Data - Monthly Metrics'!A:A,$B$4,'Data - Monthly Metrics'!B:B,"Sep",'Data - Monthly Metrics'!C:C,"NorthCentral",'Data - Monthly Metrics'!D:D,"Total Target Locations - Restaurant (#)")+SUMIFS('Data - Monthly Metrics'!E:E,'Data - Monthly Metrics'!A:A,$B$4,'Data - Monthly Metrics'!B:B,"Sep",'Data - Monthly Metrics'!C:C,"NorthCentral",'Data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Metrics'!C:C,"NorthCentral",'Data - Monthly Metrics'!D:D,"Total Target Locations - Lodging (#)")+SUMIFS('Data - Monthly Metrics'!E:E,'Data - Monthly Metrics'!A:A,$B$4-1,'Data - Monthly Metrics'!B:B,"Oct",'Data - Monthly Metrics'!C:C,"NorthCentral",'Data - Monthly Metrics'!D:D,"Non-Target Locations - Lodging (#)"))=0,"-",(SUMIFS('Data - Monthly Metrics'!E:E,'Data - Monthly Metrics'!A:A,$B$4-1,'Data - Monthly Metrics'!B:B,"Oct",'Data - Monthly Metrics'!C:C,"NorthCentral",'Data - Monthly Metrics'!D:D,"Target Members - Lodging (#)")+SUMIFS('Data - Monthly Metrics'!E:E,'Data - Monthly Metrics'!A:A,$B$4-1,'Data - Monthly Metrics'!B:B,"Oct",'Data - Monthly Metrics'!C:C,"NorthCentral",'Data - Monthly Metrics'!D:D,"Non-Target Members - Lodging (#)"))/(SUMIFS('Data - Monthly Metrics'!E:E,'Data - Monthly Metrics'!A:A,$B$4-1,'Data - Monthly Metrics'!B:B,"Oct",'Data - Monthly Metrics'!C:C,"NorthCentral",'Data - Monthly Metrics'!D:D,"Total Target Locations - Lodging (#)")+SUMIFS('Data - Monthly Metrics'!E:E,'Data - Monthly Metrics'!A:A,$B$4-1,'Data - Monthly Metrics'!B:B,"Oct",'Data - Monthly Metrics'!C:C,"NorthCentral",'Data - Monthly Metrics'!D:D,"Non-Target Locations - Lodging (#)")))</f>
        <v/>
      </c>
      <c r="C30" s="118">
        <f>IF((SUMIFS('Data - Monthly Metrics'!E:E,'Data - Monthly Metrics'!A:A,$B$4-1,'Data - Monthly Metrics'!B:B,"Nov",'Data - Monthly Metrics'!C:C,"NorthCentral",'Data - Monthly Metrics'!D:D,"Total Target Locations - Lodging (#)")+SUMIFS('Data - Monthly Metrics'!E:E,'Data - Monthly Metrics'!A:A,$B$4-1,'Data - Monthly Metrics'!B:B,"Nov",'Data - Monthly Metrics'!C:C,"NorthCentral",'Data - Monthly Metrics'!D:D,"Non-Target Locations - Lodging (#)"))=0,"-",(SUMIFS('Data - Monthly Metrics'!E:E,'Data - Monthly Metrics'!A:A,$B$4-1,'Data - Monthly Metrics'!B:B,"Nov",'Data - Monthly Metrics'!C:C,"NorthCentral",'Data - Monthly Metrics'!D:D,"Target Members - Lodging (#)")+SUMIFS('Data - Monthly Metrics'!E:E,'Data - Monthly Metrics'!A:A,$B$4-1,'Data - Monthly Metrics'!B:B,"Nov",'Data - Monthly Metrics'!C:C,"NorthCentral",'Data - Monthly Metrics'!D:D,"Non-Target Members - Lodging (#)"))/(SUMIFS('Data - Monthly Metrics'!E:E,'Data - Monthly Metrics'!A:A,$B$4-1,'Data - Monthly Metrics'!B:B,"Nov",'Data - Monthly Metrics'!C:C,"NorthCentral",'Data - Monthly Metrics'!D:D,"Total Target Locations - Lodging (#)")+SUMIFS('Data - Monthly Metrics'!E:E,'Data - Monthly Metrics'!A:A,$B$4-1,'Data - Monthly Metrics'!B:B,"Nov",'Data - Monthly Metrics'!C:C,"NorthCentral",'Data - Monthly Metrics'!D:D,"Non-Target Locations - Lodging (#)")))</f>
        <v/>
      </c>
      <c r="D30" s="118">
        <f>IF((SUMIFS('Data - Monthly Metrics'!E:E,'Data - Monthly Metrics'!A:A,$B$4-1,'Data - Monthly Metrics'!B:B,"Dec",'Data - Monthly Metrics'!C:C,"NorthCentral",'Data - Monthly Metrics'!D:D,"Total Target Locations - Lodging (#)")+SUMIFS('Data - Monthly Metrics'!E:E,'Data - Monthly Metrics'!A:A,$B$4-1,'Data - Monthly Metrics'!B:B,"Dec",'Data - Monthly Metrics'!C:C,"NorthCentral",'Data - Monthly Metrics'!D:D,"Non-Target Locations - Lodging (#)"))=0,"-",(SUMIFS('Data - Monthly Metrics'!E:E,'Data - Monthly Metrics'!A:A,$B$4-1,'Data - Monthly Metrics'!B:B,"Dec",'Data - Monthly Metrics'!C:C,"NorthCentral",'Data - Monthly Metrics'!D:D,"Target Members - Lodging (#)")+SUMIFS('Data - Monthly Metrics'!E:E,'Data - Monthly Metrics'!A:A,$B$4-1,'Data - Monthly Metrics'!B:B,"Dec",'Data - Monthly Metrics'!C:C,"NorthCentral",'Data - Monthly Metrics'!D:D,"Non-Target Members - Lodging (#)"))/(SUMIFS('Data - Monthly Metrics'!E:E,'Data - Monthly Metrics'!A:A,$B$4-1,'Data - Monthly Metrics'!B:B,"Dec",'Data - Monthly Metrics'!C:C,"NorthCentral",'Data - Monthly Metrics'!D:D,"Total Target Locations - Lodging (#)")+SUMIFS('Data - Monthly Metrics'!E:E,'Data - Monthly Metrics'!A:A,$B$4-1,'Data - Monthly Metrics'!B:B,"Dec",'Data - Monthly Metrics'!C:C,"NorthCentral",'Data - Monthly Metrics'!D:D,"Non-Target Locations - Lodging (#)")))</f>
        <v/>
      </c>
      <c r="E30" s="116">
        <f>IF(ISNUMBER(D30),D30,IF(ISNUMBER(C30),C30,IF(ISNUMBER(B30),B30,"-")))</f>
        <v/>
      </c>
      <c r="F30" s="118">
        <f>IF((SUMIFS('Data - Monthly Metrics'!E:E,'Data - Monthly Metrics'!A:A,$B$4,'Data - Monthly Metrics'!B:B,"Jan",'Data - Monthly Metrics'!C:C,"NorthCentral",'Data - Monthly Metrics'!D:D,"Total Target Locations - Lodging (#)")+SUMIFS('Data - Monthly Metrics'!E:E,'Data - Monthly Metrics'!A:A,$B$4,'Data - Monthly Metrics'!B:B,"Jan",'Data - Monthly Metrics'!C:C,"NorthCentral",'Data - Monthly Metrics'!D:D,"Non-Target Locations - Lodging (#)"))=0,"-",(SUMIFS('Data - Monthly Metrics'!E:E,'Data - Monthly Metrics'!A:A,$B$4,'Data - Monthly Metrics'!B:B,"Jan",'Data - Monthly Metrics'!C:C,"NorthCentral",'Data - Monthly Metrics'!D:D,"Target Members - Lodging (#)")+SUMIFS('Data - Monthly Metrics'!E:E,'Data - Monthly Metrics'!A:A,$B$4,'Data - Monthly Metrics'!B:B,"Jan",'Data - Monthly Metrics'!C:C,"NorthCentral",'Data - Monthly Metrics'!D:D,"Non-Target Members - Lodging (#)"))/(SUMIFS('Data - Monthly Metrics'!E:E,'Data - Monthly Metrics'!A:A,$B$4,'Data - Monthly Metrics'!B:B,"Jan",'Data - Monthly Metrics'!C:C,"NorthCentral",'Data - Monthly Metrics'!D:D,"Total Target Locations - Lodging (#)")+SUMIFS('Data - Monthly Metrics'!E:E,'Data - Monthly Metrics'!A:A,$B$4,'Data - Monthly Metrics'!B:B,"Jan",'Data - Monthly Metrics'!C:C,"NorthCentral",'Data - Monthly Metrics'!D:D,"Non-Target Locations - Lodging (#)")))</f>
        <v/>
      </c>
      <c r="G30" s="118">
        <f>IF((SUMIFS('Data - Monthly Metrics'!E:E,'Data - Monthly Metrics'!A:A,$B$4,'Data - Monthly Metrics'!B:B,"Feb",'Data - Monthly Metrics'!C:C,"NorthCentral",'Data - Monthly Metrics'!D:D,"Total Target Locations - Lodging (#)")+SUMIFS('Data - Monthly Metrics'!E:E,'Data - Monthly Metrics'!A:A,$B$4,'Data - Monthly Metrics'!B:B,"Feb",'Data - Monthly Metrics'!C:C,"NorthCentral",'Data - Monthly Metrics'!D:D,"Non-Target Locations - Lodging (#)"))=0,"-",(SUMIFS('Data - Monthly Metrics'!E:E,'Data - Monthly Metrics'!A:A,$B$4,'Data - Monthly Metrics'!B:B,"Feb",'Data - Monthly Metrics'!C:C,"NorthCentral",'Data - Monthly Metrics'!D:D,"Target Members - Lodging (#)")+SUMIFS('Data - Monthly Metrics'!E:E,'Data - Monthly Metrics'!A:A,$B$4,'Data - Monthly Metrics'!B:B,"Feb",'Data - Monthly Metrics'!C:C,"NorthCentral",'Data - Monthly Metrics'!D:D,"Non-Target Members - Lodging (#)"))/(SUMIFS('Data - Monthly Metrics'!E:E,'Data - Monthly Metrics'!A:A,$B$4,'Data - Monthly Metrics'!B:B,"Feb",'Data - Monthly Metrics'!C:C,"NorthCentral",'Data - Monthly Metrics'!D:D,"Total Target Locations - Lodging (#)")+SUMIFS('Data - Monthly Metrics'!E:E,'Data - Monthly Metrics'!A:A,$B$4,'Data - Monthly Metrics'!B:B,"Feb",'Data - Monthly Metrics'!C:C,"NorthCentral",'Data - Monthly Metrics'!D:D,"Non-Target Locations - Lodging (#)")))</f>
        <v/>
      </c>
      <c r="H30" s="118">
        <f>IF((SUMIFS('Data - Monthly Metrics'!E:E,'Data - Monthly Metrics'!A:A,$B$4,'Data - Monthly Metrics'!B:B,"Mar",'Data - Monthly Metrics'!C:C,"NorthCentral",'Data - Monthly Metrics'!D:D,"Total Target Locations - Lodging (#)")+SUMIFS('Data - Monthly Metrics'!E:E,'Data - Monthly Metrics'!A:A,$B$4,'Data - Monthly Metrics'!B:B,"Mar",'Data - Monthly Metrics'!C:C,"NorthCentral",'Data - Monthly Metrics'!D:D,"Non-Target Locations - Lodging (#)"))=0,"-",(SUMIFS('Data - Monthly Metrics'!E:E,'Data - Monthly Metrics'!A:A,$B$4,'Data - Monthly Metrics'!B:B,"Mar",'Data - Monthly Metrics'!C:C,"NorthCentral",'Data - Monthly Metrics'!D:D,"Target Members - Lodging (#)")+SUMIFS('Data - Monthly Metrics'!E:E,'Data - Monthly Metrics'!A:A,$B$4,'Data - Monthly Metrics'!B:B,"Mar",'Data - Monthly Metrics'!C:C,"NorthCentral",'Data - Monthly Metrics'!D:D,"Non-Target Members - Lodging (#)"))/(SUMIFS('Data - Monthly Metrics'!E:E,'Data - Monthly Metrics'!A:A,$B$4,'Data - Monthly Metrics'!B:B,"Mar",'Data - Monthly Metrics'!C:C,"NorthCentral",'Data - Monthly Metrics'!D:D,"Total Target Locations - Lodging (#)")+SUMIFS('Data - Monthly Metrics'!E:E,'Data - Monthly Metrics'!A:A,$B$4,'Data - Monthly Metrics'!B:B,"Mar",'Data - Monthly Metrics'!C:C,"NorthCentral",'Data - Monthly Metrics'!D:D,"Non-Target Locations - Lodging (#)")))</f>
        <v/>
      </c>
      <c r="I30" s="116">
        <f>IF(ISNUMBER(H30),H30,IF(ISNUMBER(G30),G30,IF(ISNUMBER(F30),F30,"-")))</f>
        <v/>
      </c>
      <c r="J30" s="118">
        <f>IF((SUMIFS('Data - Monthly Metrics'!E:E,'Data - Monthly Metrics'!A:A,$B$4,'Data - Monthly Metrics'!B:B,"Apr",'Data - Monthly Metrics'!C:C,"NorthCentral",'Data - Monthly Metrics'!D:D,"Total Target Locations - Lodging (#)")+SUMIFS('Data - Monthly Metrics'!E:E,'Data - Monthly Metrics'!A:A,$B$4,'Data - Monthly Metrics'!B:B,"Apr",'Data - Monthly Metrics'!C:C,"NorthCentral",'Data - Monthly Metrics'!D:D,"Non-Target Locations - Lodging (#)"))=0,"-",(SUMIFS('Data - Monthly Metrics'!E:E,'Data - Monthly Metrics'!A:A,$B$4,'Data - Monthly Metrics'!B:B,"Apr",'Data - Monthly Metrics'!C:C,"NorthCentral",'Data - Monthly Metrics'!D:D,"Target Members - Lodging (#)")+SUMIFS('Data - Monthly Metrics'!E:E,'Data - Monthly Metrics'!A:A,$B$4,'Data - Monthly Metrics'!B:B,"Apr",'Data - Monthly Metrics'!C:C,"NorthCentral",'Data - Monthly Metrics'!D:D,"Non-Target Members - Lodging (#)"))/(SUMIFS('Data - Monthly Metrics'!E:E,'Data - Monthly Metrics'!A:A,$B$4,'Data - Monthly Metrics'!B:B,"Apr",'Data - Monthly Metrics'!C:C,"NorthCentral",'Data - Monthly Metrics'!D:D,"Total Target Locations - Lodging (#)")+SUMIFS('Data - Monthly Metrics'!E:E,'Data - Monthly Metrics'!A:A,$B$4,'Data - Monthly Metrics'!B:B,"Apr",'Data - Monthly Metrics'!C:C,"NorthCentral",'Data - Monthly Metrics'!D:D,"Non-Target Locations - Lodging (#)")))</f>
        <v/>
      </c>
      <c r="K30" s="118">
        <f>IF((SUMIFS('Data - Monthly Metrics'!E:E,'Data - Monthly Metrics'!A:A,$B$4,'Data - Monthly Metrics'!B:B,"May",'Data - Monthly Metrics'!C:C,"NorthCentral",'Data - Monthly Metrics'!D:D,"Total Target Locations - Lodging (#)")+SUMIFS('Data - Monthly Metrics'!E:E,'Data - Monthly Metrics'!A:A,$B$4,'Data - Monthly Metrics'!B:B,"May",'Data - Monthly Metrics'!C:C,"NorthCentral",'Data - Monthly Metrics'!D:D,"Non-Target Locations - Lodging (#)"))=0,"-",(SUMIFS('Data - Monthly Metrics'!E:E,'Data - Monthly Metrics'!A:A,$B$4,'Data - Monthly Metrics'!B:B,"May",'Data - Monthly Metrics'!C:C,"NorthCentral",'Data - Monthly Metrics'!D:D,"Target Members - Lodging (#)")+SUMIFS('Data - Monthly Metrics'!E:E,'Data - Monthly Metrics'!A:A,$B$4,'Data - Monthly Metrics'!B:B,"May",'Data - Monthly Metrics'!C:C,"NorthCentral",'Data - Monthly Metrics'!D:D,"Non-Target Members - Lodging (#)"))/(SUMIFS('Data - Monthly Metrics'!E:E,'Data - Monthly Metrics'!A:A,$B$4,'Data - Monthly Metrics'!B:B,"May",'Data - Monthly Metrics'!C:C,"NorthCentral",'Data - Monthly Metrics'!D:D,"Total Target Locations - Lodging (#)")+SUMIFS('Data - Monthly Metrics'!E:E,'Data - Monthly Metrics'!A:A,$B$4,'Data - Monthly Metrics'!B:B,"May",'Data - Monthly Metrics'!C:C,"NorthCentral",'Data - Monthly Metrics'!D:D,"Non-Target Locations - Lodging (#)")))</f>
        <v/>
      </c>
      <c r="L30" s="118">
        <f>IF((SUMIFS('Data - Monthly Metrics'!E:E,'Data - Monthly Metrics'!A:A,$B$4,'Data - Monthly Metrics'!B:B,"Jun",'Data - Monthly Metrics'!C:C,"NorthCentral",'Data - Monthly Metrics'!D:D,"Total Target Locations - Lodging (#)")+SUMIFS('Data - Monthly Metrics'!E:E,'Data - Monthly Metrics'!A:A,$B$4,'Data - Monthly Metrics'!B:B,"Jun",'Data - Monthly Metrics'!C:C,"NorthCentral",'Data - Monthly Metrics'!D:D,"Non-Target Locations - Lodging (#)"))=0,"-",(SUMIFS('Data - Monthly Metrics'!E:E,'Data - Monthly Metrics'!A:A,$B$4,'Data - Monthly Metrics'!B:B,"Jun",'Data - Monthly Metrics'!C:C,"NorthCentral",'Data - Monthly Metrics'!D:D,"Target Members - Lodging (#)")+SUMIFS('Data - Monthly Metrics'!E:E,'Data - Monthly Metrics'!A:A,$B$4,'Data - Monthly Metrics'!B:B,"Jun",'Data - Monthly Metrics'!C:C,"NorthCentral",'Data - Monthly Metrics'!D:D,"Non-Target Members - Lodging (#)"))/(SUMIFS('Data - Monthly Metrics'!E:E,'Data - Monthly Metrics'!A:A,$B$4,'Data - Monthly Metrics'!B:B,"Jun",'Data - Monthly Metrics'!C:C,"NorthCentral",'Data - Monthly Metrics'!D:D,"Total Target Locations - Lodging (#)")+SUMIFS('Data - Monthly Metrics'!E:E,'Data - Monthly Metrics'!A:A,$B$4,'Data - Monthly Metrics'!B:B,"Jun",'Data - Monthly Metrics'!C:C,"NorthCentral",'Data - Monthly Metrics'!D:D,"Non-Target Locations - Lodging (#)")))</f>
        <v/>
      </c>
      <c r="M30" s="116">
        <f>IF(ISNUMBER(L30),L30,IF(ISNUMBER(K30),K30,IF(ISNUMBER(J30),J30,"-")))</f>
        <v/>
      </c>
      <c r="N30" s="118">
        <f>IF((SUMIFS('Data - Monthly Metrics'!E:E,'Data - Monthly Metrics'!A:A,$B$4,'Data - Monthly Metrics'!B:B,"Jul",'Data - Monthly Metrics'!C:C,"NorthCentral",'Data - Monthly Metrics'!D:D,"Total Target Locations - Lodging (#)")+SUMIFS('Data - Monthly Metrics'!E:E,'Data - Monthly Metrics'!A:A,$B$4,'Data - Monthly Metrics'!B:B,"Jul",'Data - Monthly Metrics'!C:C,"NorthCentral",'Data - Monthly Metrics'!D:D,"Non-Target Locations - Lodging (#)"))=0,"-",(SUMIFS('Data - Monthly Metrics'!E:E,'Data - Monthly Metrics'!A:A,$B$4,'Data - Monthly Metrics'!B:B,"Jul",'Data - Monthly Metrics'!C:C,"NorthCentral",'Data - Monthly Metrics'!D:D,"Target Members - Lodging (#)")+SUMIFS('Data - Monthly Metrics'!E:E,'Data - Monthly Metrics'!A:A,$B$4,'Data - Monthly Metrics'!B:B,"Jul",'Data - Monthly Metrics'!C:C,"NorthCentral",'Data - Monthly Metrics'!D:D,"Non-Target Members - Lodging (#)"))/(SUMIFS('Data - Monthly Metrics'!E:E,'Data - Monthly Metrics'!A:A,$B$4,'Data - Monthly Metrics'!B:B,"Jul",'Data - Monthly Metrics'!C:C,"NorthCentral",'Data - Monthly Metrics'!D:D,"Total Target Locations - Lodging (#)")+SUMIFS('Data - Monthly Metrics'!E:E,'Data - Monthly Metrics'!A:A,$B$4,'Data - Monthly Metrics'!B:B,"Jul",'Data - Monthly Metrics'!C:C,"NorthCentral",'Data - Monthly Metrics'!D:D,"Non-Target Locations - Lodging (#)")))</f>
        <v/>
      </c>
      <c r="O30" s="118">
        <f>IF((SUMIFS('Data - Monthly Metrics'!E:E,'Data - Monthly Metrics'!A:A,$B$4,'Data - Monthly Metrics'!B:B,"Aug",'Data - Monthly Metrics'!C:C,"NorthCentral",'Data - Monthly Metrics'!D:D,"Total Target Locations - Lodging (#)")+SUMIFS('Data - Monthly Metrics'!E:E,'Data - Monthly Metrics'!A:A,$B$4,'Data - Monthly Metrics'!B:B,"Aug",'Data - Monthly Metrics'!C:C,"NorthCentral",'Data - Monthly Metrics'!D:D,"Non-Target Locations - Lodging (#)"))=0,"-",(SUMIFS('Data - Monthly Metrics'!E:E,'Data - Monthly Metrics'!A:A,$B$4,'Data - Monthly Metrics'!B:B,"Aug",'Data - Monthly Metrics'!C:C,"NorthCentral",'Data - Monthly Metrics'!D:D,"Target Members - Lodging (#)")+SUMIFS('Data - Monthly Metrics'!E:E,'Data - Monthly Metrics'!A:A,$B$4,'Data - Monthly Metrics'!B:B,"Aug",'Data - Monthly Metrics'!C:C,"NorthCentral",'Data - Monthly Metrics'!D:D,"Non-Target Members - Lodging (#)"))/(SUMIFS('Data - Monthly Metrics'!E:E,'Data - Monthly Metrics'!A:A,$B$4,'Data - Monthly Metrics'!B:B,"Aug",'Data - Monthly Metrics'!C:C,"NorthCentral",'Data - Monthly Metrics'!D:D,"Total Target Locations - Lodging (#)")+SUMIFS('Data - Monthly Metrics'!E:E,'Data - Monthly Metrics'!A:A,$B$4,'Data - Monthly Metrics'!B:B,"Aug",'Data - Monthly Metrics'!C:C,"NorthCentral",'Data - Monthly Metrics'!D:D,"Non-Target Locations - Lodging (#)")))</f>
        <v/>
      </c>
      <c r="P30" s="118">
        <f>IF((SUMIFS('Data - Monthly Metrics'!E:E,'Data - Monthly Metrics'!A:A,$B$4,'Data - Monthly Metrics'!B:B,"Sep",'Data - Monthly Metrics'!C:C,"NorthCentral",'Data - Monthly Metrics'!D:D,"Total Target Locations - Lodging (#)")+SUMIFS('Data - Monthly Metrics'!E:E,'Data - Monthly Metrics'!A:A,$B$4,'Data - Monthly Metrics'!B:B,"Sep",'Data - Monthly Metrics'!C:C,"NorthCentral",'Data - Monthly Metrics'!D:D,"Non-Target Locations - Lodging (#)"))=0,"-",(SUMIFS('Data - Monthly Metrics'!E:E,'Data - Monthly Metrics'!A:A,$B$4,'Data - Monthly Metrics'!B:B,"Sep",'Data - Monthly Metrics'!C:C,"NorthCentral",'Data - Monthly Metrics'!D:D,"Target Members - Lodging (#)")+SUMIFS('Data - Monthly Metrics'!E:E,'Data - Monthly Metrics'!A:A,$B$4,'Data - Monthly Metrics'!B:B,"Sep",'Data - Monthly Metrics'!C:C,"NorthCentral",'Data - Monthly Metrics'!D:D,"Non-Target Members - Lodging (#)"))/(SUMIFS('Data - Monthly Metrics'!E:E,'Data - Monthly Metrics'!A:A,$B$4,'Data - Monthly Metrics'!B:B,"Sep",'Data - Monthly Metrics'!C:C,"NorthCentral",'Data - Monthly Metrics'!D:D,"Total Target Locations - Lodging (#)")+SUMIFS('Data - Monthly Metrics'!E:E,'Data - Monthly Metrics'!A:A,$B$4,'Data - Monthly Metrics'!B:B,"Sep",'Data - Monthly Metrics'!C:C,"NorthCentral",'Data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Metrics'!C:C,"NorthCentral",'Data - Monthly Metrics'!D:D,"Total Target Locations - Restaurant (#)")+SUMIFS('Data - Monthly Metrics'!E:E,'Data - Monthly Metrics'!A:A,$B$4-1,'Data - Monthly Metrics'!B:B,"Oct",'Data - Monthly Metrics'!C:C,"NorthCentral",'Data - Monthly Metrics'!D:D,"Total Target Locations - Lodging (#)")+SUMIFS('Data - Monthly Metrics'!E:E,'Data - Monthly Metrics'!A:A,$B$4-1,'Data - Monthly Metrics'!B:B,"Oct",'Data - Monthly Metrics'!C:C,"NorthCentral",'Data - Monthly Metrics'!D:D,"Non-Target Locations - Restaurant (#)")+SUMIFS('Data - Monthly Metrics'!E:E,'Data - Monthly Metrics'!A:A,$B$4-1,'Data - Monthly Metrics'!B:B,"Oct",'Data - Monthly Metrics'!C:C,"NorthCentral",'Data - Monthly Metrics'!D:D,"Non-Target Locations - Lodging (#)"))=0,"-",(SUMIFS('Data - Monthly Metrics'!E:E,'Data - Monthly Metrics'!A:A,$B$4-1,'Data - Monthly Metrics'!B:B,"Oct",'Data - Monthly Metrics'!C:C,"NorthCentral",'Data - Monthly Metrics'!D:D,"Target Members - Restaurant (#)")+SUMIFS('Data - Monthly Metrics'!E:E,'Data - Monthly Metrics'!A:A,$B$4-1,'Data - Monthly Metrics'!B:B,"Oct",'Data - Monthly Metrics'!C:C,"NorthCentral",'Data - Monthly Metrics'!D:D,"Target Members - Lodging (#)")+SUMIFS('Data - Monthly Metrics'!E:E,'Data - Monthly Metrics'!A:A,$B$4-1,'Data - Monthly Metrics'!B:B,"Oct",'Data - Monthly Metrics'!C:C,"NorthCentral",'Data - Monthly Metrics'!D:D,"Non-Target Members - Restaurant (#)")+SUMIFS('Data - Monthly Metrics'!E:E,'Data - Monthly Metrics'!A:A,$B$4-1,'Data - Monthly Metrics'!B:B,"Oct",'Data - Monthly Metrics'!C:C,"NorthCentral",'Data - Monthly Metrics'!D:D,"Non-Target Members - Lodging (#)"))/(SUMIFS('Data - Monthly Metrics'!E:E,'Data - Monthly Metrics'!A:A,$B$4-1,'Data - Monthly Metrics'!B:B,"Oct",'Data - Monthly Metrics'!C:C,"NorthCentral",'Data - Monthly Metrics'!D:D,"Total Target Locations - Restaurant (#)")+SUMIFS('Data - Monthly Metrics'!E:E,'Data - Monthly Metrics'!A:A,$B$4-1,'Data - Monthly Metrics'!B:B,"Oct",'Data - Monthly Metrics'!C:C,"NorthCentral",'Data - Monthly Metrics'!D:D,"Total Target Locations - Lodging (#)")+SUMIFS('Data - Monthly Metrics'!E:E,'Data - Monthly Metrics'!A:A,$B$4-1,'Data - Monthly Metrics'!B:B,"Oct",'Data - Monthly Metrics'!C:C,"NorthCentral",'Data - Monthly Metrics'!D:D,"Non-Target Locations - Restaurant (#)")+SUMIFS('Data - Monthly Metrics'!E:E,'Data - Monthly Metrics'!A:A,$B$4-1,'Data - Monthly Metrics'!B:B,"Oct",'Data - Monthly Metrics'!C:C,"NorthCentral",'Data - Monthly Metrics'!D:D,"Non-Target Locations - Lodging (#)")))</f>
        <v/>
      </c>
      <c r="C31" s="115">
        <f>IF((SUMIFS('Data - Monthly Metrics'!E:E,'Data - Monthly Metrics'!A:A,$B$4-1,'Data - Monthly Metrics'!B:B,"Nov",'Data - Monthly Metrics'!C:C,"NorthCentral",'Data - Monthly Metrics'!D:D,"Total Target Locations - Restaurant (#)")+SUMIFS('Data - Monthly Metrics'!E:E,'Data - Monthly Metrics'!A:A,$B$4-1,'Data - Monthly Metrics'!B:B,"Nov",'Data - Monthly Metrics'!C:C,"NorthCentral",'Data - Monthly Metrics'!D:D,"Total Target Locations - Lodging (#)")+SUMIFS('Data - Monthly Metrics'!E:E,'Data - Monthly Metrics'!A:A,$B$4-1,'Data - Monthly Metrics'!B:B,"Nov",'Data - Monthly Metrics'!C:C,"NorthCentral",'Data - Monthly Metrics'!D:D,"Non-Target Locations - Restaurant (#)")+SUMIFS('Data - Monthly Metrics'!E:E,'Data - Monthly Metrics'!A:A,$B$4-1,'Data - Monthly Metrics'!B:B,"Nov",'Data - Monthly Metrics'!C:C,"NorthCentral",'Data - Monthly Metrics'!D:D,"Non-Target Locations - Lodging (#)"))=0,"-",(SUMIFS('Data - Monthly Metrics'!E:E,'Data - Monthly Metrics'!A:A,$B$4-1,'Data - Monthly Metrics'!B:B,"Nov",'Data - Monthly Metrics'!C:C,"NorthCentral",'Data - Monthly Metrics'!D:D,"Target Members - Restaurant (#)")+SUMIFS('Data - Monthly Metrics'!E:E,'Data - Monthly Metrics'!A:A,$B$4-1,'Data - Monthly Metrics'!B:B,"Nov",'Data - Monthly Metrics'!C:C,"NorthCentral",'Data - Monthly Metrics'!D:D,"Target Members - Lodging (#)")+SUMIFS('Data - Monthly Metrics'!E:E,'Data - Monthly Metrics'!A:A,$B$4-1,'Data - Monthly Metrics'!B:B,"Nov",'Data - Monthly Metrics'!C:C,"NorthCentral",'Data - Monthly Metrics'!D:D,"Non-Target Members - Restaurant (#)")+SUMIFS('Data - Monthly Metrics'!E:E,'Data - Monthly Metrics'!A:A,$B$4-1,'Data - Monthly Metrics'!B:B,"Nov",'Data - Monthly Metrics'!C:C,"NorthCentral",'Data - Monthly Metrics'!D:D,"Non-Target Members - Lodging (#)"))/(SUMIFS('Data - Monthly Metrics'!E:E,'Data - Monthly Metrics'!A:A,$B$4-1,'Data - Monthly Metrics'!B:B,"Nov",'Data - Monthly Metrics'!C:C,"NorthCentral",'Data - Monthly Metrics'!D:D,"Total Target Locations - Restaurant (#)")+SUMIFS('Data - Monthly Metrics'!E:E,'Data - Monthly Metrics'!A:A,$B$4-1,'Data - Monthly Metrics'!B:B,"Nov",'Data - Monthly Metrics'!C:C,"NorthCentral",'Data - Monthly Metrics'!D:D,"Total Target Locations - Lodging (#)")+SUMIFS('Data - Monthly Metrics'!E:E,'Data - Monthly Metrics'!A:A,$B$4-1,'Data - Monthly Metrics'!B:B,"Nov",'Data - Monthly Metrics'!C:C,"NorthCentral",'Data - Monthly Metrics'!D:D,"Non-Target Locations - Restaurant (#)")+SUMIFS('Data - Monthly Metrics'!E:E,'Data - Monthly Metrics'!A:A,$B$4-1,'Data - Monthly Metrics'!B:B,"Nov",'Data - Monthly Metrics'!C:C,"NorthCentral",'Data - Monthly Metrics'!D:D,"Non-Target Locations - Lodging (#)")))</f>
        <v/>
      </c>
      <c r="D31" s="115">
        <f>IF((SUMIFS('Data - Monthly Metrics'!E:E,'Data - Monthly Metrics'!A:A,$B$4-1,'Data - Monthly Metrics'!B:B,"Dec",'Data - Monthly Metrics'!C:C,"NorthCentral",'Data - Monthly Metrics'!D:D,"Total Target Locations - Restaurant (#)")+SUMIFS('Data - Monthly Metrics'!E:E,'Data - Monthly Metrics'!A:A,$B$4-1,'Data - Monthly Metrics'!B:B,"Dec",'Data - Monthly Metrics'!C:C,"NorthCentral",'Data - Monthly Metrics'!D:D,"Total Target Locations - Lodging (#)")+SUMIFS('Data - Monthly Metrics'!E:E,'Data - Monthly Metrics'!A:A,$B$4-1,'Data - Monthly Metrics'!B:B,"Dec",'Data - Monthly Metrics'!C:C,"NorthCentral",'Data - Monthly Metrics'!D:D,"Non-Target Locations - Restaurant (#)")+SUMIFS('Data - Monthly Metrics'!E:E,'Data - Monthly Metrics'!A:A,$B$4-1,'Data - Monthly Metrics'!B:B,"Dec",'Data - Monthly Metrics'!C:C,"NorthCentral",'Data - Monthly Metrics'!D:D,"Non-Target Locations - Lodging (#)"))=0,"-",(SUMIFS('Data - Monthly Metrics'!E:E,'Data - Monthly Metrics'!A:A,$B$4-1,'Data - Monthly Metrics'!B:B,"Dec",'Data - Monthly Metrics'!C:C,"NorthCentral",'Data - Monthly Metrics'!D:D,"Target Members - Restaurant (#)")+SUMIFS('Data - Monthly Metrics'!E:E,'Data - Monthly Metrics'!A:A,$B$4-1,'Data - Monthly Metrics'!B:B,"Dec",'Data - Monthly Metrics'!C:C,"NorthCentral",'Data - Monthly Metrics'!D:D,"Target Members - Lodging (#)")+SUMIFS('Data - Monthly Metrics'!E:E,'Data - Monthly Metrics'!A:A,$B$4-1,'Data - Monthly Metrics'!B:B,"Dec",'Data - Monthly Metrics'!C:C,"NorthCentral",'Data - Monthly Metrics'!D:D,"Non-Target Members - Restaurant (#)")+SUMIFS('Data - Monthly Metrics'!E:E,'Data - Monthly Metrics'!A:A,$B$4-1,'Data - Monthly Metrics'!B:B,"Dec",'Data - Monthly Metrics'!C:C,"NorthCentral",'Data - Monthly Metrics'!D:D,"Non-Target Members - Lodging (#)"))/(SUMIFS('Data - Monthly Metrics'!E:E,'Data - Monthly Metrics'!A:A,$B$4-1,'Data - Monthly Metrics'!B:B,"Dec",'Data - Monthly Metrics'!C:C,"NorthCentral",'Data - Monthly Metrics'!D:D,"Total Target Locations - Restaurant (#)")+SUMIFS('Data - Monthly Metrics'!E:E,'Data - Monthly Metrics'!A:A,$B$4-1,'Data - Monthly Metrics'!B:B,"Dec",'Data - Monthly Metrics'!C:C,"NorthCentral",'Data - Monthly Metrics'!D:D,"Total Target Locations - Lodging (#)")+SUMIFS('Data - Monthly Metrics'!E:E,'Data - Monthly Metrics'!A:A,$B$4-1,'Data - Monthly Metrics'!B:B,"Dec",'Data - Monthly Metrics'!C:C,"NorthCentral",'Data - Monthly Metrics'!D:D,"Non-Target Locations - Restaurant (#)")+SUMIFS('Data - Monthly Metrics'!E:E,'Data - Monthly Metrics'!A:A,$B$4-1,'Data - Monthly Metrics'!B:B,"Dec",'Data - Monthly Metrics'!C:C,"NorthCentral",'Data - Monthly Metrics'!D:D,"Non-Target Locations - Lodging (#)")))</f>
        <v/>
      </c>
      <c r="E31" s="116">
        <f>IF(ISNUMBER(D31),D31,IF(ISNUMBER(C31),C31,IF(ISNUMBER(B31),B31,"-")))</f>
        <v/>
      </c>
      <c r="F31" s="115">
        <f>IF((SUMIFS('Data - Monthly Metrics'!E:E,'Data - Monthly Metrics'!A:A,$B$4,'Data - Monthly Metrics'!B:B,"Jan",'Data - Monthly Metrics'!C:C,"NorthCentral",'Data - Monthly Metrics'!D:D,"Total Target Locations - Restaurant (#)")+SUMIFS('Data - Monthly Metrics'!E:E,'Data - Monthly Metrics'!A:A,$B$4,'Data - Monthly Metrics'!B:B,"Jan",'Data - Monthly Metrics'!C:C,"NorthCentral",'Data - Monthly Metrics'!D:D,"Total Target Locations - Lodging (#)")+SUMIFS('Data - Monthly Metrics'!E:E,'Data - Monthly Metrics'!A:A,$B$4,'Data - Monthly Metrics'!B:B,"Jan",'Data - Monthly Metrics'!C:C,"NorthCentral",'Data - Monthly Metrics'!D:D,"Non-Target Locations - Restaurant (#)")+SUMIFS('Data - Monthly Metrics'!E:E,'Data - Monthly Metrics'!A:A,$B$4,'Data - Monthly Metrics'!B:B,"Jan",'Data - Monthly Metrics'!C:C,"NorthCentral",'Data - Monthly Metrics'!D:D,"Non-Target Locations - Lodging (#)"))=0,"-",(SUMIFS('Data - Monthly Metrics'!E:E,'Data - Monthly Metrics'!A:A,$B$4,'Data - Monthly Metrics'!B:B,"Jan",'Data - Monthly Metrics'!C:C,"NorthCentral",'Data - Monthly Metrics'!D:D,"Target Members - Restaurant (#)")+SUMIFS('Data - Monthly Metrics'!E:E,'Data - Monthly Metrics'!A:A,$B$4,'Data - Monthly Metrics'!B:B,"Jan",'Data - Monthly Metrics'!C:C,"NorthCentral",'Data - Monthly Metrics'!D:D,"Target Members - Lodging (#)")+SUMIFS('Data - Monthly Metrics'!E:E,'Data - Monthly Metrics'!A:A,$B$4,'Data - Monthly Metrics'!B:B,"Jan",'Data - Monthly Metrics'!C:C,"NorthCentral",'Data - Monthly Metrics'!D:D,"Non-Target Members - Restaurant (#)")+SUMIFS('Data - Monthly Metrics'!E:E,'Data - Monthly Metrics'!A:A,$B$4,'Data - Monthly Metrics'!B:B,"Jan",'Data - Monthly Metrics'!C:C,"NorthCentral",'Data - Monthly Metrics'!D:D,"Non-Target Members - Lodging (#)"))/(SUMIFS('Data - Monthly Metrics'!E:E,'Data - Monthly Metrics'!A:A,$B$4,'Data - Monthly Metrics'!B:B,"Jan",'Data - Monthly Metrics'!C:C,"NorthCentral",'Data - Monthly Metrics'!D:D,"Total Target Locations - Restaurant (#)")+SUMIFS('Data - Monthly Metrics'!E:E,'Data - Monthly Metrics'!A:A,$B$4,'Data - Monthly Metrics'!B:B,"Jan",'Data - Monthly Metrics'!C:C,"NorthCentral",'Data - Monthly Metrics'!D:D,"Total Target Locations - Lodging (#)")+SUMIFS('Data - Monthly Metrics'!E:E,'Data - Monthly Metrics'!A:A,$B$4,'Data - Monthly Metrics'!B:B,"Jan",'Data - Monthly Metrics'!C:C,"NorthCentral",'Data - Monthly Metrics'!D:D,"Non-Target Locations - Restaurant (#)")+SUMIFS('Data - Monthly Metrics'!E:E,'Data - Monthly Metrics'!A:A,$B$4,'Data - Monthly Metrics'!B:B,"Jan",'Data - Monthly Metrics'!C:C,"NorthCentral",'Data - Monthly Metrics'!D:D,"Non-Target Locations - Lodging (#)")))</f>
        <v/>
      </c>
      <c r="G31" s="115">
        <f>IF((SUMIFS('Data - Monthly Metrics'!E:E,'Data - Monthly Metrics'!A:A,$B$4,'Data - Monthly Metrics'!B:B,"Feb",'Data - Monthly Metrics'!C:C,"NorthCentral",'Data - Monthly Metrics'!D:D,"Total Target Locations - Restaurant (#)")+SUMIFS('Data - Monthly Metrics'!E:E,'Data - Monthly Metrics'!A:A,$B$4,'Data - Monthly Metrics'!B:B,"Feb",'Data - Monthly Metrics'!C:C,"NorthCentral",'Data - Monthly Metrics'!D:D,"Total Target Locations - Lodging (#)")+SUMIFS('Data - Monthly Metrics'!E:E,'Data - Monthly Metrics'!A:A,$B$4,'Data - Monthly Metrics'!B:B,"Feb",'Data - Monthly Metrics'!C:C,"NorthCentral",'Data - Monthly Metrics'!D:D,"Non-Target Locations - Restaurant (#)")+SUMIFS('Data - Monthly Metrics'!E:E,'Data - Monthly Metrics'!A:A,$B$4,'Data - Monthly Metrics'!B:B,"Feb",'Data - Monthly Metrics'!C:C,"NorthCentral",'Data - Monthly Metrics'!D:D,"Non-Target Locations - Lodging (#)"))=0,"-",(SUMIFS('Data - Monthly Metrics'!E:E,'Data - Monthly Metrics'!A:A,$B$4,'Data - Monthly Metrics'!B:B,"Feb",'Data - Monthly Metrics'!C:C,"NorthCentral",'Data - Monthly Metrics'!D:D,"Target Members - Restaurant (#)")+SUMIFS('Data - Monthly Metrics'!E:E,'Data - Monthly Metrics'!A:A,$B$4,'Data - Monthly Metrics'!B:B,"Feb",'Data - Monthly Metrics'!C:C,"NorthCentral",'Data - Monthly Metrics'!D:D,"Target Members - Lodging (#)")+SUMIFS('Data - Monthly Metrics'!E:E,'Data - Monthly Metrics'!A:A,$B$4,'Data - Monthly Metrics'!B:B,"Feb",'Data - Monthly Metrics'!C:C,"NorthCentral",'Data - Monthly Metrics'!D:D,"Non-Target Members - Restaurant (#)")+SUMIFS('Data - Monthly Metrics'!E:E,'Data - Monthly Metrics'!A:A,$B$4,'Data - Monthly Metrics'!B:B,"Feb",'Data - Monthly Metrics'!C:C,"NorthCentral",'Data - Monthly Metrics'!D:D,"Non-Target Members - Lodging (#)"))/(SUMIFS('Data - Monthly Metrics'!E:E,'Data - Monthly Metrics'!A:A,$B$4,'Data - Monthly Metrics'!B:B,"Feb",'Data - Monthly Metrics'!C:C,"NorthCentral",'Data - Monthly Metrics'!D:D,"Total Target Locations - Restaurant (#)")+SUMIFS('Data - Monthly Metrics'!E:E,'Data - Monthly Metrics'!A:A,$B$4,'Data - Monthly Metrics'!B:B,"Feb",'Data - Monthly Metrics'!C:C,"NorthCentral",'Data - Monthly Metrics'!D:D,"Total Target Locations - Lodging (#)")+SUMIFS('Data - Monthly Metrics'!E:E,'Data - Monthly Metrics'!A:A,$B$4,'Data - Monthly Metrics'!B:B,"Feb",'Data - Monthly Metrics'!C:C,"NorthCentral",'Data - Monthly Metrics'!D:D,"Non-Target Locations - Restaurant (#)")+SUMIFS('Data - Monthly Metrics'!E:E,'Data - Monthly Metrics'!A:A,$B$4,'Data - Monthly Metrics'!B:B,"Feb",'Data - Monthly Metrics'!C:C,"NorthCentral",'Data - Monthly Metrics'!D:D,"Non-Target Locations - Lodging (#)")))</f>
        <v/>
      </c>
      <c r="H31" s="115">
        <f>IF((SUMIFS('Data - Monthly Metrics'!E:E,'Data - Monthly Metrics'!A:A,$B$4,'Data - Monthly Metrics'!B:B,"Mar",'Data - Monthly Metrics'!C:C,"NorthCentral",'Data - Monthly Metrics'!D:D,"Total Target Locations - Restaurant (#)")+SUMIFS('Data - Monthly Metrics'!E:E,'Data - Monthly Metrics'!A:A,$B$4,'Data - Monthly Metrics'!B:B,"Mar",'Data - Monthly Metrics'!C:C,"NorthCentral",'Data - Monthly Metrics'!D:D,"Total Target Locations - Lodging (#)")+SUMIFS('Data - Monthly Metrics'!E:E,'Data - Monthly Metrics'!A:A,$B$4,'Data - Monthly Metrics'!B:B,"Mar",'Data - Monthly Metrics'!C:C,"NorthCentral",'Data - Monthly Metrics'!D:D,"Non-Target Locations - Restaurant (#)")+SUMIFS('Data - Monthly Metrics'!E:E,'Data - Monthly Metrics'!A:A,$B$4,'Data - Monthly Metrics'!B:B,"Mar",'Data - Monthly Metrics'!C:C,"NorthCentral",'Data - Monthly Metrics'!D:D,"Non-Target Locations - Lodging (#)"))=0,"-",(SUMIFS('Data - Monthly Metrics'!E:E,'Data - Monthly Metrics'!A:A,$B$4,'Data - Monthly Metrics'!B:B,"Mar",'Data - Monthly Metrics'!C:C,"NorthCentral",'Data - Monthly Metrics'!D:D,"Target Members - Restaurant (#)")+SUMIFS('Data - Monthly Metrics'!E:E,'Data - Monthly Metrics'!A:A,$B$4,'Data - Monthly Metrics'!B:B,"Mar",'Data - Monthly Metrics'!C:C,"NorthCentral",'Data - Monthly Metrics'!D:D,"Target Members - Lodging (#)")+SUMIFS('Data - Monthly Metrics'!E:E,'Data - Monthly Metrics'!A:A,$B$4,'Data - Monthly Metrics'!B:B,"Mar",'Data - Monthly Metrics'!C:C,"NorthCentral",'Data - Monthly Metrics'!D:D,"Non-Target Members - Restaurant (#)")+SUMIFS('Data - Monthly Metrics'!E:E,'Data - Monthly Metrics'!A:A,$B$4,'Data - Monthly Metrics'!B:B,"Mar",'Data - Monthly Metrics'!C:C,"NorthCentral",'Data - Monthly Metrics'!D:D,"Non-Target Members - Lodging (#)"))/(SUMIFS('Data - Monthly Metrics'!E:E,'Data - Monthly Metrics'!A:A,$B$4,'Data - Monthly Metrics'!B:B,"Mar",'Data - Monthly Metrics'!C:C,"NorthCentral",'Data - Monthly Metrics'!D:D,"Total Target Locations - Restaurant (#)")+SUMIFS('Data - Monthly Metrics'!E:E,'Data - Monthly Metrics'!A:A,$B$4,'Data - Monthly Metrics'!B:B,"Mar",'Data - Monthly Metrics'!C:C,"NorthCentral",'Data - Monthly Metrics'!D:D,"Total Target Locations - Lodging (#)")+SUMIFS('Data - Monthly Metrics'!E:E,'Data - Monthly Metrics'!A:A,$B$4,'Data - Monthly Metrics'!B:B,"Mar",'Data - Monthly Metrics'!C:C,"NorthCentral",'Data - Monthly Metrics'!D:D,"Non-Target Locations - Restaurant (#)")+SUMIFS('Data - Monthly Metrics'!E:E,'Data - Monthly Metrics'!A:A,$B$4,'Data - Monthly Metrics'!B:B,"Mar",'Data - Monthly Metrics'!C:C,"NorthCentral",'Data - Monthly Metrics'!D:D,"Non-Target Locations - Lodging (#)")))</f>
        <v/>
      </c>
      <c r="I31" s="116">
        <f>IF(ISNUMBER(H31),H31,IF(ISNUMBER(G31),G31,IF(ISNUMBER(F31),F31,"-")))</f>
        <v/>
      </c>
      <c r="J31" s="115">
        <f>IF((SUMIFS('Data - Monthly Metrics'!E:E,'Data - Monthly Metrics'!A:A,$B$4,'Data - Monthly Metrics'!B:B,"Apr",'Data - Monthly Metrics'!C:C,"NorthCentral",'Data - Monthly Metrics'!D:D,"Total Target Locations - Restaurant (#)")+SUMIFS('Data - Monthly Metrics'!E:E,'Data - Monthly Metrics'!A:A,$B$4,'Data - Monthly Metrics'!B:B,"Apr",'Data - Monthly Metrics'!C:C,"NorthCentral",'Data - Monthly Metrics'!D:D,"Total Target Locations - Lodging (#)")+SUMIFS('Data - Monthly Metrics'!E:E,'Data - Monthly Metrics'!A:A,$B$4,'Data - Monthly Metrics'!B:B,"Apr",'Data - Monthly Metrics'!C:C,"NorthCentral",'Data - Monthly Metrics'!D:D,"Non-Target Locations - Restaurant (#)")+SUMIFS('Data - Monthly Metrics'!E:E,'Data - Monthly Metrics'!A:A,$B$4,'Data - Monthly Metrics'!B:B,"Apr",'Data - Monthly Metrics'!C:C,"NorthCentral",'Data - Monthly Metrics'!D:D,"Non-Target Locations - Lodging (#)"))=0,"-",(SUMIFS('Data - Monthly Metrics'!E:E,'Data - Monthly Metrics'!A:A,$B$4,'Data - Monthly Metrics'!B:B,"Apr",'Data - Monthly Metrics'!C:C,"NorthCentral",'Data - Monthly Metrics'!D:D,"Target Members - Restaurant (#)")+SUMIFS('Data - Monthly Metrics'!E:E,'Data - Monthly Metrics'!A:A,$B$4,'Data - Monthly Metrics'!B:B,"Apr",'Data - Monthly Metrics'!C:C,"NorthCentral",'Data - Monthly Metrics'!D:D,"Target Members - Lodging (#)")+SUMIFS('Data - Monthly Metrics'!E:E,'Data - Monthly Metrics'!A:A,$B$4,'Data - Monthly Metrics'!B:B,"Apr",'Data - Monthly Metrics'!C:C,"NorthCentral",'Data - Monthly Metrics'!D:D,"Non-Target Members - Restaurant (#)")+SUMIFS('Data - Monthly Metrics'!E:E,'Data - Monthly Metrics'!A:A,$B$4,'Data - Monthly Metrics'!B:B,"Apr",'Data - Monthly Metrics'!C:C,"NorthCentral",'Data - Monthly Metrics'!D:D,"Non-Target Members - Lodging (#)"))/(SUMIFS('Data - Monthly Metrics'!E:E,'Data - Monthly Metrics'!A:A,$B$4,'Data - Monthly Metrics'!B:B,"Apr",'Data - Monthly Metrics'!C:C,"NorthCentral",'Data - Monthly Metrics'!D:D,"Total Target Locations - Restaurant (#)")+SUMIFS('Data - Monthly Metrics'!E:E,'Data - Monthly Metrics'!A:A,$B$4,'Data - Monthly Metrics'!B:B,"Apr",'Data - Monthly Metrics'!C:C,"NorthCentral",'Data - Monthly Metrics'!D:D,"Total Target Locations - Lodging (#)")+SUMIFS('Data - Monthly Metrics'!E:E,'Data - Monthly Metrics'!A:A,$B$4,'Data - Monthly Metrics'!B:B,"Apr",'Data - Monthly Metrics'!C:C,"NorthCentral",'Data - Monthly Metrics'!D:D,"Non-Target Locations - Restaurant (#)")+SUMIFS('Data - Monthly Metrics'!E:E,'Data - Monthly Metrics'!A:A,$B$4,'Data - Monthly Metrics'!B:B,"Apr",'Data - Monthly Metrics'!C:C,"NorthCentral",'Data - Monthly Metrics'!D:D,"Non-Target Locations - Lodging (#)")))</f>
        <v/>
      </c>
      <c r="K31" s="115">
        <f>IF((SUMIFS('Data - Monthly Metrics'!E:E,'Data - Monthly Metrics'!A:A,$B$4,'Data - Monthly Metrics'!B:B,"May",'Data - Monthly Metrics'!C:C,"NorthCentral",'Data - Monthly Metrics'!D:D,"Total Target Locations - Restaurant (#)")+SUMIFS('Data - Monthly Metrics'!E:E,'Data - Monthly Metrics'!A:A,$B$4,'Data - Monthly Metrics'!B:B,"May",'Data - Monthly Metrics'!C:C,"NorthCentral",'Data - Monthly Metrics'!D:D,"Total Target Locations - Lodging (#)")+SUMIFS('Data - Monthly Metrics'!E:E,'Data - Monthly Metrics'!A:A,$B$4,'Data - Monthly Metrics'!B:B,"May",'Data - Monthly Metrics'!C:C,"NorthCentral",'Data - Monthly Metrics'!D:D,"Non-Target Locations - Restaurant (#)")+SUMIFS('Data - Monthly Metrics'!E:E,'Data - Monthly Metrics'!A:A,$B$4,'Data - Monthly Metrics'!B:B,"May",'Data - Monthly Metrics'!C:C,"NorthCentral",'Data - Monthly Metrics'!D:D,"Non-Target Locations - Lodging (#)"))=0,"-",(SUMIFS('Data - Monthly Metrics'!E:E,'Data - Monthly Metrics'!A:A,$B$4,'Data - Monthly Metrics'!B:B,"May",'Data - Monthly Metrics'!C:C,"NorthCentral",'Data - Monthly Metrics'!D:D,"Target Members - Restaurant (#)")+SUMIFS('Data - Monthly Metrics'!E:E,'Data - Monthly Metrics'!A:A,$B$4,'Data - Monthly Metrics'!B:B,"May",'Data - Monthly Metrics'!C:C,"NorthCentral",'Data - Monthly Metrics'!D:D,"Target Members - Lodging (#)")+SUMIFS('Data - Monthly Metrics'!E:E,'Data - Monthly Metrics'!A:A,$B$4,'Data - Monthly Metrics'!B:B,"May",'Data - Monthly Metrics'!C:C,"NorthCentral",'Data - Monthly Metrics'!D:D,"Non-Target Members - Restaurant (#)")+SUMIFS('Data - Monthly Metrics'!E:E,'Data - Monthly Metrics'!A:A,$B$4,'Data - Monthly Metrics'!B:B,"May",'Data - Monthly Metrics'!C:C,"NorthCentral",'Data - Monthly Metrics'!D:D,"Non-Target Members - Lodging (#)"))/(SUMIFS('Data - Monthly Metrics'!E:E,'Data - Monthly Metrics'!A:A,$B$4,'Data - Monthly Metrics'!B:B,"May",'Data - Monthly Metrics'!C:C,"NorthCentral",'Data - Monthly Metrics'!D:D,"Total Target Locations - Restaurant (#)")+SUMIFS('Data - Monthly Metrics'!E:E,'Data - Monthly Metrics'!A:A,$B$4,'Data - Monthly Metrics'!B:B,"May",'Data - Monthly Metrics'!C:C,"NorthCentral",'Data - Monthly Metrics'!D:D,"Total Target Locations - Lodging (#)")+SUMIFS('Data - Monthly Metrics'!E:E,'Data - Monthly Metrics'!A:A,$B$4,'Data - Monthly Metrics'!B:B,"May",'Data - Monthly Metrics'!C:C,"NorthCentral",'Data - Monthly Metrics'!D:D,"Non-Target Locations - Restaurant (#)")+SUMIFS('Data - Monthly Metrics'!E:E,'Data - Monthly Metrics'!A:A,$B$4,'Data - Monthly Metrics'!B:B,"May",'Data - Monthly Metrics'!C:C,"NorthCentral",'Data - Monthly Metrics'!D:D,"Non-Target Locations - Lodging (#)")))</f>
        <v/>
      </c>
      <c r="L31" s="115">
        <f>IF((SUMIFS('Data - Monthly Metrics'!E:E,'Data - Monthly Metrics'!A:A,$B$4,'Data - Monthly Metrics'!B:B,"Jun",'Data - Monthly Metrics'!C:C,"NorthCentral",'Data - Monthly Metrics'!D:D,"Total Target Locations - Restaurant (#)")+SUMIFS('Data - Monthly Metrics'!E:E,'Data - Monthly Metrics'!A:A,$B$4,'Data - Monthly Metrics'!B:B,"Jun",'Data - Monthly Metrics'!C:C,"NorthCentral",'Data - Monthly Metrics'!D:D,"Total Target Locations - Lodging (#)")+SUMIFS('Data - Monthly Metrics'!E:E,'Data - Monthly Metrics'!A:A,$B$4,'Data - Monthly Metrics'!B:B,"Jun",'Data - Monthly Metrics'!C:C,"NorthCentral",'Data - Monthly Metrics'!D:D,"Non-Target Locations - Restaurant (#)")+SUMIFS('Data - Monthly Metrics'!E:E,'Data - Monthly Metrics'!A:A,$B$4,'Data - Monthly Metrics'!B:B,"Jun",'Data - Monthly Metrics'!C:C,"NorthCentral",'Data - Monthly Metrics'!D:D,"Non-Target Locations - Lodging (#)"))=0,"-",(SUMIFS('Data - Monthly Metrics'!E:E,'Data - Monthly Metrics'!A:A,$B$4,'Data - Monthly Metrics'!B:B,"Jun",'Data - Monthly Metrics'!C:C,"NorthCentral",'Data - Monthly Metrics'!D:D,"Target Members - Restaurant (#)")+SUMIFS('Data - Monthly Metrics'!E:E,'Data - Monthly Metrics'!A:A,$B$4,'Data - Monthly Metrics'!B:B,"Jun",'Data - Monthly Metrics'!C:C,"NorthCentral",'Data - Monthly Metrics'!D:D,"Target Members - Lodging (#)")+SUMIFS('Data - Monthly Metrics'!E:E,'Data - Monthly Metrics'!A:A,$B$4,'Data - Monthly Metrics'!B:B,"Jun",'Data - Monthly Metrics'!C:C,"NorthCentral",'Data - Monthly Metrics'!D:D,"Non-Target Members - Restaurant (#)")+SUMIFS('Data - Monthly Metrics'!E:E,'Data - Monthly Metrics'!A:A,$B$4,'Data - Monthly Metrics'!B:B,"Jun",'Data - Monthly Metrics'!C:C,"NorthCentral",'Data - Monthly Metrics'!D:D,"Non-Target Members - Lodging (#)"))/(SUMIFS('Data - Monthly Metrics'!E:E,'Data - Monthly Metrics'!A:A,$B$4,'Data - Monthly Metrics'!B:B,"Jun",'Data - Monthly Metrics'!C:C,"NorthCentral",'Data - Monthly Metrics'!D:D,"Total Target Locations - Restaurant (#)")+SUMIFS('Data - Monthly Metrics'!E:E,'Data - Monthly Metrics'!A:A,$B$4,'Data - Monthly Metrics'!B:B,"Jun",'Data - Monthly Metrics'!C:C,"NorthCentral",'Data - Monthly Metrics'!D:D,"Total Target Locations - Lodging (#)")+SUMIFS('Data - Monthly Metrics'!E:E,'Data - Monthly Metrics'!A:A,$B$4,'Data - Monthly Metrics'!B:B,"Jun",'Data - Monthly Metrics'!C:C,"NorthCentral",'Data - Monthly Metrics'!D:D,"Non-Target Locations - Restaurant (#)")+SUMIFS('Data - Monthly Metrics'!E:E,'Data - Monthly Metrics'!A:A,$B$4,'Data - Monthly Metrics'!B:B,"Jun",'Data - Monthly Metrics'!C:C,"NorthCentral",'Data - Monthly Metrics'!D:D,"Non-Target Locations - Lodging (#)")))</f>
        <v/>
      </c>
      <c r="M31" s="116">
        <f>IF(ISNUMBER(L31),L31,IF(ISNUMBER(K31),K31,IF(ISNUMBER(J31),J31,"-")))</f>
        <v/>
      </c>
      <c r="N31" s="115">
        <f>IF((SUMIFS('Data - Monthly Metrics'!E:E,'Data - Monthly Metrics'!A:A,$B$4,'Data - Monthly Metrics'!B:B,"Jul",'Data - Monthly Metrics'!C:C,"NorthCentral",'Data - Monthly Metrics'!D:D,"Total Target Locations - Restaurant (#)")+SUMIFS('Data - Monthly Metrics'!E:E,'Data - Monthly Metrics'!A:A,$B$4,'Data - Monthly Metrics'!B:B,"Jul",'Data - Monthly Metrics'!C:C,"NorthCentral",'Data - Monthly Metrics'!D:D,"Total Target Locations - Lodging (#)")+SUMIFS('Data - Monthly Metrics'!E:E,'Data - Monthly Metrics'!A:A,$B$4,'Data - Monthly Metrics'!B:B,"Jul",'Data - Monthly Metrics'!C:C,"NorthCentral",'Data - Monthly Metrics'!D:D,"Non-Target Locations - Restaurant (#)")+SUMIFS('Data - Monthly Metrics'!E:E,'Data - Monthly Metrics'!A:A,$B$4,'Data - Monthly Metrics'!B:B,"Jul",'Data - Monthly Metrics'!C:C,"NorthCentral",'Data - Monthly Metrics'!D:D,"Non-Target Locations - Lodging (#)"))=0,"-",(SUMIFS('Data - Monthly Metrics'!E:E,'Data - Monthly Metrics'!A:A,$B$4,'Data - Monthly Metrics'!B:B,"Jul",'Data - Monthly Metrics'!C:C,"NorthCentral",'Data - Monthly Metrics'!D:D,"Target Members - Restaurant (#)")+SUMIFS('Data - Monthly Metrics'!E:E,'Data - Monthly Metrics'!A:A,$B$4,'Data - Monthly Metrics'!B:B,"Jul",'Data - Monthly Metrics'!C:C,"NorthCentral",'Data - Monthly Metrics'!D:D,"Target Members - Lodging (#)")+SUMIFS('Data - Monthly Metrics'!E:E,'Data - Monthly Metrics'!A:A,$B$4,'Data - Monthly Metrics'!B:B,"Jul",'Data - Monthly Metrics'!C:C,"NorthCentral",'Data - Monthly Metrics'!D:D,"Non-Target Members - Restaurant (#)")+SUMIFS('Data - Monthly Metrics'!E:E,'Data - Monthly Metrics'!A:A,$B$4,'Data - Monthly Metrics'!B:B,"Jul",'Data - Monthly Metrics'!C:C,"NorthCentral",'Data - Monthly Metrics'!D:D,"Non-Target Members - Lodging (#)"))/(SUMIFS('Data - Monthly Metrics'!E:E,'Data - Monthly Metrics'!A:A,$B$4,'Data - Monthly Metrics'!B:B,"Jul",'Data - Monthly Metrics'!C:C,"NorthCentral",'Data - Monthly Metrics'!D:D,"Total Target Locations - Restaurant (#)")+SUMIFS('Data - Monthly Metrics'!E:E,'Data - Monthly Metrics'!A:A,$B$4,'Data - Monthly Metrics'!B:B,"Jul",'Data - Monthly Metrics'!C:C,"NorthCentral",'Data - Monthly Metrics'!D:D,"Total Target Locations - Lodging (#)")+SUMIFS('Data - Monthly Metrics'!E:E,'Data - Monthly Metrics'!A:A,$B$4,'Data - Monthly Metrics'!B:B,"Jul",'Data - Monthly Metrics'!C:C,"NorthCentral",'Data - Monthly Metrics'!D:D,"Non-Target Locations - Restaurant (#)")+SUMIFS('Data - Monthly Metrics'!E:E,'Data - Monthly Metrics'!A:A,$B$4,'Data - Monthly Metrics'!B:B,"Jul",'Data - Monthly Metrics'!C:C,"NorthCentral",'Data - Monthly Metrics'!D:D,"Non-Target Locations - Lodging (#)")))</f>
        <v/>
      </c>
      <c r="O31" s="115">
        <f>IF((SUMIFS('Data - Monthly Metrics'!E:E,'Data - Monthly Metrics'!A:A,$B$4,'Data - Monthly Metrics'!B:B,"Aug",'Data - Monthly Metrics'!C:C,"NorthCentral",'Data - Monthly Metrics'!D:D,"Total Target Locations - Restaurant (#)")+SUMIFS('Data - Monthly Metrics'!E:E,'Data - Monthly Metrics'!A:A,$B$4,'Data - Monthly Metrics'!B:B,"Aug",'Data - Monthly Metrics'!C:C,"NorthCentral",'Data - Monthly Metrics'!D:D,"Total Target Locations - Lodging (#)")+SUMIFS('Data - Monthly Metrics'!E:E,'Data - Monthly Metrics'!A:A,$B$4,'Data - Monthly Metrics'!B:B,"Aug",'Data - Monthly Metrics'!C:C,"NorthCentral",'Data - Monthly Metrics'!D:D,"Non-Target Locations - Restaurant (#)")+SUMIFS('Data - Monthly Metrics'!E:E,'Data - Monthly Metrics'!A:A,$B$4,'Data - Monthly Metrics'!B:B,"Aug",'Data - Monthly Metrics'!C:C,"NorthCentral",'Data - Monthly Metrics'!D:D,"Non-Target Locations - Lodging (#)"))=0,"-",(SUMIFS('Data - Monthly Metrics'!E:E,'Data - Monthly Metrics'!A:A,$B$4,'Data - Monthly Metrics'!B:B,"Aug",'Data - Monthly Metrics'!C:C,"NorthCentral",'Data - Monthly Metrics'!D:D,"Target Members - Restaurant (#)")+SUMIFS('Data - Monthly Metrics'!E:E,'Data - Monthly Metrics'!A:A,$B$4,'Data - Monthly Metrics'!B:B,"Aug",'Data - Monthly Metrics'!C:C,"NorthCentral",'Data - Monthly Metrics'!D:D,"Target Members - Lodging (#)")+SUMIFS('Data - Monthly Metrics'!E:E,'Data - Monthly Metrics'!A:A,$B$4,'Data - Monthly Metrics'!B:B,"Aug",'Data - Monthly Metrics'!C:C,"NorthCentral",'Data - Monthly Metrics'!D:D,"Non-Target Members - Restaurant (#)")+SUMIFS('Data - Monthly Metrics'!E:E,'Data - Monthly Metrics'!A:A,$B$4,'Data - Monthly Metrics'!B:B,"Aug",'Data - Monthly Metrics'!C:C,"NorthCentral",'Data - Monthly Metrics'!D:D,"Non-Target Members - Lodging (#)"))/(SUMIFS('Data - Monthly Metrics'!E:E,'Data - Monthly Metrics'!A:A,$B$4,'Data - Monthly Metrics'!B:B,"Aug",'Data - Monthly Metrics'!C:C,"NorthCentral",'Data - Monthly Metrics'!D:D,"Total Target Locations - Restaurant (#)")+SUMIFS('Data - Monthly Metrics'!E:E,'Data - Monthly Metrics'!A:A,$B$4,'Data - Monthly Metrics'!B:B,"Aug",'Data - Monthly Metrics'!C:C,"NorthCentral",'Data - Monthly Metrics'!D:D,"Total Target Locations - Lodging (#)")+SUMIFS('Data - Monthly Metrics'!E:E,'Data - Monthly Metrics'!A:A,$B$4,'Data - Monthly Metrics'!B:B,"Aug",'Data - Monthly Metrics'!C:C,"NorthCentral",'Data - Monthly Metrics'!D:D,"Non-Target Locations - Restaurant (#)")+SUMIFS('Data - Monthly Metrics'!E:E,'Data - Monthly Metrics'!A:A,$B$4,'Data - Monthly Metrics'!B:B,"Aug",'Data - Monthly Metrics'!C:C,"NorthCentral",'Data - Monthly Metrics'!D:D,"Non-Target Locations - Lodging (#)")))</f>
        <v/>
      </c>
      <c r="P31" s="115">
        <f>IF((SUMIFS('Data - Monthly Metrics'!E:E,'Data - Monthly Metrics'!A:A,$B$4,'Data - Monthly Metrics'!B:B,"Sep",'Data - Monthly Metrics'!C:C,"NorthCentral",'Data - Monthly Metrics'!D:D,"Total Target Locations - Restaurant (#)")+SUMIFS('Data - Monthly Metrics'!E:E,'Data - Monthly Metrics'!A:A,$B$4,'Data - Monthly Metrics'!B:B,"Sep",'Data - Monthly Metrics'!C:C,"NorthCentral",'Data - Monthly Metrics'!D:D,"Total Target Locations - Lodging (#)")+SUMIFS('Data - Monthly Metrics'!E:E,'Data - Monthly Metrics'!A:A,$B$4,'Data - Monthly Metrics'!B:B,"Sep",'Data - Monthly Metrics'!C:C,"NorthCentral",'Data - Monthly Metrics'!D:D,"Non-Target Locations - Restaurant (#)")+SUMIFS('Data - Monthly Metrics'!E:E,'Data - Monthly Metrics'!A:A,$B$4,'Data - Monthly Metrics'!B:B,"Sep",'Data - Monthly Metrics'!C:C,"NorthCentral",'Data - Monthly Metrics'!D:D,"Non-Target Locations - Lodging (#)"))=0,"-",(SUMIFS('Data - Monthly Metrics'!E:E,'Data - Monthly Metrics'!A:A,$B$4,'Data - Monthly Metrics'!B:B,"Sep",'Data - Monthly Metrics'!C:C,"NorthCentral",'Data - Monthly Metrics'!D:D,"Target Members - Restaurant (#)")+SUMIFS('Data - Monthly Metrics'!E:E,'Data - Monthly Metrics'!A:A,$B$4,'Data - Monthly Metrics'!B:B,"Sep",'Data - Monthly Metrics'!C:C,"NorthCentral",'Data - Monthly Metrics'!D:D,"Target Members - Lodging (#)")+SUMIFS('Data - Monthly Metrics'!E:E,'Data - Monthly Metrics'!A:A,$B$4,'Data - Monthly Metrics'!B:B,"Sep",'Data - Monthly Metrics'!C:C,"NorthCentral",'Data - Monthly Metrics'!D:D,"Non-Target Members - Restaurant (#)")+SUMIFS('Data - Monthly Metrics'!E:E,'Data - Monthly Metrics'!A:A,$B$4,'Data - Monthly Metrics'!B:B,"Sep",'Data - Monthly Metrics'!C:C,"NorthCentral",'Data - Monthly Metrics'!D:D,"Non-Target Members - Lodging (#)"))/(SUMIFS('Data - Monthly Metrics'!E:E,'Data - Monthly Metrics'!A:A,$B$4,'Data - Monthly Metrics'!B:B,"Sep",'Data - Monthly Metrics'!C:C,"NorthCentral",'Data - Monthly Metrics'!D:D,"Total Target Locations - Restaurant (#)")+SUMIFS('Data - Monthly Metrics'!E:E,'Data - Monthly Metrics'!A:A,$B$4,'Data - Monthly Metrics'!B:B,"Sep",'Data - Monthly Metrics'!C:C,"NorthCentral",'Data - Monthly Metrics'!D:D,"Total Target Locations - Lodging (#)")+SUMIFS('Data - Monthly Metrics'!E:E,'Data - Monthly Metrics'!A:A,$B$4,'Data - Monthly Metrics'!B:B,"Sep",'Data - Monthly Metrics'!C:C,"NorthCentral",'Data - Monthly Metrics'!D:D,"Non-Target Locations - Restaurant (#)")+SUMIFS('Data - Monthly Metrics'!E:E,'Data - Monthly Metrics'!A:A,$B$4,'Data - Monthly Metrics'!B:B,"Sep",'Data - Monthly Metrics'!C:C,"NorthCentral",'Data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Metrics'!C:C,"NorthCentral",'Data - Monthly Metrics'!D:D,"Goal - New Sales Revenue ($)")=0,"-",SUMIFS('Data - Monthly Metrics'!E:E,'Data - Monthly Metrics'!A:A,$B$4-1,'Data - Monthly Metrics'!B:B,"Oct",'Data - Monthly Metrics'!C:C,"NorthCentral",'Data - Monthly Metrics'!D:D,"Goal - New Sales Revenue ($)"))</f>
        <v/>
      </c>
      <c r="C37" s="91">
        <f>IF(COUNTIFS('Data - Monthly Metrics'!A:A,$B$4-1,'Data - Monthly Metrics'!B:B,"Nov",'Data - Monthly Metrics'!C:C,"NorthCentral",'Data - Monthly Metrics'!D:D,"Goal - New Sales Revenue ($)")=0,"-",SUMIFS('Data - Monthly Metrics'!E:E,'Data - Monthly Metrics'!A:A,$B$4-1,'Data - Monthly Metrics'!B:B,"Nov",'Data - Monthly Metrics'!C:C,"NorthCentral",'Data - Monthly Metrics'!D:D,"Goal - New Sales Revenue ($)"))</f>
        <v/>
      </c>
      <c r="D37" s="91">
        <f>IF(COUNTIFS('Data - Monthly Metrics'!A:A,$B$4-1,'Data - Monthly Metrics'!B:B,"Dec",'Data - Monthly Metrics'!C:C,"NorthCentral",'Data - Monthly Metrics'!D:D,"Goal - New Sales Revenue ($)")=0,"-",SUMIFS('Data - Monthly Metrics'!E:E,'Data - Monthly Metrics'!A:A,$B$4-1,'Data - Monthly Metrics'!B:B,"Dec",'Data - Monthly Metrics'!C:C,"NorthCentral",'Data - Monthly Metrics'!D:D,"Goal - New Sales Revenue ($)"))</f>
        <v/>
      </c>
      <c r="E37" s="101">
        <f>SUM(B37,C37,D37)</f>
        <v/>
      </c>
      <c r="F37" s="91">
        <f>IF(COUNTIFS('Data - Monthly Metrics'!A:A,$B$4,'Data - Monthly Metrics'!B:B,"Jan",'Data - Monthly Metrics'!C:C,"NorthCentral",'Data - Monthly Metrics'!D:D,"Goal - New Sales Revenue ($)")=0,"-",SUMIFS('Data - Monthly Metrics'!E:E,'Data - Monthly Metrics'!A:A,$B$4,'Data - Monthly Metrics'!B:B,"Jan",'Data - Monthly Metrics'!C:C,"NorthCentral",'Data - Monthly Metrics'!D:D,"Goal - New Sales Revenue ($)"))</f>
        <v/>
      </c>
      <c r="G37" s="91">
        <f>IF(COUNTIFS('Data - Monthly Metrics'!A:A,$B$4,'Data - Monthly Metrics'!B:B,"Feb",'Data - Monthly Metrics'!C:C,"NorthCentral",'Data - Monthly Metrics'!D:D,"Goal - New Sales Revenue ($)")=0,"-",SUMIFS('Data - Monthly Metrics'!E:E,'Data - Monthly Metrics'!A:A,$B$4,'Data - Monthly Metrics'!B:B,"Feb",'Data - Monthly Metrics'!C:C,"NorthCentral",'Data - Monthly Metrics'!D:D,"Goal - New Sales Revenue ($)"))</f>
        <v/>
      </c>
      <c r="H37" s="91">
        <f>IF(COUNTIFS('Data - Monthly Metrics'!A:A,$B$4,'Data - Monthly Metrics'!B:B,"Mar",'Data - Monthly Metrics'!C:C,"NorthCentral",'Data - Monthly Metrics'!D:D,"Goal - New Sales Revenue ($)")=0,"-",SUMIFS('Data - Monthly Metrics'!E:E,'Data - Monthly Metrics'!A:A,$B$4,'Data - Monthly Metrics'!B:B,"Mar",'Data - Monthly Metrics'!C:C,"NorthCentral",'Data - Monthly Metrics'!D:D,"Goal - New Sales Revenue ($)"))</f>
        <v/>
      </c>
      <c r="I37" s="101">
        <f>SUM(F37,G37,H37)</f>
        <v/>
      </c>
      <c r="J37" s="91">
        <f>IF(COUNTIFS('Data - Monthly Metrics'!A:A,$B$4,'Data - Monthly Metrics'!B:B,"Apr",'Data - Monthly Metrics'!C:C,"NorthCentral",'Data - Monthly Metrics'!D:D,"Goal - New Sales Revenue ($)")=0,"-",SUMIFS('Data - Monthly Metrics'!E:E,'Data - Monthly Metrics'!A:A,$B$4,'Data - Monthly Metrics'!B:B,"Apr",'Data - Monthly Metrics'!C:C,"NorthCentral",'Data - Monthly Metrics'!D:D,"Goal - New Sales Revenue ($)"))</f>
        <v/>
      </c>
      <c r="K37" s="91">
        <f>IF(COUNTIFS('Data - Monthly Metrics'!A:A,$B$4,'Data - Monthly Metrics'!B:B,"May",'Data - Monthly Metrics'!C:C,"NorthCentral",'Data - Monthly Metrics'!D:D,"Goal - New Sales Revenue ($)")=0,"-",SUMIFS('Data - Monthly Metrics'!E:E,'Data - Monthly Metrics'!A:A,$B$4,'Data - Monthly Metrics'!B:B,"May",'Data - Monthly Metrics'!C:C,"NorthCentral",'Data - Monthly Metrics'!D:D,"Goal - New Sales Revenue ($)"))</f>
        <v/>
      </c>
      <c r="L37" s="91">
        <f>IF(COUNTIFS('Data - Monthly Metrics'!A:A,$B$4,'Data - Monthly Metrics'!B:B,"Jun",'Data - Monthly Metrics'!C:C,"NorthCentral",'Data - Monthly Metrics'!D:D,"Goal - New Sales Revenue ($)")=0,"-",SUMIFS('Data - Monthly Metrics'!E:E,'Data - Monthly Metrics'!A:A,$B$4,'Data - Monthly Metrics'!B:B,"Jun",'Data - Monthly Metrics'!C:C,"NorthCentral",'Data - Monthly Metrics'!D:D,"Goal - New Sales Revenue ($)"))</f>
        <v/>
      </c>
      <c r="M37" s="101">
        <f>SUM(J37,K37,L37)</f>
        <v/>
      </c>
      <c r="N37" s="91">
        <f>IF(COUNTIFS('Data - Monthly Metrics'!A:A,$B$4,'Data - Monthly Metrics'!B:B,"Jul",'Data - Monthly Metrics'!C:C,"NorthCentral",'Data - Monthly Metrics'!D:D,"Goal - New Sales Revenue ($)")=0,"-",SUMIFS('Data - Monthly Metrics'!E:E,'Data - Monthly Metrics'!A:A,$B$4,'Data - Monthly Metrics'!B:B,"Jul",'Data - Monthly Metrics'!C:C,"NorthCentral",'Data - Monthly Metrics'!D:D,"Goal - New Sales Revenue ($)"))</f>
        <v/>
      </c>
      <c r="O37" s="91">
        <f>IF(COUNTIFS('Data - Monthly Metrics'!A:A,$B$4,'Data - Monthly Metrics'!B:B,"Aug",'Data - Monthly Metrics'!C:C,"NorthCentral",'Data - Monthly Metrics'!D:D,"Goal - New Sales Revenue ($)")=0,"-",SUMIFS('Data - Monthly Metrics'!E:E,'Data - Monthly Metrics'!A:A,$B$4,'Data - Monthly Metrics'!B:B,"Aug",'Data - Monthly Metrics'!C:C,"NorthCentral",'Data - Monthly Metrics'!D:D,"Goal - New Sales Revenue ($)"))</f>
        <v/>
      </c>
      <c r="P37" s="91">
        <f>IF(COUNTIFS('Data - Monthly Metrics'!A:A,$B$4,'Data - Monthly Metrics'!B:B,"Sep",'Data - Monthly Metrics'!C:C,"NorthCentral",'Data - Monthly Metrics'!D:D,"Goal - New Sales Revenue ($)")=0,"-",SUMIFS('Data - Monthly Metrics'!E:E,'Data - Monthly Metrics'!A:A,$B$4,'Data - Monthly Metrics'!B:B,"Sep",'Data - Monthly Metrics'!C:C,"NorthCentral",'Data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Metrics'!C:C,"NorthCentral",'Data - Monthly Metrics'!D:D,"New Sales Revenue - Target ($)")=0,"-",SUMIFS('Data - Monthly Metrics'!E:E,'Data - Monthly Metrics'!A:A,$B$4-1,'Data - Monthly Metrics'!B:B,"Oct",'Data - Monthly Metrics'!C:C,"NorthCentral",'Data - Monthly Metrics'!D:D,"New Sales Revenue - Target ($)"))</f>
        <v/>
      </c>
      <c r="C38" s="96">
        <f>IF(COUNTIFS('Data - Monthly Metrics'!A:A,$B$4-1,'Data - Monthly Metrics'!B:B,"Nov",'Data - Monthly Metrics'!C:C,"NorthCentral",'Data - Monthly Metrics'!D:D,"New Sales Revenue - Target ($)")=0,"-",SUMIFS('Data - Monthly Metrics'!E:E,'Data - Monthly Metrics'!A:A,$B$4-1,'Data - Monthly Metrics'!B:B,"Nov",'Data - Monthly Metrics'!C:C,"NorthCentral",'Data - Monthly Metrics'!D:D,"New Sales Revenue - Target ($)"))</f>
        <v/>
      </c>
      <c r="D38" s="96">
        <f>IF(COUNTIFS('Data - Monthly Metrics'!A:A,$B$4-1,'Data - Monthly Metrics'!B:B,"Dec",'Data - Monthly Metrics'!C:C,"NorthCentral",'Data - Monthly Metrics'!D:D,"New Sales Revenue - Target ($)")=0,"-",SUMIFS('Data - Monthly Metrics'!E:E,'Data - Monthly Metrics'!A:A,$B$4-1,'Data - Monthly Metrics'!B:B,"Dec",'Data - Monthly Metrics'!C:C,"NorthCentral",'Data - Monthly Metrics'!D:D,"New Sales Revenue - Target ($)"))</f>
        <v/>
      </c>
      <c r="E38" s="101">
        <f>SUM(B38,C38,D38)</f>
        <v/>
      </c>
      <c r="F38" s="96">
        <f>IF(COUNTIFS('Data - Monthly Metrics'!A:A,$B$4,'Data - Monthly Metrics'!B:B,"Jan",'Data - Monthly Metrics'!C:C,"NorthCentral",'Data - Monthly Metrics'!D:D,"New Sales Revenue - Target ($)")=0,"-",SUMIFS('Data - Monthly Metrics'!E:E,'Data - Monthly Metrics'!A:A,$B$4,'Data - Monthly Metrics'!B:B,"Jan",'Data - Monthly Metrics'!C:C,"NorthCentral",'Data - Monthly Metrics'!D:D,"New Sales Revenue - Target ($)"))</f>
        <v/>
      </c>
      <c r="G38" s="96">
        <f>IF(COUNTIFS('Data - Monthly Metrics'!A:A,$B$4,'Data - Monthly Metrics'!B:B,"Feb",'Data - Monthly Metrics'!C:C,"NorthCentral",'Data - Monthly Metrics'!D:D,"New Sales Revenue - Target ($)")=0,"-",SUMIFS('Data - Monthly Metrics'!E:E,'Data - Monthly Metrics'!A:A,$B$4,'Data - Monthly Metrics'!B:B,"Feb",'Data - Monthly Metrics'!C:C,"NorthCentral",'Data - Monthly Metrics'!D:D,"New Sales Revenue - Target ($)"))</f>
        <v/>
      </c>
      <c r="H38" s="96">
        <f>IF(COUNTIFS('Data - Monthly Metrics'!A:A,$B$4,'Data - Monthly Metrics'!B:B,"Mar",'Data - Monthly Metrics'!C:C,"NorthCentral",'Data - Monthly Metrics'!D:D,"New Sales Revenue - Target ($)")=0,"-",SUMIFS('Data - Monthly Metrics'!E:E,'Data - Monthly Metrics'!A:A,$B$4,'Data - Monthly Metrics'!B:B,"Mar",'Data - Monthly Metrics'!C:C,"NorthCentral",'Data - Monthly Metrics'!D:D,"New Sales Revenue - Target ($)"))</f>
        <v/>
      </c>
      <c r="I38" s="101">
        <f>SUM(F38,G38,H38)</f>
        <v/>
      </c>
      <c r="J38" s="96">
        <f>IF(COUNTIFS('Data - Monthly Metrics'!A:A,$B$4,'Data - Monthly Metrics'!B:B,"Apr",'Data - Monthly Metrics'!C:C,"NorthCentral",'Data - Monthly Metrics'!D:D,"New Sales Revenue - Target ($)")=0,"-",SUMIFS('Data - Monthly Metrics'!E:E,'Data - Monthly Metrics'!A:A,$B$4,'Data - Monthly Metrics'!B:B,"Apr",'Data - Monthly Metrics'!C:C,"NorthCentral",'Data - Monthly Metrics'!D:D,"New Sales Revenue - Target ($)"))</f>
        <v/>
      </c>
      <c r="K38" s="96">
        <f>IF(COUNTIFS('Data - Monthly Metrics'!A:A,$B$4,'Data - Monthly Metrics'!B:B,"May",'Data - Monthly Metrics'!C:C,"NorthCentral",'Data - Monthly Metrics'!D:D,"New Sales Revenue - Target ($)")=0,"-",SUMIFS('Data - Monthly Metrics'!E:E,'Data - Monthly Metrics'!A:A,$B$4,'Data - Monthly Metrics'!B:B,"May",'Data - Monthly Metrics'!C:C,"NorthCentral",'Data - Monthly Metrics'!D:D,"New Sales Revenue - Target ($)"))</f>
        <v/>
      </c>
      <c r="L38" s="96">
        <f>IF(COUNTIFS('Data - Monthly Metrics'!A:A,$B$4,'Data - Monthly Metrics'!B:B,"Jun",'Data - Monthly Metrics'!C:C,"NorthCentral",'Data - Monthly Metrics'!D:D,"New Sales Revenue - Target ($)")=0,"-",SUMIFS('Data - Monthly Metrics'!E:E,'Data - Monthly Metrics'!A:A,$B$4,'Data - Monthly Metrics'!B:B,"Jun",'Data - Monthly Metrics'!C:C,"NorthCentral",'Data - Monthly Metrics'!D:D,"New Sales Revenue - Target ($)"))</f>
        <v/>
      </c>
      <c r="M38" s="101">
        <f>SUM(J38,K38,L38)</f>
        <v/>
      </c>
      <c r="N38" s="96">
        <f>IF(COUNTIFS('Data - Monthly Metrics'!A:A,$B$4,'Data - Monthly Metrics'!B:B,"Jul",'Data - Monthly Metrics'!C:C,"NorthCentral",'Data - Monthly Metrics'!D:D,"New Sales Revenue - Target ($)")=0,"-",SUMIFS('Data - Monthly Metrics'!E:E,'Data - Monthly Metrics'!A:A,$B$4,'Data - Monthly Metrics'!B:B,"Jul",'Data - Monthly Metrics'!C:C,"NorthCentral",'Data - Monthly Metrics'!D:D,"New Sales Revenue - Target ($)"))</f>
        <v/>
      </c>
      <c r="O38" s="96">
        <f>IF(COUNTIFS('Data - Monthly Metrics'!A:A,$B$4,'Data - Monthly Metrics'!B:B,"Aug",'Data - Monthly Metrics'!C:C,"NorthCentral",'Data - Monthly Metrics'!D:D,"New Sales Revenue - Target ($)")=0,"-",SUMIFS('Data - Monthly Metrics'!E:E,'Data - Monthly Metrics'!A:A,$B$4,'Data - Monthly Metrics'!B:B,"Aug",'Data - Monthly Metrics'!C:C,"NorthCentral",'Data - Monthly Metrics'!D:D,"New Sales Revenue - Target ($)"))</f>
        <v/>
      </c>
      <c r="P38" s="96">
        <f>IF(COUNTIFS('Data - Monthly Metrics'!A:A,$B$4,'Data - Monthly Metrics'!B:B,"Sep",'Data - Monthly Metrics'!C:C,"NorthCentral",'Data - Monthly Metrics'!D:D,"New Sales Revenue - Target ($)")=0,"-",SUMIFS('Data - Monthly Metrics'!E:E,'Data - Monthly Metrics'!A:A,$B$4,'Data - Monthly Metrics'!B:B,"Sep",'Data - Monthly Metrics'!C:C,"NorthCentral",'Data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Metrics'!C:C,"NorthCentral",'Data - Monthly Metrics'!D:D,"Goal - New Members (#)")=0,"-",SUMIFS('Data - Monthly Metrics'!E:E,'Data - Monthly Metrics'!A:A,$B$4-1,'Data - Monthly Metrics'!B:B,"Oct",'Data - Monthly Metrics'!C:C,"NorthCentral",'Data - Monthly Metrics'!D:D,"Goal - New Members (#)"))</f>
        <v/>
      </c>
      <c r="C41" s="93">
        <f>IF(COUNTIFS('Data - Monthly Metrics'!A:A,$B$4-1,'Data - Monthly Metrics'!B:B,"Nov",'Data - Monthly Metrics'!C:C,"NorthCentral",'Data - Monthly Metrics'!D:D,"Goal - New Members (#)")=0,"-",SUMIFS('Data - Monthly Metrics'!E:E,'Data - Monthly Metrics'!A:A,$B$4-1,'Data - Monthly Metrics'!B:B,"Nov",'Data - Monthly Metrics'!C:C,"NorthCentral",'Data - Monthly Metrics'!D:D,"Goal - New Members (#)"))</f>
        <v/>
      </c>
      <c r="D41" s="93">
        <f>IF(COUNTIFS('Data - Monthly Metrics'!A:A,$B$4-1,'Data - Monthly Metrics'!B:B,"Dec",'Data - Monthly Metrics'!C:C,"NorthCentral",'Data - Monthly Metrics'!D:D,"Goal - New Members (#)")=0,"-",SUMIFS('Data - Monthly Metrics'!E:E,'Data - Monthly Metrics'!A:A,$B$4-1,'Data - Monthly Metrics'!B:B,"Dec",'Data - Monthly Metrics'!C:C,"NorthCentral",'Data - Monthly Metrics'!D:D,"Goal - New Members (#)"))</f>
        <v/>
      </c>
      <c r="E41" s="103">
        <f>SUM(B41,C41,D41)</f>
        <v/>
      </c>
      <c r="F41" s="93">
        <f>IF(COUNTIFS('Data - Monthly Metrics'!A:A,$B$4,'Data - Monthly Metrics'!B:B,"Jan",'Data - Monthly Metrics'!C:C,"NorthCentral",'Data - Monthly Metrics'!D:D,"Goal - New Members (#)")=0,"-",SUMIFS('Data - Monthly Metrics'!E:E,'Data - Monthly Metrics'!A:A,$B$4,'Data - Monthly Metrics'!B:B,"Jan",'Data - Monthly Metrics'!C:C,"NorthCentral",'Data - Monthly Metrics'!D:D,"Goal - New Members (#)"))</f>
        <v/>
      </c>
      <c r="G41" s="93">
        <f>IF(COUNTIFS('Data - Monthly Metrics'!A:A,$B$4,'Data - Monthly Metrics'!B:B,"Feb",'Data - Monthly Metrics'!C:C,"NorthCentral",'Data - Monthly Metrics'!D:D,"Goal - New Members (#)")=0,"-",SUMIFS('Data - Monthly Metrics'!E:E,'Data - Monthly Metrics'!A:A,$B$4,'Data - Monthly Metrics'!B:B,"Feb",'Data - Monthly Metrics'!C:C,"NorthCentral",'Data - Monthly Metrics'!D:D,"Goal - New Members (#)"))</f>
        <v/>
      </c>
      <c r="H41" s="93">
        <f>IF(COUNTIFS('Data - Monthly Metrics'!A:A,$B$4,'Data - Monthly Metrics'!B:B,"Mar",'Data - Monthly Metrics'!C:C,"NorthCentral",'Data - Monthly Metrics'!D:D,"Goal - New Members (#)")=0,"-",SUMIFS('Data - Monthly Metrics'!E:E,'Data - Monthly Metrics'!A:A,$B$4,'Data - Monthly Metrics'!B:B,"Mar",'Data - Monthly Metrics'!C:C,"NorthCentral",'Data - Monthly Metrics'!D:D,"Goal - New Members (#)"))</f>
        <v/>
      </c>
      <c r="I41" s="103">
        <f>SUM(F41,G41,H41)</f>
        <v/>
      </c>
      <c r="J41" s="93">
        <f>IF(COUNTIFS('Data - Monthly Metrics'!A:A,$B$4,'Data - Monthly Metrics'!B:B,"Apr",'Data - Monthly Metrics'!C:C,"NorthCentral",'Data - Monthly Metrics'!D:D,"Goal - New Members (#)")=0,"-",SUMIFS('Data - Monthly Metrics'!E:E,'Data - Monthly Metrics'!A:A,$B$4,'Data - Monthly Metrics'!B:B,"Apr",'Data - Monthly Metrics'!C:C,"NorthCentral",'Data - Monthly Metrics'!D:D,"Goal - New Members (#)"))</f>
        <v/>
      </c>
      <c r="K41" s="93">
        <f>IF(COUNTIFS('Data - Monthly Metrics'!A:A,$B$4,'Data - Monthly Metrics'!B:B,"May",'Data - Monthly Metrics'!C:C,"NorthCentral",'Data - Monthly Metrics'!D:D,"Goal - New Members (#)")=0,"-",SUMIFS('Data - Monthly Metrics'!E:E,'Data - Monthly Metrics'!A:A,$B$4,'Data - Monthly Metrics'!B:B,"May",'Data - Monthly Metrics'!C:C,"NorthCentral",'Data - Monthly Metrics'!D:D,"Goal - New Members (#)"))</f>
        <v/>
      </c>
      <c r="L41" s="93">
        <f>IF(COUNTIFS('Data - Monthly Metrics'!A:A,$B$4,'Data - Monthly Metrics'!B:B,"Jun",'Data - Monthly Metrics'!C:C,"NorthCentral",'Data - Monthly Metrics'!D:D,"Goal - New Members (#)")=0,"-",SUMIFS('Data - Monthly Metrics'!E:E,'Data - Monthly Metrics'!A:A,$B$4,'Data - Monthly Metrics'!B:B,"Jun",'Data - Monthly Metrics'!C:C,"NorthCentral",'Data - Monthly Metrics'!D:D,"Goal - New Members (#)"))</f>
        <v/>
      </c>
      <c r="M41" s="103">
        <f>SUM(J41,K41,L41)</f>
        <v/>
      </c>
      <c r="N41" s="93">
        <f>IF(COUNTIFS('Data - Monthly Metrics'!A:A,$B$4,'Data - Monthly Metrics'!B:B,"Jul",'Data - Monthly Metrics'!C:C,"NorthCentral",'Data - Monthly Metrics'!D:D,"Goal - New Members (#)")=0,"-",SUMIFS('Data - Monthly Metrics'!E:E,'Data - Monthly Metrics'!A:A,$B$4,'Data - Monthly Metrics'!B:B,"Jul",'Data - Monthly Metrics'!C:C,"NorthCentral",'Data - Monthly Metrics'!D:D,"Goal - New Members (#)"))</f>
        <v/>
      </c>
      <c r="O41" s="93">
        <f>IF(COUNTIFS('Data - Monthly Metrics'!A:A,$B$4,'Data - Monthly Metrics'!B:B,"Aug",'Data - Monthly Metrics'!C:C,"NorthCentral",'Data - Monthly Metrics'!D:D,"Goal - New Members (#)")=0,"-",SUMIFS('Data - Monthly Metrics'!E:E,'Data - Monthly Metrics'!A:A,$B$4,'Data - Monthly Metrics'!B:B,"Aug",'Data - Monthly Metrics'!C:C,"NorthCentral",'Data - Monthly Metrics'!D:D,"Goal - New Members (#)"))</f>
        <v/>
      </c>
      <c r="P41" s="93">
        <f>IF(COUNTIFS('Data - Monthly Metrics'!A:A,$B$4,'Data - Monthly Metrics'!B:B,"Sep",'Data - Monthly Metrics'!C:C,"NorthCentral",'Data - Monthly Metrics'!D:D,"Goal - New Members (#)")=0,"-",SUMIFS('Data - Monthly Metrics'!E:E,'Data - Monthly Metrics'!A:A,$B$4,'Data - Monthly Metrics'!B:B,"Sep",'Data - Monthly Metrics'!C:C,"NorthCentral",'Data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Metrics'!C:C,"NorthCentral",'Data - Monthly Metrics'!D:D,"New Members - Target (#)")=0,"-",SUMIFS('Data - Monthly Metrics'!E:E,'Data - Monthly Metrics'!A:A,$B$4-1,'Data - Monthly Metrics'!B:B,"Oct",'Data - Monthly Metrics'!C:C,"NorthCentral",'Data - Monthly Metrics'!D:D,"New Members - Target (#)"))</f>
        <v/>
      </c>
      <c r="C42" s="98">
        <f>IF(COUNTIFS('Data - Monthly Metrics'!A:A,$B$4-1,'Data - Monthly Metrics'!B:B,"Nov",'Data - Monthly Metrics'!C:C,"NorthCentral",'Data - Monthly Metrics'!D:D,"New Members - Target (#)")=0,"-",SUMIFS('Data - Monthly Metrics'!E:E,'Data - Monthly Metrics'!A:A,$B$4-1,'Data - Monthly Metrics'!B:B,"Nov",'Data - Monthly Metrics'!C:C,"NorthCentral",'Data - Monthly Metrics'!D:D,"New Members - Target (#)"))</f>
        <v/>
      </c>
      <c r="D42" s="98">
        <f>IF(COUNTIFS('Data - Monthly Metrics'!A:A,$B$4-1,'Data - Monthly Metrics'!B:B,"Dec",'Data - Monthly Metrics'!C:C,"NorthCentral",'Data - Monthly Metrics'!D:D,"New Members - Target (#)")=0,"-",SUMIFS('Data - Monthly Metrics'!E:E,'Data - Monthly Metrics'!A:A,$B$4-1,'Data - Monthly Metrics'!B:B,"Dec",'Data - Monthly Metrics'!C:C,"NorthCentral",'Data - Monthly Metrics'!D:D,"New Members - Target (#)"))</f>
        <v/>
      </c>
      <c r="E42" s="103">
        <f>SUM(B42,C42,D42)</f>
        <v/>
      </c>
      <c r="F42" s="98">
        <f>IF(COUNTIFS('Data - Monthly Metrics'!A:A,$B$4,'Data - Monthly Metrics'!B:B,"Jan",'Data - Monthly Metrics'!C:C,"NorthCentral",'Data - Monthly Metrics'!D:D,"New Members - Target (#)")=0,"-",SUMIFS('Data - Monthly Metrics'!E:E,'Data - Monthly Metrics'!A:A,$B$4,'Data - Monthly Metrics'!B:B,"Jan",'Data - Monthly Metrics'!C:C,"NorthCentral",'Data - Monthly Metrics'!D:D,"New Members - Target (#)"))</f>
        <v/>
      </c>
      <c r="G42" s="98">
        <f>IF(COUNTIFS('Data - Monthly Metrics'!A:A,$B$4,'Data - Monthly Metrics'!B:B,"Feb",'Data - Monthly Metrics'!C:C,"NorthCentral",'Data - Monthly Metrics'!D:D,"New Members - Target (#)")=0,"-",SUMIFS('Data - Monthly Metrics'!E:E,'Data - Monthly Metrics'!A:A,$B$4,'Data - Monthly Metrics'!B:B,"Feb",'Data - Monthly Metrics'!C:C,"NorthCentral",'Data - Monthly Metrics'!D:D,"New Members - Target (#)"))</f>
        <v/>
      </c>
      <c r="H42" s="98">
        <f>IF(COUNTIFS('Data - Monthly Metrics'!A:A,$B$4,'Data - Monthly Metrics'!B:B,"Mar",'Data - Monthly Metrics'!C:C,"NorthCentral",'Data - Monthly Metrics'!D:D,"New Members - Target (#)")=0,"-",SUMIFS('Data - Monthly Metrics'!E:E,'Data - Monthly Metrics'!A:A,$B$4,'Data - Monthly Metrics'!B:B,"Mar",'Data - Monthly Metrics'!C:C,"NorthCentral",'Data - Monthly Metrics'!D:D,"New Members - Target (#)"))</f>
        <v/>
      </c>
      <c r="I42" s="103">
        <f>SUM(F42,G42,H42)</f>
        <v/>
      </c>
      <c r="J42" s="98">
        <f>IF(COUNTIFS('Data - Monthly Metrics'!A:A,$B$4,'Data - Monthly Metrics'!B:B,"Apr",'Data - Monthly Metrics'!C:C,"NorthCentral",'Data - Monthly Metrics'!D:D,"New Members - Target (#)")=0,"-",SUMIFS('Data - Monthly Metrics'!E:E,'Data - Monthly Metrics'!A:A,$B$4,'Data - Monthly Metrics'!B:B,"Apr",'Data - Monthly Metrics'!C:C,"NorthCentral",'Data - Monthly Metrics'!D:D,"New Members - Target (#)"))</f>
        <v/>
      </c>
      <c r="K42" s="98">
        <f>IF(COUNTIFS('Data - Monthly Metrics'!A:A,$B$4,'Data - Monthly Metrics'!B:B,"May",'Data - Monthly Metrics'!C:C,"NorthCentral",'Data - Monthly Metrics'!D:D,"New Members - Target (#)")=0,"-",SUMIFS('Data - Monthly Metrics'!E:E,'Data - Monthly Metrics'!A:A,$B$4,'Data - Monthly Metrics'!B:B,"May",'Data - Monthly Metrics'!C:C,"NorthCentral",'Data - Monthly Metrics'!D:D,"New Members - Target (#)"))</f>
        <v/>
      </c>
      <c r="L42" s="98">
        <f>IF(COUNTIFS('Data - Monthly Metrics'!A:A,$B$4,'Data - Monthly Metrics'!B:B,"Jun",'Data - Monthly Metrics'!C:C,"NorthCentral",'Data - Monthly Metrics'!D:D,"New Members - Target (#)")=0,"-",SUMIFS('Data - Monthly Metrics'!E:E,'Data - Monthly Metrics'!A:A,$B$4,'Data - Monthly Metrics'!B:B,"Jun",'Data - Monthly Metrics'!C:C,"NorthCentral",'Data - Monthly Metrics'!D:D,"New Members - Target (#)"))</f>
        <v/>
      </c>
      <c r="M42" s="103">
        <f>SUM(J42,K42,L42)</f>
        <v/>
      </c>
      <c r="N42" s="98">
        <f>IF(COUNTIFS('Data - Monthly Metrics'!A:A,$B$4,'Data - Monthly Metrics'!B:B,"Jul",'Data - Monthly Metrics'!C:C,"NorthCentral",'Data - Monthly Metrics'!D:D,"New Members - Target (#)")=0,"-",SUMIFS('Data - Monthly Metrics'!E:E,'Data - Monthly Metrics'!A:A,$B$4,'Data - Monthly Metrics'!B:B,"Jul",'Data - Monthly Metrics'!C:C,"NorthCentral",'Data - Monthly Metrics'!D:D,"New Members - Target (#)"))</f>
        <v/>
      </c>
      <c r="O42" s="98">
        <f>IF(COUNTIFS('Data - Monthly Metrics'!A:A,$B$4,'Data - Monthly Metrics'!B:B,"Aug",'Data - Monthly Metrics'!C:C,"NorthCentral",'Data - Monthly Metrics'!D:D,"New Members - Target (#)")=0,"-",SUMIFS('Data - Monthly Metrics'!E:E,'Data - Monthly Metrics'!A:A,$B$4,'Data - Monthly Metrics'!B:B,"Aug",'Data - Monthly Metrics'!C:C,"NorthCentral",'Data - Monthly Metrics'!D:D,"New Members - Target (#)"))</f>
        <v/>
      </c>
      <c r="P42" s="98">
        <f>IF(COUNTIFS('Data - Monthly Metrics'!A:A,$B$4,'Data - Monthly Metrics'!B:B,"Sep",'Data - Monthly Metrics'!C:C,"NorthCentral",'Data - Monthly Metrics'!D:D,"New Members - Target (#)")=0,"-",SUMIFS('Data - Monthly Metrics'!E:E,'Data - Monthly Metrics'!A:A,$B$4,'Data - Monthly Metrics'!B:B,"Sep",'Data - Monthly Metrics'!C:C,"NorthCentral",'Data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Metrics'!C:C,"NorthCentral",'Data - Monthly Metrics'!D:D,"Billables - Hospitality Target (#)")=0,"-",SUMIFS('Data - Monthly Metrics'!E:E,'Data - Monthly Metrics'!A:A,$B$4-1,'Data - Monthly Metrics'!B:B,"Oct",'Data - Monthly Metrics'!C:C,"NorthCentral",'Data - Monthly Metrics'!D:D,"Billables - Hospitality Target (#)"))</f>
        <v/>
      </c>
      <c r="C46" s="93">
        <f>IF(COUNTIFS('Data - Monthly Metrics'!A:A,$B$4-1,'Data - Monthly Metrics'!B:B,"Nov",'Data - Monthly Metrics'!C:C,"NorthCentral",'Data - Monthly Metrics'!D:D,"Billables - Hospitality Target (#)")=0,"-",SUMIFS('Data - Monthly Metrics'!E:E,'Data - Monthly Metrics'!A:A,$B$4-1,'Data - Monthly Metrics'!B:B,"Nov",'Data - Monthly Metrics'!C:C,"NorthCentral",'Data - Monthly Metrics'!D:D,"Billables - Hospitality Target (#)"))</f>
        <v/>
      </c>
      <c r="D46" s="93">
        <f>IF(COUNTIFS('Data - Monthly Metrics'!A:A,$B$4-1,'Data - Monthly Metrics'!B:B,"Dec",'Data - Monthly Metrics'!C:C,"NorthCentral",'Data - Monthly Metrics'!D:D,"Billables - Hospitality Target (#)")=0,"-",SUMIFS('Data - Monthly Metrics'!E:E,'Data - Monthly Metrics'!A:A,$B$4-1,'Data - Monthly Metrics'!B:B,"Dec",'Data - Monthly Metrics'!C:C,"NorthCentral",'Data - Monthly Metrics'!D:D,"Billables - Hospitality Target (#)"))</f>
        <v/>
      </c>
      <c r="E46" s="103">
        <f>IF(ISNUMBER(D46),D46,IF(ISNUMBER(C46),C46,IF(ISNUMBER(B46),B46,"-")))</f>
        <v/>
      </c>
      <c r="F46" s="93">
        <f>IF(COUNTIFS('Data - Monthly Metrics'!A:A,$B$4,'Data - Monthly Metrics'!B:B,"Jan",'Data - Monthly Metrics'!C:C,"NorthCentral",'Data - Monthly Metrics'!D:D,"Billables - Hospitality Target (#)")=0,"-",SUMIFS('Data - Monthly Metrics'!E:E,'Data - Monthly Metrics'!A:A,$B$4,'Data - Monthly Metrics'!B:B,"Jan",'Data - Monthly Metrics'!C:C,"NorthCentral",'Data - Monthly Metrics'!D:D,"Billables - Hospitality Target (#)"))</f>
        <v/>
      </c>
      <c r="G46" s="93">
        <f>IF(COUNTIFS('Data - Monthly Metrics'!A:A,$B$4,'Data - Monthly Metrics'!B:B,"Feb",'Data - Monthly Metrics'!C:C,"NorthCentral",'Data - Monthly Metrics'!D:D,"Billables - Hospitality Target (#)")=0,"-",SUMIFS('Data - Monthly Metrics'!E:E,'Data - Monthly Metrics'!A:A,$B$4,'Data - Monthly Metrics'!B:B,"Feb",'Data - Monthly Metrics'!C:C,"NorthCentral",'Data - Monthly Metrics'!D:D,"Billables - Hospitality Target (#)"))</f>
        <v/>
      </c>
      <c r="H46" s="93">
        <f>IF(COUNTIFS('Data - Monthly Metrics'!A:A,$B$4,'Data - Monthly Metrics'!B:B,"Mar",'Data - Monthly Metrics'!C:C,"NorthCentral",'Data - Monthly Metrics'!D:D,"Billables - Hospitality Target (#)")=0,"-",SUMIFS('Data - Monthly Metrics'!E:E,'Data - Monthly Metrics'!A:A,$B$4,'Data - Monthly Metrics'!B:B,"Mar",'Data - Monthly Metrics'!C:C,"NorthCentral",'Data - Monthly Metrics'!D:D,"Billables - Hospitality Target (#)"))</f>
        <v/>
      </c>
      <c r="I46" s="103">
        <f>IF(ISNUMBER(H46),H46,IF(ISNUMBER(G46),G46,IF(ISNUMBER(F46),F46,"-")))</f>
        <v/>
      </c>
      <c r="J46" s="93">
        <f>IF(COUNTIFS('Data - Monthly Metrics'!A:A,$B$4,'Data - Monthly Metrics'!B:B,"Apr",'Data - Monthly Metrics'!C:C,"NorthCentral",'Data - Monthly Metrics'!D:D,"Billables - Hospitality Target (#)")=0,"-",SUMIFS('Data - Monthly Metrics'!E:E,'Data - Monthly Metrics'!A:A,$B$4,'Data - Monthly Metrics'!B:B,"Apr",'Data - Monthly Metrics'!C:C,"NorthCentral",'Data - Monthly Metrics'!D:D,"Billables - Hospitality Target (#)"))</f>
        <v/>
      </c>
      <c r="K46" s="93">
        <f>IF(COUNTIFS('Data - Monthly Metrics'!A:A,$B$4,'Data - Monthly Metrics'!B:B,"May",'Data - Monthly Metrics'!C:C,"NorthCentral",'Data - Monthly Metrics'!D:D,"Billables - Hospitality Target (#)")=0,"-",SUMIFS('Data - Monthly Metrics'!E:E,'Data - Monthly Metrics'!A:A,$B$4,'Data - Monthly Metrics'!B:B,"May",'Data - Monthly Metrics'!C:C,"NorthCentral",'Data - Monthly Metrics'!D:D,"Billables - Hospitality Target (#)"))</f>
        <v/>
      </c>
      <c r="L46" s="93">
        <f>IF(COUNTIFS('Data - Monthly Metrics'!A:A,$B$4,'Data - Monthly Metrics'!B:B,"Jun",'Data - Monthly Metrics'!C:C,"NorthCentral",'Data - Monthly Metrics'!D:D,"Billables - Hospitality Target (#)")=0,"-",SUMIFS('Data - Monthly Metrics'!E:E,'Data - Monthly Metrics'!A:A,$B$4,'Data - Monthly Metrics'!B:B,"Jun",'Data - Monthly Metrics'!C:C,"NorthCentral",'Data - Monthly Metrics'!D:D,"Billables - Hospitality Target (#)"))</f>
        <v/>
      </c>
      <c r="M46" s="103">
        <f>IF(ISNUMBER(L46),L46,IF(ISNUMBER(K46),K46,IF(ISNUMBER(J46),J46,"-")))</f>
        <v/>
      </c>
      <c r="N46" s="93">
        <f>IF(COUNTIFS('Data - Monthly Metrics'!A:A,$B$4,'Data - Monthly Metrics'!B:B,"Jul",'Data - Monthly Metrics'!C:C,"NorthCentral",'Data - Monthly Metrics'!D:D,"Billables - Hospitality Target (#)")=0,"-",SUMIFS('Data - Monthly Metrics'!E:E,'Data - Monthly Metrics'!A:A,$B$4,'Data - Monthly Metrics'!B:B,"Jul",'Data - Monthly Metrics'!C:C,"NorthCentral",'Data - Monthly Metrics'!D:D,"Billables - Hospitality Target (#)"))</f>
        <v/>
      </c>
      <c r="O46" s="93">
        <f>IF(COUNTIFS('Data - Monthly Metrics'!A:A,$B$4,'Data - Monthly Metrics'!B:B,"Aug",'Data - Monthly Metrics'!C:C,"NorthCentral",'Data - Monthly Metrics'!D:D,"Billables - Hospitality Target (#)")=0,"-",SUMIFS('Data - Monthly Metrics'!E:E,'Data - Monthly Metrics'!A:A,$B$4,'Data - Monthly Metrics'!B:B,"Aug",'Data - Monthly Metrics'!C:C,"NorthCentral",'Data - Monthly Metrics'!D:D,"Billables - Hospitality Target (#)"))</f>
        <v/>
      </c>
      <c r="P46" s="93">
        <f>IF(COUNTIFS('Data - Monthly Metrics'!A:A,$B$4,'Data - Monthly Metrics'!B:B,"Sep",'Data - Monthly Metrics'!C:C,"NorthCentral",'Data - Monthly Metrics'!D:D,"Billables - Hospitality Target (#)")=0,"-",SUMIFS('Data - Monthly Metrics'!E:E,'Data - Monthly Metrics'!A:A,$B$4,'Data - Monthly Metrics'!B:B,"Sep",'Data - Monthly Metrics'!C:C,"NorthCentral",'Data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Metrics'!C:C,"NorthCentral",'Data - Monthly Metrics'!D:D,"Member Locations - Target (#)")=0,"-",SUMIFS('Data - Monthly Metrics'!E:E,'Data - Monthly Metrics'!A:A,$B$4-1,'Data - Monthly Metrics'!B:B,"Oct",'Data - Monthly Metrics'!C:C,"NorthCentral",'Data - Monthly Metrics'!D:D,"Member Locations - Target (#)"))</f>
        <v/>
      </c>
      <c r="C47" s="93">
        <f>IF(COUNTIFS('Data - Monthly Metrics'!A:A,$B$4-1,'Data - Monthly Metrics'!B:B,"Nov",'Data - Monthly Metrics'!C:C,"NorthCentral",'Data - Monthly Metrics'!D:D,"Member Locations - Target (#)")=0,"-",SUMIFS('Data - Monthly Metrics'!E:E,'Data - Monthly Metrics'!A:A,$B$4-1,'Data - Monthly Metrics'!B:B,"Nov",'Data - Monthly Metrics'!C:C,"NorthCentral",'Data - Monthly Metrics'!D:D,"Member Locations - Target (#)"))</f>
        <v/>
      </c>
      <c r="D47" s="93">
        <f>IF(COUNTIFS('Data - Monthly Metrics'!A:A,$B$4-1,'Data - Monthly Metrics'!B:B,"Dec",'Data - Monthly Metrics'!C:C,"NorthCentral",'Data - Monthly Metrics'!D:D,"Member Locations - Target (#)")=0,"-",SUMIFS('Data - Monthly Metrics'!E:E,'Data - Monthly Metrics'!A:A,$B$4-1,'Data - Monthly Metrics'!B:B,"Dec",'Data - Monthly Metrics'!C:C,"NorthCentral",'Data - Monthly Metrics'!D:D,"Member Locations - Target (#)"))</f>
        <v/>
      </c>
      <c r="E47" s="103">
        <f>IF(ISNUMBER(D47),D47,IF(ISNUMBER(C47),C47,IF(ISNUMBER(B47),B47,"-")))</f>
        <v/>
      </c>
      <c r="F47" s="93">
        <f>IF(COUNTIFS('Data - Monthly Metrics'!A:A,$B$4,'Data - Monthly Metrics'!B:B,"Jan",'Data - Monthly Metrics'!C:C,"NorthCentral",'Data - Monthly Metrics'!D:D,"Member Locations - Target (#)")=0,"-",SUMIFS('Data - Monthly Metrics'!E:E,'Data - Monthly Metrics'!A:A,$B$4,'Data - Monthly Metrics'!B:B,"Jan",'Data - Monthly Metrics'!C:C,"NorthCentral",'Data - Monthly Metrics'!D:D,"Member Locations - Target (#)"))</f>
        <v/>
      </c>
      <c r="G47" s="93">
        <f>IF(COUNTIFS('Data - Monthly Metrics'!A:A,$B$4,'Data - Monthly Metrics'!B:B,"Feb",'Data - Monthly Metrics'!C:C,"NorthCentral",'Data - Monthly Metrics'!D:D,"Member Locations - Target (#)")=0,"-",SUMIFS('Data - Monthly Metrics'!E:E,'Data - Monthly Metrics'!A:A,$B$4,'Data - Monthly Metrics'!B:B,"Feb",'Data - Monthly Metrics'!C:C,"NorthCentral",'Data - Monthly Metrics'!D:D,"Member Locations - Target (#)"))</f>
        <v/>
      </c>
      <c r="H47" s="93">
        <f>IF(COUNTIFS('Data - Monthly Metrics'!A:A,$B$4,'Data - Monthly Metrics'!B:B,"Mar",'Data - Monthly Metrics'!C:C,"NorthCentral",'Data - Monthly Metrics'!D:D,"Member Locations - Target (#)")=0,"-",SUMIFS('Data - Monthly Metrics'!E:E,'Data - Monthly Metrics'!A:A,$B$4,'Data - Monthly Metrics'!B:B,"Mar",'Data - Monthly Metrics'!C:C,"NorthCentral",'Data - Monthly Metrics'!D:D,"Member Locations - Target (#)"))</f>
        <v/>
      </c>
      <c r="I47" s="103">
        <f>IF(ISNUMBER(H47),H47,IF(ISNUMBER(G47),G47,IF(ISNUMBER(F47),F47,"-")))</f>
        <v/>
      </c>
      <c r="J47" s="93">
        <f>IF(COUNTIFS('Data - Monthly Metrics'!A:A,$B$4,'Data - Monthly Metrics'!B:B,"Apr",'Data - Monthly Metrics'!C:C,"NorthCentral",'Data - Monthly Metrics'!D:D,"Member Locations - Target (#)")=0,"-",SUMIFS('Data - Monthly Metrics'!E:E,'Data - Monthly Metrics'!A:A,$B$4,'Data - Monthly Metrics'!B:B,"Apr",'Data - Monthly Metrics'!C:C,"NorthCentral",'Data - Monthly Metrics'!D:D,"Member Locations - Target (#)"))</f>
        <v/>
      </c>
      <c r="K47" s="93">
        <f>IF(COUNTIFS('Data - Monthly Metrics'!A:A,$B$4,'Data - Monthly Metrics'!B:B,"May",'Data - Monthly Metrics'!C:C,"NorthCentral",'Data - Monthly Metrics'!D:D,"Member Locations - Target (#)")=0,"-",SUMIFS('Data - Monthly Metrics'!E:E,'Data - Monthly Metrics'!A:A,$B$4,'Data - Monthly Metrics'!B:B,"May",'Data - Monthly Metrics'!C:C,"NorthCentral",'Data - Monthly Metrics'!D:D,"Member Locations - Target (#)"))</f>
        <v/>
      </c>
      <c r="L47" s="93">
        <f>IF(COUNTIFS('Data - Monthly Metrics'!A:A,$B$4,'Data - Monthly Metrics'!B:B,"Jun",'Data - Monthly Metrics'!C:C,"NorthCentral",'Data - Monthly Metrics'!D:D,"Member Locations - Target (#)")=0,"-",SUMIFS('Data - Monthly Metrics'!E:E,'Data - Monthly Metrics'!A:A,$B$4,'Data - Monthly Metrics'!B:B,"Jun",'Data - Monthly Metrics'!C:C,"NorthCentral",'Data - Monthly Metrics'!D:D,"Member Locations - Target (#)"))</f>
        <v/>
      </c>
      <c r="M47" s="103">
        <f>IF(ISNUMBER(L47),L47,IF(ISNUMBER(K47),K47,IF(ISNUMBER(J47),J47,"-")))</f>
        <v/>
      </c>
      <c r="N47" s="93">
        <f>IF(COUNTIFS('Data - Monthly Metrics'!A:A,$B$4,'Data - Monthly Metrics'!B:B,"Jul",'Data - Monthly Metrics'!C:C,"NorthCentral",'Data - Monthly Metrics'!D:D,"Member Locations - Target (#)")=0,"-",SUMIFS('Data - Monthly Metrics'!E:E,'Data - Monthly Metrics'!A:A,$B$4,'Data - Monthly Metrics'!B:B,"Jul",'Data - Monthly Metrics'!C:C,"NorthCentral",'Data - Monthly Metrics'!D:D,"Member Locations - Target (#)"))</f>
        <v/>
      </c>
      <c r="O47" s="93">
        <f>IF(COUNTIFS('Data - Monthly Metrics'!A:A,$B$4,'Data - Monthly Metrics'!B:B,"Aug",'Data - Monthly Metrics'!C:C,"NorthCentral",'Data - Monthly Metrics'!D:D,"Member Locations - Target (#)")=0,"-",SUMIFS('Data - Monthly Metrics'!E:E,'Data - Monthly Metrics'!A:A,$B$4,'Data - Monthly Metrics'!B:B,"Aug",'Data - Monthly Metrics'!C:C,"NorthCentral",'Data - Monthly Metrics'!D:D,"Member Locations - Target (#)"))</f>
        <v/>
      </c>
      <c r="P47" s="93">
        <f>IF(COUNTIFS('Data - Monthly Metrics'!A:A,$B$4,'Data - Monthly Metrics'!B:B,"Sep",'Data - Monthly Metrics'!C:C,"NorthCentral",'Data - Monthly Metrics'!D:D,"Member Locations - Target (#)")=0,"-",SUMIFS('Data - Monthly Metrics'!E:E,'Data - Monthly Metrics'!A:A,$B$4,'Data - Monthly Metrics'!B:B,"Sep",'Data - Monthly Metrics'!C:C,"NorthCentral",'Data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Metrics'!C:C,"NorthCentral",'Data - Monthly Metrics'!D:D,"Members Up for Renewal - Target (#)")=0,"-",SUMIFS('Data - Monthly Metrics'!E:E,'Data - Monthly Metrics'!A:A,$B$4-1,'Data - Monthly Metrics'!B:B,"Oct",'Data - Monthly Metrics'!C:C,"NorthCentral",'Data - Monthly Metrics'!D:D,"Members Up for Renewal - Target (#)"))</f>
        <v/>
      </c>
      <c r="C51" s="93">
        <f>IF(COUNTIFS('Data - Monthly Metrics'!A:A,$B$4-1,'Data - Monthly Metrics'!B:B,"Nov",'Data - Monthly Metrics'!C:C,"NorthCentral",'Data - Monthly Metrics'!D:D,"Members Up for Renewal - Target (#)")=0,"-",SUMIFS('Data - Monthly Metrics'!E:E,'Data - Monthly Metrics'!A:A,$B$4-1,'Data - Monthly Metrics'!B:B,"Nov",'Data - Monthly Metrics'!C:C,"NorthCentral",'Data - Monthly Metrics'!D:D,"Members Up for Renewal - Target (#)"))</f>
        <v/>
      </c>
      <c r="D51" s="93">
        <f>IF(COUNTIFS('Data - Monthly Metrics'!A:A,$B$4-1,'Data - Monthly Metrics'!B:B,"Dec",'Data - Monthly Metrics'!C:C,"NorthCentral",'Data - Monthly Metrics'!D:D,"Members Up for Renewal - Target (#)")=0,"-",SUMIFS('Data - Monthly Metrics'!E:E,'Data - Monthly Metrics'!A:A,$B$4-1,'Data - Monthly Metrics'!B:B,"Dec",'Data - Monthly Metrics'!C:C,"NorthCentral",'Data - Monthly Metrics'!D:D,"Members Up for Renewal - Target (#)"))</f>
        <v/>
      </c>
      <c r="E51" s="103">
        <f>SUM(B51,C51,D51)</f>
        <v/>
      </c>
      <c r="F51" s="93">
        <f>IF(COUNTIFS('Data - Monthly Metrics'!A:A,$B$4,'Data - Monthly Metrics'!B:B,"Jan",'Data - Monthly Metrics'!C:C,"NorthCentral",'Data - Monthly Metrics'!D:D,"Members Up for Renewal - Target (#)")=0,"-",SUMIFS('Data - Monthly Metrics'!E:E,'Data - Monthly Metrics'!A:A,$B$4,'Data - Monthly Metrics'!B:B,"Jan",'Data - Monthly Metrics'!C:C,"NorthCentral",'Data - Monthly Metrics'!D:D,"Members Up for Renewal - Target (#)"))</f>
        <v/>
      </c>
      <c r="G51" s="93">
        <f>IF(COUNTIFS('Data - Monthly Metrics'!A:A,$B$4,'Data - Monthly Metrics'!B:B,"Feb",'Data - Monthly Metrics'!C:C,"NorthCentral",'Data - Monthly Metrics'!D:D,"Members Up for Renewal - Target (#)")=0,"-",SUMIFS('Data - Monthly Metrics'!E:E,'Data - Monthly Metrics'!A:A,$B$4,'Data - Monthly Metrics'!B:B,"Feb",'Data - Monthly Metrics'!C:C,"NorthCentral",'Data - Monthly Metrics'!D:D,"Members Up for Renewal - Target (#)"))</f>
        <v/>
      </c>
      <c r="H51" s="93">
        <f>IF(COUNTIFS('Data - Monthly Metrics'!A:A,$B$4,'Data - Monthly Metrics'!B:B,"Mar",'Data - Monthly Metrics'!C:C,"NorthCentral",'Data - Monthly Metrics'!D:D,"Members Up for Renewal - Target (#)")=0,"-",SUMIFS('Data - Monthly Metrics'!E:E,'Data - Monthly Metrics'!A:A,$B$4,'Data - Monthly Metrics'!B:B,"Mar",'Data - Monthly Metrics'!C:C,"NorthCentral",'Data - Monthly Metrics'!D:D,"Members Up for Renewal - Target (#)"))</f>
        <v/>
      </c>
      <c r="I51" s="103">
        <f>SUM(F51,G51,H51)</f>
        <v/>
      </c>
      <c r="J51" s="93">
        <f>IF(COUNTIFS('Data - Monthly Metrics'!A:A,$B$4,'Data - Monthly Metrics'!B:B,"Apr",'Data - Monthly Metrics'!C:C,"NorthCentral",'Data - Monthly Metrics'!D:D,"Members Up for Renewal - Target (#)")=0,"-",SUMIFS('Data - Monthly Metrics'!E:E,'Data - Monthly Metrics'!A:A,$B$4,'Data - Monthly Metrics'!B:B,"Apr",'Data - Monthly Metrics'!C:C,"NorthCentral",'Data - Monthly Metrics'!D:D,"Members Up for Renewal - Target (#)"))</f>
        <v/>
      </c>
      <c r="K51" s="93">
        <f>IF(COUNTIFS('Data - Monthly Metrics'!A:A,$B$4,'Data - Monthly Metrics'!B:B,"May",'Data - Monthly Metrics'!C:C,"NorthCentral",'Data - Monthly Metrics'!D:D,"Members Up for Renewal - Target (#)")=0,"-",SUMIFS('Data - Monthly Metrics'!E:E,'Data - Monthly Metrics'!A:A,$B$4,'Data - Monthly Metrics'!B:B,"May",'Data - Monthly Metrics'!C:C,"NorthCentral",'Data - Monthly Metrics'!D:D,"Members Up for Renewal - Target (#)"))</f>
        <v/>
      </c>
      <c r="L51" s="93">
        <f>IF(COUNTIFS('Data - Monthly Metrics'!A:A,$B$4,'Data - Monthly Metrics'!B:B,"Jun",'Data - Monthly Metrics'!C:C,"NorthCentral",'Data - Monthly Metrics'!D:D,"Members Up for Renewal - Target (#)")=0,"-",SUMIFS('Data - Monthly Metrics'!E:E,'Data - Monthly Metrics'!A:A,$B$4,'Data - Monthly Metrics'!B:B,"Jun",'Data - Monthly Metrics'!C:C,"NorthCentral",'Data - Monthly Metrics'!D:D,"Members Up for Renewal - Target (#)"))</f>
        <v/>
      </c>
      <c r="M51" s="103">
        <f>SUM(J51,K51,L51)</f>
        <v/>
      </c>
      <c r="N51" s="93">
        <f>IF(COUNTIFS('Data - Monthly Metrics'!A:A,$B$4,'Data - Monthly Metrics'!B:B,"Jul",'Data - Monthly Metrics'!C:C,"NorthCentral",'Data - Monthly Metrics'!D:D,"Members Up for Renewal - Target (#)")=0,"-",SUMIFS('Data - Monthly Metrics'!E:E,'Data - Monthly Metrics'!A:A,$B$4,'Data - Monthly Metrics'!B:B,"Jul",'Data - Monthly Metrics'!C:C,"NorthCentral",'Data - Monthly Metrics'!D:D,"Members Up for Renewal - Target (#)"))</f>
        <v/>
      </c>
      <c r="O51" s="93">
        <f>IF(COUNTIFS('Data - Monthly Metrics'!A:A,$B$4,'Data - Monthly Metrics'!B:B,"Aug",'Data - Monthly Metrics'!C:C,"NorthCentral",'Data - Monthly Metrics'!D:D,"Members Up for Renewal - Target (#)")=0,"-",SUMIFS('Data - Monthly Metrics'!E:E,'Data - Monthly Metrics'!A:A,$B$4,'Data - Monthly Metrics'!B:B,"Aug",'Data - Monthly Metrics'!C:C,"NorthCentral",'Data - Monthly Metrics'!D:D,"Members Up for Renewal - Target (#)"))</f>
        <v/>
      </c>
      <c r="P51" s="93">
        <f>IF(COUNTIFS('Data - Monthly Metrics'!A:A,$B$4,'Data - Monthly Metrics'!B:B,"Sep",'Data - Monthly Metrics'!C:C,"NorthCentral",'Data - Monthly Metrics'!D:D,"Members Up for Renewal - Target (#)")=0,"-",SUMIFS('Data - Monthly Metrics'!E:E,'Data - Monthly Metrics'!A:A,$B$4,'Data - Monthly Metrics'!B:B,"Sep",'Data - Monthly Metrics'!C:C,"NorthCentral",'Data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Metrics'!C:C,"NorthCentral",'Data - Monthly Metrics'!D:D,"Members Retained - Target (#)")=0,"-",SUMIFS('Data - Monthly Metrics'!E:E,'Data - Monthly Metrics'!A:A,$B$4-1,'Data - Monthly Metrics'!B:B,"Oct",'Data - Monthly Metrics'!C:C,"NorthCentral",'Data - Monthly Metrics'!D:D,"Members Retained - Target (#)"))</f>
        <v/>
      </c>
      <c r="C52" s="98">
        <f>IF(COUNTIFS('Data - Monthly Metrics'!A:A,$B$4-1,'Data - Monthly Metrics'!B:B,"Nov",'Data - Monthly Metrics'!C:C,"NorthCentral",'Data - Monthly Metrics'!D:D,"Members Retained - Target (#)")=0,"-",SUMIFS('Data - Monthly Metrics'!E:E,'Data - Monthly Metrics'!A:A,$B$4-1,'Data - Monthly Metrics'!B:B,"Nov",'Data - Monthly Metrics'!C:C,"NorthCentral",'Data - Monthly Metrics'!D:D,"Members Retained - Target (#)"))</f>
        <v/>
      </c>
      <c r="D52" s="98">
        <f>IF(COUNTIFS('Data - Monthly Metrics'!A:A,$B$4-1,'Data - Monthly Metrics'!B:B,"Dec",'Data - Monthly Metrics'!C:C,"NorthCentral",'Data - Monthly Metrics'!D:D,"Members Retained - Target (#)")=0,"-",SUMIFS('Data - Monthly Metrics'!E:E,'Data - Monthly Metrics'!A:A,$B$4-1,'Data - Monthly Metrics'!B:B,"Dec",'Data - Monthly Metrics'!C:C,"NorthCentral",'Data - Monthly Metrics'!D:D,"Members Retained - Target (#)"))</f>
        <v/>
      </c>
      <c r="E52" s="103">
        <f>SUM(B52,C52,D52)</f>
        <v/>
      </c>
      <c r="F52" s="98">
        <f>IF(COUNTIFS('Data - Monthly Metrics'!A:A,$B$4,'Data - Monthly Metrics'!B:B,"Jan",'Data - Monthly Metrics'!C:C,"NorthCentral",'Data - Monthly Metrics'!D:D,"Members Retained - Target (#)")=0,"-",SUMIFS('Data - Monthly Metrics'!E:E,'Data - Monthly Metrics'!A:A,$B$4,'Data - Monthly Metrics'!B:B,"Jan",'Data - Monthly Metrics'!C:C,"NorthCentral",'Data - Monthly Metrics'!D:D,"Members Retained - Target (#)"))</f>
        <v/>
      </c>
      <c r="G52" s="98">
        <f>IF(COUNTIFS('Data - Monthly Metrics'!A:A,$B$4,'Data - Monthly Metrics'!B:B,"Feb",'Data - Monthly Metrics'!C:C,"NorthCentral",'Data - Monthly Metrics'!D:D,"Members Retained - Target (#)")=0,"-",SUMIFS('Data - Monthly Metrics'!E:E,'Data - Monthly Metrics'!A:A,$B$4,'Data - Monthly Metrics'!B:B,"Feb",'Data - Monthly Metrics'!C:C,"NorthCentral",'Data - Monthly Metrics'!D:D,"Members Retained - Target (#)"))</f>
        <v/>
      </c>
      <c r="H52" s="98">
        <f>IF(COUNTIFS('Data - Monthly Metrics'!A:A,$B$4,'Data - Monthly Metrics'!B:B,"Mar",'Data - Monthly Metrics'!C:C,"NorthCentral",'Data - Monthly Metrics'!D:D,"Members Retained - Target (#)")=0,"-",SUMIFS('Data - Monthly Metrics'!E:E,'Data - Monthly Metrics'!A:A,$B$4,'Data - Monthly Metrics'!B:B,"Mar",'Data - Monthly Metrics'!C:C,"NorthCentral",'Data - Monthly Metrics'!D:D,"Members Retained - Target (#)"))</f>
        <v/>
      </c>
      <c r="I52" s="103">
        <f>SUM(F52,G52,H52)</f>
        <v/>
      </c>
      <c r="J52" s="98">
        <f>IF(COUNTIFS('Data - Monthly Metrics'!A:A,$B$4,'Data - Monthly Metrics'!B:B,"Apr",'Data - Monthly Metrics'!C:C,"NorthCentral",'Data - Monthly Metrics'!D:D,"Members Retained - Target (#)")=0,"-",SUMIFS('Data - Monthly Metrics'!E:E,'Data - Monthly Metrics'!A:A,$B$4,'Data - Monthly Metrics'!B:B,"Apr",'Data - Monthly Metrics'!C:C,"NorthCentral",'Data - Monthly Metrics'!D:D,"Members Retained - Target (#)"))</f>
        <v/>
      </c>
      <c r="K52" s="98">
        <f>IF(COUNTIFS('Data - Monthly Metrics'!A:A,$B$4,'Data - Monthly Metrics'!B:B,"May",'Data - Monthly Metrics'!C:C,"NorthCentral",'Data - Monthly Metrics'!D:D,"Members Retained - Target (#)")=0,"-",SUMIFS('Data - Monthly Metrics'!E:E,'Data - Monthly Metrics'!A:A,$B$4,'Data - Monthly Metrics'!B:B,"May",'Data - Monthly Metrics'!C:C,"NorthCentral",'Data - Monthly Metrics'!D:D,"Members Retained - Target (#)"))</f>
        <v/>
      </c>
      <c r="L52" s="98">
        <f>IF(COUNTIFS('Data - Monthly Metrics'!A:A,$B$4,'Data - Monthly Metrics'!B:B,"Jun",'Data - Monthly Metrics'!C:C,"NorthCentral",'Data - Monthly Metrics'!D:D,"Members Retained - Target (#)")=0,"-",SUMIFS('Data - Monthly Metrics'!E:E,'Data - Monthly Metrics'!A:A,$B$4,'Data - Monthly Metrics'!B:B,"Jun",'Data - Monthly Metrics'!C:C,"NorthCentral",'Data - Monthly Metrics'!D:D,"Members Retained - Target (#)"))</f>
        <v/>
      </c>
      <c r="M52" s="103">
        <f>SUM(J52,K52,L52)</f>
        <v/>
      </c>
      <c r="N52" s="98">
        <f>IF(COUNTIFS('Data - Monthly Metrics'!A:A,$B$4,'Data - Monthly Metrics'!B:B,"Jul",'Data - Monthly Metrics'!C:C,"NorthCentral",'Data - Monthly Metrics'!D:D,"Members Retained - Target (#)")=0,"-",SUMIFS('Data - Monthly Metrics'!E:E,'Data - Monthly Metrics'!A:A,$B$4,'Data - Monthly Metrics'!B:B,"Jul",'Data - Monthly Metrics'!C:C,"NorthCentral",'Data - Monthly Metrics'!D:D,"Members Retained - Target (#)"))</f>
        <v/>
      </c>
      <c r="O52" s="98">
        <f>IF(COUNTIFS('Data - Monthly Metrics'!A:A,$B$4,'Data - Monthly Metrics'!B:B,"Aug",'Data - Monthly Metrics'!C:C,"NorthCentral",'Data - Monthly Metrics'!D:D,"Members Retained - Target (#)")=0,"-",SUMIFS('Data - Monthly Metrics'!E:E,'Data - Monthly Metrics'!A:A,$B$4,'Data - Monthly Metrics'!B:B,"Aug",'Data - Monthly Metrics'!C:C,"NorthCentral",'Data - Monthly Metrics'!D:D,"Members Retained - Target (#)"))</f>
        <v/>
      </c>
      <c r="P52" s="98">
        <f>IF(COUNTIFS('Data - Monthly Metrics'!A:A,$B$4,'Data - Monthly Metrics'!B:B,"Sep",'Data - Monthly Metrics'!C:C,"NorthCentral",'Data - Monthly Metrics'!D:D,"Members Retained - Target (#)")=0,"-",SUMIFS('Data - Monthly Metrics'!E:E,'Data - Monthly Metrics'!A:A,$B$4,'Data - Monthly Metrics'!B:B,"Sep",'Data - Monthly Metrics'!C:C,"NorthCentral",'Data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Metrics'!$C:$C,"NorthCentral",'Data - Monthly Metrics'!$D:$D,"Goal - Retention %")=0),"—",IF(B53&gt;=SUMIFS('Data - Monthly Metrics'!$E:$E,'Data - Monthly Metrics'!$A:$A,$B$4-1,'Data - Monthly Metrics'!$B:$B,B$8,'Data - Monthly Metrics'!$C:$C,"NorthCentral",'Data - Monthly Metrics'!$D:$D,"Goal - Retention %"),"On Track",IF(B53&gt;=SUMIFS('Data - Monthly Metrics'!$E:$E,'Data - Monthly Metrics'!$A:$A,$B$4-1,'Data - Monthly Metrics'!$B:$B,B$8,'Data - Monthly Metrics'!$C:$C,"NorthCentral",'Data - Monthly Metrics'!$D:$D,"Goal - Retention %")-0.05,"Watch","At Risk")))</f>
        <v/>
      </c>
      <c r="C54" s="120">
        <f>IF(OR(NOT(ISNUMBER(C53)),C53=0,COUNTIFS('Data - Monthly Metrics'!$A:$A,$B$4-1,'Data - Monthly Metrics'!$B:$B,C$8,'Data - Monthly Metrics'!$C:$C,"NorthCentral",'Data - Monthly Metrics'!$D:$D,"Goal - Retention %")=0),"—",IF(C53&gt;=SUMIFS('Data - Monthly Metrics'!$E:$E,'Data - Monthly Metrics'!$A:$A,$B$4-1,'Data - Monthly Metrics'!$B:$B,C$8,'Data - Monthly Metrics'!$C:$C,"NorthCentral",'Data - Monthly Metrics'!$D:$D,"Goal - Retention %"),"On Track",IF(C53&gt;=SUMIFS('Data - Monthly Metrics'!$E:$E,'Data - Monthly Metrics'!$A:$A,$B$4-1,'Data - Monthly Metrics'!$B:$B,C$8,'Data - Monthly Metrics'!$C:$C,"NorthCentral",'Data - Monthly Metrics'!$D:$D,"Goal - Retention %")-0.05,"Watch","At Risk")))</f>
        <v/>
      </c>
      <c r="D54" s="120">
        <f>IF(OR(NOT(ISNUMBER(D53)),D53=0,COUNTIFS('Data - Monthly Metrics'!$A:$A,$B$4-1,'Data - Monthly Metrics'!$B:$B,D$8,'Data - Monthly Metrics'!$C:$C,"NorthCentral",'Data - Monthly Metrics'!$D:$D,"Goal - Retention %")=0),"—",IF(D53&gt;=SUMIFS('Data - Monthly Metrics'!$E:$E,'Data - Monthly Metrics'!$A:$A,$B$4-1,'Data - Monthly Metrics'!$B:$B,D$8,'Data - Monthly Metrics'!$C:$C,"NorthCentral",'Data - Monthly Metrics'!$D:$D,"Goal - Retention %"),"On Track",IF(D53&gt;=SUMIFS('Data - Monthly Metrics'!$E:$E,'Data - Monthly Metrics'!$A:$A,$B$4-1,'Data - Monthly Metrics'!$B:$B,D$8,'Data - Monthly Metrics'!$C:$C,"NorthCentral",'Data - Monthly Metrics'!$D:$D,"Goal - Retention %")-0.05,"Watch","At Risk")))</f>
        <v/>
      </c>
      <c r="E54" s="121">
        <f>"—"</f>
        <v/>
      </c>
      <c r="F54" s="120">
        <f>IF(OR(NOT(ISNUMBER(F53)),F53=0,COUNTIFS('Data - Monthly Metrics'!$A:$A,$B$4,'Data - Monthly Metrics'!$B:$B,F$8,'Data - Monthly Metrics'!$C:$C,"NorthCentral",'Data - Monthly Metrics'!$D:$D,"Goal - Retention %")=0),"—",IF(F53&gt;=SUMIFS('Data - Monthly Metrics'!$E:$E,'Data - Monthly Metrics'!$A:$A,$B$4,'Data - Monthly Metrics'!$B:$B,F$8,'Data - Monthly Metrics'!$C:$C,"NorthCentral",'Data - Monthly Metrics'!$D:$D,"Goal - Retention %"),"On Track",IF(F53&gt;=SUMIFS('Data - Monthly Metrics'!$E:$E,'Data - Monthly Metrics'!$A:$A,$B$4,'Data - Monthly Metrics'!$B:$B,F$8,'Data - Monthly Metrics'!$C:$C,"NorthCentral",'Data - Monthly Metrics'!$D:$D,"Goal - Retention %")-0.05,"Watch","At Risk")))</f>
        <v/>
      </c>
      <c r="G54" s="120">
        <f>IF(OR(NOT(ISNUMBER(G53)),G53=0,COUNTIFS('Data - Monthly Metrics'!$A:$A,$B$4,'Data - Monthly Metrics'!$B:$B,G$8,'Data - Monthly Metrics'!$C:$C,"NorthCentral",'Data - Monthly Metrics'!$D:$D,"Goal - Retention %")=0),"—",IF(G53&gt;=SUMIFS('Data - Monthly Metrics'!$E:$E,'Data - Monthly Metrics'!$A:$A,$B$4,'Data - Monthly Metrics'!$B:$B,G$8,'Data - Monthly Metrics'!$C:$C,"NorthCentral",'Data - Monthly Metrics'!$D:$D,"Goal - Retention %"),"On Track",IF(G53&gt;=SUMIFS('Data - Monthly Metrics'!$E:$E,'Data - Monthly Metrics'!$A:$A,$B$4,'Data - Monthly Metrics'!$B:$B,G$8,'Data - Monthly Metrics'!$C:$C,"NorthCentral",'Data - Monthly Metrics'!$D:$D,"Goal - Retention %")-0.05,"Watch","At Risk")))</f>
        <v/>
      </c>
      <c r="H54" s="120">
        <f>IF(OR(NOT(ISNUMBER(H53)),H53=0,COUNTIFS('Data - Monthly Metrics'!$A:$A,$B$4,'Data - Monthly Metrics'!$B:$B,H$8,'Data - Monthly Metrics'!$C:$C,"NorthCentral",'Data - Monthly Metrics'!$D:$D,"Goal - Retention %")=0),"—",IF(H53&gt;=SUMIFS('Data - Monthly Metrics'!$E:$E,'Data - Monthly Metrics'!$A:$A,$B$4,'Data - Monthly Metrics'!$B:$B,H$8,'Data - Monthly Metrics'!$C:$C,"NorthCentral",'Data - Monthly Metrics'!$D:$D,"Goal - Retention %"),"On Track",IF(H53&gt;=SUMIFS('Data - Monthly Metrics'!$E:$E,'Data - Monthly Metrics'!$A:$A,$B$4,'Data - Monthly Metrics'!$B:$B,H$8,'Data - Monthly Metrics'!$C:$C,"NorthCentral",'Data - Monthly Metrics'!$D:$D,"Goal - Retention %")-0.05,"Watch","At Risk")))</f>
        <v/>
      </c>
      <c r="I54" s="121">
        <f>"—"</f>
        <v/>
      </c>
      <c r="J54" s="120">
        <f>IF(OR(NOT(ISNUMBER(J53)),J53=0,COUNTIFS('Data - Monthly Metrics'!$A:$A,$B$4,'Data - Monthly Metrics'!$B:$B,J$8,'Data - Monthly Metrics'!$C:$C,"NorthCentral",'Data - Monthly Metrics'!$D:$D,"Goal - Retention %")=0),"—",IF(J53&gt;=SUMIFS('Data - Monthly Metrics'!$E:$E,'Data - Monthly Metrics'!$A:$A,$B$4,'Data - Monthly Metrics'!$B:$B,J$8,'Data - Monthly Metrics'!$C:$C,"NorthCentral",'Data - Monthly Metrics'!$D:$D,"Goal - Retention %"),"On Track",IF(J53&gt;=SUMIFS('Data - Monthly Metrics'!$E:$E,'Data - Monthly Metrics'!$A:$A,$B$4,'Data - Monthly Metrics'!$B:$B,J$8,'Data - Monthly Metrics'!$C:$C,"NorthCentral",'Data - Monthly Metrics'!$D:$D,"Goal - Retention %")-0.05,"Watch","At Risk")))</f>
        <v/>
      </c>
      <c r="K54" s="120">
        <f>IF(OR(NOT(ISNUMBER(K53)),K53=0,COUNTIFS('Data - Monthly Metrics'!$A:$A,$B$4,'Data - Monthly Metrics'!$B:$B,K$8,'Data - Monthly Metrics'!$C:$C,"NorthCentral",'Data - Monthly Metrics'!$D:$D,"Goal - Retention %")=0),"—",IF(K53&gt;=SUMIFS('Data - Monthly Metrics'!$E:$E,'Data - Monthly Metrics'!$A:$A,$B$4,'Data - Monthly Metrics'!$B:$B,K$8,'Data - Monthly Metrics'!$C:$C,"NorthCentral",'Data - Monthly Metrics'!$D:$D,"Goal - Retention %"),"On Track",IF(K53&gt;=SUMIFS('Data - Monthly Metrics'!$E:$E,'Data - Monthly Metrics'!$A:$A,$B$4,'Data - Monthly Metrics'!$B:$B,K$8,'Data - Monthly Metrics'!$C:$C,"NorthCentral",'Data - Monthly Metrics'!$D:$D,"Goal - Retention %")-0.05,"Watch","At Risk")))</f>
        <v/>
      </c>
      <c r="L54" s="120">
        <f>IF(OR(NOT(ISNUMBER(L53)),L53=0,COUNTIFS('Data - Monthly Metrics'!$A:$A,$B$4,'Data - Monthly Metrics'!$B:$B,L$8,'Data - Monthly Metrics'!$C:$C,"NorthCentral",'Data - Monthly Metrics'!$D:$D,"Goal - Retention %")=0),"—",IF(L53&gt;=SUMIFS('Data - Monthly Metrics'!$E:$E,'Data - Monthly Metrics'!$A:$A,$B$4,'Data - Monthly Metrics'!$B:$B,L$8,'Data - Monthly Metrics'!$C:$C,"NorthCentral",'Data - Monthly Metrics'!$D:$D,"Goal - Retention %"),"On Track",IF(L53&gt;=SUMIFS('Data - Monthly Metrics'!$E:$E,'Data - Monthly Metrics'!$A:$A,$B$4,'Data - Monthly Metrics'!$B:$B,L$8,'Data - Monthly Metrics'!$C:$C,"NorthCentral",'Data - Monthly Metrics'!$D:$D,"Goal - Retention %")-0.05,"Watch","At Risk")))</f>
        <v/>
      </c>
      <c r="M54" s="121">
        <f>"—"</f>
        <v/>
      </c>
      <c r="N54" s="120">
        <f>IF(OR(NOT(ISNUMBER(N53)),N53=0,COUNTIFS('Data - Monthly Metrics'!$A:$A,$B$4,'Data - Monthly Metrics'!$B:$B,N$8,'Data - Monthly Metrics'!$C:$C,"NorthCentral",'Data - Monthly Metrics'!$D:$D,"Goal - Retention %")=0),"—",IF(N53&gt;=SUMIFS('Data - Monthly Metrics'!$E:$E,'Data - Monthly Metrics'!$A:$A,$B$4,'Data - Monthly Metrics'!$B:$B,N$8,'Data - Monthly Metrics'!$C:$C,"NorthCentral",'Data - Monthly Metrics'!$D:$D,"Goal - Retention %"),"On Track",IF(N53&gt;=SUMIFS('Data - Monthly Metrics'!$E:$E,'Data - Monthly Metrics'!$A:$A,$B$4,'Data - Monthly Metrics'!$B:$B,N$8,'Data - Monthly Metrics'!$C:$C,"NorthCentral",'Data - Monthly Metrics'!$D:$D,"Goal - Retention %")-0.05,"Watch","At Risk")))</f>
        <v/>
      </c>
      <c r="O54" s="120">
        <f>IF(OR(NOT(ISNUMBER(O53)),O53=0,COUNTIFS('Data - Monthly Metrics'!$A:$A,$B$4,'Data - Monthly Metrics'!$B:$B,O$8,'Data - Monthly Metrics'!$C:$C,"NorthCentral",'Data - Monthly Metrics'!$D:$D,"Goal - Retention %")=0),"—",IF(O53&gt;=SUMIFS('Data - Monthly Metrics'!$E:$E,'Data - Monthly Metrics'!$A:$A,$B$4,'Data - Monthly Metrics'!$B:$B,O$8,'Data - Monthly Metrics'!$C:$C,"NorthCentral",'Data - Monthly Metrics'!$D:$D,"Goal - Retention %"),"On Track",IF(O53&gt;=SUMIFS('Data - Monthly Metrics'!$E:$E,'Data - Monthly Metrics'!$A:$A,$B$4,'Data - Monthly Metrics'!$B:$B,O$8,'Data - Monthly Metrics'!$C:$C,"NorthCentral",'Data - Monthly Metrics'!$D:$D,"Goal - Retention %")-0.05,"Watch","At Risk")))</f>
        <v/>
      </c>
      <c r="P54" s="120">
        <f>IF(OR(NOT(ISNUMBER(P53)),P53=0,COUNTIFS('Data - Monthly Metrics'!$A:$A,$B$4,'Data - Monthly Metrics'!$B:$B,P$8,'Data - Monthly Metrics'!$C:$C,"NorthCentral",'Data - Monthly Metrics'!$D:$D,"Goal - Retention %")=0),"—",IF(P53&gt;=SUMIFS('Data - Monthly Metrics'!$E:$E,'Data - Monthly Metrics'!$A:$A,$B$4,'Data - Monthly Metrics'!$B:$B,P$8,'Data - Monthly Metrics'!$C:$C,"NorthCentral",'Data - Monthly Metrics'!$D:$D,"Goal - Retention %"),"On Track",IF(P53&gt;=SUMIFS('Data - Monthly Metrics'!$E:$E,'Data - Monthly Metrics'!$A:$A,$B$4,'Data - Monthly Metrics'!$B:$B,P$8,'Data - Monthly Metrics'!$C:$C,"NorthCentral",'Data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Metrics'!C:C,"NorthCentral",'Data - Monthly Metrics'!D:D,"Revenue Up for Renewal - Target ($)")=0,"-",SUMIFS('Data - Monthly Metrics'!E:E,'Data - Monthly Metrics'!A:A,$B$4-1,'Data - Monthly Metrics'!B:B,"Oct",'Data - Monthly Metrics'!C:C,"NorthCentral",'Data - Monthly Metrics'!D:D,"Revenue Up for Renewal - Target ($)"))</f>
        <v/>
      </c>
      <c r="C55" s="91">
        <f>IF(COUNTIFS('Data - Monthly Metrics'!A:A,$B$4-1,'Data - Monthly Metrics'!B:B,"Nov",'Data - Monthly Metrics'!C:C,"NorthCentral",'Data - Monthly Metrics'!D:D,"Revenue Up for Renewal - Target ($)")=0,"-",SUMIFS('Data - Monthly Metrics'!E:E,'Data - Monthly Metrics'!A:A,$B$4-1,'Data - Monthly Metrics'!B:B,"Nov",'Data - Monthly Metrics'!C:C,"NorthCentral",'Data - Monthly Metrics'!D:D,"Revenue Up for Renewal - Target ($)"))</f>
        <v/>
      </c>
      <c r="D55" s="91">
        <f>IF(COUNTIFS('Data - Monthly Metrics'!A:A,$B$4-1,'Data - Monthly Metrics'!B:B,"Dec",'Data - Monthly Metrics'!C:C,"NorthCentral",'Data - Monthly Metrics'!D:D,"Revenue Up for Renewal - Target ($)")=0,"-",SUMIFS('Data - Monthly Metrics'!E:E,'Data - Monthly Metrics'!A:A,$B$4-1,'Data - Monthly Metrics'!B:B,"Dec",'Data - Monthly Metrics'!C:C,"NorthCentral",'Data - Monthly Metrics'!D:D,"Revenue Up for Renewal - Target ($)"))</f>
        <v/>
      </c>
      <c r="E55" s="101">
        <f>SUM(B55,C55,D55)</f>
        <v/>
      </c>
      <c r="F55" s="91">
        <f>IF(COUNTIFS('Data - Monthly Metrics'!A:A,$B$4,'Data - Monthly Metrics'!B:B,"Jan",'Data - Monthly Metrics'!C:C,"NorthCentral",'Data - Monthly Metrics'!D:D,"Revenue Up for Renewal - Target ($)")=0,"-",SUMIFS('Data - Monthly Metrics'!E:E,'Data - Monthly Metrics'!A:A,$B$4,'Data - Monthly Metrics'!B:B,"Jan",'Data - Monthly Metrics'!C:C,"NorthCentral",'Data - Monthly Metrics'!D:D,"Revenue Up for Renewal - Target ($)"))</f>
        <v/>
      </c>
      <c r="G55" s="91">
        <f>IF(COUNTIFS('Data - Monthly Metrics'!A:A,$B$4,'Data - Monthly Metrics'!B:B,"Feb",'Data - Monthly Metrics'!C:C,"NorthCentral",'Data - Monthly Metrics'!D:D,"Revenue Up for Renewal - Target ($)")=0,"-",SUMIFS('Data - Monthly Metrics'!E:E,'Data - Monthly Metrics'!A:A,$B$4,'Data - Monthly Metrics'!B:B,"Feb",'Data - Monthly Metrics'!C:C,"NorthCentral",'Data - Monthly Metrics'!D:D,"Revenue Up for Renewal - Target ($)"))</f>
        <v/>
      </c>
      <c r="H55" s="91">
        <f>IF(COUNTIFS('Data - Monthly Metrics'!A:A,$B$4,'Data - Monthly Metrics'!B:B,"Mar",'Data - Monthly Metrics'!C:C,"NorthCentral",'Data - Monthly Metrics'!D:D,"Revenue Up for Renewal - Target ($)")=0,"-",SUMIFS('Data - Monthly Metrics'!E:E,'Data - Monthly Metrics'!A:A,$B$4,'Data - Monthly Metrics'!B:B,"Mar",'Data - Monthly Metrics'!C:C,"NorthCentral",'Data - Monthly Metrics'!D:D,"Revenue Up for Renewal - Target ($)"))</f>
        <v/>
      </c>
      <c r="I55" s="101">
        <f>SUM(F55,G55,H55)</f>
        <v/>
      </c>
      <c r="J55" s="91">
        <f>IF(COUNTIFS('Data - Monthly Metrics'!A:A,$B$4,'Data - Monthly Metrics'!B:B,"Apr",'Data - Monthly Metrics'!C:C,"NorthCentral",'Data - Monthly Metrics'!D:D,"Revenue Up for Renewal - Target ($)")=0,"-",SUMIFS('Data - Monthly Metrics'!E:E,'Data - Monthly Metrics'!A:A,$B$4,'Data - Monthly Metrics'!B:B,"Apr",'Data - Monthly Metrics'!C:C,"NorthCentral",'Data - Monthly Metrics'!D:D,"Revenue Up for Renewal - Target ($)"))</f>
        <v/>
      </c>
      <c r="K55" s="91">
        <f>IF(COUNTIFS('Data - Monthly Metrics'!A:A,$B$4,'Data - Monthly Metrics'!B:B,"May",'Data - Monthly Metrics'!C:C,"NorthCentral",'Data - Monthly Metrics'!D:D,"Revenue Up for Renewal - Target ($)")=0,"-",SUMIFS('Data - Monthly Metrics'!E:E,'Data - Monthly Metrics'!A:A,$B$4,'Data - Monthly Metrics'!B:B,"May",'Data - Monthly Metrics'!C:C,"NorthCentral",'Data - Monthly Metrics'!D:D,"Revenue Up for Renewal - Target ($)"))</f>
        <v/>
      </c>
      <c r="L55" s="91">
        <f>IF(COUNTIFS('Data - Monthly Metrics'!A:A,$B$4,'Data - Monthly Metrics'!B:B,"Jun",'Data - Monthly Metrics'!C:C,"NorthCentral",'Data - Monthly Metrics'!D:D,"Revenue Up for Renewal - Target ($)")=0,"-",SUMIFS('Data - Monthly Metrics'!E:E,'Data - Monthly Metrics'!A:A,$B$4,'Data - Monthly Metrics'!B:B,"Jun",'Data - Monthly Metrics'!C:C,"NorthCentral",'Data - Monthly Metrics'!D:D,"Revenue Up for Renewal - Target ($)"))</f>
        <v/>
      </c>
      <c r="M55" s="101">
        <f>SUM(J55,K55,L55)</f>
        <v/>
      </c>
      <c r="N55" s="91">
        <f>IF(COUNTIFS('Data - Monthly Metrics'!A:A,$B$4,'Data - Monthly Metrics'!B:B,"Jul",'Data - Monthly Metrics'!C:C,"NorthCentral",'Data - Monthly Metrics'!D:D,"Revenue Up for Renewal - Target ($)")=0,"-",SUMIFS('Data - Monthly Metrics'!E:E,'Data - Monthly Metrics'!A:A,$B$4,'Data - Monthly Metrics'!B:B,"Jul",'Data - Monthly Metrics'!C:C,"NorthCentral",'Data - Monthly Metrics'!D:D,"Revenue Up for Renewal - Target ($)"))</f>
        <v/>
      </c>
      <c r="O55" s="91">
        <f>IF(COUNTIFS('Data - Monthly Metrics'!A:A,$B$4,'Data - Monthly Metrics'!B:B,"Aug",'Data - Monthly Metrics'!C:C,"NorthCentral",'Data - Monthly Metrics'!D:D,"Revenue Up for Renewal - Target ($)")=0,"-",SUMIFS('Data - Monthly Metrics'!E:E,'Data - Monthly Metrics'!A:A,$B$4,'Data - Monthly Metrics'!B:B,"Aug",'Data - Monthly Metrics'!C:C,"NorthCentral",'Data - Monthly Metrics'!D:D,"Revenue Up for Renewal - Target ($)"))</f>
        <v/>
      </c>
      <c r="P55" s="91">
        <f>IF(COUNTIFS('Data - Monthly Metrics'!A:A,$B$4,'Data - Monthly Metrics'!B:B,"Sep",'Data - Monthly Metrics'!C:C,"NorthCentral",'Data - Monthly Metrics'!D:D,"Revenue Up for Renewal - Target ($)")=0,"-",SUMIFS('Data - Monthly Metrics'!E:E,'Data - Monthly Metrics'!A:A,$B$4,'Data - Monthly Metrics'!B:B,"Sep",'Data - Monthly Metrics'!C:C,"NorthCentral",'Data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Metrics'!C:C,"NorthCentral",'Data - Monthly Metrics'!D:D,"Revenue Retained - Target ($)")=0,"-",SUMIFS('Data - Monthly Metrics'!E:E,'Data - Monthly Metrics'!A:A,$B$4-1,'Data - Monthly Metrics'!B:B,"Oct",'Data - Monthly Metrics'!C:C,"NorthCentral",'Data - Monthly Metrics'!D:D,"Revenue Retained - Target ($)"))</f>
        <v/>
      </c>
      <c r="C56" s="96">
        <f>IF(COUNTIFS('Data - Monthly Metrics'!A:A,$B$4-1,'Data - Monthly Metrics'!B:B,"Nov",'Data - Monthly Metrics'!C:C,"NorthCentral",'Data - Monthly Metrics'!D:D,"Revenue Retained - Target ($)")=0,"-",SUMIFS('Data - Monthly Metrics'!E:E,'Data - Monthly Metrics'!A:A,$B$4-1,'Data - Monthly Metrics'!B:B,"Nov",'Data - Monthly Metrics'!C:C,"NorthCentral",'Data - Monthly Metrics'!D:D,"Revenue Retained - Target ($)"))</f>
        <v/>
      </c>
      <c r="D56" s="96">
        <f>IF(COUNTIFS('Data - Monthly Metrics'!A:A,$B$4-1,'Data - Monthly Metrics'!B:B,"Dec",'Data - Monthly Metrics'!C:C,"NorthCentral",'Data - Monthly Metrics'!D:D,"Revenue Retained - Target ($)")=0,"-",SUMIFS('Data - Monthly Metrics'!E:E,'Data - Monthly Metrics'!A:A,$B$4-1,'Data - Monthly Metrics'!B:B,"Dec",'Data - Monthly Metrics'!C:C,"NorthCentral",'Data - Monthly Metrics'!D:D,"Revenue Retained - Target ($)"))</f>
        <v/>
      </c>
      <c r="E56" s="101">
        <f>SUM(B56,C56,D56)</f>
        <v/>
      </c>
      <c r="F56" s="96">
        <f>IF(COUNTIFS('Data - Monthly Metrics'!A:A,$B$4,'Data - Monthly Metrics'!B:B,"Jan",'Data - Monthly Metrics'!C:C,"NorthCentral",'Data - Monthly Metrics'!D:D,"Revenue Retained - Target ($)")=0,"-",SUMIFS('Data - Monthly Metrics'!E:E,'Data - Monthly Metrics'!A:A,$B$4,'Data - Monthly Metrics'!B:B,"Jan",'Data - Monthly Metrics'!C:C,"NorthCentral",'Data - Monthly Metrics'!D:D,"Revenue Retained - Target ($)"))</f>
        <v/>
      </c>
      <c r="G56" s="96">
        <f>IF(COUNTIFS('Data - Monthly Metrics'!A:A,$B$4,'Data - Monthly Metrics'!B:B,"Feb",'Data - Monthly Metrics'!C:C,"NorthCentral",'Data - Monthly Metrics'!D:D,"Revenue Retained - Target ($)")=0,"-",SUMIFS('Data - Monthly Metrics'!E:E,'Data - Monthly Metrics'!A:A,$B$4,'Data - Monthly Metrics'!B:B,"Feb",'Data - Monthly Metrics'!C:C,"NorthCentral",'Data - Monthly Metrics'!D:D,"Revenue Retained - Target ($)"))</f>
        <v/>
      </c>
      <c r="H56" s="96">
        <f>IF(COUNTIFS('Data - Monthly Metrics'!A:A,$B$4,'Data - Monthly Metrics'!B:B,"Mar",'Data - Monthly Metrics'!C:C,"NorthCentral",'Data - Monthly Metrics'!D:D,"Revenue Retained - Target ($)")=0,"-",SUMIFS('Data - Monthly Metrics'!E:E,'Data - Monthly Metrics'!A:A,$B$4,'Data - Monthly Metrics'!B:B,"Mar",'Data - Monthly Metrics'!C:C,"NorthCentral",'Data - Monthly Metrics'!D:D,"Revenue Retained - Target ($)"))</f>
        <v/>
      </c>
      <c r="I56" s="101">
        <f>SUM(F56,G56,H56)</f>
        <v/>
      </c>
      <c r="J56" s="96">
        <f>IF(COUNTIFS('Data - Monthly Metrics'!A:A,$B$4,'Data - Monthly Metrics'!B:B,"Apr",'Data - Monthly Metrics'!C:C,"NorthCentral",'Data - Monthly Metrics'!D:D,"Revenue Retained - Target ($)")=0,"-",SUMIFS('Data - Monthly Metrics'!E:E,'Data - Monthly Metrics'!A:A,$B$4,'Data - Monthly Metrics'!B:B,"Apr",'Data - Monthly Metrics'!C:C,"NorthCentral",'Data - Monthly Metrics'!D:D,"Revenue Retained - Target ($)"))</f>
        <v/>
      </c>
      <c r="K56" s="96">
        <f>IF(COUNTIFS('Data - Monthly Metrics'!A:A,$B$4,'Data - Monthly Metrics'!B:B,"May",'Data - Monthly Metrics'!C:C,"NorthCentral",'Data - Monthly Metrics'!D:D,"Revenue Retained - Target ($)")=0,"-",SUMIFS('Data - Monthly Metrics'!E:E,'Data - Monthly Metrics'!A:A,$B$4,'Data - Monthly Metrics'!B:B,"May",'Data - Monthly Metrics'!C:C,"NorthCentral",'Data - Monthly Metrics'!D:D,"Revenue Retained - Target ($)"))</f>
        <v/>
      </c>
      <c r="L56" s="96">
        <f>IF(COUNTIFS('Data - Monthly Metrics'!A:A,$B$4,'Data - Monthly Metrics'!B:B,"Jun",'Data - Monthly Metrics'!C:C,"NorthCentral",'Data - Monthly Metrics'!D:D,"Revenue Retained - Target ($)")=0,"-",SUMIFS('Data - Monthly Metrics'!E:E,'Data - Monthly Metrics'!A:A,$B$4,'Data - Monthly Metrics'!B:B,"Jun",'Data - Monthly Metrics'!C:C,"NorthCentral",'Data - Monthly Metrics'!D:D,"Revenue Retained - Target ($)"))</f>
        <v/>
      </c>
      <c r="M56" s="101">
        <f>SUM(J56,K56,L56)</f>
        <v/>
      </c>
      <c r="N56" s="96">
        <f>IF(COUNTIFS('Data - Monthly Metrics'!A:A,$B$4,'Data - Monthly Metrics'!B:B,"Jul",'Data - Monthly Metrics'!C:C,"NorthCentral",'Data - Monthly Metrics'!D:D,"Revenue Retained - Target ($)")=0,"-",SUMIFS('Data - Monthly Metrics'!E:E,'Data - Monthly Metrics'!A:A,$B$4,'Data - Monthly Metrics'!B:B,"Jul",'Data - Monthly Metrics'!C:C,"NorthCentral",'Data - Monthly Metrics'!D:D,"Revenue Retained - Target ($)"))</f>
        <v/>
      </c>
      <c r="O56" s="96">
        <f>IF(COUNTIFS('Data - Monthly Metrics'!A:A,$B$4,'Data - Monthly Metrics'!B:B,"Aug",'Data - Monthly Metrics'!C:C,"NorthCentral",'Data - Monthly Metrics'!D:D,"Revenue Retained - Target ($)")=0,"-",SUMIFS('Data - Monthly Metrics'!E:E,'Data - Monthly Metrics'!A:A,$B$4,'Data - Monthly Metrics'!B:B,"Aug",'Data - Monthly Metrics'!C:C,"NorthCentral",'Data - Monthly Metrics'!D:D,"Revenue Retained - Target ($)"))</f>
        <v/>
      </c>
      <c r="P56" s="96">
        <f>IF(COUNTIFS('Data - Monthly Metrics'!A:A,$B$4,'Data - Monthly Metrics'!B:B,"Sep",'Data - Monthly Metrics'!C:C,"NorthCentral",'Data - Monthly Metrics'!D:D,"Revenue Retained - Target ($)")=0,"-",SUMIFS('Data - Monthly Metrics'!E:E,'Data - Monthly Metrics'!A:A,$B$4,'Data - Monthly Metrics'!B:B,"Sep",'Data - Monthly Metrics'!C:C,"NorthCentral",'Data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Metrics'!C:C,"NorthCentral",'Data - Monthly Metrics'!D:D,"Retention - Comped Target (#)")=0,"-",SUMIFS('Data - Monthly Metrics'!E:E,'Data - Monthly Metrics'!A:A,$B$4-1,'Data - Monthly Metrics'!B:B,"Oct",'Data - Monthly Metrics'!C:C,"NorthCentral",'Data - Monthly Metrics'!D:D,"Retention - Comped Target (#)"))</f>
        <v/>
      </c>
      <c r="C57" s="98">
        <f>IF(COUNTIFS('Data - Monthly Metrics'!A:A,$B$4-1,'Data - Monthly Metrics'!B:B,"Nov",'Data - Monthly Metrics'!C:C,"NorthCentral",'Data - Monthly Metrics'!D:D,"Retention - Comped Target (#)")=0,"-",SUMIFS('Data - Monthly Metrics'!E:E,'Data - Monthly Metrics'!A:A,$B$4-1,'Data - Monthly Metrics'!B:B,"Nov",'Data - Monthly Metrics'!C:C,"NorthCentral",'Data - Monthly Metrics'!D:D,"Retention - Comped Target (#)"))</f>
        <v/>
      </c>
      <c r="D57" s="98">
        <f>IF(COUNTIFS('Data - Monthly Metrics'!A:A,$B$4-1,'Data - Monthly Metrics'!B:B,"Dec",'Data - Monthly Metrics'!C:C,"NorthCentral",'Data - Monthly Metrics'!D:D,"Retention - Comped Target (#)")=0,"-",SUMIFS('Data - Monthly Metrics'!E:E,'Data - Monthly Metrics'!A:A,$B$4-1,'Data - Monthly Metrics'!B:B,"Dec",'Data - Monthly Metrics'!C:C,"NorthCentral",'Data - Monthly Metrics'!D:D,"Retention - Comped Target (#)"))</f>
        <v/>
      </c>
      <c r="E57" s="103">
        <f>SUM(B57,C57,D57)</f>
        <v/>
      </c>
      <c r="F57" s="98">
        <f>IF(COUNTIFS('Data - Monthly Metrics'!A:A,$B$4,'Data - Monthly Metrics'!B:B,"Jan",'Data - Monthly Metrics'!C:C,"NorthCentral",'Data - Monthly Metrics'!D:D,"Retention - Comped Target (#)")=0,"-",SUMIFS('Data - Monthly Metrics'!E:E,'Data - Monthly Metrics'!A:A,$B$4,'Data - Monthly Metrics'!B:B,"Jan",'Data - Monthly Metrics'!C:C,"NorthCentral",'Data - Monthly Metrics'!D:D,"Retention - Comped Target (#)"))</f>
        <v/>
      </c>
      <c r="G57" s="98">
        <f>IF(COUNTIFS('Data - Monthly Metrics'!A:A,$B$4,'Data - Monthly Metrics'!B:B,"Feb",'Data - Monthly Metrics'!C:C,"NorthCentral",'Data - Monthly Metrics'!D:D,"Retention - Comped Target (#)")=0,"-",SUMIFS('Data - Monthly Metrics'!E:E,'Data - Monthly Metrics'!A:A,$B$4,'Data - Monthly Metrics'!B:B,"Feb",'Data - Monthly Metrics'!C:C,"NorthCentral",'Data - Monthly Metrics'!D:D,"Retention - Comped Target (#)"))</f>
        <v/>
      </c>
      <c r="H57" s="98">
        <f>IF(COUNTIFS('Data - Monthly Metrics'!A:A,$B$4,'Data - Monthly Metrics'!B:B,"Mar",'Data - Monthly Metrics'!C:C,"NorthCentral",'Data - Monthly Metrics'!D:D,"Retention - Comped Target (#)")=0,"-",SUMIFS('Data - Monthly Metrics'!E:E,'Data - Monthly Metrics'!A:A,$B$4,'Data - Monthly Metrics'!B:B,"Mar",'Data - Monthly Metrics'!C:C,"NorthCentral",'Data - Monthly Metrics'!D:D,"Retention - Comped Target (#)"))</f>
        <v/>
      </c>
      <c r="I57" s="103">
        <f>SUM(F57,G57,H57)</f>
        <v/>
      </c>
      <c r="J57" s="98">
        <f>IF(COUNTIFS('Data - Monthly Metrics'!A:A,$B$4,'Data - Monthly Metrics'!B:B,"Apr",'Data - Monthly Metrics'!C:C,"NorthCentral",'Data - Monthly Metrics'!D:D,"Retention - Comped Target (#)")=0,"-",SUMIFS('Data - Monthly Metrics'!E:E,'Data - Monthly Metrics'!A:A,$B$4,'Data - Monthly Metrics'!B:B,"Apr",'Data - Monthly Metrics'!C:C,"NorthCentral",'Data - Monthly Metrics'!D:D,"Retention - Comped Target (#)"))</f>
        <v/>
      </c>
      <c r="K57" s="98">
        <f>IF(COUNTIFS('Data - Monthly Metrics'!A:A,$B$4,'Data - Monthly Metrics'!B:B,"May",'Data - Monthly Metrics'!C:C,"NorthCentral",'Data - Monthly Metrics'!D:D,"Retention - Comped Target (#)")=0,"-",SUMIFS('Data - Monthly Metrics'!E:E,'Data - Monthly Metrics'!A:A,$B$4,'Data - Monthly Metrics'!B:B,"May",'Data - Monthly Metrics'!C:C,"NorthCentral",'Data - Monthly Metrics'!D:D,"Retention - Comped Target (#)"))</f>
        <v/>
      </c>
      <c r="L57" s="98">
        <f>IF(COUNTIFS('Data - Monthly Metrics'!A:A,$B$4,'Data - Monthly Metrics'!B:B,"Jun",'Data - Monthly Metrics'!C:C,"NorthCentral",'Data - Monthly Metrics'!D:D,"Retention - Comped Target (#)")=0,"-",SUMIFS('Data - Monthly Metrics'!E:E,'Data - Monthly Metrics'!A:A,$B$4,'Data - Monthly Metrics'!B:B,"Jun",'Data - Monthly Metrics'!C:C,"NorthCentral",'Data - Monthly Metrics'!D:D,"Retention - Comped Target (#)"))</f>
        <v/>
      </c>
      <c r="M57" s="103">
        <f>SUM(J57,K57,L57)</f>
        <v/>
      </c>
      <c r="N57" s="98">
        <f>IF(COUNTIFS('Data - Monthly Metrics'!A:A,$B$4,'Data - Monthly Metrics'!B:B,"Jul",'Data - Monthly Metrics'!C:C,"NorthCentral",'Data - Monthly Metrics'!D:D,"Retention - Comped Target (#)")=0,"-",SUMIFS('Data - Monthly Metrics'!E:E,'Data - Monthly Metrics'!A:A,$B$4,'Data - Monthly Metrics'!B:B,"Jul",'Data - Monthly Metrics'!C:C,"NorthCentral",'Data - Monthly Metrics'!D:D,"Retention - Comped Target (#)"))</f>
        <v/>
      </c>
      <c r="O57" s="98">
        <f>IF(COUNTIFS('Data - Monthly Metrics'!A:A,$B$4,'Data - Monthly Metrics'!B:B,"Aug",'Data - Monthly Metrics'!C:C,"NorthCentral",'Data - Monthly Metrics'!D:D,"Retention - Comped Target (#)")=0,"-",SUMIFS('Data - Monthly Metrics'!E:E,'Data - Monthly Metrics'!A:A,$B$4,'Data - Monthly Metrics'!B:B,"Aug",'Data - Monthly Metrics'!C:C,"NorthCentral",'Data - Monthly Metrics'!D:D,"Retention - Comped Target (#)"))</f>
        <v/>
      </c>
      <c r="P57" s="98">
        <f>IF(COUNTIFS('Data - Monthly Metrics'!A:A,$B$4,'Data - Monthly Metrics'!B:B,"Sep",'Data - Monthly Metrics'!C:C,"NorthCentral",'Data - Monthly Metrics'!D:D,"Retention - Comped Target (#)")=0,"-",SUMIFS('Data - Monthly Metrics'!E:E,'Data - Monthly Metrics'!A:A,$B$4,'Data - Monthly Metrics'!B:B,"Sep",'Data - Monthly Metrics'!C:C,"NorthCentral",'Data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Metrics'!C:C,"NorthCentral",'Data - Monthly Metrics'!D:D,"Retention - Comped Target ($)")=0,"-",SUMIFS('Data - Monthly Metrics'!E:E,'Data - Monthly Metrics'!A:A,$B$4-1,'Data - Monthly Metrics'!B:B,"Oct",'Data - Monthly Metrics'!C:C,"NorthCentral",'Data - Monthly Metrics'!D:D,"Retention - Comped Target ($)"))</f>
        <v/>
      </c>
      <c r="C58" s="96">
        <f>IF(COUNTIFS('Data - Monthly Metrics'!A:A,$B$4-1,'Data - Monthly Metrics'!B:B,"Nov",'Data - Monthly Metrics'!C:C,"NorthCentral",'Data - Monthly Metrics'!D:D,"Retention - Comped Target ($)")=0,"-",SUMIFS('Data - Monthly Metrics'!E:E,'Data - Monthly Metrics'!A:A,$B$4-1,'Data - Monthly Metrics'!B:B,"Nov",'Data - Monthly Metrics'!C:C,"NorthCentral",'Data - Monthly Metrics'!D:D,"Retention - Comped Target ($)"))</f>
        <v/>
      </c>
      <c r="D58" s="96">
        <f>IF(COUNTIFS('Data - Monthly Metrics'!A:A,$B$4-1,'Data - Monthly Metrics'!B:B,"Dec",'Data - Monthly Metrics'!C:C,"NorthCentral",'Data - Monthly Metrics'!D:D,"Retention - Comped Target ($)")=0,"-",SUMIFS('Data - Monthly Metrics'!E:E,'Data - Monthly Metrics'!A:A,$B$4-1,'Data - Monthly Metrics'!B:B,"Dec",'Data - Monthly Metrics'!C:C,"NorthCentral",'Data - Monthly Metrics'!D:D,"Retention - Comped Target ($)"))</f>
        <v/>
      </c>
      <c r="E58" s="101">
        <f>SUM(B58,C58,D58)</f>
        <v/>
      </c>
      <c r="F58" s="96">
        <f>IF(COUNTIFS('Data - Monthly Metrics'!A:A,$B$4,'Data - Monthly Metrics'!B:B,"Jan",'Data - Monthly Metrics'!C:C,"NorthCentral",'Data - Monthly Metrics'!D:D,"Retention - Comped Target ($)")=0,"-",SUMIFS('Data - Monthly Metrics'!E:E,'Data - Monthly Metrics'!A:A,$B$4,'Data - Monthly Metrics'!B:B,"Jan",'Data - Monthly Metrics'!C:C,"NorthCentral",'Data - Monthly Metrics'!D:D,"Retention - Comped Target ($)"))</f>
        <v/>
      </c>
      <c r="G58" s="96">
        <f>IF(COUNTIFS('Data - Monthly Metrics'!A:A,$B$4,'Data - Monthly Metrics'!B:B,"Feb",'Data - Monthly Metrics'!C:C,"NorthCentral",'Data - Monthly Metrics'!D:D,"Retention - Comped Target ($)")=0,"-",SUMIFS('Data - Monthly Metrics'!E:E,'Data - Monthly Metrics'!A:A,$B$4,'Data - Monthly Metrics'!B:B,"Feb",'Data - Monthly Metrics'!C:C,"NorthCentral",'Data - Monthly Metrics'!D:D,"Retention - Comped Target ($)"))</f>
        <v/>
      </c>
      <c r="H58" s="96">
        <f>IF(COUNTIFS('Data - Monthly Metrics'!A:A,$B$4,'Data - Monthly Metrics'!B:B,"Mar",'Data - Monthly Metrics'!C:C,"NorthCentral",'Data - Monthly Metrics'!D:D,"Retention - Comped Target ($)")=0,"-",SUMIFS('Data - Monthly Metrics'!E:E,'Data - Monthly Metrics'!A:A,$B$4,'Data - Monthly Metrics'!B:B,"Mar",'Data - Monthly Metrics'!C:C,"NorthCentral",'Data - Monthly Metrics'!D:D,"Retention - Comped Target ($)"))</f>
        <v/>
      </c>
      <c r="I58" s="101">
        <f>SUM(F58,G58,H58)</f>
        <v/>
      </c>
      <c r="J58" s="96">
        <f>IF(COUNTIFS('Data - Monthly Metrics'!A:A,$B$4,'Data - Monthly Metrics'!B:B,"Apr",'Data - Monthly Metrics'!C:C,"NorthCentral",'Data - Monthly Metrics'!D:D,"Retention - Comped Target ($)")=0,"-",SUMIFS('Data - Monthly Metrics'!E:E,'Data - Monthly Metrics'!A:A,$B$4,'Data - Monthly Metrics'!B:B,"Apr",'Data - Monthly Metrics'!C:C,"NorthCentral",'Data - Monthly Metrics'!D:D,"Retention - Comped Target ($)"))</f>
        <v/>
      </c>
      <c r="K58" s="96">
        <f>IF(COUNTIFS('Data - Monthly Metrics'!A:A,$B$4,'Data - Monthly Metrics'!B:B,"May",'Data - Monthly Metrics'!C:C,"NorthCentral",'Data - Monthly Metrics'!D:D,"Retention - Comped Target ($)")=0,"-",SUMIFS('Data - Monthly Metrics'!E:E,'Data - Monthly Metrics'!A:A,$B$4,'Data - Monthly Metrics'!B:B,"May",'Data - Monthly Metrics'!C:C,"NorthCentral",'Data - Monthly Metrics'!D:D,"Retention - Comped Target ($)"))</f>
        <v/>
      </c>
      <c r="L58" s="96">
        <f>IF(COUNTIFS('Data - Monthly Metrics'!A:A,$B$4,'Data - Monthly Metrics'!B:B,"Jun",'Data - Monthly Metrics'!C:C,"NorthCentral",'Data - Monthly Metrics'!D:D,"Retention - Comped Target ($)")=0,"-",SUMIFS('Data - Monthly Metrics'!E:E,'Data - Monthly Metrics'!A:A,$B$4,'Data - Monthly Metrics'!B:B,"Jun",'Data - Monthly Metrics'!C:C,"NorthCentral",'Data - Monthly Metrics'!D:D,"Retention - Comped Target ($)"))</f>
        <v/>
      </c>
      <c r="M58" s="101">
        <f>SUM(J58,K58,L58)</f>
        <v/>
      </c>
      <c r="N58" s="96">
        <f>IF(COUNTIFS('Data - Monthly Metrics'!A:A,$B$4,'Data - Monthly Metrics'!B:B,"Jul",'Data - Monthly Metrics'!C:C,"NorthCentral",'Data - Monthly Metrics'!D:D,"Retention - Comped Target ($)")=0,"-",SUMIFS('Data - Monthly Metrics'!E:E,'Data - Monthly Metrics'!A:A,$B$4,'Data - Monthly Metrics'!B:B,"Jul",'Data - Monthly Metrics'!C:C,"NorthCentral",'Data - Monthly Metrics'!D:D,"Retention - Comped Target ($)"))</f>
        <v/>
      </c>
      <c r="O58" s="96">
        <f>IF(COUNTIFS('Data - Monthly Metrics'!A:A,$B$4,'Data - Monthly Metrics'!B:B,"Aug",'Data - Monthly Metrics'!C:C,"NorthCentral",'Data - Monthly Metrics'!D:D,"Retention - Comped Target ($)")=0,"-",SUMIFS('Data - Monthly Metrics'!E:E,'Data - Monthly Metrics'!A:A,$B$4,'Data - Monthly Metrics'!B:B,"Aug",'Data - Monthly Metrics'!C:C,"NorthCentral",'Data - Monthly Metrics'!D:D,"Retention - Comped Target ($)"))</f>
        <v/>
      </c>
      <c r="P58" s="96">
        <f>IF(COUNTIFS('Data - Monthly Metrics'!A:A,$B$4,'Data - Monthly Metrics'!B:B,"Sep",'Data - Monthly Metrics'!C:C,"NorthCentral",'Data - Monthly Metrics'!D:D,"Retention - Comped Target ($)")=0,"-",SUMIFS('Data - Monthly Metrics'!E:E,'Data - Monthly Metrics'!A:A,$B$4,'Data - Monthly Metrics'!B:B,"Sep",'Data - Monthly Metrics'!C:C,"NorthCentral",'Data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Metrics'!C:C,"NorthCentral",'Data - Monthly Metrics'!D:D,"Drops - Target (#)")=0,"-",SUMIFS('Data - Monthly Metrics'!E:E,'Data - Monthly Metrics'!A:A,$B$4-1,'Data - Monthly Metrics'!B:B,"Oct",'Data - Monthly Metrics'!C:C,"NorthCentral",'Data - Monthly Metrics'!D:D,"Drops - Target (#)"))</f>
        <v/>
      </c>
      <c r="C63" s="93">
        <f>IF(COUNTIFS('Data - Monthly Metrics'!A:A,$B$4-1,'Data - Monthly Metrics'!B:B,"Nov",'Data - Monthly Metrics'!C:C,"NorthCentral",'Data - Monthly Metrics'!D:D,"Drops - Target (#)")=0,"-",SUMIFS('Data - Monthly Metrics'!E:E,'Data - Monthly Metrics'!A:A,$B$4-1,'Data - Monthly Metrics'!B:B,"Nov",'Data - Monthly Metrics'!C:C,"NorthCentral",'Data - Monthly Metrics'!D:D,"Drops - Target (#)"))</f>
        <v/>
      </c>
      <c r="D63" s="93">
        <f>IF(COUNTIFS('Data - Monthly Metrics'!A:A,$B$4-1,'Data - Monthly Metrics'!B:B,"Dec",'Data - Monthly Metrics'!C:C,"NorthCentral",'Data - Monthly Metrics'!D:D,"Drops - Target (#)")=0,"-",SUMIFS('Data - Monthly Metrics'!E:E,'Data - Monthly Metrics'!A:A,$B$4-1,'Data - Monthly Metrics'!B:B,"Dec",'Data - Monthly Metrics'!C:C,"NorthCentral",'Data - Monthly Metrics'!D:D,"Drops - Target (#)"))</f>
        <v/>
      </c>
      <c r="E63" s="103">
        <f>SUM(B63,C63,D63)</f>
        <v/>
      </c>
      <c r="F63" s="93">
        <f>IF(COUNTIFS('Data - Monthly Metrics'!A:A,$B$4,'Data - Monthly Metrics'!B:B,"Jan",'Data - Monthly Metrics'!C:C,"NorthCentral",'Data - Monthly Metrics'!D:D,"Drops - Target (#)")=0,"-",SUMIFS('Data - Monthly Metrics'!E:E,'Data - Monthly Metrics'!A:A,$B$4,'Data - Monthly Metrics'!B:B,"Jan",'Data - Monthly Metrics'!C:C,"NorthCentral",'Data - Monthly Metrics'!D:D,"Drops - Target (#)"))</f>
        <v/>
      </c>
      <c r="G63" s="93">
        <f>IF(COUNTIFS('Data - Monthly Metrics'!A:A,$B$4,'Data - Monthly Metrics'!B:B,"Feb",'Data - Monthly Metrics'!C:C,"NorthCentral",'Data - Monthly Metrics'!D:D,"Drops - Target (#)")=0,"-",SUMIFS('Data - Monthly Metrics'!E:E,'Data - Monthly Metrics'!A:A,$B$4,'Data - Monthly Metrics'!B:B,"Feb",'Data - Monthly Metrics'!C:C,"NorthCentral",'Data - Monthly Metrics'!D:D,"Drops - Target (#)"))</f>
        <v/>
      </c>
      <c r="H63" s="93">
        <f>IF(COUNTIFS('Data - Monthly Metrics'!A:A,$B$4,'Data - Monthly Metrics'!B:B,"Mar",'Data - Monthly Metrics'!C:C,"NorthCentral",'Data - Monthly Metrics'!D:D,"Drops - Target (#)")=0,"-",SUMIFS('Data - Monthly Metrics'!E:E,'Data - Monthly Metrics'!A:A,$B$4,'Data - Monthly Metrics'!B:B,"Mar",'Data - Monthly Metrics'!C:C,"NorthCentral",'Data - Monthly Metrics'!D:D,"Drops - Target (#)"))</f>
        <v/>
      </c>
      <c r="I63" s="103">
        <f>SUM(F63,G63,H63)</f>
        <v/>
      </c>
      <c r="J63" s="93">
        <f>IF(COUNTIFS('Data - Monthly Metrics'!A:A,$B$4,'Data - Monthly Metrics'!B:B,"Apr",'Data - Monthly Metrics'!C:C,"NorthCentral",'Data - Monthly Metrics'!D:D,"Drops - Target (#)")=0,"-",SUMIFS('Data - Monthly Metrics'!E:E,'Data - Monthly Metrics'!A:A,$B$4,'Data - Monthly Metrics'!B:B,"Apr",'Data - Monthly Metrics'!C:C,"NorthCentral",'Data - Monthly Metrics'!D:D,"Drops - Target (#)"))</f>
        <v/>
      </c>
      <c r="K63" s="93">
        <f>IF(COUNTIFS('Data - Monthly Metrics'!A:A,$B$4,'Data - Monthly Metrics'!B:B,"May",'Data - Monthly Metrics'!C:C,"NorthCentral",'Data - Monthly Metrics'!D:D,"Drops - Target (#)")=0,"-",SUMIFS('Data - Monthly Metrics'!E:E,'Data - Monthly Metrics'!A:A,$B$4,'Data - Monthly Metrics'!B:B,"May",'Data - Monthly Metrics'!C:C,"NorthCentral",'Data - Monthly Metrics'!D:D,"Drops - Target (#)"))</f>
        <v/>
      </c>
      <c r="L63" s="93">
        <f>IF(COUNTIFS('Data - Monthly Metrics'!A:A,$B$4,'Data - Monthly Metrics'!B:B,"Jun",'Data - Monthly Metrics'!C:C,"NorthCentral",'Data - Monthly Metrics'!D:D,"Drops - Target (#)")=0,"-",SUMIFS('Data - Monthly Metrics'!E:E,'Data - Monthly Metrics'!A:A,$B$4,'Data - Monthly Metrics'!B:B,"Jun",'Data - Monthly Metrics'!C:C,"NorthCentral",'Data - Monthly Metrics'!D:D,"Drops - Target (#)"))</f>
        <v/>
      </c>
      <c r="M63" s="103">
        <f>SUM(J63,K63,L63)</f>
        <v/>
      </c>
      <c r="N63" s="93">
        <f>IF(COUNTIFS('Data - Monthly Metrics'!A:A,$B$4,'Data - Monthly Metrics'!B:B,"Jul",'Data - Monthly Metrics'!C:C,"NorthCentral",'Data - Monthly Metrics'!D:D,"Drops - Target (#)")=0,"-",SUMIFS('Data - Monthly Metrics'!E:E,'Data - Monthly Metrics'!A:A,$B$4,'Data - Monthly Metrics'!B:B,"Jul",'Data - Monthly Metrics'!C:C,"NorthCentral",'Data - Monthly Metrics'!D:D,"Drops - Target (#)"))</f>
        <v/>
      </c>
      <c r="O63" s="93">
        <f>IF(COUNTIFS('Data - Monthly Metrics'!A:A,$B$4,'Data - Monthly Metrics'!B:B,"Aug",'Data - Monthly Metrics'!C:C,"NorthCentral",'Data - Monthly Metrics'!D:D,"Drops - Target (#)")=0,"-",SUMIFS('Data - Monthly Metrics'!E:E,'Data - Monthly Metrics'!A:A,$B$4,'Data - Monthly Metrics'!B:B,"Aug",'Data - Monthly Metrics'!C:C,"NorthCentral",'Data - Monthly Metrics'!D:D,"Drops - Target (#)"))</f>
        <v/>
      </c>
      <c r="P63" s="93">
        <f>IF(COUNTIFS('Data - Monthly Metrics'!A:A,$B$4,'Data - Monthly Metrics'!B:B,"Sep",'Data - Monthly Metrics'!C:C,"NorthCentral",'Data - Monthly Metrics'!D:D,"Drops - Target (#)")=0,"-",SUMIFS('Data - Monthly Metrics'!E:E,'Data - Monthly Metrics'!A:A,$B$4,'Data - Monthly Metrics'!B:B,"Sep",'Data - Monthly Metrics'!C:C,"NorthCentral",'Data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Metrics'!C:C,"NorthCentral",'Data - Monthly Metrics'!D:D,"Dropped Revenue - Target ($)")=0,"-",SUMIFS('Data - Monthly Metrics'!E:E,'Data - Monthly Metrics'!A:A,$B$4-1,'Data - Monthly Metrics'!B:B,"Oct",'Data - Monthly Metrics'!C:C,"NorthCentral",'Data - Monthly Metrics'!D:D,"Dropped Revenue - Target ($)"))</f>
        <v/>
      </c>
      <c r="C64" s="96">
        <f>IF(COUNTIFS('Data - Monthly Metrics'!A:A,$B$4-1,'Data - Monthly Metrics'!B:B,"Nov",'Data - Monthly Metrics'!C:C,"NorthCentral",'Data - Monthly Metrics'!D:D,"Dropped Revenue - Target ($)")=0,"-",SUMIFS('Data - Monthly Metrics'!E:E,'Data - Monthly Metrics'!A:A,$B$4-1,'Data - Monthly Metrics'!B:B,"Nov",'Data - Monthly Metrics'!C:C,"NorthCentral",'Data - Monthly Metrics'!D:D,"Dropped Revenue - Target ($)"))</f>
        <v/>
      </c>
      <c r="D64" s="96">
        <f>IF(COUNTIFS('Data - Monthly Metrics'!A:A,$B$4-1,'Data - Monthly Metrics'!B:B,"Dec",'Data - Monthly Metrics'!C:C,"NorthCentral",'Data - Monthly Metrics'!D:D,"Dropped Revenue - Target ($)")=0,"-",SUMIFS('Data - Monthly Metrics'!E:E,'Data - Monthly Metrics'!A:A,$B$4-1,'Data - Monthly Metrics'!B:B,"Dec",'Data - Monthly Metrics'!C:C,"NorthCentral",'Data - Monthly Metrics'!D:D,"Dropped Revenue - Target ($)"))</f>
        <v/>
      </c>
      <c r="E64" s="101">
        <f>SUM(B64,C64,D64)</f>
        <v/>
      </c>
      <c r="F64" s="96">
        <f>IF(COUNTIFS('Data - Monthly Metrics'!A:A,$B$4,'Data - Monthly Metrics'!B:B,"Jan",'Data - Monthly Metrics'!C:C,"NorthCentral",'Data - Monthly Metrics'!D:D,"Dropped Revenue - Target ($)")=0,"-",SUMIFS('Data - Monthly Metrics'!E:E,'Data - Monthly Metrics'!A:A,$B$4,'Data - Monthly Metrics'!B:B,"Jan",'Data - Monthly Metrics'!C:C,"NorthCentral",'Data - Monthly Metrics'!D:D,"Dropped Revenue - Target ($)"))</f>
        <v/>
      </c>
      <c r="G64" s="96">
        <f>IF(COUNTIFS('Data - Monthly Metrics'!A:A,$B$4,'Data - Monthly Metrics'!B:B,"Feb",'Data - Monthly Metrics'!C:C,"NorthCentral",'Data - Monthly Metrics'!D:D,"Dropped Revenue - Target ($)")=0,"-",SUMIFS('Data - Monthly Metrics'!E:E,'Data - Monthly Metrics'!A:A,$B$4,'Data - Monthly Metrics'!B:B,"Feb",'Data - Monthly Metrics'!C:C,"NorthCentral",'Data - Monthly Metrics'!D:D,"Dropped Revenue - Target ($)"))</f>
        <v/>
      </c>
      <c r="H64" s="96">
        <f>IF(COUNTIFS('Data - Monthly Metrics'!A:A,$B$4,'Data - Monthly Metrics'!B:B,"Mar",'Data - Monthly Metrics'!C:C,"NorthCentral",'Data - Monthly Metrics'!D:D,"Dropped Revenue - Target ($)")=0,"-",SUMIFS('Data - Monthly Metrics'!E:E,'Data - Monthly Metrics'!A:A,$B$4,'Data - Monthly Metrics'!B:B,"Mar",'Data - Monthly Metrics'!C:C,"NorthCentral",'Data - Monthly Metrics'!D:D,"Dropped Revenue - Target ($)"))</f>
        <v/>
      </c>
      <c r="I64" s="101">
        <f>SUM(F64,G64,H64)</f>
        <v/>
      </c>
      <c r="J64" s="96">
        <f>IF(COUNTIFS('Data - Monthly Metrics'!A:A,$B$4,'Data - Monthly Metrics'!B:B,"Apr",'Data - Monthly Metrics'!C:C,"NorthCentral",'Data - Monthly Metrics'!D:D,"Dropped Revenue - Target ($)")=0,"-",SUMIFS('Data - Monthly Metrics'!E:E,'Data - Monthly Metrics'!A:A,$B$4,'Data - Monthly Metrics'!B:B,"Apr",'Data - Monthly Metrics'!C:C,"NorthCentral",'Data - Monthly Metrics'!D:D,"Dropped Revenue - Target ($)"))</f>
        <v/>
      </c>
      <c r="K64" s="96">
        <f>IF(COUNTIFS('Data - Monthly Metrics'!A:A,$B$4,'Data - Monthly Metrics'!B:B,"May",'Data - Monthly Metrics'!C:C,"NorthCentral",'Data - Monthly Metrics'!D:D,"Dropped Revenue - Target ($)")=0,"-",SUMIFS('Data - Monthly Metrics'!E:E,'Data - Monthly Metrics'!A:A,$B$4,'Data - Monthly Metrics'!B:B,"May",'Data - Monthly Metrics'!C:C,"NorthCentral",'Data - Monthly Metrics'!D:D,"Dropped Revenue - Target ($)"))</f>
        <v/>
      </c>
      <c r="L64" s="96">
        <f>IF(COUNTIFS('Data - Monthly Metrics'!A:A,$B$4,'Data - Monthly Metrics'!B:B,"Jun",'Data - Monthly Metrics'!C:C,"NorthCentral",'Data - Monthly Metrics'!D:D,"Dropped Revenue - Target ($)")=0,"-",SUMIFS('Data - Monthly Metrics'!E:E,'Data - Monthly Metrics'!A:A,$B$4,'Data - Monthly Metrics'!B:B,"Jun",'Data - Monthly Metrics'!C:C,"NorthCentral",'Data - Monthly Metrics'!D:D,"Dropped Revenue - Target ($)"))</f>
        <v/>
      </c>
      <c r="M64" s="101">
        <f>SUM(J64,K64,L64)</f>
        <v/>
      </c>
      <c r="N64" s="96">
        <f>IF(COUNTIFS('Data - Monthly Metrics'!A:A,$B$4,'Data - Monthly Metrics'!B:B,"Jul",'Data - Monthly Metrics'!C:C,"NorthCentral",'Data - Monthly Metrics'!D:D,"Dropped Revenue - Target ($)")=0,"-",SUMIFS('Data - Monthly Metrics'!E:E,'Data - Monthly Metrics'!A:A,$B$4,'Data - Monthly Metrics'!B:B,"Jul",'Data - Monthly Metrics'!C:C,"NorthCentral",'Data - Monthly Metrics'!D:D,"Dropped Revenue - Target ($)"))</f>
        <v/>
      </c>
      <c r="O64" s="96">
        <f>IF(COUNTIFS('Data - Monthly Metrics'!A:A,$B$4,'Data - Monthly Metrics'!B:B,"Aug",'Data - Monthly Metrics'!C:C,"NorthCentral",'Data - Monthly Metrics'!D:D,"Dropped Revenue - Target ($)")=0,"-",SUMIFS('Data - Monthly Metrics'!E:E,'Data - Monthly Metrics'!A:A,$B$4,'Data - Monthly Metrics'!B:B,"Aug",'Data - Monthly Metrics'!C:C,"NorthCentral",'Data - Monthly Metrics'!D:D,"Dropped Revenue - Target ($)"))</f>
        <v/>
      </c>
      <c r="P64" s="96">
        <f>IF(COUNTIFS('Data - Monthly Metrics'!A:A,$B$4,'Data - Monthly Metrics'!B:B,"Sep",'Data - Monthly Metrics'!C:C,"NorthCentral",'Data - Monthly Metrics'!D:D,"Dropped Revenue - Target ($)")=0,"-",SUMIFS('Data - Monthly Metrics'!E:E,'Data - Monthly Metrics'!A:A,$B$4,'Data - Monthly Metrics'!B:B,"Sep",'Data - Monthly Metrics'!C:C,"NorthCentral",'Data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Metrics'!C:C,"NorthCentral",'Data - Monthly Metrics'!D:D,"Penetration - Restaurant %")=0,"-",SUMIFS('Data - Monthly Metrics'!E:E,'Data - Monthly Metrics'!A:A,$B$4-1,'Data - Monthly Metrics'!B:B,"Oct",'Data - Monthly Metrics'!C:C,"NorthCentral",'Data - Monthly Metrics'!D:D,"Penetration - Restaurant %"))</f>
        <v/>
      </c>
      <c r="C68" s="92">
        <f>IF(COUNTIFS('Data - Monthly Metrics'!A:A,$B$4-1,'Data - Monthly Metrics'!B:B,"Nov",'Data - Monthly Metrics'!C:C,"NorthCentral",'Data - Monthly Metrics'!D:D,"Penetration - Restaurant %")=0,"-",SUMIFS('Data - Monthly Metrics'!E:E,'Data - Monthly Metrics'!A:A,$B$4-1,'Data - Monthly Metrics'!B:B,"Nov",'Data - Monthly Metrics'!C:C,"NorthCentral",'Data - Monthly Metrics'!D:D,"Penetration - Restaurant %"))</f>
        <v/>
      </c>
      <c r="D68" s="92">
        <f>IF(COUNTIFS('Data - Monthly Metrics'!A:A,$B$4-1,'Data - Monthly Metrics'!B:B,"Dec",'Data - Monthly Metrics'!C:C,"NorthCentral",'Data - Monthly Metrics'!D:D,"Penetration - Restaurant %")=0,"-",SUMIFS('Data - Monthly Metrics'!E:E,'Data - Monthly Metrics'!A:A,$B$4-1,'Data - Monthly Metrics'!B:B,"Dec",'Data - Monthly Metrics'!C:C,"NorthCentral",'Data - Monthly Metrics'!D:D,"Penetration - Restaurant %"))</f>
        <v/>
      </c>
      <c r="E68" s="102">
        <f>IF(ISNUMBER(D68),D68,IF(ISNUMBER(C68),C68,IF(ISNUMBER(B68),B68,"-")))</f>
        <v/>
      </c>
      <c r="F68" s="92">
        <f>IF(COUNTIFS('Data - Monthly Metrics'!A:A,$B$4,'Data - Monthly Metrics'!B:B,"Jan",'Data - Monthly Metrics'!C:C,"NorthCentral",'Data - Monthly Metrics'!D:D,"Penetration - Restaurant %")=0,"-",SUMIFS('Data - Monthly Metrics'!E:E,'Data - Monthly Metrics'!A:A,$B$4,'Data - Monthly Metrics'!B:B,"Jan",'Data - Monthly Metrics'!C:C,"NorthCentral",'Data - Monthly Metrics'!D:D,"Penetration - Restaurant %"))</f>
        <v/>
      </c>
      <c r="G68" s="92">
        <f>IF(COUNTIFS('Data - Monthly Metrics'!A:A,$B$4,'Data - Monthly Metrics'!B:B,"Feb",'Data - Monthly Metrics'!C:C,"NorthCentral",'Data - Monthly Metrics'!D:D,"Penetration - Restaurant %")=0,"-",SUMIFS('Data - Monthly Metrics'!E:E,'Data - Monthly Metrics'!A:A,$B$4,'Data - Monthly Metrics'!B:B,"Feb",'Data - Monthly Metrics'!C:C,"NorthCentral",'Data - Monthly Metrics'!D:D,"Penetration - Restaurant %"))</f>
        <v/>
      </c>
      <c r="H68" s="92">
        <f>IF(COUNTIFS('Data - Monthly Metrics'!A:A,$B$4,'Data - Monthly Metrics'!B:B,"Mar",'Data - Monthly Metrics'!C:C,"NorthCentral",'Data - Monthly Metrics'!D:D,"Penetration - Restaurant %")=0,"-",SUMIFS('Data - Monthly Metrics'!E:E,'Data - Monthly Metrics'!A:A,$B$4,'Data - Monthly Metrics'!B:B,"Mar",'Data - Monthly Metrics'!C:C,"NorthCentral",'Data - Monthly Metrics'!D:D,"Penetration - Restaurant %"))</f>
        <v/>
      </c>
      <c r="I68" s="102">
        <f>IF(ISNUMBER(H68),H68,IF(ISNUMBER(G68),G68,IF(ISNUMBER(F68),F68,"-")))</f>
        <v/>
      </c>
      <c r="J68" s="92">
        <f>IF(COUNTIFS('Data - Monthly Metrics'!A:A,$B$4,'Data - Monthly Metrics'!B:B,"Apr",'Data - Monthly Metrics'!C:C,"NorthCentral",'Data - Monthly Metrics'!D:D,"Penetration - Restaurant %")=0,"-",SUMIFS('Data - Monthly Metrics'!E:E,'Data - Monthly Metrics'!A:A,$B$4,'Data - Monthly Metrics'!B:B,"Apr",'Data - Monthly Metrics'!C:C,"NorthCentral",'Data - Monthly Metrics'!D:D,"Penetration - Restaurant %"))</f>
        <v/>
      </c>
      <c r="K68" s="92">
        <f>IF(COUNTIFS('Data - Monthly Metrics'!A:A,$B$4,'Data - Monthly Metrics'!B:B,"May",'Data - Monthly Metrics'!C:C,"NorthCentral",'Data - Monthly Metrics'!D:D,"Penetration - Restaurant %")=0,"-",SUMIFS('Data - Monthly Metrics'!E:E,'Data - Monthly Metrics'!A:A,$B$4,'Data - Monthly Metrics'!B:B,"May",'Data - Monthly Metrics'!C:C,"NorthCentral",'Data - Monthly Metrics'!D:D,"Penetration - Restaurant %"))</f>
        <v/>
      </c>
      <c r="L68" s="92">
        <f>IF(COUNTIFS('Data - Monthly Metrics'!A:A,$B$4,'Data - Monthly Metrics'!B:B,"Jun",'Data - Monthly Metrics'!C:C,"NorthCentral",'Data - Monthly Metrics'!D:D,"Penetration - Restaurant %")=0,"-",SUMIFS('Data - Monthly Metrics'!E:E,'Data - Monthly Metrics'!A:A,$B$4,'Data - Monthly Metrics'!B:B,"Jun",'Data - Monthly Metrics'!C:C,"NorthCentral",'Data - Monthly Metrics'!D:D,"Penetration - Restaurant %"))</f>
        <v/>
      </c>
      <c r="M68" s="102">
        <f>IF(ISNUMBER(L68),L68,IF(ISNUMBER(K68),K68,IF(ISNUMBER(J68),J68,"-")))</f>
        <v/>
      </c>
      <c r="N68" s="92">
        <f>IF(COUNTIFS('Data - Monthly Metrics'!A:A,$B$4,'Data - Monthly Metrics'!B:B,"Jul",'Data - Monthly Metrics'!C:C,"NorthCentral",'Data - Monthly Metrics'!D:D,"Penetration - Restaurant %")=0,"-",SUMIFS('Data - Monthly Metrics'!E:E,'Data - Monthly Metrics'!A:A,$B$4,'Data - Monthly Metrics'!B:B,"Jul",'Data - Monthly Metrics'!C:C,"NorthCentral",'Data - Monthly Metrics'!D:D,"Penetration - Restaurant %"))</f>
        <v/>
      </c>
      <c r="O68" s="92">
        <f>IF(COUNTIFS('Data - Monthly Metrics'!A:A,$B$4,'Data - Monthly Metrics'!B:B,"Aug",'Data - Monthly Metrics'!C:C,"NorthCentral",'Data - Monthly Metrics'!D:D,"Penetration - Restaurant %")=0,"-",SUMIFS('Data - Monthly Metrics'!E:E,'Data - Monthly Metrics'!A:A,$B$4,'Data - Monthly Metrics'!B:B,"Aug",'Data - Monthly Metrics'!C:C,"NorthCentral",'Data - Monthly Metrics'!D:D,"Penetration - Restaurant %"))</f>
        <v/>
      </c>
      <c r="P68" s="92">
        <f>IF(COUNTIFS('Data - Monthly Metrics'!A:A,$B$4,'Data - Monthly Metrics'!B:B,"Sep",'Data - Monthly Metrics'!C:C,"NorthCentral",'Data - Monthly Metrics'!D:D,"Penetration - Restaurant %")=0,"-",SUMIFS('Data - Monthly Metrics'!E:E,'Data - Monthly Metrics'!A:A,$B$4,'Data - Monthly Metrics'!B:B,"Sep",'Data - Monthly Metrics'!C:C,"NorthCentral",'Data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Metrics'!C:C,"NorthCentral",'Data - Monthly Metrics'!D:D,"Penetration - Lodging %")=0,"-",SUMIFS('Data - Monthly Metrics'!E:E,'Data - Monthly Metrics'!A:A,$B$4-1,'Data - Monthly Metrics'!B:B,"Oct",'Data - Monthly Metrics'!C:C,"NorthCentral",'Data - Monthly Metrics'!D:D,"Penetration - Lodging %"))</f>
        <v/>
      </c>
      <c r="C69" s="97">
        <f>IF(COUNTIFS('Data - Monthly Metrics'!A:A,$B$4-1,'Data - Monthly Metrics'!B:B,"Nov",'Data - Monthly Metrics'!C:C,"NorthCentral",'Data - Monthly Metrics'!D:D,"Penetration - Lodging %")=0,"-",SUMIFS('Data - Monthly Metrics'!E:E,'Data - Monthly Metrics'!A:A,$B$4-1,'Data - Monthly Metrics'!B:B,"Nov",'Data - Monthly Metrics'!C:C,"NorthCentral",'Data - Monthly Metrics'!D:D,"Penetration - Lodging %"))</f>
        <v/>
      </c>
      <c r="D69" s="97">
        <f>IF(COUNTIFS('Data - Monthly Metrics'!A:A,$B$4-1,'Data - Monthly Metrics'!B:B,"Dec",'Data - Monthly Metrics'!C:C,"NorthCentral",'Data - Monthly Metrics'!D:D,"Penetration - Lodging %")=0,"-",SUMIFS('Data - Monthly Metrics'!E:E,'Data - Monthly Metrics'!A:A,$B$4-1,'Data - Monthly Metrics'!B:B,"Dec",'Data - Monthly Metrics'!C:C,"NorthCentral",'Data - Monthly Metrics'!D:D,"Penetration - Lodging %"))</f>
        <v/>
      </c>
      <c r="E69" s="102">
        <f>IF(ISNUMBER(D69),D69,IF(ISNUMBER(C69),C69,IF(ISNUMBER(B69),B69,"-")))</f>
        <v/>
      </c>
      <c r="F69" s="97">
        <f>IF(COUNTIFS('Data - Monthly Metrics'!A:A,$B$4,'Data - Monthly Metrics'!B:B,"Jan",'Data - Monthly Metrics'!C:C,"NorthCentral",'Data - Monthly Metrics'!D:D,"Penetration - Lodging %")=0,"-",SUMIFS('Data - Monthly Metrics'!E:E,'Data - Monthly Metrics'!A:A,$B$4,'Data - Monthly Metrics'!B:B,"Jan",'Data - Monthly Metrics'!C:C,"NorthCentral",'Data - Monthly Metrics'!D:D,"Penetration - Lodging %"))</f>
        <v/>
      </c>
      <c r="G69" s="97">
        <f>IF(COUNTIFS('Data - Monthly Metrics'!A:A,$B$4,'Data - Monthly Metrics'!B:B,"Feb",'Data - Monthly Metrics'!C:C,"NorthCentral",'Data - Monthly Metrics'!D:D,"Penetration - Lodging %")=0,"-",SUMIFS('Data - Monthly Metrics'!E:E,'Data - Monthly Metrics'!A:A,$B$4,'Data - Monthly Metrics'!B:B,"Feb",'Data - Monthly Metrics'!C:C,"NorthCentral",'Data - Monthly Metrics'!D:D,"Penetration - Lodging %"))</f>
        <v/>
      </c>
      <c r="H69" s="97">
        <f>IF(COUNTIFS('Data - Monthly Metrics'!A:A,$B$4,'Data - Monthly Metrics'!B:B,"Mar",'Data - Monthly Metrics'!C:C,"NorthCentral",'Data - Monthly Metrics'!D:D,"Penetration - Lodging %")=0,"-",SUMIFS('Data - Monthly Metrics'!E:E,'Data - Monthly Metrics'!A:A,$B$4,'Data - Monthly Metrics'!B:B,"Mar",'Data - Monthly Metrics'!C:C,"NorthCentral",'Data - Monthly Metrics'!D:D,"Penetration - Lodging %"))</f>
        <v/>
      </c>
      <c r="I69" s="102">
        <f>IF(ISNUMBER(H69),H69,IF(ISNUMBER(G69),G69,IF(ISNUMBER(F69),F69,"-")))</f>
        <v/>
      </c>
      <c r="J69" s="97">
        <f>IF(COUNTIFS('Data - Monthly Metrics'!A:A,$B$4,'Data - Monthly Metrics'!B:B,"Apr",'Data - Monthly Metrics'!C:C,"NorthCentral",'Data - Monthly Metrics'!D:D,"Penetration - Lodging %")=0,"-",SUMIFS('Data - Monthly Metrics'!E:E,'Data - Monthly Metrics'!A:A,$B$4,'Data - Monthly Metrics'!B:B,"Apr",'Data - Monthly Metrics'!C:C,"NorthCentral",'Data - Monthly Metrics'!D:D,"Penetration - Lodging %"))</f>
        <v/>
      </c>
      <c r="K69" s="97">
        <f>IF(COUNTIFS('Data - Monthly Metrics'!A:A,$B$4,'Data - Monthly Metrics'!B:B,"May",'Data - Monthly Metrics'!C:C,"NorthCentral",'Data - Monthly Metrics'!D:D,"Penetration - Lodging %")=0,"-",SUMIFS('Data - Monthly Metrics'!E:E,'Data - Monthly Metrics'!A:A,$B$4,'Data - Monthly Metrics'!B:B,"May",'Data - Monthly Metrics'!C:C,"NorthCentral",'Data - Monthly Metrics'!D:D,"Penetration - Lodging %"))</f>
        <v/>
      </c>
      <c r="L69" s="97">
        <f>IF(COUNTIFS('Data - Monthly Metrics'!A:A,$B$4,'Data - Monthly Metrics'!B:B,"Jun",'Data - Monthly Metrics'!C:C,"NorthCentral",'Data - Monthly Metrics'!D:D,"Penetration - Lodging %")=0,"-",SUMIFS('Data - Monthly Metrics'!E:E,'Data - Monthly Metrics'!A:A,$B$4,'Data - Monthly Metrics'!B:B,"Jun",'Data - Monthly Metrics'!C:C,"NorthCentral",'Data - Monthly Metrics'!D:D,"Penetration - Lodging %"))</f>
        <v/>
      </c>
      <c r="M69" s="102">
        <f>IF(ISNUMBER(L69),L69,IF(ISNUMBER(K69),K69,IF(ISNUMBER(J69),J69,"-")))</f>
        <v/>
      </c>
      <c r="N69" s="97">
        <f>IF(COUNTIFS('Data - Monthly Metrics'!A:A,$B$4,'Data - Monthly Metrics'!B:B,"Jul",'Data - Monthly Metrics'!C:C,"NorthCentral",'Data - Monthly Metrics'!D:D,"Penetration - Lodging %")=0,"-",SUMIFS('Data - Monthly Metrics'!E:E,'Data - Monthly Metrics'!A:A,$B$4,'Data - Monthly Metrics'!B:B,"Jul",'Data - Monthly Metrics'!C:C,"NorthCentral",'Data - Monthly Metrics'!D:D,"Penetration - Lodging %"))</f>
        <v/>
      </c>
      <c r="O69" s="97">
        <f>IF(COUNTIFS('Data - Monthly Metrics'!A:A,$B$4,'Data - Monthly Metrics'!B:B,"Aug",'Data - Monthly Metrics'!C:C,"NorthCentral",'Data - Monthly Metrics'!D:D,"Penetration - Lodging %")=0,"-",SUMIFS('Data - Monthly Metrics'!E:E,'Data - Monthly Metrics'!A:A,$B$4,'Data - Monthly Metrics'!B:B,"Aug",'Data - Monthly Metrics'!C:C,"NorthCentral",'Data - Monthly Metrics'!D:D,"Penetration - Lodging %"))</f>
        <v/>
      </c>
      <c r="P69" s="97">
        <f>IF(COUNTIFS('Data - Monthly Metrics'!A:A,$B$4,'Data - Monthly Metrics'!B:B,"Sep",'Data - Monthly Metrics'!C:C,"NorthCentral",'Data - Monthly Metrics'!D:D,"Penetration - Lodging %")=0,"-",SUMIFS('Data - Monthly Metrics'!E:E,'Data - Monthly Metrics'!A:A,$B$4,'Data - Monthly Metrics'!B:B,"Sep",'Data - Monthly Metrics'!C:C,"NorthCentral",'Data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Metrics'!C:C,"NorthCentral",'Data - Monthly Metrics'!D:D,"Penetration - Combined %")=0,"-",SUMIFS('Data - Monthly Metrics'!E:E,'Data - Monthly Metrics'!A:A,$B$4-1,'Data - Monthly Metrics'!B:B,"Oct",'Data - Monthly Metrics'!C:C,"NorthCentral",'Data - Monthly Metrics'!D:D,"Penetration - Combined %"))</f>
        <v/>
      </c>
      <c r="C70" s="92">
        <f>IF(COUNTIFS('Data - Monthly Metrics'!A:A,$B$4-1,'Data - Monthly Metrics'!B:B,"Nov",'Data - Monthly Metrics'!C:C,"NorthCentral",'Data - Monthly Metrics'!D:D,"Penetration - Combined %")=0,"-",SUMIFS('Data - Monthly Metrics'!E:E,'Data - Monthly Metrics'!A:A,$B$4-1,'Data - Monthly Metrics'!B:B,"Nov",'Data - Monthly Metrics'!C:C,"NorthCentral",'Data - Monthly Metrics'!D:D,"Penetration - Combined %"))</f>
        <v/>
      </c>
      <c r="D70" s="92">
        <f>IF(COUNTIFS('Data - Monthly Metrics'!A:A,$B$4-1,'Data - Monthly Metrics'!B:B,"Dec",'Data - Monthly Metrics'!C:C,"NorthCentral",'Data - Monthly Metrics'!D:D,"Penetration - Combined %")=0,"-",SUMIFS('Data - Monthly Metrics'!E:E,'Data - Monthly Metrics'!A:A,$B$4-1,'Data - Monthly Metrics'!B:B,"Dec",'Data - Monthly Metrics'!C:C,"NorthCentral",'Data - Monthly Metrics'!D:D,"Penetration - Combined %"))</f>
        <v/>
      </c>
      <c r="E70" s="102">
        <f>IF(ISNUMBER(D70),D70,IF(ISNUMBER(C70),C70,IF(ISNUMBER(B70),B70,"-")))</f>
        <v/>
      </c>
      <c r="F70" s="92">
        <f>IF(COUNTIFS('Data - Monthly Metrics'!A:A,$B$4,'Data - Monthly Metrics'!B:B,"Jan",'Data - Monthly Metrics'!C:C,"NorthCentral",'Data - Monthly Metrics'!D:D,"Penetration - Combined %")=0,"-",SUMIFS('Data - Monthly Metrics'!E:E,'Data - Monthly Metrics'!A:A,$B$4,'Data - Monthly Metrics'!B:B,"Jan",'Data - Monthly Metrics'!C:C,"NorthCentral",'Data - Monthly Metrics'!D:D,"Penetration - Combined %"))</f>
        <v/>
      </c>
      <c r="G70" s="92">
        <f>IF(COUNTIFS('Data - Monthly Metrics'!A:A,$B$4,'Data - Monthly Metrics'!B:B,"Feb",'Data - Monthly Metrics'!C:C,"NorthCentral",'Data - Monthly Metrics'!D:D,"Penetration - Combined %")=0,"-",SUMIFS('Data - Monthly Metrics'!E:E,'Data - Monthly Metrics'!A:A,$B$4,'Data - Monthly Metrics'!B:B,"Feb",'Data - Monthly Metrics'!C:C,"NorthCentral",'Data - Monthly Metrics'!D:D,"Penetration - Combined %"))</f>
        <v/>
      </c>
      <c r="H70" s="92">
        <f>IF(COUNTIFS('Data - Monthly Metrics'!A:A,$B$4,'Data - Monthly Metrics'!B:B,"Mar",'Data - Monthly Metrics'!C:C,"NorthCentral",'Data - Monthly Metrics'!D:D,"Penetration - Combined %")=0,"-",SUMIFS('Data - Monthly Metrics'!E:E,'Data - Monthly Metrics'!A:A,$B$4,'Data - Monthly Metrics'!B:B,"Mar",'Data - Monthly Metrics'!C:C,"NorthCentral",'Data - Monthly Metrics'!D:D,"Penetration - Combined %"))</f>
        <v/>
      </c>
      <c r="I70" s="102">
        <f>IF(ISNUMBER(H70),H70,IF(ISNUMBER(G70),G70,IF(ISNUMBER(F70),F70,"-")))</f>
        <v/>
      </c>
      <c r="J70" s="92">
        <f>IF(COUNTIFS('Data - Monthly Metrics'!A:A,$B$4,'Data - Monthly Metrics'!B:B,"Apr",'Data - Monthly Metrics'!C:C,"NorthCentral",'Data - Monthly Metrics'!D:D,"Penetration - Combined %")=0,"-",SUMIFS('Data - Monthly Metrics'!E:E,'Data - Monthly Metrics'!A:A,$B$4,'Data - Monthly Metrics'!B:B,"Apr",'Data - Monthly Metrics'!C:C,"NorthCentral",'Data - Monthly Metrics'!D:D,"Penetration - Combined %"))</f>
        <v/>
      </c>
      <c r="K70" s="92">
        <f>IF(COUNTIFS('Data - Monthly Metrics'!A:A,$B$4,'Data - Monthly Metrics'!B:B,"May",'Data - Monthly Metrics'!C:C,"NorthCentral",'Data - Monthly Metrics'!D:D,"Penetration - Combined %")=0,"-",SUMIFS('Data - Monthly Metrics'!E:E,'Data - Monthly Metrics'!A:A,$B$4,'Data - Monthly Metrics'!B:B,"May",'Data - Monthly Metrics'!C:C,"NorthCentral",'Data - Monthly Metrics'!D:D,"Penetration - Combined %"))</f>
        <v/>
      </c>
      <c r="L70" s="92">
        <f>IF(COUNTIFS('Data - Monthly Metrics'!A:A,$B$4,'Data - Monthly Metrics'!B:B,"Jun",'Data - Monthly Metrics'!C:C,"NorthCentral",'Data - Monthly Metrics'!D:D,"Penetration - Combined %")=0,"-",SUMIFS('Data - Monthly Metrics'!E:E,'Data - Monthly Metrics'!A:A,$B$4,'Data - Monthly Metrics'!B:B,"Jun",'Data - Monthly Metrics'!C:C,"NorthCentral",'Data - Monthly Metrics'!D:D,"Penetration - Combined %"))</f>
        <v/>
      </c>
      <c r="M70" s="102">
        <f>IF(ISNUMBER(L70),L70,IF(ISNUMBER(K70),K70,IF(ISNUMBER(J70),J70,"-")))</f>
        <v/>
      </c>
      <c r="N70" s="92">
        <f>IF(COUNTIFS('Data - Monthly Metrics'!A:A,$B$4,'Data - Monthly Metrics'!B:B,"Jul",'Data - Monthly Metrics'!C:C,"NorthCentral",'Data - Monthly Metrics'!D:D,"Penetration - Combined %")=0,"-",SUMIFS('Data - Monthly Metrics'!E:E,'Data - Monthly Metrics'!A:A,$B$4,'Data - Monthly Metrics'!B:B,"Jul",'Data - Monthly Metrics'!C:C,"NorthCentral",'Data - Monthly Metrics'!D:D,"Penetration - Combined %"))</f>
        <v/>
      </c>
      <c r="O70" s="92">
        <f>IF(COUNTIFS('Data - Monthly Metrics'!A:A,$B$4,'Data - Monthly Metrics'!B:B,"Aug",'Data - Monthly Metrics'!C:C,"NorthCentral",'Data - Monthly Metrics'!D:D,"Penetration - Combined %")=0,"-",SUMIFS('Data - Monthly Metrics'!E:E,'Data - Monthly Metrics'!A:A,$B$4,'Data - Monthly Metrics'!B:B,"Aug",'Data - Monthly Metrics'!C:C,"NorthCentral",'Data - Monthly Metrics'!D:D,"Penetration - Combined %"))</f>
        <v/>
      </c>
      <c r="P70" s="92">
        <f>IF(COUNTIFS('Data - Monthly Metrics'!A:A,$B$4,'Data - Monthly Metrics'!B:B,"Sep",'Data - Monthly Metrics'!C:C,"NorthCentral",'Data - Monthly Metrics'!D:D,"Penetration - Combined %")=0,"-",SUMIFS('Data - Monthly Metrics'!E:E,'Data - Monthly Metrics'!A:A,$B$4,'Data - Monthly Metrics'!B:B,"Sep",'Data - Monthly Metrics'!C:C,"NorthCentral",'Data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Metrics'!$C:$C,"NorthCentral",'Data - Monthly Metrics'!$D:$D,"Goal - Penetration %")=0),"—",IF(B70&gt;=SUMIFS('Data - Monthly Metrics'!$E:$E,'Data - Monthly Metrics'!$A:$A,$B$4-1,'Data - Monthly Metrics'!$B:$B,B$8,'Data - Monthly Metrics'!$C:$C,"NorthCentral",'Data - Monthly Metrics'!$D:$D,"Goal - Penetration %"),"On Track",IF(B70&gt;=SUMIFS('Data - Monthly Metrics'!$E:$E,'Data - Monthly Metrics'!$A:$A,$B$4-1,'Data - Monthly Metrics'!$B:$B,B$8,'Data - Monthly Metrics'!$C:$C,"NorthCentral",'Data - Monthly Metrics'!$D:$D,"Goal - Penetration %")-0.05,"Watch","At Risk")))</f>
        <v/>
      </c>
      <c r="C71" s="120">
        <f>IF(OR(NOT(ISNUMBER(C70)),C70=0,COUNTIFS('Data - Monthly Metrics'!$A:$A,$B$4-1,'Data - Monthly Metrics'!$B:$B,C$8,'Data - Monthly Metrics'!$C:$C,"NorthCentral",'Data - Monthly Metrics'!$D:$D,"Goal - Penetration %")=0),"—",IF(C70&gt;=SUMIFS('Data - Monthly Metrics'!$E:$E,'Data - Monthly Metrics'!$A:$A,$B$4-1,'Data - Monthly Metrics'!$B:$B,C$8,'Data - Monthly Metrics'!$C:$C,"NorthCentral",'Data - Monthly Metrics'!$D:$D,"Goal - Penetration %"),"On Track",IF(C70&gt;=SUMIFS('Data - Monthly Metrics'!$E:$E,'Data - Monthly Metrics'!$A:$A,$B$4-1,'Data - Monthly Metrics'!$B:$B,C$8,'Data - Monthly Metrics'!$C:$C,"NorthCentral",'Data - Monthly Metrics'!$D:$D,"Goal - Penetration %")-0.05,"Watch","At Risk")))</f>
        <v/>
      </c>
      <c r="D71" s="120">
        <f>IF(OR(NOT(ISNUMBER(D70)),D70=0,COUNTIFS('Data - Monthly Metrics'!$A:$A,$B$4-1,'Data - Monthly Metrics'!$B:$B,D$8,'Data - Monthly Metrics'!$C:$C,"NorthCentral",'Data - Monthly Metrics'!$D:$D,"Goal - Penetration %")=0),"—",IF(D70&gt;=SUMIFS('Data - Monthly Metrics'!$E:$E,'Data - Monthly Metrics'!$A:$A,$B$4-1,'Data - Monthly Metrics'!$B:$B,D$8,'Data - Monthly Metrics'!$C:$C,"NorthCentral",'Data - Monthly Metrics'!$D:$D,"Goal - Penetration %"),"On Track",IF(D70&gt;=SUMIFS('Data - Monthly Metrics'!$E:$E,'Data - Monthly Metrics'!$A:$A,$B$4-1,'Data - Monthly Metrics'!$B:$B,D$8,'Data - Monthly Metrics'!$C:$C,"NorthCentral",'Data - Monthly Metrics'!$D:$D,"Goal - Penetration %")-0.05,"Watch","At Risk")))</f>
        <v/>
      </c>
      <c r="E71" s="121">
        <f>"—"</f>
        <v/>
      </c>
      <c r="F71" s="120">
        <f>IF(OR(NOT(ISNUMBER(F70)),F70=0,COUNTIFS('Data - Monthly Metrics'!$A:$A,$B$4,'Data - Monthly Metrics'!$B:$B,F$8,'Data - Monthly Metrics'!$C:$C,"NorthCentral",'Data - Monthly Metrics'!$D:$D,"Goal - Penetration %")=0),"—",IF(F70&gt;=SUMIFS('Data - Monthly Metrics'!$E:$E,'Data - Monthly Metrics'!$A:$A,$B$4,'Data - Monthly Metrics'!$B:$B,F$8,'Data - Monthly Metrics'!$C:$C,"NorthCentral",'Data - Monthly Metrics'!$D:$D,"Goal - Penetration %"),"On Track",IF(F70&gt;=SUMIFS('Data - Monthly Metrics'!$E:$E,'Data - Monthly Metrics'!$A:$A,$B$4,'Data - Monthly Metrics'!$B:$B,F$8,'Data - Monthly Metrics'!$C:$C,"NorthCentral",'Data - Monthly Metrics'!$D:$D,"Goal - Penetration %")-0.05,"Watch","At Risk")))</f>
        <v/>
      </c>
      <c r="G71" s="120">
        <f>IF(OR(NOT(ISNUMBER(G70)),G70=0,COUNTIFS('Data - Monthly Metrics'!$A:$A,$B$4,'Data - Monthly Metrics'!$B:$B,G$8,'Data - Monthly Metrics'!$C:$C,"NorthCentral",'Data - Monthly Metrics'!$D:$D,"Goal - Penetration %")=0),"—",IF(G70&gt;=SUMIFS('Data - Monthly Metrics'!$E:$E,'Data - Monthly Metrics'!$A:$A,$B$4,'Data - Monthly Metrics'!$B:$B,G$8,'Data - Monthly Metrics'!$C:$C,"NorthCentral",'Data - Monthly Metrics'!$D:$D,"Goal - Penetration %"),"On Track",IF(G70&gt;=SUMIFS('Data - Monthly Metrics'!$E:$E,'Data - Monthly Metrics'!$A:$A,$B$4,'Data - Monthly Metrics'!$B:$B,G$8,'Data - Monthly Metrics'!$C:$C,"NorthCentral",'Data - Monthly Metrics'!$D:$D,"Goal - Penetration %")-0.05,"Watch","At Risk")))</f>
        <v/>
      </c>
      <c r="H71" s="120">
        <f>IF(OR(NOT(ISNUMBER(H70)),H70=0,COUNTIFS('Data - Monthly Metrics'!$A:$A,$B$4,'Data - Monthly Metrics'!$B:$B,H$8,'Data - Monthly Metrics'!$C:$C,"NorthCentral",'Data - Monthly Metrics'!$D:$D,"Goal - Penetration %")=0),"—",IF(H70&gt;=SUMIFS('Data - Monthly Metrics'!$E:$E,'Data - Monthly Metrics'!$A:$A,$B$4,'Data - Monthly Metrics'!$B:$B,H$8,'Data - Monthly Metrics'!$C:$C,"NorthCentral",'Data - Monthly Metrics'!$D:$D,"Goal - Penetration %"),"On Track",IF(H70&gt;=SUMIFS('Data - Monthly Metrics'!$E:$E,'Data - Monthly Metrics'!$A:$A,$B$4,'Data - Monthly Metrics'!$B:$B,H$8,'Data - Monthly Metrics'!$C:$C,"NorthCentral",'Data - Monthly Metrics'!$D:$D,"Goal - Penetration %")-0.05,"Watch","At Risk")))</f>
        <v/>
      </c>
      <c r="I71" s="121">
        <f>"—"</f>
        <v/>
      </c>
      <c r="J71" s="120">
        <f>IF(OR(NOT(ISNUMBER(J70)),J70=0,COUNTIFS('Data - Monthly Metrics'!$A:$A,$B$4,'Data - Monthly Metrics'!$B:$B,J$8,'Data - Monthly Metrics'!$C:$C,"NorthCentral",'Data - Monthly Metrics'!$D:$D,"Goal - Penetration %")=0),"—",IF(J70&gt;=SUMIFS('Data - Monthly Metrics'!$E:$E,'Data - Monthly Metrics'!$A:$A,$B$4,'Data - Monthly Metrics'!$B:$B,J$8,'Data - Monthly Metrics'!$C:$C,"NorthCentral",'Data - Monthly Metrics'!$D:$D,"Goal - Penetration %"),"On Track",IF(J70&gt;=SUMIFS('Data - Monthly Metrics'!$E:$E,'Data - Monthly Metrics'!$A:$A,$B$4,'Data - Monthly Metrics'!$B:$B,J$8,'Data - Monthly Metrics'!$C:$C,"NorthCentral",'Data - Monthly Metrics'!$D:$D,"Goal - Penetration %")-0.05,"Watch","At Risk")))</f>
        <v/>
      </c>
      <c r="K71" s="120">
        <f>IF(OR(NOT(ISNUMBER(K70)),K70=0,COUNTIFS('Data - Monthly Metrics'!$A:$A,$B$4,'Data - Monthly Metrics'!$B:$B,K$8,'Data - Monthly Metrics'!$C:$C,"NorthCentral",'Data - Monthly Metrics'!$D:$D,"Goal - Penetration %")=0),"—",IF(K70&gt;=SUMIFS('Data - Monthly Metrics'!$E:$E,'Data - Monthly Metrics'!$A:$A,$B$4,'Data - Monthly Metrics'!$B:$B,K$8,'Data - Monthly Metrics'!$C:$C,"NorthCentral",'Data - Monthly Metrics'!$D:$D,"Goal - Penetration %"),"On Track",IF(K70&gt;=SUMIFS('Data - Monthly Metrics'!$E:$E,'Data - Monthly Metrics'!$A:$A,$B$4,'Data - Monthly Metrics'!$B:$B,K$8,'Data - Monthly Metrics'!$C:$C,"NorthCentral",'Data - Monthly Metrics'!$D:$D,"Goal - Penetration %")-0.05,"Watch","At Risk")))</f>
        <v/>
      </c>
      <c r="L71" s="120">
        <f>IF(OR(NOT(ISNUMBER(L70)),L70=0,COUNTIFS('Data - Monthly Metrics'!$A:$A,$B$4,'Data - Monthly Metrics'!$B:$B,L$8,'Data - Monthly Metrics'!$C:$C,"NorthCentral",'Data - Monthly Metrics'!$D:$D,"Goal - Penetration %")=0),"—",IF(L70&gt;=SUMIFS('Data - Monthly Metrics'!$E:$E,'Data - Monthly Metrics'!$A:$A,$B$4,'Data - Monthly Metrics'!$B:$B,L$8,'Data - Monthly Metrics'!$C:$C,"NorthCentral",'Data - Monthly Metrics'!$D:$D,"Goal - Penetration %"),"On Track",IF(L70&gt;=SUMIFS('Data - Monthly Metrics'!$E:$E,'Data - Monthly Metrics'!$A:$A,$B$4,'Data - Monthly Metrics'!$B:$B,L$8,'Data - Monthly Metrics'!$C:$C,"NorthCentral",'Data - Monthly Metrics'!$D:$D,"Goal - Penetration %")-0.05,"Watch","At Risk")))</f>
        <v/>
      </c>
      <c r="M71" s="121">
        <f>"—"</f>
        <v/>
      </c>
      <c r="N71" s="120">
        <f>IF(OR(NOT(ISNUMBER(N70)),N70=0,COUNTIFS('Data - Monthly Metrics'!$A:$A,$B$4,'Data - Monthly Metrics'!$B:$B,N$8,'Data - Monthly Metrics'!$C:$C,"NorthCentral",'Data - Monthly Metrics'!$D:$D,"Goal - Penetration %")=0),"—",IF(N70&gt;=SUMIFS('Data - Monthly Metrics'!$E:$E,'Data - Monthly Metrics'!$A:$A,$B$4,'Data - Monthly Metrics'!$B:$B,N$8,'Data - Monthly Metrics'!$C:$C,"NorthCentral",'Data - Monthly Metrics'!$D:$D,"Goal - Penetration %"),"On Track",IF(N70&gt;=SUMIFS('Data - Monthly Metrics'!$E:$E,'Data - Monthly Metrics'!$A:$A,$B$4,'Data - Monthly Metrics'!$B:$B,N$8,'Data - Monthly Metrics'!$C:$C,"NorthCentral",'Data - Monthly Metrics'!$D:$D,"Goal - Penetration %")-0.05,"Watch","At Risk")))</f>
        <v/>
      </c>
      <c r="O71" s="120">
        <f>IF(OR(NOT(ISNUMBER(O70)),O70=0,COUNTIFS('Data - Monthly Metrics'!$A:$A,$B$4,'Data - Monthly Metrics'!$B:$B,O$8,'Data - Monthly Metrics'!$C:$C,"NorthCentral",'Data - Monthly Metrics'!$D:$D,"Goal - Penetration %")=0),"—",IF(O70&gt;=SUMIFS('Data - Monthly Metrics'!$E:$E,'Data - Monthly Metrics'!$A:$A,$B$4,'Data - Monthly Metrics'!$B:$B,O$8,'Data - Monthly Metrics'!$C:$C,"NorthCentral",'Data - Monthly Metrics'!$D:$D,"Goal - Penetration %"),"On Track",IF(O70&gt;=SUMIFS('Data - Monthly Metrics'!$E:$E,'Data - Monthly Metrics'!$A:$A,$B$4,'Data - Monthly Metrics'!$B:$B,O$8,'Data - Monthly Metrics'!$C:$C,"NorthCentral",'Data - Monthly Metrics'!$D:$D,"Goal - Penetration %")-0.05,"Watch","At Risk")))</f>
        <v/>
      </c>
      <c r="P71" s="120">
        <f>IF(OR(NOT(ISNUMBER(P70)),P70=0,COUNTIFS('Data - Monthly Metrics'!$A:$A,$B$4,'Data - Monthly Metrics'!$B:$B,P$8,'Data - Monthly Metrics'!$C:$C,"NorthCentral",'Data - Monthly Metrics'!$D:$D,"Goal - Penetration %")=0),"—",IF(P70&gt;=SUMIFS('Data - Monthly Metrics'!$E:$E,'Data - Monthly Metrics'!$A:$A,$B$4,'Data - Monthly Metrics'!$B:$B,P$8,'Data - Monthly Metrics'!$C:$C,"NorthCentral",'Data - Monthly Metrics'!$D:$D,"Goal - Penetration %"),"On Track",IF(P70&gt;=SUMIFS('Data - Monthly Metrics'!$E:$E,'Data - Monthly Metrics'!$A:$A,$B$4,'Data - Monthly Metrics'!$B:$B,P$8,'Data - Monthly Metrics'!$C:$C,"NorthCentral",'Data - Monthly Metrics'!$D:$D,"Goal - Penetration %")-0.05,"Watch","At Risk")))</f>
        <v/>
      </c>
      <c r="Q71" s="121">
        <f>"—"</f>
        <v/>
      </c>
      <c r="R71" s="121">
        <f>"—"</f>
        <v/>
      </c>
    </row>
    <row r="72" ht="14.25" customHeight="1" s="82">
      <c r="A72" s="151" t="inlineStr">
        <is>
          <t>Goal</t>
        </is>
      </c>
      <c r="B72" s="152">
        <f>IF(COUNTIFS('Data - Monthly Metrics'!$A:$A,$B$4-1,'Data - Monthly Metrics'!$B:$B,B$8,'Data - Monthly Metrics'!$C:$C,"NorthCentral",'Data - Monthly Metrics'!$D:$D,"Goal - Penetration %")=0,"-",SUMIFS('Data - Monthly Metrics'!$E:$E,'Data - Monthly Metrics'!$A:$A,$B$4-1,'Data - Monthly Metrics'!$B:$B,B$8,'Data - Monthly Metrics'!$C:$C,"NorthCentral",'Data - Monthly Metrics'!$D:$D,"Goal - Penetration %"))</f>
        <v/>
      </c>
      <c r="C72" s="152">
        <f>IF(COUNTIFS('Data - Monthly Metrics'!$A:$A,$B$4-1,'Data - Monthly Metrics'!$B:$B,C$8,'Data - Monthly Metrics'!$C:$C,"NorthCentral",'Data - Monthly Metrics'!$D:$D,"Goal - Penetration %")=0,"-",SUMIFS('Data - Monthly Metrics'!$E:$E,'Data - Monthly Metrics'!$A:$A,$B$4-1,'Data - Monthly Metrics'!$B:$B,C$8,'Data - Monthly Metrics'!$C:$C,"NorthCentral",'Data - Monthly Metrics'!$D:$D,"Goal - Penetration %"))</f>
        <v/>
      </c>
      <c r="D72" s="152">
        <f>IF(COUNTIFS('Data - Monthly Metrics'!$A:$A,$B$4-1,'Data - Monthly Metrics'!$B:$B,D$8,'Data - Monthly Metrics'!$C:$C,"NorthCentral",'Data - Monthly Metrics'!$D:$D,"Goal - Penetration %")=0,"-",SUMIFS('Data - Monthly Metrics'!$E:$E,'Data - Monthly Metrics'!$A:$A,$B$4-1,'Data - Monthly Metrics'!$B:$B,D$8,'Data - Monthly Metrics'!$C:$C,"NorthCentral",'Data - Monthly Metrics'!$D:$D,"Goal - Penetration %"))</f>
        <v/>
      </c>
      <c r="E72" s="153" t="n"/>
      <c r="F72" s="152">
        <f>IF(COUNTIFS('Data - Monthly Metrics'!$A:$A,$B$4,'Data - Monthly Metrics'!$B:$B,F$8,'Data - Monthly Metrics'!$C:$C,"NorthCentral",'Data - Monthly Metrics'!$D:$D,"Goal - Penetration %")=0,"-",SUMIFS('Data - Monthly Metrics'!$E:$E,'Data - Monthly Metrics'!$A:$A,$B$4,'Data - Monthly Metrics'!$B:$B,F$8,'Data - Monthly Metrics'!$C:$C,"NorthCentral",'Data - Monthly Metrics'!$D:$D,"Goal - Penetration %"))</f>
        <v/>
      </c>
      <c r="G72" s="152">
        <f>IF(COUNTIFS('Data - Monthly Metrics'!$A:$A,$B$4,'Data - Monthly Metrics'!$B:$B,G$8,'Data - Monthly Metrics'!$C:$C,"NorthCentral",'Data - Monthly Metrics'!$D:$D,"Goal - Penetration %")=0,"-",SUMIFS('Data - Monthly Metrics'!$E:$E,'Data - Monthly Metrics'!$A:$A,$B$4,'Data - Monthly Metrics'!$B:$B,G$8,'Data - Monthly Metrics'!$C:$C,"NorthCentral",'Data - Monthly Metrics'!$D:$D,"Goal - Penetration %"))</f>
        <v/>
      </c>
      <c r="H72" s="152">
        <f>IF(COUNTIFS('Data - Monthly Metrics'!$A:$A,$B$4,'Data - Monthly Metrics'!$B:$B,H$8,'Data - Monthly Metrics'!$C:$C,"NorthCentral",'Data - Monthly Metrics'!$D:$D,"Goal - Penetration %")=0,"-",SUMIFS('Data - Monthly Metrics'!$E:$E,'Data - Monthly Metrics'!$A:$A,$B$4,'Data - Monthly Metrics'!$B:$B,H$8,'Data - Monthly Metrics'!$C:$C,"NorthCentral",'Data - Monthly Metrics'!$D:$D,"Goal - Penetration %"))</f>
        <v/>
      </c>
      <c r="I72" s="153" t="n"/>
      <c r="J72" s="152">
        <f>IF(COUNTIFS('Data - Monthly Metrics'!$A:$A,$B$4,'Data - Monthly Metrics'!$B:$B,J$8,'Data - Monthly Metrics'!$C:$C,"NorthCentral",'Data - Monthly Metrics'!$D:$D,"Goal - Penetration %")=0,"-",SUMIFS('Data - Monthly Metrics'!$E:$E,'Data - Monthly Metrics'!$A:$A,$B$4,'Data - Monthly Metrics'!$B:$B,J$8,'Data - Monthly Metrics'!$C:$C,"NorthCentral",'Data - Monthly Metrics'!$D:$D,"Goal - Penetration %"))</f>
        <v/>
      </c>
      <c r="K72" s="152">
        <f>IF(COUNTIFS('Data - Monthly Metrics'!$A:$A,$B$4,'Data - Monthly Metrics'!$B:$B,K$8,'Data - Monthly Metrics'!$C:$C,"NorthCentral",'Data - Monthly Metrics'!$D:$D,"Goal - Penetration %")=0,"-",SUMIFS('Data - Monthly Metrics'!$E:$E,'Data - Monthly Metrics'!$A:$A,$B$4,'Data - Monthly Metrics'!$B:$B,K$8,'Data - Monthly Metrics'!$C:$C,"NorthCentral",'Data - Monthly Metrics'!$D:$D,"Goal - Penetration %"))</f>
        <v/>
      </c>
      <c r="L72" s="152">
        <f>IF(COUNTIFS('Data - Monthly Metrics'!$A:$A,$B$4,'Data - Monthly Metrics'!$B:$B,L$8,'Data - Monthly Metrics'!$C:$C,"NorthCentral",'Data - Monthly Metrics'!$D:$D,"Goal - Penetration %")=0,"-",SUMIFS('Data - Monthly Metrics'!$E:$E,'Data - Monthly Metrics'!$A:$A,$B$4,'Data - Monthly Metrics'!$B:$B,L$8,'Data - Monthly Metrics'!$C:$C,"NorthCentral",'Data - Monthly Metrics'!$D:$D,"Goal - Penetration %"))</f>
        <v/>
      </c>
      <c r="M72" s="153" t="n"/>
      <c r="N72" s="152">
        <f>IF(COUNTIFS('Data - Monthly Metrics'!$A:$A,$B$4,'Data - Monthly Metrics'!$B:$B,N$8,'Data - Monthly Metrics'!$C:$C,"NorthCentral",'Data - Monthly Metrics'!$D:$D,"Goal - Penetration %")=0,"-",SUMIFS('Data - Monthly Metrics'!$E:$E,'Data - Monthly Metrics'!$A:$A,$B$4,'Data - Monthly Metrics'!$B:$B,N$8,'Data - Monthly Metrics'!$C:$C,"NorthCentral",'Data - Monthly Metrics'!$D:$D,"Goal - Penetration %"))</f>
        <v/>
      </c>
      <c r="O72" s="152">
        <f>IF(COUNTIFS('Data - Monthly Metrics'!$A:$A,$B$4,'Data - Monthly Metrics'!$B:$B,O$8,'Data - Monthly Metrics'!$C:$C,"NorthCentral",'Data - Monthly Metrics'!$D:$D,"Goal - Penetration %")=0,"-",SUMIFS('Data - Monthly Metrics'!$E:$E,'Data - Monthly Metrics'!$A:$A,$B$4,'Data - Monthly Metrics'!$B:$B,O$8,'Data - Monthly Metrics'!$C:$C,"NorthCentral",'Data - Monthly Metrics'!$D:$D,"Goal - Penetration %"))</f>
        <v/>
      </c>
      <c r="P72" s="152">
        <f>IF(COUNTIFS('Data - Monthly Metrics'!$A:$A,$B$4,'Data - Monthly Metrics'!$B:$B,P$8,'Data - Monthly Metrics'!$C:$C,"NorthCentral",'Data - Monthly Metrics'!$D:$D,"Goal - Penetration %")=0,"-",SUMIFS('Data - Monthly Metrics'!$E:$E,'Data - Monthly Metrics'!$A:$A,$B$4,'Data - Monthly Metrics'!$B:$B,P$8,'Data - Monthly Metrics'!$C:$C,"NorthCentral",'Data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Metrics'!C:C,"NorthCentral",'Data - Monthly Metrics'!D:D,"New Sales Revenue - Non-Target ($)")=0,"-",SUMIFS('Data - Monthly Metrics'!E:E,'Data - Monthly Metrics'!A:A,$B$4-1,'Data - Monthly Metrics'!B:B,"Oct",'Data - Monthly Metrics'!C:C,"NorthCentral",'Data - Monthly Metrics'!D:D,"New Sales Revenue - Non-Target ($)"))</f>
        <v/>
      </c>
      <c r="C79" s="91">
        <f>IF(COUNTIFS('Data - Monthly Metrics'!A:A,$B$4-1,'Data - Monthly Metrics'!B:B,"Nov",'Data - Monthly Metrics'!C:C,"NorthCentral",'Data - Monthly Metrics'!D:D,"New Sales Revenue - Non-Target ($)")=0,"-",SUMIFS('Data - Monthly Metrics'!E:E,'Data - Monthly Metrics'!A:A,$B$4-1,'Data - Monthly Metrics'!B:B,"Nov",'Data - Monthly Metrics'!C:C,"NorthCentral",'Data - Monthly Metrics'!D:D,"New Sales Revenue - Non-Target ($)"))</f>
        <v/>
      </c>
      <c r="D79" s="91">
        <f>IF(COUNTIFS('Data - Monthly Metrics'!A:A,$B$4-1,'Data - Monthly Metrics'!B:B,"Dec",'Data - Monthly Metrics'!C:C,"NorthCentral",'Data - Monthly Metrics'!D:D,"New Sales Revenue - Non-Target ($)")=0,"-",SUMIFS('Data - Monthly Metrics'!E:E,'Data - Monthly Metrics'!A:A,$B$4-1,'Data - Monthly Metrics'!B:B,"Dec",'Data - Monthly Metrics'!C:C,"NorthCentral",'Data - Monthly Metrics'!D:D,"New Sales Revenue - Non-Target ($)"))</f>
        <v/>
      </c>
      <c r="E79" s="101">
        <f>SUM(B79,C79,D79)</f>
        <v/>
      </c>
      <c r="F79" s="91">
        <f>IF(COUNTIFS('Data - Monthly Metrics'!A:A,$B$4,'Data - Monthly Metrics'!B:B,"Jan",'Data - Monthly Metrics'!C:C,"NorthCentral",'Data - Monthly Metrics'!D:D,"New Sales Revenue - Non-Target ($)")=0,"-",SUMIFS('Data - Monthly Metrics'!E:E,'Data - Monthly Metrics'!A:A,$B$4,'Data - Monthly Metrics'!B:B,"Jan",'Data - Monthly Metrics'!C:C,"NorthCentral",'Data - Monthly Metrics'!D:D,"New Sales Revenue - Non-Target ($)"))</f>
        <v/>
      </c>
      <c r="G79" s="91">
        <f>IF(COUNTIFS('Data - Monthly Metrics'!A:A,$B$4,'Data - Monthly Metrics'!B:B,"Feb",'Data - Monthly Metrics'!C:C,"NorthCentral",'Data - Monthly Metrics'!D:D,"New Sales Revenue - Non-Target ($)")=0,"-",SUMIFS('Data - Monthly Metrics'!E:E,'Data - Monthly Metrics'!A:A,$B$4,'Data - Monthly Metrics'!B:B,"Feb",'Data - Monthly Metrics'!C:C,"NorthCentral",'Data - Monthly Metrics'!D:D,"New Sales Revenue - Non-Target ($)"))</f>
        <v/>
      </c>
      <c r="H79" s="91">
        <f>IF(COUNTIFS('Data - Monthly Metrics'!A:A,$B$4,'Data - Monthly Metrics'!B:B,"Mar",'Data - Monthly Metrics'!C:C,"NorthCentral",'Data - Monthly Metrics'!D:D,"New Sales Revenue - Non-Target ($)")=0,"-",SUMIFS('Data - Monthly Metrics'!E:E,'Data - Monthly Metrics'!A:A,$B$4,'Data - Monthly Metrics'!B:B,"Mar",'Data - Monthly Metrics'!C:C,"NorthCentral",'Data - Monthly Metrics'!D:D,"New Sales Revenue - Non-Target ($)"))</f>
        <v/>
      </c>
      <c r="I79" s="101">
        <f>SUM(F79,G79,H79)</f>
        <v/>
      </c>
      <c r="J79" s="91">
        <f>IF(COUNTIFS('Data - Monthly Metrics'!A:A,$B$4,'Data - Monthly Metrics'!B:B,"Apr",'Data - Monthly Metrics'!C:C,"NorthCentral",'Data - Monthly Metrics'!D:D,"New Sales Revenue - Non-Target ($)")=0,"-",SUMIFS('Data - Monthly Metrics'!E:E,'Data - Monthly Metrics'!A:A,$B$4,'Data - Monthly Metrics'!B:B,"Apr",'Data - Monthly Metrics'!C:C,"NorthCentral",'Data - Monthly Metrics'!D:D,"New Sales Revenue - Non-Target ($)"))</f>
        <v/>
      </c>
      <c r="K79" s="91">
        <f>IF(COUNTIFS('Data - Monthly Metrics'!A:A,$B$4,'Data - Monthly Metrics'!B:B,"May",'Data - Monthly Metrics'!C:C,"NorthCentral",'Data - Monthly Metrics'!D:D,"New Sales Revenue - Non-Target ($)")=0,"-",SUMIFS('Data - Monthly Metrics'!E:E,'Data - Monthly Metrics'!A:A,$B$4,'Data - Monthly Metrics'!B:B,"May",'Data - Monthly Metrics'!C:C,"NorthCentral",'Data - Monthly Metrics'!D:D,"New Sales Revenue - Non-Target ($)"))</f>
        <v/>
      </c>
      <c r="L79" s="91">
        <f>IF(COUNTIFS('Data - Monthly Metrics'!A:A,$B$4,'Data - Monthly Metrics'!B:B,"Jun",'Data - Monthly Metrics'!C:C,"NorthCentral",'Data - Monthly Metrics'!D:D,"New Sales Revenue - Non-Target ($)")=0,"-",SUMIFS('Data - Monthly Metrics'!E:E,'Data - Monthly Metrics'!A:A,$B$4,'Data - Monthly Metrics'!B:B,"Jun",'Data - Monthly Metrics'!C:C,"NorthCentral",'Data - Monthly Metrics'!D:D,"New Sales Revenue - Non-Target ($)"))</f>
        <v/>
      </c>
      <c r="M79" s="101">
        <f>SUM(J79,K79,L79)</f>
        <v/>
      </c>
      <c r="N79" s="91">
        <f>IF(COUNTIFS('Data - Monthly Metrics'!A:A,$B$4,'Data - Monthly Metrics'!B:B,"Jul",'Data - Monthly Metrics'!C:C,"NorthCentral",'Data - Monthly Metrics'!D:D,"New Sales Revenue - Non-Target ($)")=0,"-",SUMIFS('Data - Monthly Metrics'!E:E,'Data - Monthly Metrics'!A:A,$B$4,'Data - Monthly Metrics'!B:B,"Jul",'Data - Monthly Metrics'!C:C,"NorthCentral",'Data - Monthly Metrics'!D:D,"New Sales Revenue - Non-Target ($)"))</f>
        <v/>
      </c>
      <c r="O79" s="91">
        <f>IF(COUNTIFS('Data - Monthly Metrics'!A:A,$B$4,'Data - Monthly Metrics'!B:B,"Aug",'Data - Monthly Metrics'!C:C,"NorthCentral",'Data - Monthly Metrics'!D:D,"New Sales Revenue - Non-Target ($)")=0,"-",SUMIFS('Data - Monthly Metrics'!E:E,'Data - Monthly Metrics'!A:A,$B$4,'Data - Monthly Metrics'!B:B,"Aug",'Data - Monthly Metrics'!C:C,"NorthCentral",'Data - Monthly Metrics'!D:D,"New Sales Revenue - Non-Target ($)"))</f>
        <v/>
      </c>
      <c r="P79" s="91">
        <f>IF(COUNTIFS('Data - Monthly Metrics'!A:A,$B$4,'Data - Monthly Metrics'!B:B,"Sep",'Data - Monthly Metrics'!C:C,"NorthCentral",'Data - Monthly Metrics'!D:D,"New Sales Revenue - Non-Target ($)")=0,"-",SUMIFS('Data - Monthly Metrics'!E:E,'Data - Monthly Metrics'!A:A,$B$4,'Data - Monthly Metrics'!B:B,"Sep",'Data - Monthly Metrics'!C:C,"NorthCentral",'Data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Metrics'!C:C,"NorthCentral",'Data - Monthly Metrics'!D:D,"New Members - Non-Target (#)")=0,"-",SUMIFS('Data - Monthly Metrics'!E:E,'Data - Monthly Metrics'!A:A,$B$4-1,'Data - Monthly Metrics'!B:B,"Oct",'Data - Monthly Metrics'!C:C,"NorthCentral",'Data - Monthly Metrics'!D:D,"New Members - Non-Target (#)"))</f>
        <v/>
      </c>
      <c r="C80" s="98">
        <f>IF(COUNTIFS('Data - Monthly Metrics'!A:A,$B$4-1,'Data - Monthly Metrics'!B:B,"Nov",'Data - Monthly Metrics'!C:C,"NorthCentral",'Data - Monthly Metrics'!D:D,"New Members - Non-Target (#)")=0,"-",SUMIFS('Data - Monthly Metrics'!E:E,'Data - Monthly Metrics'!A:A,$B$4-1,'Data - Monthly Metrics'!B:B,"Nov",'Data - Monthly Metrics'!C:C,"NorthCentral",'Data - Monthly Metrics'!D:D,"New Members - Non-Target (#)"))</f>
        <v/>
      </c>
      <c r="D80" s="98">
        <f>IF(COUNTIFS('Data - Monthly Metrics'!A:A,$B$4-1,'Data - Monthly Metrics'!B:B,"Dec",'Data - Monthly Metrics'!C:C,"NorthCentral",'Data - Monthly Metrics'!D:D,"New Members - Non-Target (#)")=0,"-",SUMIFS('Data - Monthly Metrics'!E:E,'Data - Monthly Metrics'!A:A,$B$4-1,'Data - Monthly Metrics'!B:B,"Dec",'Data - Monthly Metrics'!C:C,"NorthCentral",'Data - Monthly Metrics'!D:D,"New Members - Non-Target (#)"))</f>
        <v/>
      </c>
      <c r="E80" s="103">
        <f>SUM(B80,C80,D80)</f>
        <v/>
      </c>
      <c r="F80" s="98">
        <f>IF(COUNTIFS('Data - Monthly Metrics'!A:A,$B$4,'Data - Monthly Metrics'!B:B,"Jan",'Data - Monthly Metrics'!C:C,"NorthCentral",'Data - Monthly Metrics'!D:D,"New Members - Non-Target (#)")=0,"-",SUMIFS('Data - Monthly Metrics'!E:E,'Data - Monthly Metrics'!A:A,$B$4,'Data - Monthly Metrics'!B:B,"Jan",'Data - Monthly Metrics'!C:C,"NorthCentral",'Data - Monthly Metrics'!D:D,"New Members - Non-Target (#)"))</f>
        <v/>
      </c>
      <c r="G80" s="98">
        <f>IF(COUNTIFS('Data - Monthly Metrics'!A:A,$B$4,'Data - Monthly Metrics'!B:B,"Feb",'Data - Monthly Metrics'!C:C,"NorthCentral",'Data - Monthly Metrics'!D:D,"New Members - Non-Target (#)")=0,"-",SUMIFS('Data - Monthly Metrics'!E:E,'Data - Monthly Metrics'!A:A,$B$4,'Data - Monthly Metrics'!B:B,"Feb",'Data - Monthly Metrics'!C:C,"NorthCentral",'Data - Monthly Metrics'!D:D,"New Members - Non-Target (#)"))</f>
        <v/>
      </c>
      <c r="H80" s="98">
        <f>IF(COUNTIFS('Data - Monthly Metrics'!A:A,$B$4,'Data - Monthly Metrics'!B:B,"Mar",'Data - Monthly Metrics'!C:C,"NorthCentral",'Data - Monthly Metrics'!D:D,"New Members - Non-Target (#)")=0,"-",SUMIFS('Data - Monthly Metrics'!E:E,'Data - Monthly Metrics'!A:A,$B$4,'Data - Monthly Metrics'!B:B,"Mar",'Data - Monthly Metrics'!C:C,"NorthCentral",'Data - Monthly Metrics'!D:D,"New Members - Non-Target (#)"))</f>
        <v/>
      </c>
      <c r="I80" s="103">
        <f>SUM(F80,G80,H80)</f>
        <v/>
      </c>
      <c r="J80" s="98">
        <f>IF(COUNTIFS('Data - Monthly Metrics'!A:A,$B$4,'Data - Monthly Metrics'!B:B,"Apr",'Data - Monthly Metrics'!C:C,"NorthCentral",'Data - Monthly Metrics'!D:D,"New Members - Non-Target (#)")=0,"-",SUMIFS('Data - Monthly Metrics'!E:E,'Data - Monthly Metrics'!A:A,$B$4,'Data - Monthly Metrics'!B:B,"Apr",'Data - Monthly Metrics'!C:C,"NorthCentral",'Data - Monthly Metrics'!D:D,"New Members - Non-Target (#)"))</f>
        <v/>
      </c>
      <c r="K80" s="98">
        <f>IF(COUNTIFS('Data - Monthly Metrics'!A:A,$B$4,'Data - Monthly Metrics'!B:B,"May",'Data - Monthly Metrics'!C:C,"NorthCentral",'Data - Monthly Metrics'!D:D,"New Members - Non-Target (#)")=0,"-",SUMIFS('Data - Monthly Metrics'!E:E,'Data - Monthly Metrics'!A:A,$B$4,'Data - Monthly Metrics'!B:B,"May",'Data - Monthly Metrics'!C:C,"NorthCentral",'Data - Monthly Metrics'!D:D,"New Members - Non-Target (#)"))</f>
        <v/>
      </c>
      <c r="L80" s="98">
        <f>IF(COUNTIFS('Data - Monthly Metrics'!A:A,$B$4,'Data - Monthly Metrics'!B:B,"Jun",'Data - Monthly Metrics'!C:C,"NorthCentral",'Data - Monthly Metrics'!D:D,"New Members - Non-Target (#)")=0,"-",SUMIFS('Data - Monthly Metrics'!E:E,'Data - Monthly Metrics'!A:A,$B$4,'Data - Monthly Metrics'!B:B,"Jun",'Data - Monthly Metrics'!C:C,"NorthCentral",'Data - Monthly Metrics'!D:D,"New Members - Non-Target (#)"))</f>
        <v/>
      </c>
      <c r="M80" s="103">
        <f>SUM(J80,K80,L80)</f>
        <v/>
      </c>
      <c r="N80" s="98">
        <f>IF(COUNTIFS('Data - Monthly Metrics'!A:A,$B$4,'Data - Monthly Metrics'!B:B,"Jul",'Data - Monthly Metrics'!C:C,"NorthCentral",'Data - Monthly Metrics'!D:D,"New Members - Non-Target (#)")=0,"-",SUMIFS('Data - Monthly Metrics'!E:E,'Data - Monthly Metrics'!A:A,$B$4,'Data - Monthly Metrics'!B:B,"Jul",'Data - Monthly Metrics'!C:C,"NorthCentral",'Data - Monthly Metrics'!D:D,"New Members - Non-Target (#)"))</f>
        <v/>
      </c>
      <c r="O80" s="98">
        <f>IF(COUNTIFS('Data - Monthly Metrics'!A:A,$B$4,'Data - Monthly Metrics'!B:B,"Aug",'Data - Monthly Metrics'!C:C,"NorthCentral",'Data - Monthly Metrics'!D:D,"New Members - Non-Target (#)")=0,"-",SUMIFS('Data - Monthly Metrics'!E:E,'Data - Monthly Metrics'!A:A,$B$4,'Data - Monthly Metrics'!B:B,"Aug",'Data - Monthly Metrics'!C:C,"NorthCentral",'Data - Monthly Metrics'!D:D,"New Members - Non-Target (#)"))</f>
        <v/>
      </c>
      <c r="P80" s="98">
        <f>IF(COUNTIFS('Data - Monthly Metrics'!A:A,$B$4,'Data - Monthly Metrics'!B:B,"Sep",'Data - Monthly Metrics'!C:C,"NorthCentral",'Data - Monthly Metrics'!D:D,"New Members - Non-Target (#)")=0,"-",SUMIFS('Data - Monthly Metrics'!E:E,'Data - Monthly Metrics'!A:A,$B$4,'Data - Monthly Metrics'!B:B,"Sep",'Data - Monthly Metrics'!C:C,"NorthCentral",'Data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Metrics'!C:C,"NorthCentral",'Data - Monthly Metrics'!D:D,"Billables - Hospitality Non-Target (#)")=0,"-",SUMIFS('Data - Monthly Metrics'!E:E,'Data - Monthly Metrics'!A:A,$B$4-1,'Data - Monthly Metrics'!B:B,"Oct",'Data - Monthly Metrics'!C:C,"NorthCentral",'Data - Monthly Metrics'!D:D,"Billables - Hospitality Non-Target (#)"))</f>
        <v/>
      </c>
      <c r="C84" s="93">
        <f>IF(COUNTIFS('Data - Monthly Metrics'!A:A,$B$4-1,'Data - Monthly Metrics'!B:B,"Nov",'Data - Monthly Metrics'!C:C,"NorthCentral",'Data - Monthly Metrics'!D:D,"Billables - Hospitality Non-Target (#)")=0,"-",SUMIFS('Data - Monthly Metrics'!E:E,'Data - Monthly Metrics'!A:A,$B$4-1,'Data - Monthly Metrics'!B:B,"Nov",'Data - Monthly Metrics'!C:C,"NorthCentral",'Data - Monthly Metrics'!D:D,"Billables - Hospitality Non-Target (#)"))</f>
        <v/>
      </c>
      <c r="D84" s="93">
        <f>IF(COUNTIFS('Data - Monthly Metrics'!A:A,$B$4-1,'Data - Monthly Metrics'!B:B,"Dec",'Data - Monthly Metrics'!C:C,"NorthCentral",'Data - Monthly Metrics'!D:D,"Billables - Hospitality Non-Target (#)")=0,"-",SUMIFS('Data - Monthly Metrics'!E:E,'Data - Monthly Metrics'!A:A,$B$4-1,'Data - Monthly Metrics'!B:B,"Dec",'Data - Monthly Metrics'!C:C,"NorthCentral",'Data - Monthly Metrics'!D:D,"Billables - Hospitality Non-Target (#)"))</f>
        <v/>
      </c>
      <c r="E84" s="103">
        <f>IF(ISNUMBER(D84),D84,IF(ISNUMBER(C84),C84,IF(ISNUMBER(B84),B84,"-")))</f>
        <v/>
      </c>
      <c r="F84" s="93">
        <f>IF(COUNTIFS('Data - Monthly Metrics'!A:A,$B$4,'Data - Monthly Metrics'!B:B,"Jan",'Data - Monthly Metrics'!C:C,"NorthCentral",'Data - Monthly Metrics'!D:D,"Billables - Hospitality Non-Target (#)")=0,"-",SUMIFS('Data - Monthly Metrics'!E:E,'Data - Monthly Metrics'!A:A,$B$4,'Data - Monthly Metrics'!B:B,"Jan",'Data - Monthly Metrics'!C:C,"NorthCentral",'Data - Monthly Metrics'!D:D,"Billables - Hospitality Non-Target (#)"))</f>
        <v/>
      </c>
      <c r="G84" s="93">
        <f>IF(COUNTIFS('Data - Monthly Metrics'!A:A,$B$4,'Data - Monthly Metrics'!B:B,"Feb",'Data - Monthly Metrics'!C:C,"NorthCentral",'Data - Monthly Metrics'!D:D,"Billables - Hospitality Non-Target (#)")=0,"-",SUMIFS('Data - Monthly Metrics'!E:E,'Data - Monthly Metrics'!A:A,$B$4,'Data - Monthly Metrics'!B:B,"Feb",'Data - Monthly Metrics'!C:C,"NorthCentral",'Data - Monthly Metrics'!D:D,"Billables - Hospitality Non-Target (#)"))</f>
        <v/>
      </c>
      <c r="H84" s="93">
        <f>IF(COUNTIFS('Data - Monthly Metrics'!A:A,$B$4,'Data - Monthly Metrics'!B:B,"Mar",'Data - Monthly Metrics'!C:C,"NorthCentral",'Data - Monthly Metrics'!D:D,"Billables - Hospitality Non-Target (#)")=0,"-",SUMIFS('Data - Monthly Metrics'!E:E,'Data - Monthly Metrics'!A:A,$B$4,'Data - Monthly Metrics'!B:B,"Mar",'Data - Monthly Metrics'!C:C,"NorthCentral",'Data - Monthly Metrics'!D:D,"Billables - Hospitality Non-Target (#)"))</f>
        <v/>
      </c>
      <c r="I84" s="103">
        <f>IF(ISNUMBER(H84),H84,IF(ISNUMBER(G84),G84,IF(ISNUMBER(F84),F84,"-")))</f>
        <v/>
      </c>
      <c r="J84" s="93">
        <f>IF(COUNTIFS('Data - Monthly Metrics'!A:A,$B$4,'Data - Monthly Metrics'!B:B,"Apr",'Data - Monthly Metrics'!C:C,"NorthCentral",'Data - Monthly Metrics'!D:D,"Billables - Hospitality Non-Target (#)")=0,"-",SUMIFS('Data - Monthly Metrics'!E:E,'Data - Monthly Metrics'!A:A,$B$4,'Data - Monthly Metrics'!B:B,"Apr",'Data - Monthly Metrics'!C:C,"NorthCentral",'Data - Monthly Metrics'!D:D,"Billables - Hospitality Non-Target (#)"))</f>
        <v/>
      </c>
      <c r="K84" s="93">
        <f>IF(COUNTIFS('Data - Monthly Metrics'!A:A,$B$4,'Data - Monthly Metrics'!B:B,"May",'Data - Monthly Metrics'!C:C,"NorthCentral",'Data - Monthly Metrics'!D:D,"Billables - Hospitality Non-Target (#)")=0,"-",SUMIFS('Data - Monthly Metrics'!E:E,'Data - Monthly Metrics'!A:A,$B$4,'Data - Monthly Metrics'!B:B,"May",'Data - Monthly Metrics'!C:C,"NorthCentral",'Data - Monthly Metrics'!D:D,"Billables - Hospitality Non-Target (#)"))</f>
        <v/>
      </c>
      <c r="L84" s="93">
        <f>IF(COUNTIFS('Data - Monthly Metrics'!A:A,$B$4,'Data - Monthly Metrics'!B:B,"Jun",'Data - Monthly Metrics'!C:C,"NorthCentral",'Data - Monthly Metrics'!D:D,"Billables - Hospitality Non-Target (#)")=0,"-",SUMIFS('Data - Monthly Metrics'!E:E,'Data - Monthly Metrics'!A:A,$B$4,'Data - Monthly Metrics'!B:B,"Jun",'Data - Monthly Metrics'!C:C,"NorthCentral",'Data - Monthly Metrics'!D:D,"Billables - Hospitality Non-Target (#)"))</f>
        <v/>
      </c>
      <c r="M84" s="103">
        <f>IF(ISNUMBER(L84),L84,IF(ISNUMBER(K84),K84,IF(ISNUMBER(J84),J84,"-")))</f>
        <v/>
      </c>
      <c r="N84" s="93">
        <f>IF(COUNTIFS('Data - Monthly Metrics'!A:A,$B$4,'Data - Monthly Metrics'!B:B,"Jul",'Data - Monthly Metrics'!C:C,"NorthCentral",'Data - Monthly Metrics'!D:D,"Billables - Hospitality Non-Target (#)")=0,"-",SUMIFS('Data - Monthly Metrics'!E:E,'Data - Monthly Metrics'!A:A,$B$4,'Data - Monthly Metrics'!B:B,"Jul",'Data - Monthly Metrics'!C:C,"NorthCentral",'Data - Monthly Metrics'!D:D,"Billables - Hospitality Non-Target (#)"))</f>
        <v/>
      </c>
      <c r="O84" s="93">
        <f>IF(COUNTIFS('Data - Monthly Metrics'!A:A,$B$4,'Data - Monthly Metrics'!B:B,"Aug",'Data - Monthly Metrics'!C:C,"NorthCentral",'Data - Monthly Metrics'!D:D,"Billables - Hospitality Non-Target (#)")=0,"-",SUMIFS('Data - Monthly Metrics'!E:E,'Data - Monthly Metrics'!A:A,$B$4,'Data - Monthly Metrics'!B:B,"Aug",'Data - Monthly Metrics'!C:C,"NorthCentral",'Data - Monthly Metrics'!D:D,"Billables - Hospitality Non-Target (#)"))</f>
        <v/>
      </c>
      <c r="P84" s="93">
        <f>IF(COUNTIFS('Data - Monthly Metrics'!A:A,$B$4,'Data - Monthly Metrics'!B:B,"Sep",'Data - Monthly Metrics'!C:C,"NorthCentral",'Data - Monthly Metrics'!D:D,"Billables - Hospitality Non-Target (#)")=0,"-",SUMIFS('Data - Monthly Metrics'!E:E,'Data - Monthly Metrics'!A:A,$B$4,'Data - Monthly Metrics'!B:B,"Sep",'Data - Monthly Metrics'!C:C,"NorthCentral",'Data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Metrics'!C:C,"NorthCentral",'Data - Monthly Metrics'!D:D,"Member Locations - Non-Target (#)")=0,"-",SUMIFS('Data - Monthly Metrics'!E:E,'Data - Monthly Metrics'!A:A,$B$4-1,'Data - Monthly Metrics'!B:B,"Oct",'Data - Monthly Metrics'!C:C,"NorthCentral",'Data - Monthly Metrics'!D:D,"Member Locations - Non-Target (#)"))</f>
        <v/>
      </c>
      <c r="C85" s="93">
        <f>IF(COUNTIFS('Data - Monthly Metrics'!A:A,$B$4-1,'Data - Monthly Metrics'!B:B,"Nov",'Data - Monthly Metrics'!C:C,"NorthCentral",'Data - Monthly Metrics'!D:D,"Member Locations - Non-Target (#)")=0,"-",SUMIFS('Data - Monthly Metrics'!E:E,'Data - Monthly Metrics'!A:A,$B$4-1,'Data - Monthly Metrics'!B:B,"Nov",'Data - Monthly Metrics'!C:C,"NorthCentral",'Data - Monthly Metrics'!D:D,"Member Locations - Non-Target (#)"))</f>
        <v/>
      </c>
      <c r="D85" s="93">
        <f>IF(COUNTIFS('Data - Monthly Metrics'!A:A,$B$4-1,'Data - Monthly Metrics'!B:B,"Dec",'Data - Monthly Metrics'!C:C,"NorthCentral",'Data - Monthly Metrics'!D:D,"Member Locations - Non-Target (#)")=0,"-",SUMIFS('Data - Monthly Metrics'!E:E,'Data - Monthly Metrics'!A:A,$B$4-1,'Data - Monthly Metrics'!B:B,"Dec",'Data - Monthly Metrics'!C:C,"NorthCentral",'Data - Monthly Metrics'!D:D,"Member Locations - Non-Target (#)"))</f>
        <v/>
      </c>
      <c r="E85" s="103">
        <f>IF(ISNUMBER(D85),D85,IF(ISNUMBER(C85),C85,IF(ISNUMBER(B85),B85,"-")))</f>
        <v/>
      </c>
      <c r="F85" s="93">
        <f>IF(COUNTIFS('Data - Monthly Metrics'!A:A,$B$4,'Data - Monthly Metrics'!B:B,"Jan",'Data - Monthly Metrics'!C:C,"NorthCentral",'Data - Monthly Metrics'!D:D,"Member Locations - Non-Target (#)")=0,"-",SUMIFS('Data - Monthly Metrics'!E:E,'Data - Monthly Metrics'!A:A,$B$4,'Data - Monthly Metrics'!B:B,"Jan",'Data - Monthly Metrics'!C:C,"NorthCentral",'Data - Monthly Metrics'!D:D,"Member Locations - Non-Target (#)"))</f>
        <v/>
      </c>
      <c r="G85" s="93">
        <f>IF(COUNTIFS('Data - Monthly Metrics'!A:A,$B$4,'Data - Monthly Metrics'!B:B,"Feb",'Data - Monthly Metrics'!C:C,"NorthCentral",'Data - Monthly Metrics'!D:D,"Member Locations - Non-Target (#)")=0,"-",SUMIFS('Data - Monthly Metrics'!E:E,'Data - Monthly Metrics'!A:A,$B$4,'Data - Monthly Metrics'!B:B,"Feb",'Data - Monthly Metrics'!C:C,"NorthCentral",'Data - Monthly Metrics'!D:D,"Member Locations - Non-Target (#)"))</f>
        <v/>
      </c>
      <c r="H85" s="93">
        <f>IF(COUNTIFS('Data - Monthly Metrics'!A:A,$B$4,'Data - Monthly Metrics'!B:B,"Mar",'Data - Monthly Metrics'!C:C,"NorthCentral",'Data - Monthly Metrics'!D:D,"Member Locations - Non-Target (#)")=0,"-",SUMIFS('Data - Monthly Metrics'!E:E,'Data - Monthly Metrics'!A:A,$B$4,'Data - Monthly Metrics'!B:B,"Mar",'Data - Monthly Metrics'!C:C,"NorthCentral",'Data - Monthly Metrics'!D:D,"Member Locations - Non-Target (#)"))</f>
        <v/>
      </c>
      <c r="I85" s="103">
        <f>IF(ISNUMBER(H85),H85,IF(ISNUMBER(G85),G85,IF(ISNUMBER(F85),F85,"-")))</f>
        <v/>
      </c>
      <c r="J85" s="93">
        <f>IF(COUNTIFS('Data - Monthly Metrics'!A:A,$B$4,'Data - Monthly Metrics'!B:B,"Apr",'Data - Monthly Metrics'!C:C,"NorthCentral",'Data - Monthly Metrics'!D:D,"Member Locations - Non-Target (#)")=0,"-",SUMIFS('Data - Monthly Metrics'!E:E,'Data - Monthly Metrics'!A:A,$B$4,'Data - Monthly Metrics'!B:B,"Apr",'Data - Monthly Metrics'!C:C,"NorthCentral",'Data - Monthly Metrics'!D:D,"Member Locations - Non-Target (#)"))</f>
        <v/>
      </c>
      <c r="K85" s="93">
        <f>IF(COUNTIFS('Data - Monthly Metrics'!A:A,$B$4,'Data - Monthly Metrics'!B:B,"May",'Data - Monthly Metrics'!C:C,"NorthCentral",'Data - Monthly Metrics'!D:D,"Member Locations - Non-Target (#)")=0,"-",SUMIFS('Data - Monthly Metrics'!E:E,'Data - Monthly Metrics'!A:A,$B$4,'Data - Monthly Metrics'!B:B,"May",'Data - Monthly Metrics'!C:C,"NorthCentral",'Data - Monthly Metrics'!D:D,"Member Locations - Non-Target (#)"))</f>
        <v/>
      </c>
      <c r="L85" s="93">
        <f>IF(COUNTIFS('Data - Monthly Metrics'!A:A,$B$4,'Data - Monthly Metrics'!B:B,"Jun",'Data - Monthly Metrics'!C:C,"NorthCentral",'Data - Monthly Metrics'!D:D,"Member Locations - Non-Target (#)")=0,"-",SUMIFS('Data - Monthly Metrics'!E:E,'Data - Monthly Metrics'!A:A,$B$4,'Data - Monthly Metrics'!B:B,"Jun",'Data - Monthly Metrics'!C:C,"NorthCentral",'Data - Monthly Metrics'!D:D,"Member Locations - Non-Target (#)"))</f>
        <v/>
      </c>
      <c r="M85" s="103">
        <f>IF(ISNUMBER(L85),L85,IF(ISNUMBER(K85),K85,IF(ISNUMBER(J85),J85,"-")))</f>
        <v/>
      </c>
      <c r="N85" s="93">
        <f>IF(COUNTIFS('Data - Monthly Metrics'!A:A,$B$4,'Data - Monthly Metrics'!B:B,"Jul",'Data - Monthly Metrics'!C:C,"NorthCentral",'Data - Monthly Metrics'!D:D,"Member Locations - Non-Target (#)")=0,"-",SUMIFS('Data - Monthly Metrics'!E:E,'Data - Monthly Metrics'!A:A,$B$4,'Data - Monthly Metrics'!B:B,"Jul",'Data - Monthly Metrics'!C:C,"NorthCentral",'Data - Monthly Metrics'!D:D,"Member Locations - Non-Target (#)"))</f>
        <v/>
      </c>
      <c r="O85" s="93">
        <f>IF(COUNTIFS('Data - Monthly Metrics'!A:A,$B$4,'Data - Monthly Metrics'!B:B,"Aug",'Data - Monthly Metrics'!C:C,"NorthCentral",'Data - Monthly Metrics'!D:D,"Member Locations - Non-Target (#)")=0,"-",SUMIFS('Data - Monthly Metrics'!E:E,'Data - Monthly Metrics'!A:A,$B$4,'Data - Monthly Metrics'!B:B,"Aug",'Data - Monthly Metrics'!C:C,"NorthCentral",'Data - Monthly Metrics'!D:D,"Member Locations - Non-Target (#)"))</f>
        <v/>
      </c>
      <c r="P85" s="93">
        <f>IF(COUNTIFS('Data - Monthly Metrics'!A:A,$B$4,'Data - Monthly Metrics'!B:B,"Sep",'Data - Monthly Metrics'!C:C,"NorthCentral",'Data - Monthly Metrics'!D:D,"Member Locations - Non-Target (#)")=0,"-",SUMIFS('Data - Monthly Metrics'!E:E,'Data - Monthly Metrics'!A:A,$B$4,'Data - Monthly Metrics'!B:B,"Sep",'Data - Monthly Metrics'!C:C,"NorthCentral",'Data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Metrics'!C:C,"NorthCentral",'Data - Monthly Metrics'!D:D,"Billables - Allied (#)")=0,"-",SUMIFS('Data - Monthly Metrics'!E:E,'Data - Monthly Metrics'!A:A,$B$4-1,'Data - Monthly Metrics'!B:B,"Oct",'Data - Monthly Metrics'!C:C,"NorthCentral",'Data - Monthly Metrics'!D:D,"Billables - Allied (#)"))</f>
        <v/>
      </c>
      <c r="C86" s="98">
        <f>IF(COUNTIFS('Data - Monthly Metrics'!A:A,$B$4-1,'Data - Monthly Metrics'!B:B,"Nov",'Data - Monthly Metrics'!C:C,"NorthCentral",'Data - Monthly Metrics'!D:D,"Billables - Allied (#)")=0,"-",SUMIFS('Data - Monthly Metrics'!E:E,'Data - Monthly Metrics'!A:A,$B$4-1,'Data - Monthly Metrics'!B:B,"Nov",'Data - Monthly Metrics'!C:C,"NorthCentral",'Data - Monthly Metrics'!D:D,"Billables - Allied (#)"))</f>
        <v/>
      </c>
      <c r="D86" s="98">
        <f>IF(COUNTIFS('Data - Monthly Metrics'!A:A,$B$4-1,'Data - Monthly Metrics'!B:B,"Dec",'Data - Monthly Metrics'!C:C,"NorthCentral",'Data - Monthly Metrics'!D:D,"Billables - Allied (#)")=0,"-",SUMIFS('Data - Monthly Metrics'!E:E,'Data - Monthly Metrics'!A:A,$B$4-1,'Data - Monthly Metrics'!B:B,"Dec",'Data - Monthly Metrics'!C:C,"NorthCentral",'Data - Monthly Metrics'!D:D,"Billables - Allied (#)"))</f>
        <v/>
      </c>
      <c r="E86" s="103">
        <f>IF(ISNUMBER(D86),D86,IF(ISNUMBER(C86),C86,IF(ISNUMBER(B86),B86,"-")))</f>
        <v/>
      </c>
      <c r="F86" s="98">
        <f>IF(COUNTIFS('Data - Monthly Metrics'!A:A,$B$4,'Data - Monthly Metrics'!B:B,"Jan",'Data - Monthly Metrics'!C:C,"NorthCentral",'Data - Monthly Metrics'!D:D,"Billables - Allied (#)")=0,"-",SUMIFS('Data - Monthly Metrics'!E:E,'Data - Monthly Metrics'!A:A,$B$4,'Data - Monthly Metrics'!B:B,"Jan",'Data - Monthly Metrics'!C:C,"NorthCentral",'Data - Monthly Metrics'!D:D,"Billables - Allied (#)"))</f>
        <v/>
      </c>
      <c r="G86" s="98">
        <f>IF(COUNTIFS('Data - Monthly Metrics'!A:A,$B$4,'Data - Monthly Metrics'!B:B,"Feb",'Data - Monthly Metrics'!C:C,"NorthCentral",'Data - Monthly Metrics'!D:D,"Billables - Allied (#)")=0,"-",SUMIFS('Data - Monthly Metrics'!E:E,'Data - Monthly Metrics'!A:A,$B$4,'Data - Monthly Metrics'!B:B,"Feb",'Data - Monthly Metrics'!C:C,"NorthCentral",'Data - Monthly Metrics'!D:D,"Billables - Allied (#)"))</f>
        <v/>
      </c>
      <c r="H86" s="98">
        <f>IF(COUNTIFS('Data - Monthly Metrics'!A:A,$B$4,'Data - Monthly Metrics'!B:B,"Mar",'Data - Monthly Metrics'!C:C,"NorthCentral",'Data - Monthly Metrics'!D:D,"Billables - Allied (#)")=0,"-",SUMIFS('Data - Monthly Metrics'!E:E,'Data - Monthly Metrics'!A:A,$B$4,'Data - Monthly Metrics'!B:B,"Mar",'Data - Monthly Metrics'!C:C,"NorthCentral",'Data - Monthly Metrics'!D:D,"Billables - Allied (#)"))</f>
        <v/>
      </c>
      <c r="I86" s="103">
        <f>IF(ISNUMBER(H86),H86,IF(ISNUMBER(G86),G86,IF(ISNUMBER(F86),F86,"-")))</f>
        <v/>
      </c>
      <c r="J86" s="98">
        <f>IF(COUNTIFS('Data - Monthly Metrics'!A:A,$B$4,'Data - Monthly Metrics'!B:B,"Apr",'Data - Monthly Metrics'!C:C,"NorthCentral",'Data - Monthly Metrics'!D:D,"Billables - Allied (#)")=0,"-",SUMIFS('Data - Monthly Metrics'!E:E,'Data - Monthly Metrics'!A:A,$B$4,'Data - Monthly Metrics'!B:B,"Apr",'Data - Monthly Metrics'!C:C,"NorthCentral",'Data - Monthly Metrics'!D:D,"Billables - Allied (#)"))</f>
        <v/>
      </c>
      <c r="K86" s="98">
        <f>IF(COUNTIFS('Data - Monthly Metrics'!A:A,$B$4,'Data - Monthly Metrics'!B:B,"May",'Data - Monthly Metrics'!C:C,"NorthCentral",'Data - Monthly Metrics'!D:D,"Billables - Allied (#)")=0,"-",SUMIFS('Data - Monthly Metrics'!E:E,'Data - Monthly Metrics'!A:A,$B$4,'Data - Monthly Metrics'!B:B,"May",'Data - Monthly Metrics'!C:C,"NorthCentral",'Data - Monthly Metrics'!D:D,"Billables - Allied (#)"))</f>
        <v/>
      </c>
      <c r="L86" s="98">
        <f>IF(COUNTIFS('Data - Monthly Metrics'!A:A,$B$4,'Data - Monthly Metrics'!B:B,"Jun",'Data - Monthly Metrics'!C:C,"NorthCentral",'Data - Monthly Metrics'!D:D,"Billables - Allied (#)")=0,"-",SUMIFS('Data - Monthly Metrics'!E:E,'Data - Monthly Metrics'!A:A,$B$4,'Data - Monthly Metrics'!B:B,"Jun",'Data - Monthly Metrics'!C:C,"NorthCentral",'Data - Monthly Metrics'!D:D,"Billables - Allied (#)"))</f>
        <v/>
      </c>
      <c r="M86" s="103">
        <f>IF(ISNUMBER(L86),L86,IF(ISNUMBER(K86),K86,IF(ISNUMBER(J86),J86,"-")))</f>
        <v/>
      </c>
      <c r="N86" s="98">
        <f>IF(COUNTIFS('Data - Monthly Metrics'!A:A,$B$4,'Data - Monthly Metrics'!B:B,"Jul",'Data - Monthly Metrics'!C:C,"NorthCentral",'Data - Monthly Metrics'!D:D,"Billables - Allied (#)")=0,"-",SUMIFS('Data - Monthly Metrics'!E:E,'Data - Monthly Metrics'!A:A,$B$4,'Data - Monthly Metrics'!B:B,"Jul",'Data - Monthly Metrics'!C:C,"NorthCentral",'Data - Monthly Metrics'!D:D,"Billables - Allied (#)"))</f>
        <v/>
      </c>
      <c r="O86" s="98">
        <f>IF(COUNTIFS('Data - Monthly Metrics'!A:A,$B$4,'Data - Monthly Metrics'!B:B,"Aug",'Data - Monthly Metrics'!C:C,"NorthCentral",'Data - Monthly Metrics'!D:D,"Billables - Allied (#)")=0,"-",SUMIFS('Data - Monthly Metrics'!E:E,'Data - Monthly Metrics'!A:A,$B$4,'Data - Monthly Metrics'!B:B,"Aug",'Data - Monthly Metrics'!C:C,"NorthCentral",'Data - Monthly Metrics'!D:D,"Billables - Allied (#)"))</f>
        <v/>
      </c>
      <c r="P86" s="98">
        <f>IF(COUNTIFS('Data - Monthly Metrics'!A:A,$B$4,'Data - Monthly Metrics'!B:B,"Sep",'Data - Monthly Metrics'!C:C,"NorthCentral",'Data - Monthly Metrics'!D:D,"Billables - Allied (#)")=0,"-",SUMIFS('Data - Monthly Metrics'!E:E,'Data - Monthly Metrics'!A:A,$B$4,'Data - Monthly Metrics'!B:B,"Sep",'Data - Monthly Metrics'!C:C,"NorthCentral",'Data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Metrics'!C:C,"NorthCentral",'Data - Monthly Metrics'!D:D,"Members Up for Renewal - Non-Target (#)")=0,"-",SUMIFS('Data - Monthly Metrics'!E:E,'Data - Monthly Metrics'!A:A,$B$4-1,'Data - Monthly Metrics'!B:B,"Oct",'Data - Monthly Metrics'!C:C,"NorthCentral",'Data - Monthly Metrics'!D:D,"Members Up for Renewal - Non-Target (#)"))</f>
        <v/>
      </c>
      <c r="C91" s="93">
        <f>IF(COUNTIFS('Data - Monthly Metrics'!A:A,$B$4-1,'Data - Monthly Metrics'!B:B,"Nov",'Data - Monthly Metrics'!C:C,"NorthCentral",'Data - Monthly Metrics'!D:D,"Members Up for Renewal - Non-Target (#)")=0,"-",SUMIFS('Data - Monthly Metrics'!E:E,'Data - Monthly Metrics'!A:A,$B$4-1,'Data - Monthly Metrics'!B:B,"Nov",'Data - Monthly Metrics'!C:C,"NorthCentral",'Data - Monthly Metrics'!D:D,"Members Up for Renewal - Non-Target (#)"))</f>
        <v/>
      </c>
      <c r="D91" s="93">
        <f>IF(COUNTIFS('Data - Monthly Metrics'!A:A,$B$4-1,'Data - Monthly Metrics'!B:B,"Dec",'Data - Monthly Metrics'!C:C,"NorthCentral",'Data - Monthly Metrics'!D:D,"Members Up for Renewal - Non-Target (#)")=0,"-",SUMIFS('Data - Monthly Metrics'!E:E,'Data - Monthly Metrics'!A:A,$B$4-1,'Data - Monthly Metrics'!B:B,"Dec",'Data - Monthly Metrics'!C:C,"NorthCentral",'Data - Monthly Metrics'!D:D,"Members Up for Renewal - Non-Target (#)"))</f>
        <v/>
      </c>
      <c r="E91" s="103">
        <f>SUM(B91,C91,D91)</f>
        <v/>
      </c>
      <c r="F91" s="93">
        <f>IF(COUNTIFS('Data - Monthly Metrics'!A:A,$B$4,'Data - Monthly Metrics'!B:B,"Jan",'Data - Monthly Metrics'!C:C,"NorthCentral",'Data - Monthly Metrics'!D:D,"Members Up for Renewal - Non-Target (#)")=0,"-",SUMIFS('Data - Monthly Metrics'!E:E,'Data - Monthly Metrics'!A:A,$B$4,'Data - Monthly Metrics'!B:B,"Jan",'Data - Monthly Metrics'!C:C,"NorthCentral",'Data - Monthly Metrics'!D:D,"Members Up for Renewal - Non-Target (#)"))</f>
        <v/>
      </c>
      <c r="G91" s="93">
        <f>IF(COUNTIFS('Data - Monthly Metrics'!A:A,$B$4,'Data - Monthly Metrics'!B:B,"Feb",'Data - Monthly Metrics'!C:C,"NorthCentral",'Data - Monthly Metrics'!D:D,"Members Up for Renewal - Non-Target (#)")=0,"-",SUMIFS('Data - Monthly Metrics'!E:E,'Data - Monthly Metrics'!A:A,$B$4,'Data - Monthly Metrics'!B:B,"Feb",'Data - Monthly Metrics'!C:C,"NorthCentral",'Data - Monthly Metrics'!D:D,"Members Up for Renewal - Non-Target (#)"))</f>
        <v/>
      </c>
      <c r="H91" s="93">
        <f>IF(COUNTIFS('Data - Monthly Metrics'!A:A,$B$4,'Data - Monthly Metrics'!B:B,"Mar",'Data - Monthly Metrics'!C:C,"NorthCentral",'Data - Monthly Metrics'!D:D,"Members Up for Renewal - Non-Target (#)")=0,"-",SUMIFS('Data - Monthly Metrics'!E:E,'Data - Monthly Metrics'!A:A,$B$4,'Data - Monthly Metrics'!B:B,"Mar",'Data - Monthly Metrics'!C:C,"NorthCentral",'Data - Monthly Metrics'!D:D,"Members Up for Renewal - Non-Target (#)"))</f>
        <v/>
      </c>
      <c r="I91" s="103">
        <f>SUM(F91,G91,H91)</f>
        <v/>
      </c>
      <c r="J91" s="93">
        <f>IF(COUNTIFS('Data - Monthly Metrics'!A:A,$B$4,'Data - Monthly Metrics'!B:B,"Apr",'Data - Monthly Metrics'!C:C,"NorthCentral",'Data - Monthly Metrics'!D:D,"Members Up for Renewal - Non-Target (#)")=0,"-",SUMIFS('Data - Monthly Metrics'!E:E,'Data - Monthly Metrics'!A:A,$B$4,'Data - Monthly Metrics'!B:B,"Apr",'Data - Monthly Metrics'!C:C,"NorthCentral",'Data - Monthly Metrics'!D:D,"Members Up for Renewal - Non-Target (#)"))</f>
        <v/>
      </c>
      <c r="K91" s="93">
        <f>IF(COUNTIFS('Data - Monthly Metrics'!A:A,$B$4,'Data - Monthly Metrics'!B:B,"May",'Data - Monthly Metrics'!C:C,"NorthCentral",'Data - Monthly Metrics'!D:D,"Members Up for Renewal - Non-Target (#)")=0,"-",SUMIFS('Data - Monthly Metrics'!E:E,'Data - Monthly Metrics'!A:A,$B$4,'Data - Monthly Metrics'!B:B,"May",'Data - Monthly Metrics'!C:C,"NorthCentral",'Data - Monthly Metrics'!D:D,"Members Up for Renewal - Non-Target (#)"))</f>
        <v/>
      </c>
      <c r="L91" s="93">
        <f>IF(COUNTIFS('Data - Monthly Metrics'!A:A,$B$4,'Data - Monthly Metrics'!B:B,"Jun",'Data - Monthly Metrics'!C:C,"NorthCentral",'Data - Monthly Metrics'!D:D,"Members Up for Renewal - Non-Target (#)")=0,"-",SUMIFS('Data - Monthly Metrics'!E:E,'Data - Monthly Metrics'!A:A,$B$4,'Data - Monthly Metrics'!B:B,"Jun",'Data - Monthly Metrics'!C:C,"NorthCentral",'Data - Monthly Metrics'!D:D,"Members Up for Renewal - Non-Target (#)"))</f>
        <v/>
      </c>
      <c r="M91" s="103">
        <f>SUM(J91,K91,L91)</f>
        <v/>
      </c>
      <c r="N91" s="93">
        <f>IF(COUNTIFS('Data - Monthly Metrics'!A:A,$B$4,'Data - Monthly Metrics'!B:B,"Jul",'Data - Monthly Metrics'!C:C,"NorthCentral",'Data - Monthly Metrics'!D:D,"Members Up for Renewal - Non-Target (#)")=0,"-",SUMIFS('Data - Monthly Metrics'!E:E,'Data - Monthly Metrics'!A:A,$B$4,'Data - Monthly Metrics'!B:B,"Jul",'Data - Monthly Metrics'!C:C,"NorthCentral",'Data - Monthly Metrics'!D:D,"Members Up for Renewal - Non-Target (#)"))</f>
        <v/>
      </c>
      <c r="O91" s="93">
        <f>IF(COUNTIFS('Data - Monthly Metrics'!A:A,$B$4,'Data - Monthly Metrics'!B:B,"Aug",'Data - Monthly Metrics'!C:C,"NorthCentral",'Data - Monthly Metrics'!D:D,"Members Up for Renewal - Non-Target (#)")=0,"-",SUMIFS('Data - Monthly Metrics'!E:E,'Data - Monthly Metrics'!A:A,$B$4,'Data - Monthly Metrics'!B:B,"Aug",'Data - Monthly Metrics'!C:C,"NorthCentral",'Data - Monthly Metrics'!D:D,"Members Up for Renewal - Non-Target (#)"))</f>
        <v/>
      </c>
      <c r="P91" s="93">
        <f>IF(COUNTIFS('Data - Monthly Metrics'!A:A,$B$4,'Data - Monthly Metrics'!B:B,"Sep",'Data - Monthly Metrics'!C:C,"NorthCentral",'Data - Monthly Metrics'!D:D,"Members Up for Renewal - Non-Target (#)")=0,"-",SUMIFS('Data - Monthly Metrics'!E:E,'Data - Monthly Metrics'!A:A,$B$4,'Data - Monthly Metrics'!B:B,"Sep",'Data - Monthly Metrics'!C:C,"NorthCentral",'Data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Metrics'!C:C,"NorthCentral",'Data - Monthly Metrics'!D:D,"Members Retained - Non-Target (#)")=0,"-",SUMIFS('Data - Monthly Metrics'!E:E,'Data - Monthly Metrics'!A:A,$B$4-1,'Data - Monthly Metrics'!B:B,"Oct",'Data - Monthly Metrics'!C:C,"NorthCentral",'Data - Monthly Metrics'!D:D,"Members Retained - Non-Target (#)"))</f>
        <v/>
      </c>
      <c r="C92" s="98">
        <f>IF(COUNTIFS('Data - Monthly Metrics'!A:A,$B$4-1,'Data - Monthly Metrics'!B:B,"Nov",'Data - Monthly Metrics'!C:C,"NorthCentral",'Data - Monthly Metrics'!D:D,"Members Retained - Non-Target (#)")=0,"-",SUMIFS('Data - Monthly Metrics'!E:E,'Data - Monthly Metrics'!A:A,$B$4-1,'Data - Monthly Metrics'!B:B,"Nov",'Data - Monthly Metrics'!C:C,"NorthCentral",'Data - Monthly Metrics'!D:D,"Members Retained - Non-Target (#)"))</f>
        <v/>
      </c>
      <c r="D92" s="98">
        <f>IF(COUNTIFS('Data - Monthly Metrics'!A:A,$B$4-1,'Data - Monthly Metrics'!B:B,"Dec",'Data - Monthly Metrics'!C:C,"NorthCentral",'Data - Monthly Metrics'!D:D,"Members Retained - Non-Target (#)")=0,"-",SUMIFS('Data - Monthly Metrics'!E:E,'Data - Monthly Metrics'!A:A,$B$4-1,'Data - Monthly Metrics'!B:B,"Dec",'Data - Monthly Metrics'!C:C,"NorthCentral",'Data - Monthly Metrics'!D:D,"Members Retained - Non-Target (#)"))</f>
        <v/>
      </c>
      <c r="E92" s="103">
        <f>SUM(B92,C92,D92)</f>
        <v/>
      </c>
      <c r="F92" s="98">
        <f>IF(COUNTIFS('Data - Monthly Metrics'!A:A,$B$4,'Data - Monthly Metrics'!B:B,"Jan",'Data - Monthly Metrics'!C:C,"NorthCentral",'Data - Monthly Metrics'!D:D,"Members Retained - Non-Target (#)")=0,"-",SUMIFS('Data - Monthly Metrics'!E:E,'Data - Monthly Metrics'!A:A,$B$4,'Data - Monthly Metrics'!B:B,"Jan",'Data - Monthly Metrics'!C:C,"NorthCentral",'Data - Monthly Metrics'!D:D,"Members Retained - Non-Target (#)"))</f>
        <v/>
      </c>
      <c r="G92" s="98">
        <f>IF(COUNTIFS('Data - Monthly Metrics'!A:A,$B$4,'Data - Monthly Metrics'!B:B,"Feb",'Data - Monthly Metrics'!C:C,"NorthCentral",'Data - Monthly Metrics'!D:D,"Members Retained - Non-Target (#)")=0,"-",SUMIFS('Data - Monthly Metrics'!E:E,'Data - Monthly Metrics'!A:A,$B$4,'Data - Monthly Metrics'!B:B,"Feb",'Data - Monthly Metrics'!C:C,"NorthCentral",'Data - Monthly Metrics'!D:D,"Members Retained - Non-Target (#)"))</f>
        <v/>
      </c>
      <c r="H92" s="98">
        <f>IF(COUNTIFS('Data - Monthly Metrics'!A:A,$B$4,'Data - Monthly Metrics'!B:B,"Mar",'Data - Monthly Metrics'!C:C,"NorthCentral",'Data - Monthly Metrics'!D:D,"Members Retained - Non-Target (#)")=0,"-",SUMIFS('Data - Monthly Metrics'!E:E,'Data - Monthly Metrics'!A:A,$B$4,'Data - Monthly Metrics'!B:B,"Mar",'Data - Monthly Metrics'!C:C,"NorthCentral",'Data - Monthly Metrics'!D:D,"Members Retained - Non-Target (#)"))</f>
        <v/>
      </c>
      <c r="I92" s="103">
        <f>SUM(F92,G92,H92)</f>
        <v/>
      </c>
      <c r="J92" s="98">
        <f>IF(COUNTIFS('Data - Monthly Metrics'!A:A,$B$4,'Data - Monthly Metrics'!B:B,"Apr",'Data - Monthly Metrics'!C:C,"NorthCentral",'Data - Monthly Metrics'!D:D,"Members Retained - Non-Target (#)")=0,"-",SUMIFS('Data - Monthly Metrics'!E:E,'Data - Monthly Metrics'!A:A,$B$4,'Data - Monthly Metrics'!B:B,"Apr",'Data - Monthly Metrics'!C:C,"NorthCentral",'Data - Monthly Metrics'!D:D,"Members Retained - Non-Target (#)"))</f>
        <v/>
      </c>
      <c r="K92" s="98">
        <f>IF(COUNTIFS('Data - Monthly Metrics'!A:A,$B$4,'Data - Monthly Metrics'!B:B,"May",'Data - Monthly Metrics'!C:C,"NorthCentral",'Data - Monthly Metrics'!D:D,"Members Retained - Non-Target (#)")=0,"-",SUMIFS('Data - Monthly Metrics'!E:E,'Data - Monthly Metrics'!A:A,$B$4,'Data - Monthly Metrics'!B:B,"May",'Data - Monthly Metrics'!C:C,"NorthCentral",'Data - Monthly Metrics'!D:D,"Members Retained - Non-Target (#)"))</f>
        <v/>
      </c>
      <c r="L92" s="98">
        <f>IF(COUNTIFS('Data - Monthly Metrics'!A:A,$B$4,'Data - Monthly Metrics'!B:B,"Jun",'Data - Monthly Metrics'!C:C,"NorthCentral",'Data - Monthly Metrics'!D:D,"Members Retained - Non-Target (#)")=0,"-",SUMIFS('Data - Monthly Metrics'!E:E,'Data - Monthly Metrics'!A:A,$B$4,'Data - Monthly Metrics'!B:B,"Jun",'Data - Monthly Metrics'!C:C,"NorthCentral",'Data - Monthly Metrics'!D:D,"Members Retained - Non-Target (#)"))</f>
        <v/>
      </c>
      <c r="M92" s="103">
        <f>SUM(J92,K92,L92)</f>
        <v/>
      </c>
      <c r="N92" s="98">
        <f>IF(COUNTIFS('Data - Monthly Metrics'!A:A,$B$4,'Data - Monthly Metrics'!B:B,"Jul",'Data - Monthly Metrics'!C:C,"NorthCentral",'Data - Monthly Metrics'!D:D,"Members Retained - Non-Target (#)")=0,"-",SUMIFS('Data - Monthly Metrics'!E:E,'Data - Monthly Metrics'!A:A,$B$4,'Data - Monthly Metrics'!B:B,"Jul",'Data - Monthly Metrics'!C:C,"NorthCentral",'Data - Monthly Metrics'!D:D,"Members Retained - Non-Target (#)"))</f>
        <v/>
      </c>
      <c r="O92" s="98">
        <f>IF(COUNTIFS('Data - Monthly Metrics'!A:A,$B$4,'Data - Monthly Metrics'!B:B,"Aug",'Data - Monthly Metrics'!C:C,"NorthCentral",'Data - Monthly Metrics'!D:D,"Members Retained - Non-Target (#)")=0,"-",SUMIFS('Data - Monthly Metrics'!E:E,'Data - Monthly Metrics'!A:A,$B$4,'Data - Monthly Metrics'!B:B,"Aug",'Data - Monthly Metrics'!C:C,"NorthCentral",'Data - Monthly Metrics'!D:D,"Members Retained - Non-Target (#)"))</f>
        <v/>
      </c>
      <c r="P92" s="98">
        <f>IF(COUNTIFS('Data - Monthly Metrics'!A:A,$B$4,'Data - Monthly Metrics'!B:B,"Sep",'Data - Monthly Metrics'!C:C,"NorthCentral",'Data - Monthly Metrics'!D:D,"Members Retained - Non-Target (#)")=0,"-",SUMIFS('Data - Monthly Metrics'!E:E,'Data - Monthly Metrics'!A:A,$B$4,'Data - Monthly Metrics'!B:B,"Sep",'Data - Monthly Metrics'!C:C,"NorthCentral",'Data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Metrics'!$C:$C,"NorthCentral",'Data - Monthly Metrics'!$D:$D,"Goal - Retention %")=0),"—",IF(B93&gt;=SUMIFS('Data - Monthly Metrics'!$E:$E,'Data - Monthly Metrics'!$A:$A,$B$4-1,'Data - Monthly Metrics'!$B:$B,B$8,'Data - Monthly Metrics'!$C:$C,"NorthCentral",'Data - Monthly Metrics'!$D:$D,"Goal - Retention %"),"On Track",IF(B93&gt;=SUMIFS('Data - Monthly Metrics'!$E:$E,'Data - Monthly Metrics'!$A:$A,$B$4-1,'Data - Monthly Metrics'!$B:$B,B$8,'Data - Monthly Metrics'!$C:$C,"NorthCentral",'Data - Monthly Metrics'!$D:$D,"Goal - Retention %")-0.05,"Watch","At Risk")))</f>
        <v/>
      </c>
      <c r="C94" s="120">
        <f>IF(OR(NOT(ISNUMBER(C93)),C93=0,COUNTIFS('Data - Monthly Metrics'!$A:$A,$B$4-1,'Data - Monthly Metrics'!$B:$B,C$8,'Data - Monthly Metrics'!$C:$C,"NorthCentral",'Data - Monthly Metrics'!$D:$D,"Goal - Retention %")=0),"—",IF(C93&gt;=SUMIFS('Data - Monthly Metrics'!$E:$E,'Data - Monthly Metrics'!$A:$A,$B$4-1,'Data - Monthly Metrics'!$B:$B,C$8,'Data - Monthly Metrics'!$C:$C,"NorthCentral",'Data - Monthly Metrics'!$D:$D,"Goal - Retention %"),"On Track",IF(C93&gt;=SUMIFS('Data - Monthly Metrics'!$E:$E,'Data - Monthly Metrics'!$A:$A,$B$4-1,'Data - Monthly Metrics'!$B:$B,C$8,'Data - Monthly Metrics'!$C:$C,"NorthCentral",'Data - Monthly Metrics'!$D:$D,"Goal - Retention %")-0.05,"Watch","At Risk")))</f>
        <v/>
      </c>
      <c r="D94" s="120">
        <f>IF(OR(NOT(ISNUMBER(D93)),D93=0,COUNTIFS('Data - Monthly Metrics'!$A:$A,$B$4-1,'Data - Monthly Metrics'!$B:$B,D$8,'Data - Monthly Metrics'!$C:$C,"NorthCentral",'Data - Monthly Metrics'!$D:$D,"Goal - Retention %")=0),"—",IF(D93&gt;=SUMIFS('Data - Monthly Metrics'!$E:$E,'Data - Monthly Metrics'!$A:$A,$B$4-1,'Data - Monthly Metrics'!$B:$B,D$8,'Data - Monthly Metrics'!$C:$C,"NorthCentral",'Data - Monthly Metrics'!$D:$D,"Goal - Retention %"),"On Track",IF(D93&gt;=SUMIFS('Data - Monthly Metrics'!$E:$E,'Data - Monthly Metrics'!$A:$A,$B$4-1,'Data - Monthly Metrics'!$B:$B,D$8,'Data - Monthly Metrics'!$C:$C,"NorthCentral",'Data - Monthly Metrics'!$D:$D,"Goal - Retention %")-0.05,"Watch","At Risk")))</f>
        <v/>
      </c>
      <c r="E94" s="121">
        <f>"—"</f>
        <v/>
      </c>
      <c r="F94" s="120">
        <f>IF(OR(NOT(ISNUMBER(F93)),F93=0,COUNTIFS('Data - Monthly Metrics'!$A:$A,$B$4,'Data - Monthly Metrics'!$B:$B,F$8,'Data - Monthly Metrics'!$C:$C,"NorthCentral",'Data - Monthly Metrics'!$D:$D,"Goal - Retention %")=0),"—",IF(F93&gt;=SUMIFS('Data - Monthly Metrics'!$E:$E,'Data - Monthly Metrics'!$A:$A,$B$4,'Data - Monthly Metrics'!$B:$B,F$8,'Data - Monthly Metrics'!$C:$C,"NorthCentral",'Data - Monthly Metrics'!$D:$D,"Goal - Retention %"),"On Track",IF(F93&gt;=SUMIFS('Data - Monthly Metrics'!$E:$E,'Data - Monthly Metrics'!$A:$A,$B$4,'Data - Monthly Metrics'!$B:$B,F$8,'Data - Monthly Metrics'!$C:$C,"NorthCentral",'Data - Monthly Metrics'!$D:$D,"Goal - Retention %")-0.05,"Watch","At Risk")))</f>
        <v/>
      </c>
      <c r="G94" s="120">
        <f>IF(OR(NOT(ISNUMBER(G93)),G93=0,COUNTIFS('Data - Monthly Metrics'!$A:$A,$B$4,'Data - Monthly Metrics'!$B:$B,G$8,'Data - Monthly Metrics'!$C:$C,"NorthCentral",'Data - Monthly Metrics'!$D:$D,"Goal - Retention %")=0),"—",IF(G93&gt;=SUMIFS('Data - Monthly Metrics'!$E:$E,'Data - Monthly Metrics'!$A:$A,$B$4,'Data - Monthly Metrics'!$B:$B,G$8,'Data - Monthly Metrics'!$C:$C,"NorthCentral",'Data - Monthly Metrics'!$D:$D,"Goal - Retention %"),"On Track",IF(G93&gt;=SUMIFS('Data - Monthly Metrics'!$E:$E,'Data - Monthly Metrics'!$A:$A,$B$4,'Data - Monthly Metrics'!$B:$B,G$8,'Data - Monthly Metrics'!$C:$C,"NorthCentral",'Data - Monthly Metrics'!$D:$D,"Goal - Retention %")-0.05,"Watch","At Risk")))</f>
        <v/>
      </c>
      <c r="H94" s="120">
        <f>IF(OR(NOT(ISNUMBER(H93)),H93=0,COUNTIFS('Data - Monthly Metrics'!$A:$A,$B$4,'Data - Monthly Metrics'!$B:$B,H$8,'Data - Monthly Metrics'!$C:$C,"NorthCentral",'Data - Monthly Metrics'!$D:$D,"Goal - Retention %")=0),"—",IF(H93&gt;=SUMIFS('Data - Monthly Metrics'!$E:$E,'Data - Monthly Metrics'!$A:$A,$B$4,'Data - Monthly Metrics'!$B:$B,H$8,'Data - Monthly Metrics'!$C:$C,"NorthCentral",'Data - Monthly Metrics'!$D:$D,"Goal - Retention %"),"On Track",IF(H93&gt;=SUMIFS('Data - Monthly Metrics'!$E:$E,'Data - Monthly Metrics'!$A:$A,$B$4,'Data - Monthly Metrics'!$B:$B,H$8,'Data - Monthly Metrics'!$C:$C,"NorthCentral",'Data - Monthly Metrics'!$D:$D,"Goal - Retention %")-0.05,"Watch","At Risk")))</f>
        <v/>
      </c>
      <c r="I94" s="121">
        <f>"—"</f>
        <v/>
      </c>
      <c r="J94" s="120">
        <f>IF(OR(NOT(ISNUMBER(J93)),J93=0,COUNTIFS('Data - Monthly Metrics'!$A:$A,$B$4,'Data - Monthly Metrics'!$B:$B,J$8,'Data - Monthly Metrics'!$C:$C,"NorthCentral",'Data - Monthly Metrics'!$D:$D,"Goal - Retention %")=0),"—",IF(J93&gt;=SUMIFS('Data - Monthly Metrics'!$E:$E,'Data - Monthly Metrics'!$A:$A,$B$4,'Data - Monthly Metrics'!$B:$B,J$8,'Data - Monthly Metrics'!$C:$C,"NorthCentral",'Data - Monthly Metrics'!$D:$D,"Goal - Retention %"),"On Track",IF(J93&gt;=SUMIFS('Data - Monthly Metrics'!$E:$E,'Data - Monthly Metrics'!$A:$A,$B$4,'Data - Monthly Metrics'!$B:$B,J$8,'Data - Monthly Metrics'!$C:$C,"NorthCentral",'Data - Monthly Metrics'!$D:$D,"Goal - Retention %")-0.05,"Watch","At Risk")))</f>
        <v/>
      </c>
      <c r="K94" s="120">
        <f>IF(OR(NOT(ISNUMBER(K93)),K93=0,COUNTIFS('Data - Monthly Metrics'!$A:$A,$B$4,'Data - Monthly Metrics'!$B:$B,K$8,'Data - Monthly Metrics'!$C:$C,"NorthCentral",'Data - Monthly Metrics'!$D:$D,"Goal - Retention %")=0),"—",IF(K93&gt;=SUMIFS('Data - Monthly Metrics'!$E:$E,'Data - Monthly Metrics'!$A:$A,$B$4,'Data - Monthly Metrics'!$B:$B,K$8,'Data - Monthly Metrics'!$C:$C,"NorthCentral",'Data - Monthly Metrics'!$D:$D,"Goal - Retention %"),"On Track",IF(K93&gt;=SUMIFS('Data - Monthly Metrics'!$E:$E,'Data - Monthly Metrics'!$A:$A,$B$4,'Data - Monthly Metrics'!$B:$B,K$8,'Data - Monthly Metrics'!$C:$C,"NorthCentral",'Data - Monthly Metrics'!$D:$D,"Goal - Retention %")-0.05,"Watch","At Risk")))</f>
        <v/>
      </c>
      <c r="L94" s="120">
        <f>IF(OR(NOT(ISNUMBER(L93)),L93=0,COUNTIFS('Data - Monthly Metrics'!$A:$A,$B$4,'Data - Monthly Metrics'!$B:$B,L$8,'Data - Monthly Metrics'!$C:$C,"NorthCentral",'Data - Monthly Metrics'!$D:$D,"Goal - Retention %")=0),"—",IF(L93&gt;=SUMIFS('Data - Monthly Metrics'!$E:$E,'Data - Monthly Metrics'!$A:$A,$B$4,'Data - Monthly Metrics'!$B:$B,L$8,'Data - Monthly Metrics'!$C:$C,"NorthCentral",'Data - Monthly Metrics'!$D:$D,"Goal - Retention %"),"On Track",IF(L93&gt;=SUMIFS('Data - Monthly Metrics'!$E:$E,'Data - Monthly Metrics'!$A:$A,$B$4,'Data - Monthly Metrics'!$B:$B,L$8,'Data - Monthly Metrics'!$C:$C,"NorthCentral",'Data - Monthly Metrics'!$D:$D,"Goal - Retention %")-0.05,"Watch","At Risk")))</f>
        <v/>
      </c>
      <c r="M94" s="121">
        <f>"—"</f>
        <v/>
      </c>
      <c r="N94" s="120">
        <f>IF(OR(NOT(ISNUMBER(N93)),N93=0,COUNTIFS('Data - Monthly Metrics'!$A:$A,$B$4,'Data - Monthly Metrics'!$B:$B,N$8,'Data - Monthly Metrics'!$C:$C,"NorthCentral",'Data - Monthly Metrics'!$D:$D,"Goal - Retention %")=0),"—",IF(N93&gt;=SUMIFS('Data - Monthly Metrics'!$E:$E,'Data - Monthly Metrics'!$A:$A,$B$4,'Data - Monthly Metrics'!$B:$B,N$8,'Data - Monthly Metrics'!$C:$C,"NorthCentral",'Data - Monthly Metrics'!$D:$D,"Goal - Retention %"),"On Track",IF(N93&gt;=SUMIFS('Data - Monthly Metrics'!$E:$E,'Data - Monthly Metrics'!$A:$A,$B$4,'Data - Monthly Metrics'!$B:$B,N$8,'Data - Monthly Metrics'!$C:$C,"NorthCentral",'Data - Monthly Metrics'!$D:$D,"Goal - Retention %")-0.05,"Watch","At Risk")))</f>
        <v/>
      </c>
      <c r="O94" s="120">
        <f>IF(OR(NOT(ISNUMBER(O93)),O93=0,COUNTIFS('Data - Monthly Metrics'!$A:$A,$B$4,'Data - Monthly Metrics'!$B:$B,O$8,'Data - Monthly Metrics'!$C:$C,"NorthCentral",'Data - Monthly Metrics'!$D:$D,"Goal - Retention %")=0),"—",IF(O93&gt;=SUMIFS('Data - Monthly Metrics'!$E:$E,'Data - Monthly Metrics'!$A:$A,$B$4,'Data - Monthly Metrics'!$B:$B,O$8,'Data - Monthly Metrics'!$C:$C,"NorthCentral",'Data - Monthly Metrics'!$D:$D,"Goal - Retention %"),"On Track",IF(O93&gt;=SUMIFS('Data - Monthly Metrics'!$E:$E,'Data - Monthly Metrics'!$A:$A,$B$4,'Data - Monthly Metrics'!$B:$B,O$8,'Data - Monthly Metrics'!$C:$C,"NorthCentral",'Data - Monthly Metrics'!$D:$D,"Goal - Retention %")-0.05,"Watch","At Risk")))</f>
        <v/>
      </c>
      <c r="P94" s="120">
        <f>IF(OR(NOT(ISNUMBER(P93)),P93=0,COUNTIFS('Data - Monthly Metrics'!$A:$A,$B$4,'Data - Monthly Metrics'!$B:$B,P$8,'Data - Monthly Metrics'!$C:$C,"NorthCentral",'Data - Monthly Metrics'!$D:$D,"Goal - Retention %")=0),"—",IF(P93&gt;=SUMIFS('Data - Monthly Metrics'!$E:$E,'Data - Monthly Metrics'!$A:$A,$B$4,'Data - Monthly Metrics'!$B:$B,P$8,'Data - Monthly Metrics'!$C:$C,"NorthCentral",'Data - Monthly Metrics'!$D:$D,"Goal - Retention %"),"On Track",IF(P93&gt;=SUMIFS('Data - Monthly Metrics'!$E:$E,'Data - Monthly Metrics'!$A:$A,$B$4,'Data - Monthly Metrics'!$B:$B,P$8,'Data - Monthly Metrics'!$C:$C,"NorthCentral",'Data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Metrics'!C:C,"NorthCentral",'Data - Monthly Metrics'!D:D,"Retention - Comped Non-Target (#)")=0,"-",SUMIFS('Data - Monthly Metrics'!E:E,'Data - Monthly Metrics'!A:A,$B$4-1,'Data - Monthly Metrics'!B:B,"Oct",'Data - Monthly Metrics'!C:C,"NorthCentral",'Data - Monthly Metrics'!D:D,"Retention - Comped Non-Target (#)"))</f>
        <v/>
      </c>
      <c r="C95" s="98">
        <f>IF(COUNTIFS('Data - Monthly Metrics'!A:A,$B$4-1,'Data - Monthly Metrics'!B:B,"Nov",'Data - Monthly Metrics'!C:C,"NorthCentral",'Data - Monthly Metrics'!D:D,"Retention - Comped Non-Target (#)")=0,"-",SUMIFS('Data - Monthly Metrics'!E:E,'Data - Monthly Metrics'!A:A,$B$4-1,'Data - Monthly Metrics'!B:B,"Nov",'Data - Monthly Metrics'!C:C,"NorthCentral",'Data - Monthly Metrics'!D:D,"Retention - Comped Non-Target (#)"))</f>
        <v/>
      </c>
      <c r="D95" s="98">
        <f>IF(COUNTIFS('Data - Monthly Metrics'!A:A,$B$4-1,'Data - Monthly Metrics'!B:B,"Dec",'Data - Monthly Metrics'!C:C,"NorthCentral",'Data - Monthly Metrics'!D:D,"Retention - Comped Non-Target (#)")=0,"-",SUMIFS('Data - Monthly Metrics'!E:E,'Data - Monthly Metrics'!A:A,$B$4-1,'Data - Monthly Metrics'!B:B,"Dec",'Data - Monthly Metrics'!C:C,"NorthCentral",'Data - Monthly Metrics'!D:D,"Retention - Comped Non-Target (#)"))</f>
        <v/>
      </c>
      <c r="E95" s="103">
        <f>SUM(B95,C95,D95)</f>
        <v/>
      </c>
      <c r="F95" s="98">
        <f>IF(COUNTIFS('Data - Monthly Metrics'!A:A,$B$4,'Data - Monthly Metrics'!B:B,"Jan",'Data - Monthly Metrics'!C:C,"NorthCentral",'Data - Monthly Metrics'!D:D,"Retention - Comped Non-Target (#)")=0,"-",SUMIFS('Data - Monthly Metrics'!E:E,'Data - Monthly Metrics'!A:A,$B$4,'Data - Monthly Metrics'!B:B,"Jan",'Data - Monthly Metrics'!C:C,"NorthCentral",'Data - Monthly Metrics'!D:D,"Retention - Comped Non-Target (#)"))</f>
        <v/>
      </c>
      <c r="G95" s="98">
        <f>IF(COUNTIFS('Data - Monthly Metrics'!A:A,$B$4,'Data - Monthly Metrics'!B:B,"Feb",'Data - Monthly Metrics'!C:C,"NorthCentral",'Data - Monthly Metrics'!D:D,"Retention - Comped Non-Target (#)")=0,"-",SUMIFS('Data - Monthly Metrics'!E:E,'Data - Monthly Metrics'!A:A,$B$4,'Data - Monthly Metrics'!B:B,"Feb",'Data - Monthly Metrics'!C:C,"NorthCentral",'Data - Monthly Metrics'!D:D,"Retention - Comped Non-Target (#)"))</f>
        <v/>
      </c>
      <c r="H95" s="98">
        <f>IF(COUNTIFS('Data - Monthly Metrics'!A:A,$B$4,'Data - Monthly Metrics'!B:B,"Mar",'Data - Monthly Metrics'!C:C,"NorthCentral",'Data - Monthly Metrics'!D:D,"Retention - Comped Non-Target (#)")=0,"-",SUMIFS('Data - Monthly Metrics'!E:E,'Data - Monthly Metrics'!A:A,$B$4,'Data - Monthly Metrics'!B:B,"Mar",'Data - Monthly Metrics'!C:C,"NorthCentral",'Data - Monthly Metrics'!D:D,"Retention - Comped Non-Target (#)"))</f>
        <v/>
      </c>
      <c r="I95" s="103">
        <f>SUM(F95,G95,H95)</f>
        <v/>
      </c>
      <c r="J95" s="98">
        <f>IF(COUNTIFS('Data - Monthly Metrics'!A:A,$B$4,'Data - Monthly Metrics'!B:B,"Apr",'Data - Monthly Metrics'!C:C,"NorthCentral",'Data - Monthly Metrics'!D:D,"Retention - Comped Non-Target (#)")=0,"-",SUMIFS('Data - Monthly Metrics'!E:E,'Data - Monthly Metrics'!A:A,$B$4,'Data - Monthly Metrics'!B:B,"Apr",'Data - Monthly Metrics'!C:C,"NorthCentral",'Data - Monthly Metrics'!D:D,"Retention - Comped Non-Target (#)"))</f>
        <v/>
      </c>
      <c r="K95" s="98">
        <f>IF(COUNTIFS('Data - Monthly Metrics'!A:A,$B$4,'Data - Monthly Metrics'!B:B,"May",'Data - Monthly Metrics'!C:C,"NorthCentral",'Data - Monthly Metrics'!D:D,"Retention - Comped Non-Target (#)")=0,"-",SUMIFS('Data - Monthly Metrics'!E:E,'Data - Monthly Metrics'!A:A,$B$4,'Data - Monthly Metrics'!B:B,"May",'Data - Monthly Metrics'!C:C,"NorthCentral",'Data - Monthly Metrics'!D:D,"Retention - Comped Non-Target (#)"))</f>
        <v/>
      </c>
      <c r="L95" s="98">
        <f>IF(COUNTIFS('Data - Monthly Metrics'!A:A,$B$4,'Data - Monthly Metrics'!B:B,"Jun",'Data - Monthly Metrics'!C:C,"NorthCentral",'Data - Monthly Metrics'!D:D,"Retention - Comped Non-Target (#)")=0,"-",SUMIFS('Data - Monthly Metrics'!E:E,'Data - Monthly Metrics'!A:A,$B$4,'Data - Monthly Metrics'!B:B,"Jun",'Data - Monthly Metrics'!C:C,"NorthCentral",'Data - Monthly Metrics'!D:D,"Retention - Comped Non-Target (#)"))</f>
        <v/>
      </c>
      <c r="M95" s="103">
        <f>SUM(J95,K95,L95)</f>
        <v/>
      </c>
      <c r="N95" s="98">
        <f>IF(COUNTIFS('Data - Monthly Metrics'!A:A,$B$4,'Data - Monthly Metrics'!B:B,"Jul",'Data - Monthly Metrics'!C:C,"NorthCentral",'Data - Monthly Metrics'!D:D,"Retention - Comped Non-Target (#)")=0,"-",SUMIFS('Data - Monthly Metrics'!E:E,'Data - Monthly Metrics'!A:A,$B$4,'Data - Monthly Metrics'!B:B,"Jul",'Data - Monthly Metrics'!C:C,"NorthCentral",'Data - Monthly Metrics'!D:D,"Retention - Comped Non-Target (#)"))</f>
        <v/>
      </c>
      <c r="O95" s="98">
        <f>IF(COUNTIFS('Data - Monthly Metrics'!A:A,$B$4,'Data - Monthly Metrics'!B:B,"Aug",'Data - Monthly Metrics'!C:C,"NorthCentral",'Data - Monthly Metrics'!D:D,"Retention - Comped Non-Target (#)")=0,"-",SUMIFS('Data - Monthly Metrics'!E:E,'Data - Monthly Metrics'!A:A,$B$4,'Data - Monthly Metrics'!B:B,"Aug",'Data - Monthly Metrics'!C:C,"NorthCentral",'Data - Monthly Metrics'!D:D,"Retention - Comped Non-Target (#)"))</f>
        <v/>
      </c>
      <c r="P95" s="98">
        <f>IF(COUNTIFS('Data - Monthly Metrics'!A:A,$B$4,'Data - Monthly Metrics'!B:B,"Sep",'Data - Monthly Metrics'!C:C,"NorthCentral",'Data - Monthly Metrics'!D:D,"Retention - Comped Non-Target (#)")=0,"-",SUMIFS('Data - Monthly Metrics'!E:E,'Data - Monthly Metrics'!A:A,$B$4,'Data - Monthly Metrics'!B:B,"Sep",'Data - Monthly Metrics'!C:C,"NorthCentral",'Data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Metrics'!C:C,"NorthCentral",'Data - Monthly Metrics'!D:D,"Retention - Comped Non-Target ($)")=0,"-",SUMIFS('Data - Monthly Metrics'!E:E,'Data - Monthly Metrics'!A:A,$B$4-1,'Data - Monthly Metrics'!B:B,"Oct",'Data - Monthly Metrics'!C:C,"NorthCentral",'Data - Monthly Metrics'!D:D,"Retention - Comped Non-Target ($)"))</f>
        <v/>
      </c>
      <c r="C96" s="96">
        <f>IF(COUNTIFS('Data - Monthly Metrics'!A:A,$B$4-1,'Data - Monthly Metrics'!B:B,"Nov",'Data - Monthly Metrics'!C:C,"NorthCentral",'Data - Monthly Metrics'!D:D,"Retention - Comped Non-Target ($)")=0,"-",SUMIFS('Data - Monthly Metrics'!E:E,'Data - Monthly Metrics'!A:A,$B$4-1,'Data - Monthly Metrics'!B:B,"Nov",'Data - Monthly Metrics'!C:C,"NorthCentral",'Data - Monthly Metrics'!D:D,"Retention - Comped Non-Target ($)"))</f>
        <v/>
      </c>
      <c r="D96" s="96">
        <f>IF(COUNTIFS('Data - Monthly Metrics'!A:A,$B$4-1,'Data - Monthly Metrics'!B:B,"Dec",'Data - Monthly Metrics'!C:C,"NorthCentral",'Data - Monthly Metrics'!D:D,"Retention - Comped Non-Target ($)")=0,"-",SUMIFS('Data - Monthly Metrics'!E:E,'Data - Monthly Metrics'!A:A,$B$4-1,'Data - Monthly Metrics'!B:B,"Dec",'Data - Monthly Metrics'!C:C,"NorthCentral",'Data - Monthly Metrics'!D:D,"Retention - Comped Non-Target ($)"))</f>
        <v/>
      </c>
      <c r="E96" s="101">
        <f>SUM(B96,C96,D96)</f>
        <v/>
      </c>
      <c r="F96" s="96">
        <f>IF(COUNTIFS('Data - Monthly Metrics'!A:A,$B$4,'Data - Monthly Metrics'!B:B,"Jan",'Data - Monthly Metrics'!C:C,"NorthCentral",'Data - Monthly Metrics'!D:D,"Retention - Comped Non-Target ($)")=0,"-",SUMIFS('Data - Monthly Metrics'!E:E,'Data - Monthly Metrics'!A:A,$B$4,'Data - Monthly Metrics'!B:B,"Jan",'Data - Monthly Metrics'!C:C,"NorthCentral",'Data - Monthly Metrics'!D:D,"Retention - Comped Non-Target ($)"))</f>
        <v/>
      </c>
      <c r="G96" s="96">
        <f>IF(COUNTIFS('Data - Monthly Metrics'!A:A,$B$4,'Data - Monthly Metrics'!B:B,"Feb",'Data - Monthly Metrics'!C:C,"NorthCentral",'Data - Monthly Metrics'!D:D,"Retention - Comped Non-Target ($)")=0,"-",SUMIFS('Data - Monthly Metrics'!E:E,'Data - Monthly Metrics'!A:A,$B$4,'Data - Monthly Metrics'!B:B,"Feb",'Data - Monthly Metrics'!C:C,"NorthCentral",'Data - Monthly Metrics'!D:D,"Retention - Comped Non-Target ($)"))</f>
        <v/>
      </c>
      <c r="H96" s="96">
        <f>IF(COUNTIFS('Data - Monthly Metrics'!A:A,$B$4,'Data - Monthly Metrics'!B:B,"Mar",'Data - Monthly Metrics'!C:C,"NorthCentral",'Data - Monthly Metrics'!D:D,"Retention - Comped Non-Target ($)")=0,"-",SUMIFS('Data - Monthly Metrics'!E:E,'Data - Monthly Metrics'!A:A,$B$4,'Data - Monthly Metrics'!B:B,"Mar",'Data - Monthly Metrics'!C:C,"NorthCentral",'Data - Monthly Metrics'!D:D,"Retention - Comped Non-Target ($)"))</f>
        <v/>
      </c>
      <c r="I96" s="101">
        <f>SUM(F96,G96,H96)</f>
        <v/>
      </c>
      <c r="J96" s="96">
        <f>IF(COUNTIFS('Data - Monthly Metrics'!A:A,$B$4,'Data - Monthly Metrics'!B:B,"Apr",'Data - Monthly Metrics'!C:C,"NorthCentral",'Data - Monthly Metrics'!D:D,"Retention - Comped Non-Target ($)")=0,"-",SUMIFS('Data - Monthly Metrics'!E:E,'Data - Monthly Metrics'!A:A,$B$4,'Data - Monthly Metrics'!B:B,"Apr",'Data - Monthly Metrics'!C:C,"NorthCentral",'Data - Monthly Metrics'!D:D,"Retention - Comped Non-Target ($)"))</f>
        <v/>
      </c>
      <c r="K96" s="96">
        <f>IF(COUNTIFS('Data - Monthly Metrics'!A:A,$B$4,'Data - Monthly Metrics'!B:B,"May",'Data - Monthly Metrics'!C:C,"NorthCentral",'Data - Monthly Metrics'!D:D,"Retention - Comped Non-Target ($)")=0,"-",SUMIFS('Data - Monthly Metrics'!E:E,'Data - Monthly Metrics'!A:A,$B$4,'Data - Monthly Metrics'!B:B,"May",'Data - Monthly Metrics'!C:C,"NorthCentral",'Data - Monthly Metrics'!D:D,"Retention - Comped Non-Target ($)"))</f>
        <v/>
      </c>
      <c r="L96" s="96">
        <f>IF(COUNTIFS('Data - Monthly Metrics'!A:A,$B$4,'Data - Monthly Metrics'!B:B,"Jun",'Data - Monthly Metrics'!C:C,"NorthCentral",'Data - Monthly Metrics'!D:D,"Retention - Comped Non-Target ($)")=0,"-",SUMIFS('Data - Monthly Metrics'!E:E,'Data - Monthly Metrics'!A:A,$B$4,'Data - Monthly Metrics'!B:B,"Jun",'Data - Monthly Metrics'!C:C,"NorthCentral",'Data - Monthly Metrics'!D:D,"Retention - Comped Non-Target ($)"))</f>
        <v/>
      </c>
      <c r="M96" s="101">
        <f>SUM(J96,K96,L96)</f>
        <v/>
      </c>
      <c r="N96" s="96">
        <f>IF(COUNTIFS('Data - Monthly Metrics'!A:A,$B$4,'Data - Monthly Metrics'!B:B,"Jul",'Data - Monthly Metrics'!C:C,"NorthCentral",'Data - Monthly Metrics'!D:D,"Retention - Comped Non-Target ($)")=0,"-",SUMIFS('Data - Monthly Metrics'!E:E,'Data - Monthly Metrics'!A:A,$B$4,'Data - Monthly Metrics'!B:B,"Jul",'Data - Monthly Metrics'!C:C,"NorthCentral",'Data - Monthly Metrics'!D:D,"Retention - Comped Non-Target ($)"))</f>
        <v/>
      </c>
      <c r="O96" s="96">
        <f>IF(COUNTIFS('Data - Monthly Metrics'!A:A,$B$4,'Data - Monthly Metrics'!B:B,"Aug",'Data - Monthly Metrics'!C:C,"NorthCentral",'Data - Monthly Metrics'!D:D,"Retention - Comped Non-Target ($)")=0,"-",SUMIFS('Data - Monthly Metrics'!E:E,'Data - Monthly Metrics'!A:A,$B$4,'Data - Monthly Metrics'!B:B,"Aug",'Data - Monthly Metrics'!C:C,"NorthCentral",'Data - Monthly Metrics'!D:D,"Retention - Comped Non-Target ($)"))</f>
        <v/>
      </c>
      <c r="P96" s="96">
        <f>IF(COUNTIFS('Data - Monthly Metrics'!A:A,$B$4,'Data - Monthly Metrics'!B:B,"Sep",'Data - Monthly Metrics'!C:C,"NorthCentral",'Data - Monthly Metrics'!D:D,"Retention - Comped Non-Target ($)")=0,"-",SUMIFS('Data - Monthly Metrics'!E:E,'Data - Monthly Metrics'!A:A,$B$4,'Data - Monthly Metrics'!B:B,"Sep",'Data - Monthly Metrics'!C:C,"NorthCentral",'Data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Metrics'!C:C,"NorthCentral",'Data - Monthly Metrics'!D:D,"Drops - Non-Target (#)")=0,"-",SUMIFS('Data - Monthly Metrics'!E:E,'Data - Monthly Metrics'!A:A,$B$4-1,'Data - Monthly Metrics'!B:B,"Oct",'Data - Monthly Metrics'!C:C,"NorthCentral",'Data - Monthly Metrics'!D:D,"Drops - Non-Target (#)"))</f>
        <v/>
      </c>
      <c r="C100" s="93">
        <f>IF(COUNTIFS('Data - Monthly Metrics'!A:A,$B$4-1,'Data - Monthly Metrics'!B:B,"Nov",'Data - Monthly Metrics'!C:C,"NorthCentral",'Data - Monthly Metrics'!D:D,"Drops - Non-Target (#)")=0,"-",SUMIFS('Data - Monthly Metrics'!E:E,'Data - Monthly Metrics'!A:A,$B$4-1,'Data - Monthly Metrics'!B:B,"Nov",'Data - Monthly Metrics'!C:C,"NorthCentral",'Data - Monthly Metrics'!D:D,"Drops - Non-Target (#)"))</f>
        <v/>
      </c>
      <c r="D100" s="93">
        <f>IF(COUNTIFS('Data - Monthly Metrics'!A:A,$B$4-1,'Data - Monthly Metrics'!B:B,"Dec",'Data - Monthly Metrics'!C:C,"NorthCentral",'Data - Monthly Metrics'!D:D,"Drops - Non-Target (#)")=0,"-",SUMIFS('Data - Monthly Metrics'!E:E,'Data - Monthly Metrics'!A:A,$B$4-1,'Data - Monthly Metrics'!B:B,"Dec",'Data - Monthly Metrics'!C:C,"NorthCentral",'Data - Monthly Metrics'!D:D,"Drops - Non-Target (#)"))</f>
        <v/>
      </c>
      <c r="E100" s="103">
        <f>SUM(B100,C100,D100)</f>
        <v/>
      </c>
      <c r="F100" s="93">
        <f>IF(COUNTIFS('Data - Monthly Metrics'!A:A,$B$4,'Data - Monthly Metrics'!B:B,"Jan",'Data - Monthly Metrics'!C:C,"NorthCentral",'Data - Monthly Metrics'!D:D,"Drops - Non-Target (#)")=0,"-",SUMIFS('Data - Monthly Metrics'!E:E,'Data - Monthly Metrics'!A:A,$B$4,'Data - Monthly Metrics'!B:B,"Jan",'Data - Monthly Metrics'!C:C,"NorthCentral",'Data - Monthly Metrics'!D:D,"Drops - Non-Target (#)"))</f>
        <v/>
      </c>
      <c r="G100" s="93">
        <f>IF(COUNTIFS('Data - Monthly Metrics'!A:A,$B$4,'Data - Monthly Metrics'!B:B,"Feb",'Data - Monthly Metrics'!C:C,"NorthCentral",'Data - Monthly Metrics'!D:D,"Drops - Non-Target (#)")=0,"-",SUMIFS('Data - Monthly Metrics'!E:E,'Data - Monthly Metrics'!A:A,$B$4,'Data - Monthly Metrics'!B:B,"Feb",'Data - Monthly Metrics'!C:C,"NorthCentral",'Data - Monthly Metrics'!D:D,"Drops - Non-Target (#)"))</f>
        <v/>
      </c>
      <c r="H100" s="93">
        <f>IF(COUNTIFS('Data - Monthly Metrics'!A:A,$B$4,'Data - Monthly Metrics'!B:B,"Mar",'Data - Monthly Metrics'!C:C,"NorthCentral",'Data - Monthly Metrics'!D:D,"Drops - Non-Target (#)")=0,"-",SUMIFS('Data - Monthly Metrics'!E:E,'Data - Monthly Metrics'!A:A,$B$4,'Data - Monthly Metrics'!B:B,"Mar",'Data - Monthly Metrics'!C:C,"NorthCentral",'Data - Monthly Metrics'!D:D,"Drops - Non-Target (#)"))</f>
        <v/>
      </c>
      <c r="I100" s="103">
        <f>SUM(F100,G100,H100)</f>
        <v/>
      </c>
      <c r="J100" s="93">
        <f>IF(COUNTIFS('Data - Monthly Metrics'!A:A,$B$4,'Data - Monthly Metrics'!B:B,"Apr",'Data - Monthly Metrics'!C:C,"NorthCentral",'Data - Monthly Metrics'!D:D,"Drops - Non-Target (#)")=0,"-",SUMIFS('Data - Monthly Metrics'!E:E,'Data - Monthly Metrics'!A:A,$B$4,'Data - Monthly Metrics'!B:B,"Apr",'Data - Monthly Metrics'!C:C,"NorthCentral",'Data - Monthly Metrics'!D:D,"Drops - Non-Target (#)"))</f>
        <v/>
      </c>
      <c r="K100" s="93">
        <f>IF(COUNTIFS('Data - Monthly Metrics'!A:A,$B$4,'Data - Monthly Metrics'!B:B,"May",'Data - Monthly Metrics'!C:C,"NorthCentral",'Data - Monthly Metrics'!D:D,"Drops - Non-Target (#)")=0,"-",SUMIFS('Data - Monthly Metrics'!E:E,'Data - Monthly Metrics'!A:A,$B$4,'Data - Monthly Metrics'!B:B,"May",'Data - Monthly Metrics'!C:C,"NorthCentral",'Data - Monthly Metrics'!D:D,"Drops - Non-Target (#)"))</f>
        <v/>
      </c>
      <c r="L100" s="93">
        <f>IF(COUNTIFS('Data - Monthly Metrics'!A:A,$B$4,'Data - Monthly Metrics'!B:B,"Jun",'Data - Monthly Metrics'!C:C,"NorthCentral",'Data - Monthly Metrics'!D:D,"Drops - Non-Target (#)")=0,"-",SUMIFS('Data - Monthly Metrics'!E:E,'Data - Monthly Metrics'!A:A,$B$4,'Data - Monthly Metrics'!B:B,"Jun",'Data - Monthly Metrics'!C:C,"NorthCentral",'Data - Monthly Metrics'!D:D,"Drops - Non-Target (#)"))</f>
        <v/>
      </c>
      <c r="M100" s="103">
        <f>SUM(J100,K100,L100)</f>
        <v/>
      </c>
      <c r="N100" s="93">
        <f>IF(COUNTIFS('Data - Monthly Metrics'!A:A,$B$4,'Data - Monthly Metrics'!B:B,"Jul",'Data - Monthly Metrics'!C:C,"NorthCentral",'Data - Monthly Metrics'!D:D,"Drops - Non-Target (#)")=0,"-",SUMIFS('Data - Monthly Metrics'!E:E,'Data - Monthly Metrics'!A:A,$B$4,'Data - Monthly Metrics'!B:B,"Jul",'Data - Monthly Metrics'!C:C,"NorthCentral",'Data - Monthly Metrics'!D:D,"Drops - Non-Target (#)"))</f>
        <v/>
      </c>
      <c r="O100" s="93">
        <f>IF(COUNTIFS('Data - Monthly Metrics'!A:A,$B$4,'Data - Monthly Metrics'!B:B,"Aug",'Data - Monthly Metrics'!C:C,"NorthCentral",'Data - Monthly Metrics'!D:D,"Drops - Non-Target (#)")=0,"-",SUMIFS('Data - Monthly Metrics'!E:E,'Data - Monthly Metrics'!A:A,$B$4,'Data - Monthly Metrics'!B:B,"Aug",'Data - Monthly Metrics'!C:C,"NorthCentral",'Data - Monthly Metrics'!D:D,"Drops - Non-Target (#)"))</f>
        <v/>
      </c>
      <c r="P100" s="93">
        <f>IF(COUNTIFS('Data - Monthly Metrics'!A:A,$B$4,'Data - Monthly Metrics'!B:B,"Sep",'Data - Monthly Metrics'!C:C,"NorthCentral",'Data - Monthly Metrics'!D:D,"Drops - Non-Target (#)")=0,"-",SUMIFS('Data - Monthly Metrics'!E:E,'Data - Monthly Metrics'!A:A,$B$4,'Data - Monthly Metrics'!B:B,"Sep",'Data - Monthly Metrics'!C:C,"NorthCentral",'Data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Metrics'!C:C,"NorthCentral",'Data - Monthly Metrics'!D:D,"Dropped Revenue - Non-Target ($)")=0,"-",SUMIFS('Data - Monthly Metrics'!E:E,'Data - Monthly Metrics'!A:A,$B$4-1,'Data - Monthly Metrics'!B:B,"Oct",'Data - Monthly Metrics'!C:C,"NorthCentral",'Data - Monthly Metrics'!D:D,"Dropped Revenue - Non-Target ($)"))</f>
        <v/>
      </c>
      <c r="C101" s="96">
        <f>IF(COUNTIFS('Data - Monthly Metrics'!A:A,$B$4-1,'Data - Monthly Metrics'!B:B,"Nov",'Data - Monthly Metrics'!C:C,"NorthCentral",'Data - Monthly Metrics'!D:D,"Dropped Revenue - Non-Target ($)")=0,"-",SUMIFS('Data - Monthly Metrics'!E:E,'Data - Monthly Metrics'!A:A,$B$4-1,'Data - Monthly Metrics'!B:B,"Nov",'Data - Monthly Metrics'!C:C,"NorthCentral",'Data - Monthly Metrics'!D:D,"Dropped Revenue - Non-Target ($)"))</f>
        <v/>
      </c>
      <c r="D101" s="96">
        <f>IF(COUNTIFS('Data - Monthly Metrics'!A:A,$B$4-1,'Data - Monthly Metrics'!B:B,"Dec",'Data - Monthly Metrics'!C:C,"NorthCentral",'Data - Monthly Metrics'!D:D,"Dropped Revenue - Non-Target ($)")=0,"-",SUMIFS('Data - Monthly Metrics'!E:E,'Data - Monthly Metrics'!A:A,$B$4-1,'Data - Monthly Metrics'!B:B,"Dec",'Data - Monthly Metrics'!C:C,"NorthCentral",'Data - Monthly Metrics'!D:D,"Dropped Revenue - Non-Target ($)"))</f>
        <v/>
      </c>
      <c r="E101" s="101">
        <f>SUM(B101,C101,D101)</f>
        <v/>
      </c>
      <c r="F101" s="96">
        <f>IF(COUNTIFS('Data - Monthly Metrics'!A:A,$B$4,'Data - Monthly Metrics'!B:B,"Jan",'Data - Monthly Metrics'!C:C,"NorthCentral",'Data - Monthly Metrics'!D:D,"Dropped Revenue - Non-Target ($)")=0,"-",SUMIFS('Data - Monthly Metrics'!E:E,'Data - Monthly Metrics'!A:A,$B$4,'Data - Monthly Metrics'!B:B,"Jan",'Data - Monthly Metrics'!C:C,"NorthCentral",'Data - Monthly Metrics'!D:D,"Dropped Revenue - Non-Target ($)"))</f>
        <v/>
      </c>
      <c r="G101" s="96">
        <f>IF(COUNTIFS('Data - Monthly Metrics'!A:A,$B$4,'Data - Monthly Metrics'!B:B,"Feb",'Data - Monthly Metrics'!C:C,"NorthCentral",'Data - Monthly Metrics'!D:D,"Dropped Revenue - Non-Target ($)")=0,"-",SUMIFS('Data - Monthly Metrics'!E:E,'Data - Monthly Metrics'!A:A,$B$4,'Data - Monthly Metrics'!B:B,"Feb",'Data - Monthly Metrics'!C:C,"NorthCentral",'Data - Monthly Metrics'!D:D,"Dropped Revenue - Non-Target ($)"))</f>
        <v/>
      </c>
      <c r="H101" s="96">
        <f>IF(COUNTIFS('Data - Monthly Metrics'!A:A,$B$4,'Data - Monthly Metrics'!B:B,"Mar",'Data - Monthly Metrics'!C:C,"NorthCentral",'Data - Monthly Metrics'!D:D,"Dropped Revenue - Non-Target ($)")=0,"-",SUMIFS('Data - Monthly Metrics'!E:E,'Data - Monthly Metrics'!A:A,$B$4,'Data - Monthly Metrics'!B:B,"Mar",'Data - Monthly Metrics'!C:C,"NorthCentral",'Data - Monthly Metrics'!D:D,"Dropped Revenue - Non-Target ($)"))</f>
        <v/>
      </c>
      <c r="I101" s="101">
        <f>SUM(F101,G101,H101)</f>
        <v/>
      </c>
      <c r="J101" s="96">
        <f>IF(COUNTIFS('Data - Monthly Metrics'!A:A,$B$4,'Data - Monthly Metrics'!B:B,"Apr",'Data - Monthly Metrics'!C:C,"NorthCentral",'Data - Monthly Metrics'!D:D,"Dropped Revenue - Non-Target ($)")=0,"-",SUMIFS('Data - Monthly Metrics'!E:E,'Data - Monthly Metrics'!A:A,$B$4,'Data - Monthly Metrics'!B:B,"Apr",'Data - Monthly Metrics'!C:C,"NorthCentral",'Data - Monthly Metrics'!D:D,"Dropped Revenue - Non-Target ($)"))</f>
        <v/>
      </c>
      <c r="K101" s="96">
        <f>IF(COUNTIFS('Data - Monthly Metrics'!A:A,$B$4,'Data - Monthly Metrics'!B:B,"May",'Data - Monthly Metrics'!C:C,"NorthCentral",'Data - Monthly Metrics'!D:D,"Dropped Revenue - Non-Target ($)")=0,"-",SUMIFS('Data - Monthly Metrics'!E:E,'Data - Monthly Metrics'!A:A,$B$4,'Data - Monthly Metrics'!B:B,"May",'Data - Monthly Metrics'!C:C,"NorthCentral",'Data - Monthly Metrics'!D:D,"Dropped Revenue - Non-Target ($)"))</f>
        <v/>
      </c>
      <c r="L101" s="96">
        <f>IF(COUNTIFS('Data - Monthly Metrics'!A:A,$B$4,'Data - Monthly Metrics'!B:B,"Jun",'Data - Monthly Metrics'!C:C,"NorthCentral",'Data - Monthly Metrics'!D:D,"Dropped Revenue - Non-Target ($)")=0,"-",SUMIFS('Data - Monthly Metrics'!E:E,'Data - Monthly Metrics'!A:A,$B$4,'Data - Monthly Metrics'!B:B,"Jun",'Data - Monthly Metrics'!C:C,"NorthCentral",'Data - Monthly Metrics'!D:D,"Dropped Revenue - Non-Target ($)"))</f>
        <v/>
      </c>
      <c r="M101" s="101">
        <f>SUM(J101,K101,L101)</f>
        <v/>
      </c>
      <c r="N101" s="96">
        <f>IF(COUNTIFS('Data - Monthly Metrics'!A:A,$B$4,'Data - Monthly Metrics'!B:B,"Jul",'Data - Monthly Metrics'!C:C,"NorthCentral",'Data - Monthly Metrics'!D:D,"Dropped Revenue - Non-Target ($)")=0,"-",SUMIFS('Data - Monthly Metrics'!E:E,'Data - Monthly Metrics'!A:A,$B$4,'Data - Monthly Metrics'!B:B,"Jul",'Data - Monthly Metrics'!C:C,"NorthCentral",'Data - Monthly Metrics'!D:D,"Dropped Revenue - Non-Target ($)"))</f>
        <v/>
      </c>
      <c r="O101" s="96">
        <f>IF(COUNTIFS('Data - Monthly Metrics'!A:A,$B$4,'Data - Monthly Metrics'!B:B,"Aug",'Data - Monthly Metrics'!C:C,"NorthCentral",'Data - Monthly Metrics'!D:D,"Dropped Revenue - Non-Target ($)")=0,"-",SUMIFS('Data - Monthly Metrics'!E:E,'Data - Monthly Metrics'!A:A,$B$4,'Data - Monthly Metrics'!B:B,"Aug",'Data - Monthly Metrics'!C:C,"NorthCentral",'Data - Monthly Metrics'!D:D,"Dropped Revenue - Non-Target ($)"))</f>
        <v/>
      </c>
      <c r="P101" s="96">
        <f>IF(COUNTIFS('Data - Monthly Metrics'!A:A,$B$4,'Data - Monthly Metrics'!B:B,"Sep",'Data - Monthly Metrics'!C:C,"NorthCentral",'Data - Monthly Metrics'!D:D,"Dropped Revenue - Non-Target ($)")=0,"-",SUMIFS('Data - Monthly Metrics'!E:E,'Data - Monthly Metrics'!A:A,$B$4,'Data - Monthly Metrics'!B:B,"Sep",'Data - Monthly Metrics'!C:C,"NorthCentral",'Data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Metrics'!C:C,"NorthCentral",'Data - Monthly Metrics'!D:D,"Penetration - Restaurant Non-Target %")=0,"-",SUMIFS('Data - Monthly Metrics'!E:E,'Data - Monthly Metrics'!A:A,$B$4-1,'Data - Monthly Metrics'!B:B,"Oct",'Data - Monthly Metrics'!C:C,"NorthCentral",'Data - Monthly Metrics'!D:D,"Penetration - Restaurant Non-Target %"))</f>
        <v/>
      </c>
      <c r="C105" s="115">
        <f>IF(COUNTIFS('Data - Monthly Metrics'!A:A,$B$4-1,'Data - Monthly Metrics'!B:B,"Nov",'Data - Monthly Metrics'!C:C,"NorthCentral",'Data - Monthly Metrics'!D:D,"Penetration - Restaurant Non-Target %")=0,"-",SUMIFS('Data - Monthly Metrics'!E:E,'Data - Monthly Metrics'!A:A,$B$4-1,'Data - Monthly Metrics'!B:B,"Nov",'Data - Monthly Metrics'!C:C,"NorthCentral",'Data - Monthly Metrics'!D:D,"Penetration - Restaurant Non-Target %"))</f>
        <v/>
      </c>
      <c r="D105" s="115">
        <f>IF(COUNTIFS('Data - Monthly Metrics'!A:A,$B$4-1,'Data - Monthly Metrics'!B:B,"Dec",'Data - Monthly Metrics'!C:C,"NorthCentral",'Data - Monthly Metrics'!D:D,"Penetration - Restaurant Non-Target %")=0,"-",SUMIFS('Data - Monthly Metrics'!E:E,'Data - Monthly Metrics'!A:A,$B$4-1,'Data - Monthly Metrics'!B:B,"Dec",'Data - Monthly Metrics'!C:C,"NorthCentral",'Data - Monthly Metrics'!D:D,"Penetration - Restaurant Non-Target %"))</f>
        <v/>
      </c>
      <c r="E105" s="116">
        <f>IF(ISNUMBER(D105),D105,IF(ISNUMBER(C105),C105,IF(ISNUMBER(B105),B105,"-")))</f>
        <v/>
      </c>
      <c r="F105" s="115">
        <f>IF(COUNTIFS('Data - Monthly Metrics'!A:A,$B$4,'Data - Monthly Metrics'!B:B,"Jan",'Data - Monthly Metrics'!C:C,"NorthCentral",'Data - Monthly Metrics'!D:D,"Penetration - Restaurant Non-Target %")=0,"-",SUMIFS('Data - Monthly Metrics'!E:E,'Data - Monthly Metrics'!A:A,$B$4,'Data - Monthly Metrics'!B:B,"Jan",'Data - Monthly Metrics'!C:C,"NorthCentral",'Data - Monthly Metrics'!D:D,"Penetration - Restaurant Non-Target %"))</f>
        <v/>
      </c>
      <c r="G105" s="115">
        <f>IF(COUNTIFS('Data - Monthly Metrics'!A:A,$B$4,'Data - Monthly Metrics'!B:B,"Feb",'Data - Monthly Metrics'!C:C,"NorthCentral",'Data - Monthly Metrics'!D:D,"Penetration - Restaurant Non-Target %")=0,"-",SUMIFS('Data - Monthly Metrics'!E:E,'Data - Monthly Metrics'!A:A,$B$4,'Data - Monthly Metrics'!B:B,"Feb",'Data - Monthly Metrics'!C:C,"NorthCentral",'Data - Monthly Metrics'!D:D,"Penetration - Restaurant Non-Target %"))</f>
        <v/>
      </c>
      <c r="H105" s="115">
        <f>IF(COUNTIFS('Data - Monthly Metrics'!A:A,$B$4,'Data - Monthly Metrics'!B:B,"Mar",'Data - Monthly Metrics'!C:C,"NorthCentral",'Data - Monthly Metrics'!D:D,"Penetration - Restaurant Non-Target %")=0,"-",SUMIFS('Data - Monthly Metrics'!E:E,'Data - Monthly Metrics'!A:A,$B$4,'Data - Monthly Metrics'!B:B,"Mar",'Data - Monthly Metrics'!C:C,"NorthCentral",'Data - Monthly Metrics'!D:D,"Penetration - Restaurant Non-Target %"))</f>
        <v/>
      </c>
      <c r="I105" s="116">
        <f>IF(ISNUMBER(H105),H105,IF(ISNUMBER(G105),G105,IF(ISNUMBER(F105),F105,"-")))</f>
        <v/>
      </c>
      <c r="J105" s="115">
        <f>IF(COUNTIFS('Data - Monthly Metrics'!A:A,$B$4,'Data - Monthly Metrics'!B:B,"Apr",'Data - Monthly Metrics'!C:C,"NorthCentral",'Data - Monthly Metrics'!D:D,"Penetration - Restaurant Non-Target %")=0,"-",SUMIFS('Data - Monthly Metrics'!E:E,'Data - Monthly Metrics'!A:A,$B$4,'Data - Monthly Metrics'!B:B,"Apr",'Data - Monthly Metrics'!C:C,"NorthCentral",'Data - Monthly Metrics'!D:D,"Penetration - Restaurant Non-Target %"))</f>
        <v/>
      </c>
      <c r="K105" s="115">
        <f>IF(COUNTIFS('Data - Monthly Metrics'!A:A,$B$4,'Data - Monthly Metrics'!B:B,"May",'Data - Monthly Metrics'!C:C,"NorthCentral",'Data - Monthly Metrics'!D:D,"Penetration - Restaurant Non-Target %")=0,"-",SUMIFS('Data - Monthly Metrics'!E:E,'Data - Monthly Metrics'!A:A,$B$4,'Data - Monthly Metrics'!B:B,"May",'Data - Monthly Metrics'!C:C,"NorthCentral",'Data - Monthly Metrics'!D:D,"Penetration - Restaurant Non-Target %"))</f>
        <v/>
      </c>
      <c r="L105" s="115">
        <f>IF(COUNTIFS('Data - Monthly Metrics'!A:A,$B$4,'Data - Monthly Metrics'!B:B,"Jun",'Data - Monthly Metrics'!C:C,"NorthCentral",'Data - Monthly Metrics'!D:D,"Penetration - Restaurant Non-Target %")=0,"-",SUMIFS('Data - Monthly Metrics'!E:E,'Data - Monthly Metrics'!A:A,$B$4,'Data - Monthly Metrics'!B:B,"Jun",'Data - Monthly Metrics'!C:C,"NorthCentral",'Data - Monthly Metrics'!D:D,"Penetration - Restaurant Non-Target %"))</f>
        <v/>
      </c>
      <c r="M105" s="116">
        <f>IF(ISNUMBER(L105),L105,IF(ISNUMBER(K105),K105,IF(ISNUMBER(J105),J105,"-")))</f>
        <v/>
      </c>
      <c r="N105" s="115">
        <f>IF(COUNTIFS('Data - Monthly Metrics'!A:A,$B$4,'Data - Monthly Metrics'!B:B,"Jul",'Data - Monthly Metrics'!C:C,"NorthCentral",'Data - Monthly Metrics'!D:D,"Penetration - Restaurant Non-Target %")=0,"-",SUMIFS('Data - Monthly Metrics'!E:E,'Data - Monthly Metrics'!A:A,$B$4,'Data - Monthly Metrics'!B:B,"Jul",'Data - Monthly Metrics'!C:C,"NorthCentral",'Data - Monthly Metrics'!D:D,"Penetration - Restaurant Non-Target %"))</f>
        <v/>
      </c>
      <c r="O105" s="115">
        <f>IF(COUNTIFS('Data - Monthly Metrics'!A:A,$B$4,'Data - Monthly Metrics'!B:B,"Aug",'Data - Monthly Metrics'!C:C,"NorthCentral",'Data - Monthly Metrics'!D:D,"Penetration - Restaurant Non-Target %")=0,"-",SUMIFS('Data - Monthly Metrics'!E:E,'Data - Monthly Metrics'!A:A,$B$4,'Data - Monthly Metrics'!B:B,"Aug",'Data - Monthly Metrics'!C:C,"NorthCentral",'Data - Monthly Metrics'!D:D,"Penetration - Restaurant Non-Target %"))</f>
        <v/>
      </c>
      <c r="P105" s="115">
        <f>IF(COUNTIFS('Data - Monthly Metrics'!A:A,$B$4,'Data - Monthly Metrics'!B:B,"Sep",'Data - Monthly Metrics'!C:C,"NorthCentral",'Data - Monthly Metrics'!D:D,"Penetration - Restaurant Non-Target %")=0,"-",SUMIFS('Data - Monthly Metrics'!E:E,'Data - Monthly Metrics'!A:A,$B$4,'Data - Monthly Metrics'!B:B,"Sep",'Data - Monthly Metrics'!C:C,"NorthCentral",'Data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Metrics'!C:C,"NorthCentral",'Data - Monthly Metrics'!D:D,"Penetration - Lodging Non-Target %")=0,"-",SUMIFS('Data - Monthly Metrics'!E:E,'Data - Monthly Metrics'!A:A,$B$4-1,'Data - Monthly Metrics'!B:B,"Oct",'Data - Monthly Metrics'!C:C,"NorthCentral",'Data - Monthly Metrics'!D:D,"Penetration - Lodging Non-Target %"))</f>
        <v/>
      </c>
      <c r="C106" s="118">
        <f>IF(COUNTIFS('Data - Monthly Metrics'!A:A,$B$4-1,'Data - Monthly Metrics'!B:B,"Nov",'Data - Monthly Metrics'!C:C,"NorthCentral",'Data - Monthly Metrics'!D:D,"Penetration - Lodging Non-Target %")=0,"-",SUMIFS('Data - Monthly Metrics'!E:E,'Data - Monthly Metrics'!A:A,$B$4-1,'Data - Monthly Metrics'!B:B,"Nov",'Data - Monthly Metrics'!C:C,"NorthCentral",'Data - Monthly Metrics'!D:D,"Penetration - Lodging Non-Target %"))</f>
        <v/>
      </c>
      <c r="D106" s="118">
        <f>IF(COUNTIFS('Data - Monthly Metrics'!A:A,$B$4-1,'Data - Monthly Metrics'!B:B,"Dec",'Data - Monthly Metrics'!C:C,"NorthCentral",'Data - Monthly Metrics'!D:D,"Penetration - Lodging Non-Target %")=0,"-",SUMIFS('Data - Monthly Metrics'!E:E,'Data - Monthly Metrics'!A:A,$B$4-1,'Data - Monthly Metrics'!B:B,"Dec",'Data - Monthly Metrics'!C:C,"NorthCentral",'Data - Monthly Metrics'!D:D,"Penetration - Lodging Non-Target %"))</f>
        <v/>
      </c>
      <c r="E106" s="116">
        <f>IF(ISNUMBER(D106),D106,IF(ISNUMBER(C106),C106,IF(ISNUMBER(B106),B106,"-")))</f>
        <v/>
      </c>
      <c r="F106" s="118">
        <f>IF(COUNTIFS('Data - Monthly Metrics'!A:A,$B$4,'Data - Monthly Metrics'!B:B,"Jan",'Data - Monthly Metrics'!C:C,"NorthCentral",'Data - Monthly Metrics'!D:D,"Penetration - Lodging Non-Target %")=0,"-",SUMIFS('Data - Monthly Metrics'!E:E,'Data - Monthly Metrics'!A:A,$B$4,'Data - Monthly Metrics'!B:B,"Jan",'Data - Monthly Metrics'!C:C,"NorthCentral",'Data - Monthly Metrics'!D:D,"Penetration - Lodging Non-Target %"))</f>
        <v/>
      </c>
      <c r="G106" s="118">
        <f>IF(COUNTIFS('Data - Monthly Metrics'!A:A,$B$4,'Data - Monthly Metrics'!B:B,"Feb",'Data - Monthly Metrics'!C:C,"NorthCentral",'Data - Monthly Metrics'!D:D,"Penetration - Lodging Non-Target %")=0,"-",SUMIFS('Data - Monthly Metrics'!E:E,'Data - Monthly Metrics'!A:A,$B$4,'Data - Monthly Metrics'!B:B,"Feb",'Data - Monthly Metrics'!C:C,"NorthCentral",'Data - Monthly Metrics'!D:D,"Penetration - Lodging Non-Target %"))</f>
        <v/>
      </c>
      <c r="H106" s="118">
        <f>IF(COUNTIFS('Data - Monthly Metrics'!A:A,$B$4,'Data - Monthly Metrics'!B:B,"Mar",'Data - Monthly Metrics'!C:C,"NorthCentral",'Data - Monthly Metrics'!D:D,"Penetration - Lodging Non-Target %")=0,"-",SUMIFS('Data - Monthly Metrics'!E:E,'Data - Monthly Metrics'!A:A,$B$4,'Data - Monthly Metrics'!B:B,"Mar",'Data - Monthly Metrics'!C:C,"NorthCentral",'Data - Monthly Metrics'!D:D,"Penetration - Lodging Non-Target %"))</f>
        <v/>
      </c>
      <c r="I106" s="116">
        <f>IF(ISNUMBER(H106),H106,IF(ISNUMBER(G106),G106,IF(ISNUMBER(F106),F106,"-")))</f>
        <v/>
      </c>
      <c r="J106" s="118">
        <f>IF(COUNTIFS('Data - Monthly Metrics'!A:A,$B$4,'Data - Monthly Metrics'!B:B,"Apr",'Data - Monthly Metrics'!C:C,"NorthCentral",'Data - Monthly Metrics'!D:D,"Penetration - Lodging Non-Target %")=0,"-",SUMIFS('Data - Monthly Metrics'!E:E,'Data - Monthly Metrics'!A:A,$B$4,'Data - Monthly Metrics'!B:B,"Apr",'Data - Monthly Metrics'!C:C,"NorthCentral",'Data - Monthly Metrics'!D:D,"Penetration - Lodging Non-Target %"))</f>
        <v/>
      </c>
      <c r="K106" s="118">
        <f>IF(COUNTIFS('Data - Monthly Metrics'!A:A,$B$4,'Data - Monthly Metrics'!B:B,"May",'Data - Monthly Metrics'!C:C,"NorthCentral",'Data - Monthly Metrics'!D:D,"Penetration - Lodging Non-Target %")=0,"-",SUMIFS('Data - Monthly Metrics'!E:E,'Data - Monthly Metrics'!A:A,$B$4,'Data - Monthly Metrics'!B:B,"May",'Data - Monthly Metrics'!C:C,"NorthCentral",'Data - Monthly Metrics'!D:D,"Penetration - Lodging Non-Target %"))</f>
        <v/>
      </c>
      <c r="L106" s="118">
        <f>IF(COUNTIFS('Data - Monthly Metrics'!A:A,$B$4,'Data - Monthly Metrics'!B:B,"Jun",'Data - Monthly Metrics'!C:C,"NorthCentral",'Data - Monthly Metrics'!D:D,"Penetration - Lodging Non-Target %")=0,"-",SUMIFS('Data - Monthly Metrics'!E:E,'Data - Monthly Metrics'!A:A,$B$4,'Data - Monthly Metrics'!B:B,"Jun",'Data - Monthly Metrics'!C:C,"NorthCentral",'Data - Monthly Metrics'!D:D,"Penetration - Lodging Non-Target %"))</f>
        <v/>
      </c>
      <c r="M106" s="116">
        <f>IF(ISNUMBER(L106),L106,IF(ISNUMBER(K106),K106,IF(ISNUMBER(J106),J106,"-")))</f>
        <v/>
      </c>
      <c r="N106" s="118">
        <f>IF(COUNTIFS('Data - Monthly Metrics'!A:A,$B$4,'Data - Monthly Metrics'!B:B,"Jul",'Data - Monthly Metrics'!C:C,"NorthCentral",'Data - Monthly Metrics'!D:D,"Penetration - Lodging Non-Target %")=0,"-",SUMIFS('Data - Monthly Metrics'!E:E,'Data - Monthly Metrics'!A:A,$B$4,'Data - Monthly Metrics'!B:B,"Jul",'Data - Monthly Metrics'!C:C,"NorthCentral",'Data - Monthly Metrics'!D:D,"Penetration - Lodging Non-Target %"))</f>
        <v/>
      </c>
      <c r="O106" s="118">
        <f>IF(COUNTIFS('Data - Monthly Metrics'!A:A,$B$4,'Data - Monthly Metrics'!B:B,"Aug",'Data - Monthly Metrics'!C:C,"NorthCentral",'Data - Monthly Metrics'!D:D,"Penetration - Lodging Non-Target %")=0,"-",SUMIFS('Data - Monthly Metrics'!E:E,'Data - Monthly Metrics'!A:A,$B$4,'Data - Monthly Metrics'!B:B,"Aug",'Data - Monthly Metrics'!C:C,"NorthCentral",'Data - Monthly Metrics'!D:D,"Penetration - Lodging Non-Target %"))</f>
        <v/>
      </c>
      <c r="P106" s="118">
        <f>IF(COUNTIFS('Data - Monthly Metrics'!A:A,$B$4,'Data - Monthly Metrics'!B:B,"Sep",'Data - Monthly Metrics'!C:C,"NorthCentral",'Data - Monthly Metrics'!D:D,"Penetration - Lodging Non-Target %")=0,"-",SUMIFS('Data - Monthly Metrics'!E:E,'Data - Monthly Metrics'!A:A,$B$4,'Data - Monthly Metrics'!B:B,"Sep",'Data - Monthly Metrics'!C:C,"NorthCentral",'Data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Metrics'!C:C,"NorthCentral",'Data - Monthly Metrics'!D:D,"Penetration - Combined Non-Target %")=0,"-",SUMIFS('Data - Monthly Metrics'!E:E,'Data - Monthly Metrics'!A:A,$B$4-1,'Data - Monthly Metrics'!B:B,"Oct",'Data - Monthly Metrics'!C:C,"NorthCentral",'Data - Monthly Metrics'!D:D,"Penetration - Combined Non-Target %"))</f>
        <v/>
      </c>
      <c r="C107" s="115">
        <f>IF(COUNTIFS('Data - Monthly Metrics'!A:A,$B$4-1,'Data - Monthly Metrics'!B:B,"Nov",'Data - Monthly Metrics'!C:C,"NorthCentral",'Data - Monthly Metrics'!D:D,"Penetration - Combined Non-Target %")=0,"-",SUMIFS('Data - Monthly Metrics'!E:E,'Data - Monthly Metrics'!A:A,$B$4-1,'Data - Monthly Metrics'!B:B,"Nov",'Data - Monthly Metrics'!C:C,"NorthCentral",'Data - Monthly Metrics'!D:D,"Penetration - Combined Non-Target %"))</f>
        <v/>
      </c>
      <c r="D107" s="115">
        <f>IF(COUNTIFS('Data - Monthly Metrics'!A:A,$B$4-1,'Data - Monthly Metrics'!B:B,"Dec",'Data - Monthly Metrics'!C:C,"NorthCentral",'Data - Monthly Metrics'!D:D,"Penetration - Combined Non-Target %")=0,"-",SUMIFS('Data - Monthly Metrics'!E:E,'Data - Monthly Metrics'!A:A,$B$4-1,'Data - Monthly Metrics'!B:B,"Dec",'Data - Monthly Metrics'!C:C,"NorthCentral",'Data - Monthly Metrics'!D:D,"Penetration - Combined Non-Target %"))</f>
        <v/>
      </c>
      <c r="E107" s="116">
        <f>IF(ISNUMBER(D107),D107,IF(ISNUMBER(C107),C107,IF(ISNUMBER(B107),B107,"-")))</f>
        <v/>
      </c>
      <c r="F107" s="115">
        <f>IF(COUNTIFS('Data - Monthly Metrics'!A:A,$B$4,'Data - Monthly Metrics'!B:B,"Jan",'Data - Monthly Metrics'!C:C,"NorthCentral",'Data - Monthly Metrics'!D:D,"Penetration - Combined Non-Target %")=0,"-",SUMIFS('Data - Monthly Metrics'!E:E,'Data - Monthly Metrics'!A:A,$B$4,'Data - Monthly Metrics'!B:B,"Jan",'Data - Monthly Metrics'!C:C,"NorthCentral",'Data - Monthly Metrics'!D:D,"Penetration - Combined Non-Target %"))</f>
        <v/>
      </c>
      <c r="G107" s="115">
        <f>IF(COUNTIFS('Data - Monthly Metrics'!A:A,$B$4,'Data - Monthly Metrics'!B:B,"Feb",'Data - Monthly Metrics'!C:C,"NorthCentral",'Data - Monthly Metrics'!D:D,"Penetration - Combined Non-Target %")=0,"-",SUMIFS('Data - Monthly Metrics'!E:E,'Data - Monthly Metrics'!A:A,$B$4,'Data - Monthly Metrics'!B:B,"Feb",'Data - Monthly Metrics'!C:C,"NorthCentral",'Data - Monthly Metrics'!D:D,"Penetration - Combined Non-Target %"))</f>
        <v/>
      </c>
      <c r="H107" s="115">
        <f>IF(COUNTIFS('Data - Monthly Metrics'!A:A,$B$4,'Data - Monthly Metrics'!B:B,"Mar",'Data - Monthly Metrics'!C:C,"NorthCentral",'Data - Monthly Metrics'!D:D,"Penetration - Combined Non-Target %")=0,"-",SUMIFS('Data - Monthly Metrics'!E:E,'Data - Monthly Metrics'!A:A,$B$4,'Data - Monthly Metrics'!B:B,"Mar",'Data - Monthly Metrics'!C:C,"NorthCentral",'Data - Monthly Metrics'!D:D,"Penetration - Combined Non-Target %"))</f>
        <v/>
      </c>
      <c r="I107" s="116">
        <f>IF(ISNUMBER(H107),H107,IF(ISNUMBER(G107),G107,IF(ISNUMBER(F107),F107,"-")))</f>
        <v/>
      </c>
      <c r="J107" s="115">
        <f>IF(COUNTIFS('Data - Monthly Metrics'!A:A,$B$4,'Data - Monthly Metrics'!B:B,"Apr",'Data - Monthly Metrics'!C:C,"NorthCentral",'Data - Monthly Metrics'!D:D,"Penetration - Combined Non-Target %")=0,"-",SUMIFS('Data - Monthly Metrics'!E:E,'Data - Monthly Metrics'!A:A,$B$4,'Data - Monthly Metrics'!B:B,"Apr",'Data - Monthly Metrics'!C:C,"NorthCentral",'Data - Monthly Metrics'!D:D,"Penetration - Combined Non-Target %"))</f>
        <v/>
      </c>
      <c r="K107" s="115">
        <f>IF(COUNTIFS('Data - Monthly Metrics'!A:A,$B$4,'Data - Monthly Metrics'!B:B,"May",'Data - Monthly Metrics'!C:C,"NorthCentral",'Data - Monthly Metrics'!D:D,"Penetration - Combined Non-Target %")=0,"-",SUMIFS('Data - Monthly Metrics'!E:E,'Data - Monthly Metrics'!A:A,$B$4,'Data - Monthly Metrics'!B:B,"May",'Data - Monthly Metrics'!C:C,"NorthCentral",'Data - Monthly Metrics'!D:D,"Penetration - Combined Non-Target %"))</f>
        <v/>
      </c>
      <c r="L107" s="115">
        <f>IF(COUNTIFS('Data - Monthly Metrics'!A:A,$B$4,'Data - Monthly Metrics'!B:B,"Jun",'Data - Monthly Metrics'!C:C,"NorthCentral",'Data - Monthly Metrics'!D:D,"Penetration - Combined Non-Target %")=0,"-",SUMIFS('Data - Monthly Metrics'!E:E,'Data - Monthly Metrics'!A:A,$B$4,'Data - Monthly Metrics'!B:B,"Jun",'Data - Monthly Metrics'!C:C,"NorthCentral",'Data - Monthly Metrics'!D:D,"Penetration - Combined Non-Target %"))</f>
        <v/>
      </c>
      <c r="M107" s="116">
        <f>IF(ISNUMBER(L107),L107,IF(ISNUMBER(K107),K107,IF(ISNUMBER(J107),J107,"-")))</f>
        <v/>
      </c>
      <c r="N107" s="115">
        <f>IF(COUNTIFS('Data - Monthly Metrics'!A:A,$B$4,'Data - Monthly Metrics'!B:B,"Jul",'Data - Monthly Metrics'!C:C,"NorthCentral",'Data - Monthly Metrics'!D:D,"Penetration - Combined Non-Target %")=0,"-",SUMIFS('Data - Monthly Metrics'!E:E,'Data - Monthly Metrics'!A:A,$B$4,'Data - Monthly Metrics'!B:B,"Jul",'Data - Monthly Metrics'!C:C,"NorthCentral",'Data - Monthly Metrics'!D:D,"Penetration - Combined Non-Target %"))</f>
        <v/>
      </c>
      <c r="O107" s="115">
        <f>IF(COUNTIFS('Data - Monthly Metrics'!A:A,$B$4,'Data - Monthly Metrics'!B:B,"Aug",'Data - Monthly Metrics'!C:C,"NorthCentral",'Data - Monthly Metrics'!D:D,"Penetration - Combined Non-Target %")=0,"-",SUMIFS('Data - Monthly Metrics'!E:E,'Data - Monthly Metrics'!A:A,$B$4,'Data - Monthly Metrics'!B:B,"Aug",'Data - Monthly Metrics'!C:C,"NorthCentral",'Data - Monthly Metrics'!D:D,"Penetration - Combined Non-Target %"))</f>
        <v/>
      </c>
      <c r="P107" s="115">
        <f>IF(COUNTIFS('Data - Monthly Metrics'!A:A,$B$4,'Data - Monthly Metrics'!B:B,"Sep",'Data - Monthly Metrics'!C:C,"NorthCentral",'Data - Monthly Metrics'!D:D,"Penetration - Combined Non-Target %")=0,"-",SUMIFS('Data - Monthly Metrics'!E:E,'Data - Monthly Metrics'!A:A,$B$4,'Data - Monthly Metrics'!B:B,"Sep",'Data - Monthly Metrics'!C:C,"NorthCentral",'Data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Metrics'!$C:$C,"NorthCentral",'Data - Monthly Metrics'!$D:$D,"Goal - Retention %")&gt;0,B53&gt;=SUMIFS('Data - Monthly Metrics'!$E:$E,'Data - Monthly Metrics'!$A:$A,$B$4-1,'Data - Monthly Metrics'!$B:$B,B$8,'Data - Monthly Metrics'!$C:$C,"NorthCentral",'Data - Monthly Metrics'!$D:$D,"Goal - Retention %"))</formula>
    </cfRule>
    <cfRule type="expression" rank="0" priority="11" equalAverage="0" aboveAverage="0" dxfId="2" stopIfTrue="1" text="" percent="0" bottom="0">
      <formula>AND(ISNUMBER(B53),COUNTIFS('Data - Monthly Metrics'!$A:$A,$B$4-1,'Data - Monthly Metrics'!$B:$B,B$8,'Data - Monthly Metrics'!$C:$C,"NorthCentral",'Data - Monthly Metrics'!$D:$D,"Goal - Retention %")&gt;0,B53&gt;=SUMIFS('Data - Monthly Metrics'!$E:$E,'Data - Monthly Metrics'!$A:$A,$B$4-1,'Data - Monthly Metrics'!$B:$B,B$8,'Data - Monthly Metrics'!$C:$C,"NorthCentral",'Data - Monthly Metrics'!$D:$D,"Goal - Retention %")-0.05)</formula>
    </cfRule>
    <cfRule type="expression" rank="0" priority="12" equalAverage="0" aboveAverage="0" dxfId="1" stopIfTrue="1" text="" percent="0" bottom="0">
      <formula>AND(ISNUMBER(B53),COUNTIFS('Data - Monthly Metrics'!$A:$A,$B$4-1,'Data - Monthly Metrics'!$B:$B,B$8,'Data - Monthly Metrics'!$C:$C,"NorthCentral",'Data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Metrics'!$C:$C,"NorthCentral",'Data - Monthly Metrics'!$D:$D,"Goal - Retention %")&gt;0,C53&gt;=SUMIFS('Data - Monthly Metrics'!$E:$E,'Data - Monthly Metrics'!$A:$A,$B$4-1,'Data - Monthly Metrics'!$B:$B,C$8,'Data - Monthly Metrics'!$C:$C,"NorthCentral",'Data - Monthly Metrics'!$D:$D,"Goal - Retention %"))</formula>
    </cfRule>
    <cfRule type="expression" rank="0" priority="14" equalAverage="0" aboveAverage="0" dxfId="2" stopIfTrue="1" text="" percent="0" bottom="0">
      <formula>AND(ISNUMBER(C53),COUNTIFS('Data - Monthly Metrics'!$A:$A,$B$4-1,'Data - Monthly Metrics'!$B:$B,C$8,'Data - Monthly Metrics'!$C:$C,"NorthCentral",'Data - Monthly Metrics'!$D:$D,"Goal - Retention %")&gt;0,C53&gt;=SUMIFS('Data - Monthly Metrics'!$E:$E,'Data - Monthly Metrics'!$A:$A,$B$4-1,'Data - Monthly Metrics'!$B:$B,C$8,'Data - Monthly Metrics'!$C:$C,"NorthCentral",'Data - Monthly Metrics'!$D:$D,"Goal - Retention %")-0.05)</formula>
    </cfRule>
    <cfRule type="expression" rank="0" priority="15" equalAverage="0" aboveAverage="0" dxfId="1" stopIfTrue="1" text="" percent="0" bottom="0">
      <formula>AND(ISNUMBER(C53),COUNTIFS('Data - Monthly Metrics'!$A:$A,$B$4-1,'Data - Monthly Metrics'!$B:$B,C$8,'Data - Monthly Metrics'!$C:$C,"NorthCentral",'Data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Metrics'!$C:$C,"NorthCentral",'Data - Monthly Metrics'!$D:$D,"Goal - Retention %")&gt;0,D53&gt;=SUMIFS('Data - Monthly Metrics'!$E:$E,'Data - Monthly Metrics'!$A:$A,$B$4-1,'Data - Monthly Metrics'!$B:$B,D$8,'Data - Monthly Metrics'!$C:$C,"NorthCentral",'Data - Monthly Metrics'!$D:$D,"Goal - Retention %"))</formula>
    </cfRule>
    <cfRule type="expression" rank="0" priority="17" equalAverage="0" aboveAverage="0" dxfId="2" stopIfTrue="1" text="" percent="0" bottom="0">
      <formula>AND(ISNUMBER(D53),COUNTIFS('Data - Monthly Metrics'!$A:$A,$B$4-1,'Data - Monthly Metrics'!$B:$B,D$8,'Data - Monthly Metrics'!$C:$C,"NorthCentral",'Data - Monthly Metrics'!$D:$D,"Goal - Retention %")&gt;0,D53&gt;=SUMIFS('Data - Monthly Metrics'!$E:$E,'Data - Monthly Metrics'!$A:$A,$B$4-1,'Data - Monthly Metrics'!$B:$B,D$8,'Data - Monthly Metrics'!$C:$C,"NorthCentral",'Data - Monthly Metrics'!$D:$D,"Goal - Retention %")-0.05)</formula>
    </cfRule>
    <cfRule type="expression" rank="0" priority="18" equalAverage="0" aboveAverage="0" dxfId="1" stopIfTrue="1" text="" percent="0" bottom="0">
      <formula>AND(ISNUMBER(D53),COUNTIFS('Data - Monthly Metrics'!$A:$A,$B$4-1,'Data - Monthly Metrics'!$B:$B,D$8,'Data - Monthly Metrics'!$C:$C,"NorthCentral",'Data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Metrics'!$C:$C,"NorthCentral",'Data - Monthly Metrics'!$D:$D,"Goal - Retention %")&gt;0,F53&gt;=SUMIFS('Data - Monthly Metrics'!$E:$E,'Data - Monthly Metrics'!$A:$A,$B$4,'Data - Monthly Metrics'!$B:$B,F$8,'Data - Monthly Metrics'!$C:$C,"NorthCentral",'Data - Monthly Metrics'!$D:$D,"Goal - Retention %"))</formula>
    </cfRule>
    <cfRule type="expression" rank="0" priority="20" equalAverage="0" aboveAverage="0" dxfId="2" stopIfTrue="1" text="" percent="0" bottom="0">
      <formula>AND(ISNUMBER(F53),COUNTIFS('Data - Monthly Metrics'!$A:$A,$B$4,'Data - Monthly Metrics'!$B:$B,F$8,'Data - Monthly Metrics'!$C:$C,"NorthCentral",'Data - Monthly Metrics'!$D:$D,"Goal - Retention %")&gt;0,F53&gt;=SUMIFS('Data - Monthly Metrics'!$E:$E,'Data - Monthly Metrics'!$A:$A,$B$4,'Data - Monthly Metrics'!$B:$B,F$8,'Data - Monthly Metrics'!$C:$C,"NorthCentral",'Data - Monthly Metrics'!$D:$D,"Goal - Retention %")-0.05)</formula>
    </cfRule>
    <cfRule type="expression" rank="0" priority="21" equalAverage="0" aboveAverage="0" dxfId="1" stopIfTrue="1" text="" percent="0" bottom="0">
      <formula>AND(ISNUMBER(F53),COUNTIFS('Data - Monthly Metrics'!$A:$A,$B$4,'Data - Monthly Metrics'!$B:$B,F$8,'Data - Monthly Metrics'!$C:$C,"NorthCentral",'Data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Metrics'!$C:$C,"NorthCentral",'Data - Monthly Metrics'!$D:$D,"Goal - Retention %")&gt;0,G53&gt;=SUMIFS('Data - Monthly Metrics'!$E:$E,'Data - Monthly Metrics'!$A:$A,$B$4,'Data - Monthly Metrics'!$B:$B,G$8,'Data - Monthly Metrics'!$C:$C,"NorthCentral",'Data - Monthly Metrics'!$D:$D,"Goal - Retention %"))</formula>
    </cfRule>
    <cfRule type="expression" rank="0" priority="23" equalAverage="0" aboveAverage="0" dxfId="2" stopIfTrue="1" text="" percent="0" bottom="0">
      <formula>AND(ISNUMBER(G53),COUNTIFS('Data - Monthly Metrics'!$A:$A,$B$4,'Data - Monthly Metrics'!$B:$B,G$8,'Data - Monthly Metrics'!$C:$C,"NorthCentral",'Data - Monthly Metrics'!$D:$D,"Goal - Retention %")&gt;0,G53&gt;=SUMIFS('Data - Monthly Metrics'!$E:$E,'Data - Monthly Metrics'!$A:$A,$B$4,'Data - Monthly Metrics'!$B:$B,G$8,'Data - Monthly Metrics'!$C:$C,"NorthCentral",'Data - Monthly Metrics'!$D:$D,"Goal - Retention %")-0.05)</formula>
    </cfRule>
    <cfRule type="expression" rank="0" priority="24" equalAverage="0" aboveAverage="0" dxfId="1" stopIfTrue="1" text="" percent="0" bottom="0">
      <formula>AND(ISNUMBER(G53),COUNTIFS('Data - Monthly Metrics'!$A:$A,$B$4,'Data - Monthly Metrics'!$B:$B,G$8,'Data - Monthly Metrics'!$C:$C,"NorthCentral",'Data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Metrics'!$C:$C,"NorthCentral",'Data - Monthly Metrics'!$D:$D,"Goal - Retention %")&gt;0,H53&gt;=SUMIFS('Data - Monthly Metrics'!$E:$E,'Data - Monthly Metrics'!$A:$A,$B$4,'Data - Monthly Metrics'!$B:$B,H$8,'Data - Monthly Metrics'!$C:$C,"NorthCentral",'Data - Monthly Metrics'!$D:$D,"Goal - Retention %"))</formula>
    </cfRule>
    <cfRule type="expression" rank="0" priority="26" equalAverage="0" aboveAverage="0" dxfId="2" stopIfTrue="1" text="" percent="0" bottom="0">
      <formula>AND(ISNUMBER(H53),COUNTIFS('Data - Monthly Metrics'!$A:$A,$B$4,'Data - Monthly Metrics'!$B:$B,H$8,'Data - Monthly Metrics'!$C:$C,"NorthCentral",'Data - Monthly Metrics'!$D:$D,"Goal - Retention %")&gt;0,H53&gt;=SUMIFS('Data - Monthly Metrics'!$E:$E,'Data - Monthly Metrics'!$A:$A,$B$4,'Data - Monthly Metrics'!$B:$B,H$8,'Data - Monthly Metrics'!$C:$C,"NorthCentral",'Data - Monthly Metrics'!$D:$D,"Goal - Retention %")-0.05)</formula>
    </cfRule>
    <cfRule type="expression" rank="0" priority="27" equalAverage="0" aboveAverage="0" dxfId="1" stopIfTrue="1" text="" percent="0" bottom="0">
      <formula>AND(ISNUMBER(H53),COUNTIFS('Data - Monthly Metrics'!$A:$A,$B$4,'Data - Monthly Metrics'!$B:$B,H$8,'Data - Monthly Metrics'!$C:$C,"NorthCentral",'Data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Metrics'!$C:$C,"NorthCentral",'Data - Monthly Metrics'!$D:$D,"Goal - Retention %")&gt;0,J53&gt;=SUMIFS('Data - Monthly Metrics'!$E:$E,'Data - Monthly Metrics'!$A:$A,$B$4,'Data - Monthly Metrics'!$B:$B,J$8,'Data - Monthly Metrics'!$C:$C,"NorthCentral",'Data - Monthly Metrics'!$D:$D,"Goal - Retention %"))</formula>
    </cfRule>
    <cfRule type="expression" rank="0" priority="29" equalAverage="0" aboveAverage="0" dxfId="2" stopIfTrue="1" text="" percent="0" bottom="0">
      <formula>AND(ISNUMBER(J53),COUNTIFS('Data - Monthly Metrics'!$A:$A,$B$4,'Data - Monthly Metrics'!$B:$B,J$8,'Data - Monthly Metrics'!$C:$C,"NorthCentral",'Data - Monthly Metrics'!$D:$D,"Goal - Retention %")&gt;0,J53&gt;=SUMIFS('Data - Monthly Metrics'!$E:$E,'Data - Monthly Metrics'!$A:$A,$B$4,'Data - Monthly Metrics'!$B:$B,J$8,'Data - Monthly Metrics'!$C:$C,"NorthCentral",'Data - Monthly Metrics'!$D:$D,"Goal - Retention %")-0.05)</formula>
    </cfRule>
    <cfRule type="expression" rank="0" priority="30" equalAverage="0" aboveAverage="0" dxfId="1" stopIfTrue="1" text="" percent="0" bottom="0">
      <formula>AND(ISNUMBER(J53),COUNTIFS('Data - Monthly Metrics'!$A:$A,$B$4,'Data - Monthly Metrics'!$B:$B,J$8,'Data - Monthly Metrics'!$C:$C,"NorthCentral",'Data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Metrics'!$C:$C,"NorthCentral",'Data - Monthly Metrics'!$D:$D,"Goal - Retention %")&gt;0,K53&gt;=SUMIFS('Data - Monthly Metrics'!$E:$E,'Data - Monthly Metrics'!$A:$A,$B$4,'Data - Monthly Metrics'!$B:$B,K$8,'Data - Monthly Metrics'!$C:$C,"NorthCentral",'Data - Monthly Metrics'!$D:$D,"Goal - Retention %"))</formula>
    </cfRule>
    <cfRule type="expression" rank="0" priority="32" equalAverage="0" aboveAverage="0" dxfId="2" stopIfTrue="1" text="" percent="0" bottom="0">
      <formula>AND(ISNUMBER(K53),COUNTIFS('Data - Monthly Metrics'!$A:$A,$B$4,'Data - Monthly Metrics'!$B:$B,K$8,'Data - Monthly Metrics'!$C:$C,"NorthCentral",'Data - Monthly Metrics'!$D:$D,"Goal - Retention %")&gt;0,K53&gt;=SUMIFS('Data - Monthly Metrics'!$E:$E,'Data - Monthly Metrics'!$A:$A,$B$4,'Data - Monthly Metrics'!$B:$B,K$8,'Data - Monthly Metrics'!$C:$C,"NorthCentral",'Data - Monthly Metrics'!$D:$D,"Goal - Retention %")-0.05)</formula>
    </cfRule>
    <cfRule type="expression" rank="0" priority="33" equalAverage="0" aboveAverage="0" dxfId="1" stopIfTrue="1" text="" percent="0" bottom="0">
      <formula>AND(ISNUMBER(K53),COUNTIFS('Data - Monthly Metrics'!$A:$A,$B$4,'Data - Monthly Metrics'!$B:$B,K$8,'Data - Monthly Metrics'!$C:$C,"NorthCentral",'Data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Metrics'!$C:$C,"NorthCentral",'Data - Monthly Metrics'!$D:$D,"Goal - Retention %")&gt;0,L53&gt;=SUMIFS('Data - Monthly Metrics'!$E:$E,'Data - Monthly Metrics'!$A:$A,$B$4,'Data - Monthly Metrics'!$B:$B,L$8,'Data - Monthly Metrics'!$C:$C,"NorthCentral",'Data - Monthly Metrics'!$D:$D,"Goal - Retention %"))</formula>
    </cfRule>
    <cfRule type="expression" rank="0" priority="35" equalAverage="0" aboveAverage="0" dxfId="2" stopIfTrue="1" text="" percent="0" bottom="0">
      <formula>AND(ISNUMBER(L53),COUNTIFS('Data - Monthly Metrics'!$A:$A,$B$4,'Data - Monthly Metrics'!$B:$B,L$8,'Data - Monthly Metrics'!$C:$C,"NorthCentral",'Data - Monthly Metrics'!$D:$D,"Goal - Retention %")&gt;0,L53&gt;=SUMIFS('Data - Monthly Metrics'!$E:$E,'Data - Monthly Metrics'!$A:$A,$B$4,'Data - Monthly Metrics'!$B:$B,L$8,'Data - Monthly Metrics'!$C:$C,"NorthCentral",'Data - Monthly Metrics'!$D:$D,"Goal - Retention %")-0.05)</formula>
    </cfRule>
    <cfRule type="expression" rank="0" priority="36" equalAverage="0" aboveAverage="0" dxfId="1" stopIfTrue="1" text="" percent="0" bottom="0">
      <formula>AND(ISNUMBER(L53),COUNTIFS('Data - Monthly Metrics'!$A:$A,$B$4,'Data - Monthly Metrics'!$B:$B,L$8,'Data - Monthly Metrics'!$C:$C,"NorthCentral",'Data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Metrics'!$C:$C,"NorthCentral",'Data - Monthly Metrics'!$D:$D,"Goal - Retention %")&gt;0,N53&gt;=SUMIFS('Data - Monthly Metrics'!$E:$E,'Data - Monthly Metrics'!$A:$A,$B$4,'Data - Monthly Metrics'!$B:$B,N$8,'Data - Monthly Metrics'!$C:$C,"NorthCentral",'Data - Monthly Metrics'!$D:$D,"Goal - Retention %"))</formula>
    </cfRule>
    <cfRule type="expression" rank="0" priority="38" equalAverage="0" aboveAverage="0" dxfId="2" stopIfTrue="1" text="" percent="0" bottom="0">
      <formula>AND(ISNUMBER(N53),COUNTIFS('Data - Monthly Metrics'!$A:$A,$B$4,'Data - Monthly Metrics'!$B:$B,N$8,'Data - Monthly Metrics'!$C:$C,"NorthCentral",'Data - Monthly Metrics'!$D:$D,"Goal - Retention %")&gt;0,N53&gt;=SUMIFS('Data - Monthly Metrics'!$E:$E,'Data - Monthly Metrics'!$A:$A,$B$4,'Data - Monthly Metrics'!$B:$B,N$8,'Data - Monthly Metrics'!$C:$C,"NorthCentral",'Data - Monthly Metrics'!$D:$D,"Goal - Retention %")-0.05)</formula>
    </cfRule>
    <cfRule type="expression" rank="0" priority="39" equalAverage="0" aboveAverage="0" dxfId="1" stopIfTrue="1" text="" percent="0" bottom="0">
      <formula>AND(ISNUMBER(N53),COUNTIFS('Data - Monthly Metrics'!$A:$A,$B$4,'Data - Monthly Metrics'!$B:$B,N$8,'Data - Monthly Metrics'!$C:$C,"NorthCentral",'Data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Metrics'!$C:$C,"NorthCentral",'Data - Monthly Metrics'!$D:$D,"Goal - Retention %")&gt;0,O53&gt;=SUMIFS('Data - Monthly Metrics'!$E:$E,'Data - Monthly Metrics'!$A:$A,$B$4,'Data - Monthly Metrics'!$B:$B,O$8,'Data - Monthly Metrics'!$C:$C,"NorthCentral",'Data - Monthly Metrics'!$D:$D,"Goal - Retention %"))</formula>
    </cfRule>
    <cfRule type="expression" rank="0" priority="41" equalAverage="0" aboveAverage="0" dxfId="2" stopIfTrue="1" text="" percent="0" bottom="0">
      <formula>AND(ISNUMBER(O53),COUNTIFS('Data - Monthly Metrics'!$A:$A,$B$4,'Data - Monthly Metrics'!$B:$B,O$8,'Data - Monthly Metrics'!$C:$C,"NorthCentral",'Data - Monthly Metrics'!$D:$D,"Goal - Retention %")&gt;0,O53&gt;=SUMIFS('Data - Monthly Metrics'!$E:$E,'Data - Monthly Metrics'!$A:$A,$B$4,'Data - Monthly Metrics'!$B:$B,O$8,'Data - Monthly Metrics'!$C:$C,"NorthCentral",'Data - Monthly Metrics'!$D:$D,"Goal - Retention %")-0.05)</formula>
    </cfRule>
    <cfRule type="expression" rank="0" priority="42" equalAverage="0" aboveAverage="0" dxfId="1" stopIfTrue="1" text="" percent="0" bottom="0">
      <formula>AND(ISNUMBER(O53),COUNTIFS('Data - Monthly Metrics'!$A:$A,$B$4,'Data - Monthly Metrics'!$B:$B,O$8,'Data - Monthly Metrics'!$C:$C,"NorthCentral",'Data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Metrics'!$C:$C,"NorthCentral",'Data - Monthly Metrics'!$D:$D,"Goal - Retention %")&gt;0,P53&gt;=SUMIFS('Data - Monthly Metrics'!$E:$E,'Data - Monthly Metrics'!$A:$A,$B$4,'Data - Monthly Metrics'!$B:$B,P$8,'Data - Monthly Metrics'!$C:$C,"NorthCentral",'Data - Monthly Metrics'!$D:$D,"Goal - Retention %"))</formula>
    </cfRule>
    <cfRule type="expression" rank="0" priority="44" equalAverage="0" aboveAverage="0" dxfId="2" stopIfTrue="1" text="" percent="0" bottom="0">
      <formula>AND(ISNUMBER(P53),COUNTIFS('Data - Monthly Metrics'!$A:$A,$B$4,'Data - Monthly Metrics'!$B:$B,P$8,'Data - Monthly Metrics'!$C:$C,"NorthCentral",'Data - Monthly Metrics'!$D:$D,"Goal - Retention %")&gt;0,P53&gt;=SUMIFS('Data - Monthly Metrics'!$E:$E,'Data - Monthly Metrics'!$A:$A,$B$4,'Data - Monthly Metrics'!$B:$B,P$8,'Data - Monthly Metrics'!$C:$C,"NorthCentral",'Data - Monthly Metrics'!$D:$D,"Goal - Retention %")-0.05)</formula>
    </cfRule>
    <cfRule type="expression" rank="0" priority="45" equalAverage="0" aboveAverage="0" dxfId="1" stopIfTrue="1" text="" percent="0" bottom="0">
      <formula>AND(ISNUMBER(P53),COUNTIFS('Data - Monthly Metrics'!$A:$A,$B$4,'Data - Monthly Metrics'!$B:$B,P$8,'Data - Monthly Metrics'!$C:$C,"NorthCentral",'Data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Metrics'!$C:$C,"NorthCentral",'Data - Monthly Metrics'!$D:$D,"Goal - Retention %")&gt;0,B93&gt;=SUMIFS('Data - Monthly Metrics'!$E:$E,'Data - Monthly Metrics'!$A:$A,$B$4-1,'Data - Monthly Metrics'!$B:$B,B$8,'Data - Monthly Metrics'!$C:$C,"NorthCentral",'Data - Monthly Metrics'!$D:$D,"Goal - Retention %"))</formula>
    </cfRule>
    <cfRule type="expression" rank="0" priority="47" equalAverage="0" aboveAverage="0" dxfId="2" stopIfTrue="1" text="" percent="0" bottom="0">
      <formula>AND(ISNUMBER(B93),COUNTIFS('Data - Monthly Metrics'!$A:$A,$B$4-1,'Data - Monthly Metrics'!$B:$B,B$8,'Data - Monthly Metrics'!$C:$C,"NorthCentral",'Data - Monthly Metrics'!$D:$D,"Goal - Retention %")&gt;0,B93&gt;=SUMIFS('Data - Monthly Metrics'!$E:$E,'Data - Monthly Metrics'!$A:$A,$B$4-1,'Data - Monthly Metrics'!$B:$B,B$8,'Data - Monthly Metrics'!$C:$C,"NorthCentral",'Data - Monthly Metrics'!$D:$D,"Goal - Retention %")-0.05)</formula>
    </cfRule>
    <cfRule type="expression" rank="0" priority="48" equalAverage="0" aboveAverage="0" dxfId="1" stopIfTrue="1" text="" percent="0" bottom="0">
      <formula>AND(ISNUMBER(B93),COUNTIFS('Data - Monthly Metrics'!$A:$A,$B$4-1,'Data - Monthly Metrics'!$B:$B,B$8,'Data - Monthly Metrics'!$C:$C,"NorthCentral",'Data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Metrics'!$C:$C,"NorthCentral",'Data - Monthly Metrics'!$D:$D,"Goal - Retention %")&gt;0,C93&gt;=SUMIFS('Data - Monthly Metrics'!$E:$E,'Data - Monthly Metrics'!$A:$A,$B$4-1,'Data - Monthly Metrics'!$B:$B,C$8,'Data - Monthly Metrics'!$C:$C,"NorthCentral",'Data - Monthly Metrics'!$D:$D,"Goal - Retention %"))</formula>
    </cfRule>
    <cfRule type="expression" rank="0" priority="50" equalAverage="0" aboveAverage="0" dxfId="2" stopIfTrue="1" text="" percent="0" bottom="0">
      <formula>AND(ISNUMBER(C93),COUNTIFS('Data - Monthly Metrics'!$A:$A,$B$4-1,'Data - Monthly Metrics'!$B:$B,C$8,'Data - Monthly Metrics'!$C:$C,"NorthCentral",'Data - Monthly Metrics'!$D:$D,"Goal - Retention %")&gt;0,C93&gt;=SUMIFS('Data - Monthly Metrics'!$E:$E,'Data - Monthly Metrics'!$A:$A,$B$4-1,'Data - Monthly Metrics'!$B:$B,C$8,'Data - Monthly Metrics'!$C:$C,"NorthCentral",'Data - Monthly Metrics'!$D:$D,"Goal - Retention %")-0.05)</formula>
    </cfRule>
    <cfRule type="expression" rank="0" priority="51" equalAverage="0" aboveAverage="0" dxfId="1" stopIfTrue="1" text="" percent="0" bottom="0">
      <formula>AND(ISNUMBER(C93),COUNTIFS('Data - Monthly Metrics'!$A:$A,$B$4-1,'Data - Monthly Metrics'!$B:$B,C$8,'Data - Monthly Metrics'!$C:$C,"NorthCentral",'Data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Metrics'!$C:$C,"NorthCentral",'Data - Monthly Metrics'!$D:$D,"Goal - Retention %")&gt;0,D93&gt;=SUMIFS('Data - Monthly Metrics'!$E:$E,'Data - Monthly Metrics'!$A:$A,$B$4-1,'Data - Monthly Metrics'!$B:$B,D$8,'Data - Monthly Metrics'!$C:$C,"NorthCentral",'Data - Monthly Metrics'!$D:$D,"Goal - Retention %"))</formula>
    </cfRule>
    <cfRule type="expression" rank="0" priority="53" equalAverage="0" aboveAverage="0" dxfId="2" stopIfTrue="1" text="" percent="0" bottom="0">
      <formula>AND(ISNUMBER(D93),COUNTIFS('Data - Monthly Metrics'!$A:$A,$B$4-1,'Data - Monthly Metrics'!$B:$B,D$8,'Data - Monthly Metrics'!$C:$C,"NorthCentral",'Data - Monthly Metrics'!$D:$D,"Goal - Retention %")&gt;0,D93&gt;=SUMIFS('Data - Monthly Metrics'!$E:$E,'Data - Monthly Metrics'!$A:$A,$B$4-1,'Data - Monthly Metrics'!$B:$B,D$8,'Data - Monthly Metrics'!$C:$C,"NorthCentral",'Data - Monthly Metrics'!$D:$D,"Goal - Retention %")-0.05)</formula>
    </cfRule>
    <cfRule type="expression" rank="0" priority="54" equalAverage="0" aboveAverage="0" dxfId="1" stopIfTrue="1" text="" percent="0" bottom="0">
      <formula>AND(ISNUMBER(D93),COUNTIFS('Data - Monthly Metrics'!$A:$A,$B$4-1,'Data - Monthly Metrics'!$B:$B,D$8,'Data - Monthly Metrics'!$C:$C,"NorthCentral",'Data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Metrics'!$C:$C,"NorthCentral",'Data - Monthly Metrics'!$D:$D,"Goal - Retention %")&gt;0,F93&gt;=SUMIFS('Data - Monthly Metrics'!$E:$E,'Data - Monthly Metrics'!$A:$A,$B$4,'Data - Monthly Metrics'!$B:$B,F$8,'Data - Monthly Metrics'!$C:$C,"NorthCentral",'Data - Monthly Metrics'!$D:$D,"Goal - Retention %"))</formula>
    </cfRule>
    <cfRule type="expression" rank="0" priority="56" equalAverage="0" aboveAverage="0" dxfId="2" stopIfTrue="1" text="" percent="0" bottom="0">
      <formula>AND(ISNUMBER(F93),COUNTIFS('Data - Monthly Metrics'!$A:$A,$B$4,'Data - Monthly Metrics'!$B:$B,F$8,'Data - Monthly Metrics'!$C:$C,"NorthCentral",'Data - Monthly Metrics'!$D:$D,"Goal - Retention %")&gt;0,F93&gt;=SUMIFS('Data - Monthly Metrics'!$E:$E,'Data - Monthly Metrics'!$A:$A,$B$4,'Data - Monthly Metrics'!$B:$B,F$8,'Data - Monthly Metrics'!$C:$C,"NorthCentral",'Data - Monthly Metrics'!$D:$D,"Goal - Retention %")-0.05)</formula>
    </cfRule>
    <cfRule type="expression" rank="0" priority="57" equalAverage="0" aboveAverage="0" dxfId="1" stopIfTrue="1" text="" percent="0" bottom="0">
      <formula>AND(ISNUMBER(F93),COUNTIFS('Data - Monthly Metrics'!$A:$A,$B$4,'Data - Monthly Metrics'!$B:$B,F$8,'Data - Monthly Metrics'!$C:$C,"NorthCentral",'Data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Metrics'!$C:$C,"NorthCentral",'Data - Monthly Metrics'!$D:$D,"Goal - Retention %")&gt;0,G93&gt;=SUMIFS('Data - Monthly Metrics'!$E:$E,'Data - Monthly Metrics'!$A:$A,$B$4,'Data - Monthly Metrics'!$B:$B,G$8,'Data - Monthly Metrics'!$C:$C,"NorthCentral",'Data - Monthly Metrics'!$D:$D,"Goal - Retention %"))</formula>
    </cfRule>
    <cfRule type="expression" rank="0" priority="59" equalAverage="0" aboveAverage="0" dxfId="2" stopIfTrue="1" text="" percent="0" bottom="0">
      <formula>AND(ISNUMBER(G93),COUNTIFS('Data - Monthly Metrics'!$A:$A,$B$4,'Data - Monthly Metrics'!$B:$B,G$8,'Data - Monthly Metrics'!$C:$C,"NorthCentral",'Data - Monthly Metrics'!$D:$D,"Goal - Retention %")&gt;0,G93&gt;=SUMIFS('Data - Monthly Metrics'!$E:$E,'Data - Monthly Metrics'!$A:$A,$B$4,'Data - Monthly Metrics'!$B:$B,G$8,'Data - Monthly Metrics'!$C:$C,"NorthCentral",'Data - Monthly Metrics'!$D:$D,"Goal - Retention %")-0.05)</formula>
    </cfRule>
    <cfRule type="expression" rank="0" priority="60" equalAverage="0" aboveAverage="0" dxfId="1" stopIfTrue="1" text="" percent="0" bottom="0">
      <formula>AND(ISNUMBER(G93),COUNTIFS('Data - Monthly Metrics'!$A:$A,$B$4,'Data - Monthly Metrics'!$B:$B,G$8,'Data - Monthly Metrics'!$C:$C,"NorthCentral",'Data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Metrics'!$C:$C,"NorthCentral",'Data - Monthly Metrics'!$D:$D,"Goal - Retention %")&gt;0,H93&gt;=SUMIFS('Data - Monthly Metrics'!$E:$E,'Data - Monthly Metrics'!$A:$A,$B$4,'Data - Monthly Metrics'!$B:$B,H$8,'Data - Monthly Metrics'!$C:$C,"NorthCentral",'Data - Monthly Metrics'!$D:$D,"Goal - Retention %"))</formula>
    </cfRule>
    <cfRule type="expression" rank="0" priority="62" equalAverage="0" aboveAverage="0" dxfId="2" stopIfTrue="1" text="" percent="0" bottom="0">
      <formula>AND(ISNUMBER(H93),COUNTIFS('Data - Monthly Metrics'!$A:$A,$B$4,'Data - Monthly Metrics'!$B:$B,H$8,'Data - Monthly Metrics'!$C:$C,"NorthCentral",'Data - Monthly Metrics'!$D:$D,"Goal - Retention %")&gt;0,H93&gt;=SUMIFS('Data - Monthly Metrics'!$E:$E,'Data - Monthly Metrics'!$A:$A,$B$4,'Data - Monthly Metrics'!$B:$B,H$8,'Data - Monthly Metrics'!$C:$C,"NorthCentral",'Data - Monthly Metrics'!$D:$D,"Goal - Retention %")-0.05)</formula>
    </cfRule>
    <cfRule type="expression" rank="0" priority="63" equalAverage="0" aboveAverage="0" dxfId="1" stopIfTrue="1" text="" percent="0" bottom="0">
      <formula>AND(ISNUMBER(H93),COUNTIFS('Data - Monthly Metrics'!$A:$A,$B$4,'Data - Monthly Metrics'!$B:$B,H$8,'Data - Monthly Metrics'!$C:$C,"NorthCentral",'Data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Metrics'!$C:$C,"NorthCentral",'Data - Monthly Metrics'!$D:$D,"Goal - Retention %")&gt;0,J93&gt;=SUMIFS('Data - Monthly Metrics'!$E:$E,'Data - Monthly Metrics'!$A:$A,$B$4,'Data - Monthly Metrics'!$B:$B,J$8,'Data - Monthly Metrics'!$C:$C,"NorthCentral",'Data - Monthly Metrics'!$D:$D,"Goal - Retention %"))</formula>
    </cfRule>
    <cfRule type="expression" rank="0" priority="65" equalAverage="0" aboveAverage="0" dxfId="2" stopIfTrue="1" text="" percent="0" bottom="0">
      <formula>AND(ISNUMBER(J93),COUNTIFS('Data - Monthly Metrics'!$A:$A,$B$4,'Data - Monthly Metrics'!$B:$B,J$8,'Data - Monthly Metrics'!$C:$C,"NorthCentral",'Data - Monthly Metrics'!$D:$D,"Goal - Retention %")&gt;0,J93&gt;=SUMIFS('Data - Monthly Metrics'!$E:$E,'Data - Monthly Metrics'!$A:$A,$B$4,'Data - Monthly Metrics'!$B:$B,J$8,'Data - Monthly Metrics'!$C:$C,"NorthCentral",'Data - Monthly Metrics'!$D:$D,"Goal - Retention %")-0.05)</formula>
    </cfRule>
    <cfRule type="expression" rank="0" priority="66" equalAverage="0" aboveAverage="0" dxfId="1" stopIfTrue="1" text="" percent="0" bottom="0">
      <formula>AND(ISNUMBER(J93),COUNTIFS('Data - Monthly Metrics'!$A:$A,$B$4,'Data - Monthly Metrics'!$B:$B,J$8,'Data - Monthly Metrics'!$C:$C,"NorthCentral",'Data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Metrics'!$C:$C,"NorthCentral",'Data - Monthly Metrics'!$D:$D,"Goal - Retention %")&gt;0,K93&gt;=SUMIFS('Data - Monthly Metrics'!$E:$E,'Data - Monthly Metrics'!$A:$A,$B$4,'Data - Monthly Metrics'!$B:$B,K$8,'Data - Monthly Metrics'!$C:$C,"NorthCentral",'Data - Monthly Metrics'!$D:$D,"Goal - Retention %"))</formula>
    </cfRule>
    <cfRule type="expression" rank="0" priority="68" equalAverage="0" aboveAverage="0" dxfId="2" stopIfTrue="1" text="" percent="0" bottom="0">
      <formula>AND(ISNUMBER(K93),COUNTIFS('Data - Monthly Metrics'!$A:$A,$B$4,'Data - Monthly Metrics'!$B:$B,K$8,'Data - Monthly Metrics'!$C:$C,"NorthCentral",'Data - Monthly Metrics'!$D:$D,"Goal - Retention %")&gt;0,K93&gt;=SUMIFS('Data - Monthly Metrics'!$E:$E,'Data - Monthly Metrics'!$A:$A,$B$4,'Data - Monthly Metrics'!$B:$B,K$8,'Data - Monthly Metrics'!$C:$C,"NorthCentral",'Data - Monthly Metrics'!$D:$D,"Goal - Retention %")-0.05)</formula>
    </cfRule>
    <cfRule type="expression" rank="0" priority="69" equalAverage="0" aboveAverage="0" dxfId="1" stopIfTrue="1" text="" percent="0" bottom="0">
      <formula>AND(ISNUMBER(K93),COUNTIFS('Data - Monthly Metrics'!$A:$A,$B$4,'Data - Monthly Metrics'!$B:$B,K$8,'Data - Monthly Metrics'!$C:$C,"NorthCentral",'Data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Metrics'!$C:$C,"NorthCentral",'Data - Monthly Metrics'!$D:$D,"Goal - Retention %")&gt;0,L93&gt;=SUMIFS('Data - Monthly Metrics'!$E:$E,'Data - Monthly Metrics'!$A:$A,$B$4,'Data - Monthly Metrics'!$B:$B,L$8,'Data - Monthly Metrics'!$C:$C,"NorthCentral",'Data - Monthly Metrics'!$D:$D,"Goal - Retention %"))</formula>
    </cfRule>
    <cfRule type="expression" rank="0" priority="71" equalAverage="0" aboveAverage="0" dxfId="2" stopIfTrue="1" text="" percent="0" bottom="0">
      <formula>AND(ISNUMBER(L93),COUNTIFS('Data - Monthly Metrics'!$A:$A,$B$4,'Data - Monthly Metrics'!$B:$B,L$8,'Data - Monthly Metrics'!$C:$C,"NorthCentral",'Data - Monthly Metrics'!$D:$D,"Goal - Retention %")&gt;0,L93&gt;=SUMIFS('Data - Monthly Metrics'!$E:$E,'Data - Monthly Metrics'!$A:$A,$B$4,'Data - Monthly Metrics'!$B:$B,L$8,'Data - Monthly Metrics'!$C:$C,"NorthCentral",'Data - Monthly Metrics'!$D:$D,"Goal - Retention %")-0.05)</formula>
    </cfRule>
    <cfRule type="expression" rank="0" priority="72" equalAverage="0" aboveAverage="0" dxfId="1" stopIfTrue="1" text="" percent="0" bottom="0">
      <formula>AND(ISNUMBER(L93),COUNTIFS('Data - Monthly Metrics'!$A:$A,$B$4,'Data - Monthly Metrics'!$B:$B,L$8,'Data - Monthly Metrics'!$C:$C,"NorthCentral",'Data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Metrics'!$C:$C,"NorthCentral",'Data - Monthly Metrics'!$D:$D,"Goal - Retention %")&gt;0,N93&gt;=SUMIFS('Data - Monthly Metrics'!$E:$E,'Data - Monthly Metrics'!$A:$A,$B$4,'Data - Monthly Metrics'!$B:$B,N$8,'Data - Monthly Metrics'!$C:$C,"NorthCentral",'Data - Monthly Metrics'!$D:$D,"Goal - Retention %"))</formula>
    </cfRule>
    <cfRule type="expression" rank="0" priority="74" equalAverage="0" aboveAverage="0" dxfId="2" stopIfTrue="1" text="" percent="0" bottom="0">
      <formula>AND(ISNUMBER(N93),COUNTIFS('Data - Monthly Metrics'!$A:$A,$B$4,'Data - Monthly Metrics'!$B:$B,N$8,'Data - Monthly Metrics'!$C:$C,"NorthCentral",'Data - Monthly Metrics'!$D:$D,"Goal - Retention %")&gt;0,N93&gt;=SUMIFS('Data - Monthly Metrics'!$E:$E,'Data - Monthly Metrics'!$A:$A,$B$4,'Data - Monthly Metrics'!$B:$B,N$8,'Data - Monthly Metrics'!$C:$C,"NorthCentral",'Data - Monthly Metrics'!$D:$D,"Goal - Retention %")-0.05)</formula>
    </cfRule>
    <cfRule type="expression" rank="0" priority="75" equalAverage="0" aboveAverage="0" dxfId="1" stopIfTrue="1" text="" percent="0" bottom="0">
      <formula>AND(ISNUMBER(N93),COUNTIFS('Data - Monthly Metrics'!$A:$A,$B$4,'Data - Monthly Metrics'!$B:$B,N$8,'Data - Monthly Metrics'!$C:$C,"NorthCentral",'Data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Metrics'!$C:$C,"NorthCentral",'Data - Monthly Metrics'!$D:$D,"Goal - Retention %")&gt;0,O93&gt;=SUMIFS('Data - Monthly Metrics'!$E:$E,'Data - Monthly Metrics'!$A:$A,$B$4,'Data - Monthly Metrics'!$B:$B,O$8,'Data - Monthly Metrics'!$C:$C,"NorthCentral",'Data - Monthly Metrics'!$D:$D,"Goal - Retention %"))</formula>
    </cfRule>
    <cfRule type="expression" rank="0" priority="77" equalAverage="0" aboveAverage="0" dxfId="2" stopIfTrue="1" text="" percent="0" bottom="0">
      <formula>AND(ISNUMBER(O93),COUNTIFS('Data - Monthly Metrics'!$A:$A,$B$4,'Data - Monthly Metrics'!$B:$B,O$8,'Data - Monthly Metrics'!$C:$C,"NorthCentral",'Data - Monthly Metrics'!$D:$D,"Goal - Retention %")&gt;0,O93&gt;=SUMIFS('Data - Monthly Metrics'!$E:$E,'Data - Monthly Metrics'!$A:$A,$B$4,'Data - Monthly Metrics'!$B:$B,O$8,'Data - Monthly Metrics'!$C:$C,"NorthCentral",'Data - Monthly Metrics'!$D:$D,"Goal - Retention %")-0.05)</formula>
    </cfRule>
    <cfRule type="expression" rank="0" priority="78" equalAverage="0" aboveAverage="0" dxfId="1" stopIfTrue="1" text="" percent="0" bottom="0">
      <formula>AND(ISNUMBER(O93),COUNTIFS('Data - Monthly Metrics'!$A:$A,$B$4,'Data - Monthly Metrics'!$B:$B,O$8,'Data - Monthly Metrics'!$C:$C,"NorthCentral",'Data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Metrics'!$C:$C,"NorthCentral",'Data - Monthly Metrics'!$D:$D,"Goal - Retention %")&gt;0,P93&gt;=SUMIFS('Data - Monthly Metrics'!$E:$E,'Data - Monthly Metrics'!$A:$A,$B$4,'Data - Monthly Metrics'!$B:$B,P$8,'Data - Monthly Metrics'!$C:$C,"NorthCentral",'Data - Monthly Metrics'!$D:$D,"Goal - Retention %"))</formula>
    </cfRule>
    <cfRule type="expression" rank="0" priority="80" equalAverage="0" aboveAverage="0" dxfId="2" stopIfTrue="1" text="" percent="0" bottom="0">
      <formula>AND(ISNUMBER(P93),COUNTIFS('Data - Monthly Metrics'!$A:$A,$B$4,'Data - Monthly Metrics'!$B:$B,P$8,'Data - Monthly Metrics'!$C:$C,"NorthCentral",'Data - Monthly Metrics'!$D:$D,"Goal - Retention %")&gt;0,P93&gt;=SUMIFS('Data - Monthly Metrics'!$E:$E,'Data - Monthly Metrics'!$A:$A,$B$4,'Data - Monthly Metrics'!$B:$B,P$8,'Data - Monthly Metrics'!$C:$C,"NorthCentral",'Data - Monthly Metrics'!$D:$D,"Goal - Retention %")-0.05)</formula>
    </cfRule>
    <cfRule type="expression" rank="0" priority="81" equalAverage="0" aboveAverage="0" dxfId="1" stopIfTrue="1" text="" percent="0" bottom="0">
      <formula>AND(ISNUMBER(P93),COUNTIFS('Data - Monthly Metrics'!$A:$A,$B$4,'Data - Monthly Metrics'!$B:$B,P$8,'Data - Monthly Metrics'!$C:$C,"NorthCentral",'Data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Metrics'!$C:$C,"NorthCentral",'Data - Monthly Metrics'!$D:$D,"Goal - Retention %")&gt;0,B59&gt;=SUMIFS('Data - Monthly Metrics'!$E:$E,'Data - Monthly Metrics'!$A:$A,$B$4-1,'Data - Monthly Metrics'!$B:$B,B$8,'Data - Monthly Metrics'!$C:$C,"NorthCentral",'Data - Monthly Metrics'!$D:$D,"Goal - Retention %"))</formula>
    </cfRule>
    <cfRule type="expression" rank="0" priority="83" equalAverage="0" aboveAverage="0" dxfId="2" stopIfTrue="1" text="" percent="0" bottom="0">
      <formula>AND(ISNUMBER(B59),COUNTIFS('Data - Monthly Metrics'!$A:$A,$B$4-1,'Data - Monthly Metrics'!$B:$B,B$8,'Data - Monthly Metrics'!$C:$C,"NorthCentral",'Data - Monthly Metrics'!$D:$D,"Goal - Retention %")&gt;0,B59&gt;=SUMIFS('Data - Monthly Metrics'!$E:$E,'Data - Monthly Metrics'!$A:$A,$B$4-1,'Data - Monthly Metrics'!$B:$B,B$8,'Data - Monthly Metrics'!$C:$C,"NorthCentral",'Data - Monthly Metrics'!$D:$D,"Goal - Retention %")-0.05)</formula>
    </cfRule>
    <cfRule type="expression" rank="0" priority="84" equalAverage="0" aboveAverage="0" dxfId="1" stopIfTrue="1" text="" percent="0" bottom="0">
      <formula>AND(ISNUMBER(B59),COUNTIFS('Data - Monthly Metrics'!$A:$A,$B$4-1,'Data - Monthly Metrics'!$B:$B,B$8,'Data - Monthly Metrics'!$C:$C,"NorthCentral",'Data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Metrics'!$C:$C,"NorthCentral",'Data - Monthly Metrics'!$D:$D,"Goal - Retention %")&gt;0,C59&gt;=SUMIFS('Data - Monthly Metrics'!$E:$E,'Data - Monthly Metrics'!$A:$A,$B$4-1,'Data - Monthly Metrics'!$B:$B,C$8,'Data - Monthly Metrics'!$C:$C,"NorthCentral",'Data - Monthly Metrics'!$D:$D,"Goal - Retention %"))</formula>
    </cfRule>
    <cfRule type="expression" rank="0" priority="86" equalAverage="0" aboveAverage="0" dxfId="2" stopIfTrue="1" text="" percent="0" bottom="0">
      <formula>AND(ISNUMBER(C59),COUNTIFS('Data - Monthly Metrics'!$A:$A,$B$4-1,'Data - Monthly Metrics'!$B:$B,C$8,'Data - Monthly Metrics'!$C:$C,"NorthCentral",'Data - Monthly Metrics'!$D:$D,"Goal - Retention %")&gt;0,C59&gt;=SUMIFS('Data - Monthly Metrics'!$E:$E,'Data - Monthly Metrics'!$A:$A,$B$4-1,'Data - Monthly Metrics'!$B:$B,C$8,'Data - Monthly Metrics'!$C:$C,"NorthCentral",'Data - Monthly Metrics'!$D:$D,"Goal - Retention %")-0.05)</formula>
    </cfRule>
    <cfRule type="expression" rank="0" priority="87" equalAverage="0" aboveAverage="0" dxfId="1" stopIfTrue="1" text="" percent="0" bottom="0">
      <formula>AND(ISNUMBER(C59),COUNTIFS('Data - Monthly Metrics'!$A:$A,$B$4-1,'Data - Monthly Metrics'!$B:$B,C$8,'Data - Monthly Metrics'!$C:$C,"NorthCentral",'Data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Metrics'!$C:$C,"NorthCentral",'Data - Monthly Metrics'!$D:$D,"Goal - Retention %")&gt;0,D59&gt;=SUMIFS('Data - Monthly Metrics'!$E:$E,'Data - Monthly Metrics'!$A:$A,$B$4-1,'Data - Monthly Metrics'!$B:$B,D$8,'Data - Monthly Metrics'!$C:$C,"NorthCentral",'Data - Monthly Metrics'!$D:$D,"Goal - Retention %"))</formula>
    </cfRule>
    <cfRule type="expression" rank="0" priority="89" equalAverage="0" aboveAverage="0" dxfId="2" stopIfTrue="1" text="" percent="0" bottom="0">
      <formula>AND(ISNUMBER(D59),COUNTIFS('Data - Monthly Metrics'!$A:$A,$B$4-1,'Data - Monthly Metrics'!$B:$B,D$8,'Data - Monthly Metrics'!$C:$C,"NorthCentral",'Data - Monthly Metrics'!$D:$D,"Goal - Retention %")&gt;0,D59&gt;=SUMIFS('Data - Monthly Metrics'!$E:$E,'Data - Monthly Metrics'!$A:$A,$B$4-1,'Data - Monthly Metrics'!$B:$B,D$8,'Data - Monthly Metrics'!$C:$C,"NorthCentral",'Data - Monthly Metrics'!$D:$D,"Goal - Retention %")-0.05)</formula>
    </cfRule>
    <cfRule type="expression" rank="0" priority="90" equalAverage="0" aboveAverage="0" dxfId="1" stopIfTrue="1" text="" percent="0" bottom="0">
      <formula>AND(ISNUMBER(D59),COUNTIFS('Data - Monthly Metrics'!$A:$A,$B$4-1,'Data - Monthly Metrics'!$B:$B,D$8,'Data - Monthly Metrics'!$C:$C,"NorthCentral",'Data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Metrics'!$C:$C,"NorthCentral",'Data - Monthly Metrics'!$D:$D,"Goal - Retention %")&gt;0,F59&gt;=SUMIFS('Data - Monthly Metrics'!$E:$E,'Data - Monthly Metrics'!$A:$A,$B$4,'Data - Monthly Metrics'!$B:$B,F$8,'Data - Monthly Metrics'!$C:$C,"NorthCentral",'Data - Monthly Metrics'!$D:$D,"Goal - Retention %"))</formula>
    </cfRule>
    <cfRule type="expression" rank="0" priority="92" equalAverage="0" aboveAverage="0" dxfId="2" stopIfTrue="1" text="" percent="0" bottom="0">
      <formula>AND(ISNUMBER(F59),COUNTIFS('Data - Monthly Metrics'!$A:$A,$B$4,'Data - Monthly Metrics'!$B:$B,F$8,'Data - Monthly Metrics'!$C:$C,"NorthCentral",'Data - Monthly Metrics'!$D:$D,"Goal - Retention %")&gt;0,F59&gt;=SUMIFS('Data - Monthly Metrics'!$E:$E,'Data - Monthly Metrics'!$A:$A,$B$4,'Data - Monthly Metrics'!$B:$B,F$8,'Data - Monthly Metrics'!$C:$C,"NorthCentral",'Data - Monthly Metrics'!$D:$D,"Goal - Retention %")-0.05)</formula>
    </cfRule>
    <cfRule type="expression" rank="0" priority="93" equalAverage="0" aboveAverage="0" dxfId="1" stopIfTrue="1" text="" percent="0" bottom="0">
      <formula>AND(ISNUMBER(F59),COUNTIFS('Data - Monthly Metrics'!$A:$A,$B$4,'Data - Monthly Metrics'!$B:$B,F$8,'Data - Monthly Metrics'!$C:$C,"NorthCentral",'Data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Metrics'!$C:$C,"NorthCentral",'Data - Monthly Metrics'!$D:$D,"Goal - Retention %")&gt;0,G59&gt;=SUMIFS('Data - Monthly Metrics'!$E:$E,'Data - Monthly Metrics'!$A:$A,$B$4,'Data - Monthly Metrics'!$B:$B,G$8,'Data - Monthly Metrics'!$C:$C,"NorthCentral",'Data - Monthly Metrics'!$D:$D,"Goal - Retention %"))</formula>
    </cfRule>
    <cfRule type="expression" rank="0" priority="95" equalAverage="0" aboveAverage="0" dxfId="2" stopIfTrue="1" text="" percent="0" bottom="0">
      <formula>AND(ISNUMBER(G59),COUNTIFS('Data - Monthly Metrics'!$A:$A,$B$4,'Data - Monthly Metrics'!$B:$B,G$8,'Data - Monthly Metrics'!$C:$C,"NorthCentral",'Data - Monthly Metrics'!$D:$D,"Goal - Retention %")&gt;0,G59&gt;=SUMIFS('Data - Monthly Metrics'!$E:$E,'Data - Monthly Metrics'!$A:$A,$B$4,'Data - Monthly Metrics'!$B:$B,G$8,'Data - Monthly Metrics'!$C:$C,"NorthCentral",'Data - Monthly Metrics'!$D:$D,"Goal - Retention %")-0.05)</formula>
    </cfRule>
    <cfRule type="expression" rank="0" priority="96" equalAverage="0" aboveAverage="0" dxfId="1" stopIfTrue="1" text="" percent="0" bottom="0">
      <formula>AND(ISNUMBER(G59),COUNTIFS('Data - Monthly Metrics'!$A:$A,$B$4,'Data - Monthly Metrics'!$B:$B,G$8,'Data - Monthly Metrics'!$C:$C,"NorthCentral",'Data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Metrics'!$C:$C,"NorthCentral",'Data - Monthly Metrics'!$D:$D,"Goal - Retention %")&gt;0,H59&gt;=SUMIFS('Data - Monthly Metrics'!$E:$E,'Data - Monthly Metrics'!$A:$A,$B$4,'Data - Monthly Metrics'!$B:$B,H$8,'Data - Monthly Metrics'!$C:$C,"NorthCentral",'Data - Monthly Metrics'!$D:$D,"Goal - Retention %"))</formula>
    </cfRule>
    <cfRule type="expression" rank="0" priority="98" equalAverage="0" aboveAverage="0" dxfId="2" stopIfTrue="1" text="" percent="0" bottom="0">
      <formula>AND(ISNUMBER(H59),COUNTIFS('Data - Monthly Metrics'!$A:$A,$B$4,'Data - Monthly Metrics'!$B:$B,H$8,'Data - Monthly Metrics'!$C:$C,"NorthCentral",'Data - Monthly Metrics'!$D:$D,"Goal - Retention %")&gt;0,H59&gt;=SUMIFS('Data - Monthly Metrics'!$E:$E,'Data - Monthly Metrics'!$A:$A,$B$4,'Data - Monthly Metrics'!$B:$B,H$8,'Data - Monthly Metrics'!$C:$C,"NorthCentral",'Data - Monthly Metrics'!$D:$D,"Goal - Retention %")-0.05)</formula>
    </cfRule>
    <cfRule type="expression" rank="0" priority="99" equalAverage="0" aboveAverage="0" dxfId="1" stopIfTrue="1" text="" percent="0" bottom="0">
      <formula>AND(ISNUMBER(H59),COUNTIFS('Data - Monthly Metrics'!$A:$A,$B$4,'Data - Monthly Metrics'!$B:$B,H$8,'Data - Monthly Metrics'!$C:$C,"NorthCentral",'Data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Metrics'!$C:$C,"NorthCentral",'Data - Monthly Metrics'!$D:$D,"Goal - Retention %")&gt;0,J59&gt;=SUMIFS('Data - Monthly Metrics'!$E:$E,'Data - Monthly Metrics'!$A:$A,$B$4,'Data - Monthly Metrics'!$B:$B,J$8,'Data - Monthly Metrics'!$C:$C,"NorthCentral",'Data - Monthly Metrics'!$D:$D,"Goal - Retention %"))</formula>
    </cfRule>
    <cfRule type="expression" rank="0" priority="101" equalAverage="0" aboveAverage="0" dxfId="2" stopIfTrue="1" text="" percent="0" bottom="0">
      <formula>AND(ISNUMBER(J59),COUNTIFS('Data - Monthly Metrics'!$A:$A,$B$4,'Data - Monthly Metrics'!$B:$B,J$8,'Data - Monthly Metrics'!$C:$C,"NorthCentral",'Data - Monthly Metrics'!$D:$D,"Goal - Retention %")&gt;0,J59&gt;=SUMIFS('Data - Monthly Metrics'!$E:$E,'Data - Monthly Metrics'!$A:$A,$B$4,'Data - Monthly Metrics'!$B:$B,J$8,'Data - Monthly Metrics'!$C:$C,"NorthCentral",'Data - Monthly Metrics'!$D:$D,"Goal - Retention %")-0.05)</formula>
    </cfRule>
    <cfRule type="expression" rank="0" priority="102" equalAverage="0" aboveAverage="0" dxfId="1" stopIfTrue="1" text="" percent="0" bottom="0">
      <formula>AND(ISNUMBER(J59),COUNTIFS('Data - Monthly Metrics'!$A:$A,$B$4,'Data - Monthly Metrics'!$B:$B,J$8,'Data - Monthly Metrics'!$C:$C,"NorthCentral",'Data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Metrics'!$C:$C,"NorthCentral",'Data - Monthly Metrics'!$D:$D,"Goal - Retention %")&gt;0,K59&gt;=SUMIFS('Data - Monthly Metrics'!$E:$E,'Data - Monthly Metrics'!$A:$A,$B$4,'Data - Monthly Metrics'!$B:$B,K$8,'Data - Monthly Metrics'!$C:$C,"NorthCentral",'Data - Monthly Metrics'!$D:$D,"Goal - Retention %"))</formula>
    </cfRule>
    <cfRule type="expression" rank="0" priority="104" equalAverage="0" aboveAverage="0" dxfId="2" stopIfTrue="1" text="" percent="0" bottom="0">
      <formula>AND(ISNUMBER(K59),COUNTIFS('Data - Monthly Metrics'!$A:$A,$B$4,'Data - Monthly Metrics'!$B:$B,K$8,'Data - Monthly Metrics'!$C:$C,"NorthCentral",'Data - Monthly Metrics'!$D:$D,"Goal - Retention %")&gt;0,K59&gt;=SUMIFS('Data - Monthly Metrics'!$E:$E,'Data - Monthly Metrics'!$A:$A,$B$4,'Data - Monthly Metrics'!$B:$B,K$8,'Data - Monthly Metrics'!$C:$C,"NorthCentral",'Data - Monthly Metrics'!$D:$D,"Goal - Retention %")-0.05)</formula>
    </cfRule>
    <cfRule type="expression" rank="0" priority="105" equalAverage="0" aboveAverage="0" dxfId="1" stopIfTrue="1" text="" percent="0" bottom="0">
      <formula>AND(ISNUMBER(K59),COUNTIFS('Data - Monthly Metrics'!$A:$A,$B$4,'Data - Monthly Metrics'!$B:$B,K$8,'Data - Monthly Metrics'!$C:$C,"NorthCentral",'Data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Metrics'!$C:$C,"NorthCentral",'Data - Monthly Metrics'!$D:$D,"Goal - Retention %")&gt;0,L59&gt;=SUMIFS('Data - Monthly Metrics'!$E:$E,'Data - Monthly Metrics'!$A:$A,$B$4,'Data - Monthly Metrics'!$B:$B,L$8,'Data - Monthly Metrics'!$C:$C,"NorthCentral",'Data - Monthly Metrics'!$D:$D,"Goal - Retention %"))</formula>
    </cfRule>
    <cfRule type="expression" rank="0" priority="107" equalAverage="0" aboveAverage="0" dxfId="2" stopIfTrue="1" text="" percent="0" bottom="0">
      <formula>AND(ISNUMBER(L59),COUNTIFS('Data - Monthly Metrics'!$A:$A,$B$4,'Data - Monthly Metrics'!$B:$B,L$8,'Data - Monthly Metrics'!$C:$C,"NorthCentral",'Data - Monthly Metrics'!$D:$D,"Goal - Retention %")&gt;0,L59&gt;=SUMIFS('Data - Monthly Metrics'!$E:$E,'Data - Monthly Metrics'!$A:$A,$B$4,'Data - Monthly Metrics'!$B:$B,L$8,'Data - Monthly Metrics'!$C:$C,"NorthCentral",'Data - Monthly Metrics'!$D:$D,"Goal - Retention %")-0.05)</formula>
    </cfRule>
    <cfRule type="expression" rank="0" priority="108" equalAverage="0" aboveAverage="0" dxfId="1" stopIfTrue="1" text="" percent="0" bottom="0">
      <formula>AND(ISNUMBER(L59),COUNTIFS('Data - Monthly Metrics'!$A:$A,$B$4,'Data - Monthly Metrics'!$B:$B,L$8,'Data - Monthly Metrics'!$C:$C,"NorthCentral",'Data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Metrics'!$C:$C,"NorthCentral",'Data - Monthly Metrics'!$D:$D,"Goal - Retention %")&gt;0,N59&gt;=SUMIFS('Data - Monthly Metrics'!$E:$E,'Data - Monthly Metrics'!$A:$A,$B$4,'Data - Monthly Metrics'!$B:$B,N$8,'Data - Monthly Metrics'!$C:$C,"NorthCentral",'Data - Monthly Metrics'!$D:$D,"Goal - Retention %"))</formula>
    </cfRule>
    <cfRule type="expression" rank="0" priority="110" equalAverage="0" aboveAverage="0" dxfId="2" stopIfTrue="1" text="" percent="0" bottom="0">
      <formula>AND(ISNUMBER(N59),COUNTIFS('Data - Monthly Metrics'!$A:$A,$B$4,'Data - Monthly Metrics'!$B:$B,N$8,'Data - Monthly Metrics'!$C:$C,"NorthCentral",'Data - Monthly Metrics'!$D:$D,"Goal - Retention %")&gt;0,N59&gt;=SUMIFS('Data - Monthly Metrics'!$E:$E,'Data - Monthly Metrics'!$A:$A,$B$4,'Data - Monthly Metrics'!$B:$B,N$8,'Data - Monthly Metrics'!$C:$C,"NorthCentral",'Data - Monthly Metrics'!$D:$D,"Goal - Retention %")-0.05)</formula>
    </cfRule>
    <cfRule type="expression" rank="0" priority="111" equalAverage="0" aboveAverage="0" dxfId="1" stopIfTrue="1" text="" percent="0" bottom="0">
      <formula>AND(ISNUMBER(N59),COUNTIFS('Data - Monthly Metrics'!$A:$A,$B$4,'Data - Monthly Metrics'!$B:$B,N$8,'Data - Monthly Metrics'!$C:$C,"NorthCentral",'Data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Metrics'!$C:$C,"NorthCentral",'Data - Monthly Metrics'!$D:$D,"Goal - Retention %")&gt;0,O59&gt;=SUMIFS('Data - Monthly Metrics'!$E:$E,'Data - Monthly Metrics'!$A:$A,$B$4,'Data - Monthly Metrics'!$B:$B,O$8,'Data - Monthly Metrics'!$C:$C,"NorthCentral",'Data - Monthly Metrics'!$D:$D,"Goal - Retention %"))</formula>
    </cfRule>
    <cfRule type="expression" rank="0" priority="113" equalAverage="0" aboveAverage="0" dxfId="2" stopIfTrue="1" text="" percent="0" bottom="0">
      <formula>AND(ISNUMBER(O59),COUNTIFS('Data - Monthly Metrics'!$A:$A,$B$4,'Data - Monthly Metrics'!$B:$B,O$8,'Data - Monthly Metrics'!$C:$C,"NorthCentral",'Data - Monthly Metrics'!$D:$D,"Goal - Retention %")&gt;0,O59&gt;=SUMIFS('Data - Monthly Metrics'!$E:$E,'Data - Monthly Metrics'!$A:$A,$B$4,'Data - Monthly Metrics'!$B:$B,O$8,'Data - Monthly Metrics'!$C:$C,"NorthCentral",'Data - Monthly Metrics'!$D:$D,"Goal - Retention %")-0.05)</formula>
    </cfRule>
    <cfRule type="expression" rank="0" priority="114" equalAverage="0" aboveAverage="0" dxfId="1" stopIfTrue="1" text="" percent="0" bottom="0">
      <formula>AND(ISNUMBER(O59),COUNTIFS('Data - Monthly Metrics'!$A:$A,$B$4,'Data - Monthly Metrics'!$B:$B,O$8,'Data - Monthly Metrics'!$C:$C,"NorthCentral",'Data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Metrics'!$C:$C,"NorthCentral",'Data - Monthly Metrics'!$D:$D,"Goal - Retention %")&gt;0,P59&gt;=SUMIFS('Data - Monthly Metrics'!$E:$E,'Data - Monthly Metrics'!$A:$A,$B$4,'Data - Monthly Metrics'!$B:$B,P$8,'Data - Monthly Metrics'!$C:$C,"NorthCentral",'Data - Monthly Metrics'!$D:$D,"Goal - Retention %"))</formula>
    </cfRule>
    <cfRule type="expression" rank="0" priority="116" equalAverage="0" aboveAverage="0" dxfId="2" stopIfTrue="1" text="" percent="0" bottom="0">
      <formula>AND(ISNUMBER(P59),COUNTIFS('Data - Monthly Metrics'!$A:$A,$B$4,'Data - Monthly Metrics'!$B:$B,P$8,'Data - Monthly Metrics'!$C:$C,"NorthCentral",'Data - Monthly Metrics'!$D:$D,"Goal - Retention %")&gt;0,P59&gt;=SUMIFS('Data - Monthly Metrics'!$E:$E,'Data - Monthly Metrics'!$A:$A,$B$4,'Data - Monthly Metrics'!$B:$B,P$8,'Data - Monthly Metrics'!$C:$C,"NorthCentral",'Data - Monthly Metrics'!$D:$D,"Goal - Retention %")-0.05)</formula>
    </cfRule>
    <cfRule type="expression" rank="0" priority="117" equalAverage="0" aboveAverage="0" dxfId="1" stopIfTrue="1" text="" percent="0" bottom="0">
      <formula>AND(ISNUMBER(P59),COUNTIFS('Data - Monthly Metrics'!$A:$A,$B$4,'Data - Monthly Metrics'!$B:$B,P$8,'Data - Monthly Metrics'!$C:$C,"NorthCentral",'Data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Metrics'!$C:$C,"NorthCentral",'Data - Monthly Metrics'!$D:$D,"Goal - Penetration %")&gt;0,B68&gt;=SUMIFS('Data - Monthly Metrics'!$E:$E,'Data - Monthly Metrics'!$A:$A,$B$4-1,'Data - Monthly Metrics'!$B:$B,B$8,'Data - Monthly Metrics'!$C:$C,"NorthCentral",'Data - Monthly Metrics'!$D:$D,"Goal - Penetration %"))</formula>
    </cfRule>
    <cfRule type="expression" rank="0" priority="119" equalAverage="0" aboveAverage="0" dxfId="2" stopIfTrue="1" text="" percent="0" bottom="0">
      <formula>AND(ISNUMBER(B68),COUNTIFS('Data - Monthly Metrics'!$A:$A,$B$4-1,'Data - Monthly Metrics'!$B:$B,B$8,'Data - Monthly Metrics'!$C:$C,"NorthCentral",'Data - Monthly Metrics'!$D:$D,"Goal - Penetration %")&gt;0,B68&gt;=SUMIFS('Data - Monthly Metrics'!$E:$E,'Data - Monthly Metrics'!$A:$A,$B$4-1,'Data - Monthly Metrics'!$B:$B,B$8,'Data - Monthly Metrics'!$C:$C,"NorthCentral",'Data - Monthly Metrics'!$D:$D,"Goal - Penetration %")-0.05)</formula>
    </cfRule>
    <cfRule type="expression" rank="0" priority="120" equalAverage="0" aboveAverage="0" dxfId="1" stopIfTrue="1" text="" percent="0" bottom="0">
      <formula>AND(ISNUMBER(B68),COUNTIFS('Data - Monthly Metrics'!$A:$A,$B$4-1,'Data - Monthly Metrics'!$B:$B,B$8,'Data - Monthly Metrics'!$C:$C,"NorthCentral",'Data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Metrics'!$C:$C,"NorthCentral",'Data - Monthly Metrics'!$D:$D,"Goal - Penetration %")&gt;0,C68&gt;=SUMIFS('Data - Monthly Metrics'!$E:$E,'Data - Monthly Metrics'!$A:$A,$B$4-1,'Data - Monthly Metrics'!$B:$B,C$8,'Data - Monthly Metrics'!$C:$C,"NorthCentral",'Data - Monthly Metrics'!$D:$D,"Goal - Penetration %"))</formula>
    </cfRule>
    <cfRule type="expression" rank="0" priority="122" equalAverage="0" aboveAverage="0" dxfId="2" stopIfTrue="1" text="" percent="0" bottom="0">
      <formula>AND(ISNUMBER(C68),COUNTIFS('Data - Monthly Metrics'!$A:$A,$B$4-1,'Data - Monthly Metrics'!$B:$B,C$8,'Data - Monthly Metrics'!$C:$C,"NorthCentral",'Data - Monthly Metrics'!$D:$D,"Goal - Penetration %")&gt;0,C68&gt;=SUMIFS('Data - Monthly Metrics'!$E:$E,'Data - Monthly Metrics'!$A:$A,$B$4-1,'Data - Monthly Metrics'!$B:$B,C$8,'Data - Monthly Metrics'!$C:$C,"NorthCentral",'Data - Monthly Metrics'!$D:$D,"Goal - Penetration %")-0.05)</formula>
    </cfRule>
    <cfRule type="expression" rank="0" priority="123" equalAverage="0" aboveAverage="0" dxfId="1" stopIfTrue="1" text="" percent="0" bottom="0">
      <formula>AND(ISNUMBER(C68),COUNTIFS('Data - Monthly Metrics'!$A:$A,$B$4-1,'Data - Monthly Metrics'!$B:$B,C$8,'Data - Monthly Metrics'!$C:$C,"NorthCentral",'Data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Metrics'!$C:$C,"NorthCentral",'Data - Monthly Metrics'!$D:$D,"Goal - Penetration %")&gt;0,D68&gt;=SUMIFS('Data - Monthly Metrics'!$E:$E,'Data - Monthly Metrics'!$A:$A,$B$4-1,'Data - Monthly Metrics'!$B:$B,D$8,'Data - Monthly Metrics'!$C:$C,"NorthCentral",'Data - Monthly Metrics'!$D:$D,"Goal - Penetration %"))</formula>
    </cfRule>
    <cfRule type="expression" rank="0" priority="125" equalAverage="0" aboveAverage="0" dxfId="2" stopIfTrue="1" text="" percent="0" bottom="0">
      <formula>AND(ISNUMBER(D68),COUNTIFS('Data - Monthly Metrics'!$A:$A,$B$4-1,'Data - Monthly Metrics'!$B:$B,D$8,'Data - Monthly Metrics'!$C:$C,"NorthCentral",'Data - Monthly Metrics'!$D:$D,"Goal - Penetration %")&gt;0,D68&gt;=SUMIFS('Data - Monthly Metrics'!$E:$E,'Data - Monthly Metrics'!$A:$A,$B$4-1,'Data - Monthly Metrics'!$B:$B,D$8,'Data - Monthly Metrics'!$C:$C,"NorthCentral",'Data - Monthly Metrics'!$D:$D,"Goal - Penetration %")-0.05)</formula>
    </cfRule>
    <cfRule type="expression" rank="0" priority="126" equalAverage="0" aboveAverage="0" dxfId="1" stopIfTrue="1" text="" percent="0" bottom="0">
      <formula>AND(ISNUMBER(D68),COUNTIFS('Data - Monthly Metrics'!$A:$A,$B$4-1,'Data - Monthly Metrics'!$B:$B,D$8,'Data - Monthly Metrics'!$C:$C,"NorthCentral",'Data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Metrics'!$C:$C,"NorthCentral",'Data - Monthly Metrics'!$D:$D,"Goal - Penetration %")&gt;0,F68&gt;=SUMIFS('Data - Monthly Metrics'!$E:$E,'Data - Monthly Metrics'!$A:$A,$B$4,'Data - Monthly Metrics'!$B:$B,F$8,'Data - Monthly Metrics'!$C:$C,"NorthCentral",'Data - Monthly Metrics'!$D:$D,"Goal - Penetration %"))</formula>
    </cfRule>
    <cfRule type="expression" rank="0" priority="128" equalAverage="0" aboveAverage="0" dxfId="2" stopIfTrue="1" text="" percent="0" bottom="0">
      <formula>AND(ISNUMBER(F68),COUNTIFS('Data - Monthly Metrics'!$A:$A,$B$4,'Data - Monthly Metrics'!$B:$B,F$8,'Data - Monthly Metrics'!$C:$C,"NorthCentral",'Data - Monthly Metrics'!$D:$D,"Goal - Penetration %")&gt;0,F68&gt;=SUMIFS('Data - Monthly Metrics'!$E:$E,'Data - Monthly Metrics'!$A:$A,$B$4,'Data - Monthly Metrics'!$B:$B,F$8,'Data - Monthly Metrics'!$C:$C,"NorthCentral",'Data - Monthly Metrics'!$D:$D,"Goal - Penetration %")-0.05)</formula>
    </cfRule>
    <cfRule type="expression" rank="0" priority="129" equalAverage="0" aboveAverage="0" dxfId="1" stopIfTrue="1" text="" percent="0" bottom="0">
      <formula>AND(ISNUMBER(F68),COUNTIFS('Data - Monthly Metrics'!$A:$A,$B$4,'Data - Monthly Metrics'!$B:$B,F$8,'Data - Monthly Metrics'!$C:$C,"NorthCentral",'Data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Metrics'!$C:$C,"NorthCentral",'Data - Monthly Metrics'!$D:$D,"Goal - Penetration %")&gt;0,G68&gt;=SUMIFS('Data - Monthly Metrics'!$E:$E,'Data - Monthly Metrics'!$A:$A,$B$4,'Data - Monthly Metrics'!$B:$B,G$8,'Data - Monthly Metrics'!$C:$C,"NorthCentral",'Data - Monthly Metrics'!$D:$D,"Goal - Penetration %"))</formula>
    </cfRule>
    <cfRule type="expression" rank="0" priority="131" equalAverage="0" aboveAverage="0" dxfId="2" stopIfTrue="1" text="" percent="0" bottom="0">
      <formula>AND(ISNUMBER(G68),COUNTIFS('Data - Monthly Metrics'!$A:$A,$B$4,'Data - Monthly Metrics'!$B:$B,G$8,'Data - Monthly Metrics'!$C:$C,"NorthCentral",'Data - Monthly Metrics'!$D:$D,"Goal - Penetration %")&gt;0,G68&gt;=SUMIFS('Data - Monthly Metrics'!$E:$E,'Data - Monthly Metrics'!$A:$A,$B$4,'Data - Monthly Metrics'!$B:$B,G$8,'Data - Monthly Metrics'!$C:$C,"NorthCentral",'Data - Monthly Metrics'!$D:$D,"Goal - Penetration %")-0.05)</formula>
    </cfRule>
    <cfRule type="expression" rank="0" priority="132" equalAverage="0" aboveAverage="0" dxfId="1" stopIfTrue="1" text="" percent="0" bottom="0">
      <formula>AND(ISNUMBER(G68),COUNTIFS('Data - Monthly Metrics'!$A:$A,$B$4,'Data - Monthly Metrics'!$B:$B,G$8,'Data - Monthly Metrics'!$C:$C,"NorthCentral",'Data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Metrics'!$C:$C,"NorthCentral",'Data - Monthly Metrics'!$D:$D,"Goal - Penetration %")&gt;0,H68&gt;=SUMIFS('Data - Monthly Metrics'!$E:$E,'Data - Monthly Metrics'!$A:$A,$B$4,'Data - Monthly Metrics'!$B:$B,H$8,'Data - Monthly Metrics'!$C:$C,"NorthCentral",'Data - Monthly Metrics'!$D:$D,"Goal - Penetration %"))</formula>
    </cfRule>
    <cfRule type="expression" rank="0" priority="134" equalAverage="0" aboveAverage="0" dxfId="2" stopIfTrue="1" text="" percent="0" bottom="0">
      <formula>AND(ISNUMBER(H68),COUNTIFS('Data - Monthly Metrics'!$A:$A,$B$4,'Data - Monthly Metrics'!$B:$B,H$8,'Data - Monthly Metrics'!$C:$C,"NorthCentral",'Data - Monthly Metrics'!$D:$D,"Goal - Penetration %")&gt;0,H68&gt;=SUMIFS('Data - Monthly Metrics'!$E:$E,'Data - Monthly Metrics'!$A:$A,$B$4,'Data - Monthly Metrics'!$B:$B,H$8,'Data - Monthly Metrics'!$C:$C,"NorthCentral",'Data - Monthly Metrics'!$D:$D,"Goal - Penetration %")-0.05)</formula>
    </cfRule>
    <cfRule type="expression" rank="0" priority="135" equalAverage="0" aboveAverage="0" dxfId="1" stopIfTrue="1" text="" percent="0" bottom="0">
      <formula>AND(ISNUMBER(H68),COUNTIFS('Data - Monthly Metrics'!$A:$A,$B$4,'Data - Monthly Metrics'!$B:$B,H$8,'Data - Monthly Metrics'!$C:$C,"NorthCentral",'Data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Metrics'!$C:$C,"NorthCentral",'Data - Monthly Metrics'!$D:$D,"Goal - Penetration %")&gt;0,J68&gt;=SUMIFS('Data - Monthly Metrics'!$E:$E,'Data - Monthly Metrics'!$A:$A,$B$4,'Data - Monthly Metrics'!$B:$B,J$8,'Data - Monthly Metrics'!$C:$C,"NorthCentral",'Data - Monthly Metrics'!$D:$D,"Goal - Penetration %"))</formula>
    </cfRule>
    <cfRule type="expression" rank="0" priority="137" equalAverage="0" aboveAverage="0" dxfId="2" stopIfTrue="1" text="" percent="0" bottom="0">
      <formula>AND(ISNUMBER(J68),COUNTIFS('Data - Monthly Metrics'!$A:$A,$B$4,'Data - Monthly Metrics'!$B:$B,J$8,'Data - Monthly Metrics'!$C:$C,"NorthCentral",'Data - Monthly Metrics'!$D:$D,"Goal - Penetration %")&gt;0,J68&gt;=SUMIFS('Data - Monthly Metrics'!$E:$E,'Data - Monthly Metrics'!$A:$A,$B$4,'Data - Monthly Metrics'!$B:$B,J$8,'Data - Monthly Metrics'!$C:$C,"NorthCentral",'Data - Monthly Metrics'!$D:$D,"Goal - Penetration %")-0.05)</formula>
    </cfRule>
    <cfRule type="expression" rank="0" priority="138" equalAverage="0" aboveAverage="0" dxfId="1" stopIfTrue="1" text="" percent="0" bottom="0">
      <formula>AND(ISNUMBER(J68),COUNTIFS('Data - Monthly Metrics'!$A:$A,$B$4,'Data - Monthly Metrics'!$B:$B,J$8,'Data - Monthly Metrics'!$C:$C,"NorthCentral",'Data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Metrics'!$C:$C,"NorthCentral",'Data - Monthly Metrics'!$D:$D,"Goal - Penetration %")&gt;0,K68&gt;=SUMIFS('Data - Monthly Metrics'!$E:$E,'Data - Monthly Metrics'!$A:$A,$B$4,'Data - Monthly Metrics'!$B:$B,K$8,'Data - Monthly Metrics'!$C:$C,"NorthCentral",'Data - Monthly Metrics'!$D:$D,"Goal - Penetration %"))</formula>
    </cfRule>
    <cfRule type="expression" rank="0" priority="140" equalAverage="0" aboveAverage="0" dxfId="2" stopIfTrue="1" text="" percent="0" bottom="0">
      <formula>AND(ISNUMBER(K68),COUNTIFS('Data - Monthly Metrics'!$A:$A,$B$4,'Data - Monthly Metrics'!$B:$B,K$8,'Data - Monthly Metrics'!$C:$C,"NorthCentral",'Data - Monthly Metrics'!$D:$D,"Goal - Penetration %")&gt;0,K68&gt;=SUMIFS('Data - Monthly Metrics'!$E:$E,'Data - Monthly Metrics'!$A:$A,$B$4,'Data - Monthly Metrics'!$B:$B,K$8,'Data - Monthly Metrics'!$C:$C,"NorthCentral",'Data - Monthly Metrics'!$D:$D,"Goal - Penetration %")-0.05)</formula>
    </cfRule>
    <cfRule type="expression" rank="0" priority="141" equalAverage="0" aboveAverage="0" dxfId="1" stopIfTrue="1" text="" percent="0" bottom="0">
      <formula>AND(ISNUMBER(K68),COUNTIFS('Data - Monthly Metrics'!$A:$A,$B$4,'Data - Monthly Metrics'!$B:$B,K$8,'Data - Monthly Metrics'!$C:$C,"NorthCentral",'Data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Metrics'!$C:$C,"NorthCentral",'Data - Monthly Metrics'!$D:$D,"Goal - Penetration %")&gt;0,L68&gt;=SUMIFS('Data - Monthly Metrics'!$E:$E,'Data - Monthly Metrics'!$A:$A,$B$4,'Data - Monthly Metrics'!$B:$B,L$8,'Data - Monthly Metrics'!$C:$C,"NorthCentral",'Data - Monthly Metrics'!$D:$D,"Goal - Penetration %"))</formula>
    </cfRule>
    <cfRule type="expression" rank="0" priority="143" equalAverage="0" aboveAverage="0" dxfId="2" stopIfTrue="1" text="" percent="0" bottom="0">
      <formula>AND(ISNUMBER(L68),COUNTIFS('Data - Monthly Metrics'!$A:$A,$B$4,'Data - Monthly Metrics'!$B:$B,L$8,'Data - Monthly Metrics'!$C:$C,"NorthCentral",'Data - Monthly Metrics'!$D:$D,"Goal - Penetration %")&gt;0,L68&gt;=SUMIFS('Data - Monthly Metrics'!$E:$E,'Data - Monthly Metrics'!$A:$A,$B$4,'Data - Monthly Metrics'!$B:$B,L$8,'Data - Monthly Metrics'!$C:$C,"NorthCentral",'Data - Monthly Metrics'!$D:$D,"Goal - Penetration %")-0.05)</formula>
    </cfRule>
    <cfRule type="expression" rank="0" priority="144" equalAverage="0" aboveAverage="0" dxfId="1" stopIfTrue="1" text="" percent="0" bottom="0">
      <formula>AND(ISNUMBER(L68),COUNTIFS('Data - Monthly Metrics'!$A:$A,$B$4,'Data - Monthly Metrics'!$B:$B,L$8,'Data - Monthly Metrics'!$C:$C,"NorthCentral",'Data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Metrics'!$C:$C,"NorthCentral",'Data - Monthly Metrics'!$D:$D,"Goal - Penetration %")&gt;0,N68&gt;=SUMIFS('Data - Monthly Metrics'!$E:$E,'Data - Monthly Metrics'!$A:$A,$B$4,'Data - Monthly Metrics'!$B:$B,N$8,'Data - Monthly Metrics'!$C:$C,"NorthCentral",'Data - Monthly Metrics'!$D:$D,"Goal - Penetration %"))</formula>
    </cfRule>
    <cfRule type="expression" rank="0" priority="146" equalAverage="0" aboveAverage="0" dxfId="2" stopIfTrue="1" text="" percent="0" bottom="0">
      <formula>AND(ISNUMBER(N68),COUNTIFS('Data - Monthly Metrics'!$A:$A,$B$4,'Data - Monthly Metrics'!$B:$B,N$8,'Data - Monthly Metrics'!$C:$C,"NorthCentral",'Data - Monthly Metrics'!$D:$D,"Goal - Penetration %")&gt;0,N68&gt;=SUMIFS('Data - Monthly Metrics'!$E:$E,'Data - Monthly Metrics'!$A:$A,$B$4,'Data - Monthly Metrics'!$B:$B,N$8,'Data - Monthly Metrics'!$C:$C,"NorthCentral",'Data - Monthly Metrics'!$D:$D,"Goal - Penetration %")-0.05)</formula>
    </cfRule>
    <cfRule type="expression" rank="0" priority="147" equalAverage="0" aboveAverage="0" dxfId="1" stopIfTrue="1" text="" percent="0" bottom="0">
      <formula>AND(ISNUMBER(N68),COUNTIFS('Data - Monthly Metrics'!$A:$A,$B$4,'Data - Monthly Metrics'!$B:$B,N$8,'Data - Monthly Metrics'!$C:$C,"NorthCentral",'Data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Metrics'!$C:$C,"NorthCentral",'Data - Monthly Metrics'!$D:$D,"Goal - Penetration %")&gt;0,O68&gt;=SUMIFS('Data - Monthly Metrics'!$E:$E,'Data - Monthly Metrics'!$A:$A,$B$4,'Data - Monthly Metrics'!$B:$B,O$8,'Data - Monthly Metrics'!$C:$C,"NorthCentral",'Data - Monthly Metrics'!$D:$D,"Goal - Penetration %"))</formula>
    </cfRule>
    <cfRule type="expression" rank="0" priority="149" equalAverage="0" aboveAverage="0" dxfId="2" stopIfTrue="1" text="" percent="0" bottom="0">
      <formula>AND(ISNUMBER(O68),COUNTIFS('Data - Monthly Metrics'!$A:$A,$B$4,'Data - Monthly Metrics'!$B:$B,O$8,'Data - Monthly Metrics'!$C:$C,"NorthCentral",'Data - Monthly Metrics'!$D:$D,"Goal - Penetration %")&gt;0,O68&gt;=SUMIFS('Data - Monthly Metrics'!$E:$E,'Data - Monthly Metrics'!$A:$A,$B$4,'Data - Monthly Metrics'!$B:$B,O$8,'Data - Monthly Metrics'!$C:$C,"NorthCentral",'Data - Monthly Metrics'!$D:$D,"Goal - Penetration %")-0.05)</formula>
    </cfRule>
    <cfRule type="expression" rank="0" priority="150" equalAverage="0" aboveAverage="0" dxfId="1" stopIfTrue="1" text="" percent="0" bottom="0">
      <formula>AND(ISNUMBER(O68),COUNTIFS('Data - Monthly Metrics'!$A:$A,$B$4,'Data - Monthly Metrics'!$B:$B,O$8,'Data - Monthly Metrics'!$C:$C,"NorthCentral",'Data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Metrics'!$C:$C,"NorthCentral",'Data - Monthly Metrics'!$D:$D,"Goal - Penetration %")&gt;0,P68&gt;=SUMIFS('Data - Monthly Metrics'!$E:$E,'Data - Monthly Metrics'!$A:$A,$B$4,'Data - Monthly Metrics'!$B:$B,P$8,'Data - Monthly Metrics'!$C:$C,"NorthCentral",'Data - Monthly Metrics'!$D:$D,"Goal - Penetration %"))</formula>
    </cfRule>
    <cfRule type="expression" rank="0" priority="152" equalAverage="0" aboveAverage="0" dxfId="2" stopIfTrue="1" text="" percent="0" bottom="0">
      <formula>AND(ISNUMBER(P68),COUNTIFS('Data - Monthly Metrics'!$A:$A,$B$4,'Data - Monthly Metrics'!$B:$B,P$8,'Data - Monthly Metrics'!$C:$C,"NorthCentral",'Data - Monthly Metrics'!$D:$D,"Goal - Penetration %")&gt;0,P68&gt;=SUMIFS('Data - Monthly Metrics'!$E:$E,'Data - Monthly Metrics'!$A:$A,$B$4,'Data - Monthly Metrics'!$B:$B,P$8,'Data - Monthly Metrics'!$C:$C,"NorthCentral",'Data - Monthly Metrics'!$D:$D,"Goal - Penetration %")-0.05)</formula>
    </cfRule>
    <cfRule type="expression" rank="0" priority="153" equalAverage="0" aboveAverage="0" dxfId="1" stopIfTrue="1" text="" percent="0" bottom="0">
      <formula>AND(ISNUMBER(P68),COUNTIFS('Data - Monthly Metrics'!$A:$A,$B$4,'Data - Monthly Metrics'!$B:$B,P$8,'Data - Monthly Metrics'!$C:$C,"NorthCentral",'Data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Metrics'!$C:$C,"NorthCentral",'Data - Monthly Metrics'!$D:$D,"Goal - Penetration %")&gt;0,B69&gt;=SUMIFS('Data - Monthly Metrics'!$E:$E,'Data - Monthly Metrics'!$A:$A,$B$4-1,'Data - Monthly Metrics'!$B:$B,B$8,'Data - Monthly Metrics'!$C:$C,"NorthCentral",'Data - Monthly Metrics'!$D:$D,"Goal - Penetration %"))</formula>
    </cfRule>
    <cfRule type="expression" rank="0" priority="155" equalAverage="0" aboveAverage="0" dxfId="2" stopIfTrue="1" text="" percent="0" bottom="0">
      <formula>AND(ISNUMBER(B69),COUNTIFS('Data - Monthly Metrics'!$A:$A,$B$4-1,'Data - Monthly Metrics'!$B:$B,B$8,'Data - Monthly Metrics'!$C:$C,"NorthCentral",'Data - Monthly Metrics'!$D:$D,"Goal - Penetration %")&gt;0,B69&gt;=SUMIFS('Data - Monthly Metrics'!$E:$E,'Data - Monthly Metrics'!$A:$A,$B$4-1,'Data - Monthly Metrics'!$B:$B,B$8,'Data - Monthly Metrics'!$C:$C,"NorthCentral",'Data - Monthly Metrics'!$D:$D,"Goal - Penetration %")-0.05)</formula>
    </cfRule>
    <cfRule type="expression" rank="0" priority="156" equalAverage="0" aboveAverage="0" dxfId="1" stopIfTrue="1" text="" percent="0" bottom="0">
      <formula>AND(ISNUMBER(B69),COUNTIFS('Data - Monthly Metrics'!$A:$A,$B$4-1,'Data - Monthly Metrics'!$B:$B,B$8,'Data - Monthly Metrics'!$C:$C,"NorthCentral",'Data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Metrics'!$C:$C,"NorthCentral",'Data - Monthly Metrics'!$D:$D,"Goal - Penetration %")&gt;0,C69&gt;=SUMIFS('Data - Monthly Metrics'!$E:$E,'Data - Monthly Metrics'!$A:$A,$B$4-1,'Data - Monthly Metrics'!$B:$B,C$8,'Data - Monthly Metrics'!$C:$C,"NorthCentral",'Data - Monthly Metrics'!$D:$D,"Goal - Penetration %"))</formula>
    </cfRule>
    <cfRule type="expression" rank="0" priority="158" equalAverage="0" aboveAverage="0" dxfId="2" stopIfTrue="1" text="" percent="0" bottom="0">
      <formula>AND(ISNUMBER(C69),COUNTIFS('Data - Monthly Metrics'!$A:$A,$B$4-1,'Data - Monthly Metrics'!$B:$B,C$8,'Data - Monthly Metrics'!$C:$C,"NorthCentral",'Data - Monthly Metrics'!$D:$D,"Goal - Penetration %")&gt;0,C69&gt;=SUMIFS('Data - Monthly Metrics'!$E:$E,'Data - Monthly Metrics'!$A:$A,$B$4-1,'Data - Monthly Metrics'!$B:$B,C$8,'Data - Monthly Metrics'!$C:$C,"NorthCentral",'Data - Monthly Metrics'!$D:$D,"Goal - Penetration %")-0.05)</formula>
    </cfRule>
    <cfRule type="expression" rank="0" priority="159" equalAverage="0" aboveAverage="0" dxfId="1" stopIfTrue="1" text="" percent="0" bottom="0">
      <formula>AND(ISNUMBER(C69),COUNTIFS('Data - Monthly Metrics'!$A:$A,$B$4-1,'Data - Monthly Metrics'!$B:$B,C$8,'Data - Monthly Metrics'!$C:$C,"NorthCentral",'Data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Metrics'!$C:$C,"NorthCentral",'Data - Monthly Metrics'!$D:$D,"Goal - Penetration %")&gt;0,D69&gt;=SUMIFS('Data - Monthly Metrics'!$E:$E,'Data - Monthly Metrics'!$A:$A,$B$4-1,'Data - Monthly Metrics'!$B:$B,D$8,'Data - Monthly Metrics'!$C:$C,"NorthCentral",'Data - Monthly Metrics'!$D:$D,"Goal - Penetration %"))</formula>
    </cfRule>
    <cfRule type="expression" rank="0" priority="161" equalAverage="0" aboveAverage="0" dxfId="2" stopIfTrue="1" text="" percent="0" bottom="0">
      <formula>AND(ISNUMBER(D69),COUNTIFS('Data - Monthly Metrics'!$A:$A,$B$4-1,'Data - Monthly Metrics'!$B:$B,D$8,'Data - Monthly Metrics'!$C:$C,"NorthCentral",'Data - Monthly Metrics'!$D:$D,"Goal - Penetration %")&gt;0,D69&gt;=SUMIFS('Data - Monthly Metrics'!$E:$E,'Data - Monthly Metrics'!$A:$A,$B$4-1,'Data - Monthly Metrics'!$B:$B,D$8,'Data - Monthly Metrics'!$C:$C,"NorthCentral",'Data - Monthly Metrics'!$D:$D,"Goal - Penetration %")-0.05)</formula>
    </cfRule>
    <cfRule type="expression" rank="0" priority="162" equalAverage="0" aboveAverage="0" dxfId="1" stopIfTrue="1" text="" percent="0" bottom="0">
      <formula>AND(ISNUMBER(D69),COUNTIFS('Data - Monthly Metrics'!$A:$A,$B$4-1,'Data - Monthly Metrics'!$B:$B,D$8,'Data - Monthly Metrics'!$C:$C,"NorthCentral",'Data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Metrics'!$C:$C,"NorthCentral",'Data - Monthly Metrics'!$D:$D,"Goal - Penetration %")&gt;0,F69&gt;=SUMIFS('Data - Monthly Metrics'!$E:$E,'Data - Monthly Metrics'!$A:$A,$B$4,'Data - Monthly Metrics'!$B:$B,F$8,'Data - Monthly Metrics'!$C:$C,"NorthCentral",'Data - Monthly Metrics'!$D:$D,"Goal - Penetration %"))</formula>
    </cfRule>
    <cfRule type="expression" rank="0" priority="164" equalAverage="0" aboveAverage="0" dxfId="2" stopIfTrue="1" text="" percent="0" bottom="0">
      <formula>AND(ISNUMBER(F69),COUNTIFS('Data - Monthly Metrics'!$A:$A,$B$4,'Data - Monthly Metrics'!$B:$B,F$8,'Data - Monthly Metrics'!$C:$C,"NorthCentral",'Data - Monthly Metrics'!$D:$D,"Goal - Penetration %")&gt;0,F69&gt;=SUMIFS('Data - Monthly Metrics'!$E:$E,'Data - Monthly Metrics'!$A:$A,$B$4,'Data - Monthly Metrics'!$B:$B,F$8,'Data - Monthly Metrics'!$C:$C,"NorthCentral",'Data - Monthly Metrics'!$D:$D,"Goal - Penetration %")-0.05)</formula>
    </cfRule>
    <cfRule type="expression" rank="0" priority="165" equalAverage="0" aboveAverage="0" dxfId="1" stopIfTrue="1" text="" percent="0" bottom="0">
      <formula>AND(ISNUMBER(F69),COUNTIFS('Data - Monthly Metrics'!$A:$A,$B$4,'Data - Monthly Metrics'!$B:$B,F$8,'Data - Monthly Metrics'!$C:$C,"NorthCentral",'Data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Metrics'!$C:$C,"NorthCentral",'Data - Monthly Metrics'!$D:$D,"Goal - Penetration %")&gt;0,G69&gt;=SUMIFS('Data - Monthly Metrics'!$E:$E,'Data - Monthly Metrics'!$A:$A,$B$4,'Data - Monthly Metrics'!$B:$B,G$8,'Data - Monthly Metrics'!$C:$C,"NorthCentral",'Data - Monthly Metrics'!$D:$D,"Goal - Penetration %"))</formula>
    </cfRule>
    <cfRule type="expression" rank="0" priority="167" equalAverage="0" aboveAverage="0" dxfId="2" stopIfTrue="1" text="" percent="0" bottom="0">
      <formula>AND(ISNUMBER(G69),COUNTIFS('Data - Monthly Metrics'!$A:$A,$B$4,'Data - Monthly Metrics'!$B:$B,G$8,'Data - Monthly Metrics'!$C:$C,"NorthCentral",'Data - Monthly Metrics'!$D:$D,"Goal - Penetration %")&gt;0,G69&gt;=SUMIFS('Data - Monthly Metrics'!$E:$E,'Data - Monthly Metrics'!$A:$A,$B$4,'Data - Monthly Metrics'!$B:$B,G$8,'Data - Monthly Metrics'!$C:$C,"NorthCentral",'Data - Monthly Metrics'!$D:$D,"Goal - Penetration %")-0.05)</formula>
    </cfRule>
    <cfRule type="expression" rank="0" priority="168" equalAverage="0" aboveAverage="0" dxfId="1" stopIfTrue="1" text="" percent="0" bottom="0">
      <formula>AND(ISNUMBER(G69),COUNTIFS('Data - Monthly Metrics'!$A:$A,$B$4,'Data - Monthly Metrics'!$B:$B,G$8,'Data - Monthly Metrics'!$C:$C,"NorthCentral",'Data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Metrics'!$C:$C,"NorthCentral",'Data - Monthly Metrics'!$D:$D,"Goal - Penetration %")&gt;0,H69&gt;=SUMIFS('Data - Monthly Metrics'!$E:$E,'Data - Monthly Metrics'!$A:$A,$B$4,'Data - Monthly Metrics'!$B:$B,H$8,'Data - Monthly Metrics'!$C:$C,"NorthCentral",'Data - Monthly Metrics'!$D:$D,"Goal - Penetration %"))</formula>
    </cfRule>
    <cfRule type="expression" rank="0" priority="170" equalAverage="0" aboveAverage="0" dxfId="2" stopIfTrue="1" text="" percent="0" bottom="0">
      <formula>AND(ISNUMBER(H69),COUNTIFS('Data - Monthly Metrics'!$A:$A,$B$4,'Data - Monthly Metrics'!$B:$B,H$8,'Data - Monthly Metrics'!$C:$C,"NorthCentral",'Data - Monthly Metrics'!$D:$D,"Goal - Penetration %")&gt;0,H69&gt;=SUMIFS('Data - Monthly Metrics'!$E:$E,'Data - Monthly Metrics'!$A:$A,$B$4,'Data - Monthly Metrics'!$B:$B,H$8,'Data - Monthly Metrics'!$C:$C,"NorthCentral",'Data - Monthly Metrics'!$D:$D,"Goal - Penetration %")-0.05)</formula>
    </cfRule>
    <cfRule type="expression" rank="0" priority="171" equalAverage="0" aboveAverage="0" dxfId="1" stopIfTrue="1" text="" percent="0" bottom="0">
      <formula>AND(ISNUMBER(H69),COUNTIFS('Data - Monthly Metrics'!$A:$A,$B$4,'Data - Monthly Metrics'!$B:$B,H$8,'Data - Monthly Metrics'!$C:$C,"NorthCentral",'Data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Metrics'!$C:$C,"NorthCentral",'Data - Monthly Metrics'!$D:$D,"Goal - Penetration %")&gt;0,J69&gt;=SUMIFS('Data - Monthly Metrics'!$E:$E,'Data - Monthly Metrics'!$A:$A,$B$4,'Data - Monthly Metrics'!$B:$B,J$8,'Data - Monthly Metrics'!$C:$C,"NorthCentral",'Data - Monthly Metrics'!$D:$D,"Goal - Penetration %"))</formula>
    </cfRule>
    <cfRule type="expression" rank="0" priority="173" equalAverage="0" aboveAverage="0" dxfId="2" stopIfTrue="1" text="" percent="0" bottom="0">
      <formula>AND(ISNUMBER(J69),COUNTIFS('Data - Monthly Metrics'!$A:$A,$B$4,'Data - Monthly Metrics'!$B:$B,J$8,'Data - Monthly Metrics'!$C:$C,"NorthCentral",'Data - Monthly Metrics'!$D:$D,"Goal - Penetration %")&gt;0,J69&gt;=SUMIFS('Data - Monthly Metrics'!$E:$E,'Data - Monthly Metrics'!$A:$A,$B$4,'Data - Monthly Metrics'!$B:$B,J$8,'Data - Monthly Metrics'!$C:$C,"NorthCentral",'Data - Monthly Metrics'!$D:$D,"Goal - Penetration %")-0.05)</formula>
    </cfRule>
    <cfRule type="expression" rank="0" priority="174" equalAverage="0" aboveAverage="0" dxfId="1" stopIfTrue="1" text="" percent="0" bottom="0">
      <formula>AND(ISNUMBER(J69),COUNTIFS('Data - Monthly Metrics'!$A:$A,$B$4,'Data - Monthly Metrics'!$B:$B,J$8,'Data - Monthly Metrics'!$C:$C,"NorthCentral",'Data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Metrics'!$C:$C,"NorthCentral",'Data - Monthly Metrics'!$D:$D,"Goal - Penetration %")&gt;0,K69&gt;=SUMIFS('Data - Monthly Metrics'!$E:$E,'Data - Monthly Metrics'!$A:$A,$B$4,'Data - Monthly Metrics'!$B:$B,K$8,'Data - Monthly Metrics'!$C:$C,"NorthCentral",'Data - Monthly Metrics'!$D:$D,"Goal - Penetration %"))</formula>
    </cfRule>
    <cfRule type="expression" rank="0" priority="176" equalAverage="0" aboveAverage="0" dxfId="2" stopIfTrue="1" text="" percent="0" bottom="0">
      <formula>AND(ISNUMBER(K69),COUNTIFS('Data - Monthly Metrics'!$A:$A,$B$4,'Data - Monthly Metrics'!$B:$B,K$8,'Data - Monthly Metrics'!$C:$C,"NorthCentral",'Data - Monthly Metrics'!$D:$D,"Goal - Penetration %")&gt;0,K69&gt;=SUMIFS('Data - Monthly Metrics'!$E:$E,'Data - Monthly Metrics'!$A:$A,$B$4,'Data - Monthly Metrics'!$B:$B,K$8,'Data - Monthly Metrics'!$C:$C,"NorthCentral",'Data - Monthly Metrics'!$D:$D,"Goal - Penetration %")-0.05)</formula>
    </cfRule>
    <cfRule type="expression" rank="0" priority="177" equalAverage="0" aboveAverage="0" dxfId="1" stopIfTrue="1" text="" percent="0" bottom="0">
      <formula>AND(ISNUMBER(K69),COUNTIFS('Data - Monthly Metrics'!$A:$A,$B$4,'Data - Monthly Metrics'!$B:$B,K$8,'Data - Monthly Metrics'!$C:$C,"NorthCentral",'Data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Metrics'!$C:$C,"NorthCentral",'Data - Monthly Metrics'!$D:$D,"Goal - Penetration %")&gt;0,L69&gt;=SUMIFS('Data - Monthly Metrics'!$E:$E,'Data - Monthly Metrics'!$A:$A,$B$4,'Data - Monthly Metrics'!$B:$B,L$8,'Data - Monthly Metrics'!$C:$C,"NorthCentral",'Data - Monthly Metrics'!$D:$D,"Goal - Penetration %"))</formula>
    </cfRule>
    <cfRule type="expression" rank="0" priority="179" equalAverage="0" aboveAverage="0" dxfId="2" stopIfTrue="1" text="" percent="0" bottom="0">
      <formula>AND(ISNUMBER(L69),COUNTIFS('Data - Monthly Metrics'!$A:$A,$B$4,'Data - Monthly Metrics'!$B:$B,L$8,'Data - Monthly Metrics'!$C:$C,"NorthCentral",'Data - Monthly Metrics'!$D:$D,"Goal - Penetration %")&gt;0,L69&gt;=SUMIFS('Data - Monthly Metrics'!$E:$E,'Data - Monthly Metrics'!$A:$A,$B$4,'Data - Monthly Metrics'!$B:$B,L$8,'Data - Monthly Metrics'!$C:$C,"NorthCentral",'Data - Monthly Metrics'!$D:$D,"Goal - Penetration %")-0.05)</formula>
    </cfRule>
    <cfRule type="expression" rank="0" priority="180" equalAverage="0" aboveAverage="0" dxfId="1" stopIfTrue="1" text="" percent="0" bottom="0">
      <formula>AND(ISNUMBER(L69),COUNTIFS('Data - Monthly Metrics'!$A:$A,$B$4,'Data - Monthly Metrics'!$B:$B,L$8,'Data - Monthly Metrics'!$C:$C,"NorthCentral",'Data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Metrics'!$C:$C,"NorthCentral",'Data - Monthly Metrics'!$D:$D,"Goal - Penetration %")&gt;0,N69&gt;=SUMIFS('Data - Monthly Metrics'!$E:$E,'Data - Monthly Metrics'!$A:$A,$B$4,'Data - Monthly Metrics'!$B:$B,N$8,'Data - Monthly Metrics'!$C:$C,"NorthCentral",'Data - Monthly Metrics'!$D:$D,"Goal - Penetration %"))</formula>
    </cfRule>
    <cfRule type="expression" rank="0" priority="182" equalAverage="0" aboveAverage="0" dxfId="2" stopIfTrue="1" text="" percent="0" bottom="0">
      <formula>AND(ISNUMBER(N69),COUNTIFS('Data - Monthly Metrics'!$A:$A,$B$4,'Data - Monthly Metrics'!$B:$B,N$8,'Data - Monthly Metrics'!$C:$C,"NorthCentral",'Data - Monthly Metrics'!$D:$D,"Goal - Penetration %")&gt;0,N69&gt;=SUMIFS('Data - Monthly Metrics'!$E:$E,'Data - Monthly Metrics'!$A:$A,$B$4,'Data - Monthly Metrics'!$B:$B,N$8,'Data - Monthly Metrics'!$C:$C,"NorthCentral",'Data - Monthly Metrics'!$D:$D,"Goal - Penetration %")-0.05)</formula>
    </cfRule>
    <cfRule type="expression" rank="0" priority="183" equalAverage="0" aboveAverage="0" dxfId="1" stopIfTrue="1" text="" percent="0" bottom="0">
      <formula>AND(ISNUMBER(N69),COUNTIFS('Data - Monthly Metrics'!$A:$A,$B$4,'Data - Monthly Metrics'!$B:$B,N$8,'Data - Monthly Metrics'!$C:$C,"NorthCentral",'Data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Metrics'!$C:$C,"NorthCentral",'Data - Monthly Metrics'!$D:$D,"Goal - Penetration %")&gt;0,O69&gt;=SUMIFS('Data - Monthly Metrics'!$E:$E,'Data - Monthly Metrics'!$A:$A,$B$4,'Data - Monthly Metrics'!$B:$B,O$8,'Data - Monthly Metrics'!$C:$C,"NorthCentral",'Data - Monthly Metrics'!$D:$D,"Goal - Penetration %"))</formula>
    </cfRule>
    <cfRule type="expression" rank="0" priority="185" equalAverage="0" aboveAverage="0" dxfId="2" stopIfTrue="1" text="" percent="0" bottom="0">
      <formula>AND(ISNUMBER(O69),COUNTIFS('Data - Monthly Metrics'!$A:$A,$B$4,'Data - Monthly Metrics'!$B:$B,O$8,'Data - Monthly Metrics'!$C:$C,"NorthCentral",'Data - Monthly Metrics'!$D:$D,"Goal - Penetration %")&gt;0,O69&gt;=SUMIFS('Data - Monthly Metrics'!$E:$E,'Data - Monthly Metrics'!$A:$A,$B$4,'Data - Monthly Metrics'!$B:$B,O$8,'Data - Monthly Metrics'!$C:$C,"NorthCentral",'Data - Monthly Metrics'!$D:$D,"Goal - Penetration %")-0.05)</formula>
    </cfRule>
    <cfRule type="expression" rank="0" priority="186" equalAverage="0" aboveAverage="0" dxfId="1" stopIfTrue="1" text="" percent="0" bottom="0">
      <formula>AND(ISNUMBER(O69),COUNTIFS('Data - Monthly Metrics'!$A:$A,$B$4,'Data - Monthly Metrics'!$B:$B,O$8,'Data - Monthly Metrics'!$C:$C,"NorthCentral",'Data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Metrics'!$C:$C,"NorthCentral",'Data - Monthly Metrics'!$D:$D,"Goal - Penetration %")&gt;0,P69&gt;=SUMIFS('Data - Monthly Metrics'!$E:$E,'Data - Monthly Metrics'!$A:$A,$B$4,'Data - Monthly Metrics'!$B:$B,P$8,'Data - Monthly Metrics'!$C:$C,"NorthCentral",'Data - Monthly Metrics'!$D:$D,"Goal - Penetration %"))</formula>
    </cfRule>
    <cfRule type="expression" rank="0" priority="188" equalAverage="0" aboveAverage="0" dxfId="2" stopIfTrue="1" text="" percent="0" bottom="0">
      <formula>AND(ISNUMBER(P69),COUNTIFS('Data - Monthly Metrics'!$A:$A,$B$4,'Data - Monthly Metrics'!$B:$B,P$8,'Data - Monthly Metrics'!$C:$C,"NorthCentral",'Data - Monthly Metrics'!$D:$D,"Goal - Penetration %")&gt;0,P69&gt;=SUMIFS('Data - Monthly Metrics'!$E:$E,'Data - Monthly Metrics'!$A:$A,$B$4,'Data - Monthly Metrics'!$B:$B,P$8,'Data - Monthly Metrics'!$C:$C,"NorthCentral",'Data - Monthly Metrics'!$D:$D,"Goal - Penetration %")-0.05)</formula>
    </cfRule>
    <cfRule type="expression" rank="0" priority="189" equalAverage="0" aboveAverage="0" dxfId="1" stopIfTrue="1" text="" percent="0" bottom="0">
      <formula>AND(ISNUMBER(P69),COUNTIFS('Data - Monthly Metrics'!$A:$A,$B$4,'Data - Monthly Metrics'!$B:$B,P$8,'Data - Monthly Metrics'!$C:$C,"NorthCentral",'Data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Metrics'!$C:$C,"NorthCentral",'Data - Monthly Metrics'!$D:$D,"Goal - Penetration %")&gt;0,B70&gt;=SUMIFS('Data - Monthly Metrics'!$E:$E,'Data - Monthly Metrics'!$A:$A,$B$4-1,'Data - Monthly Metrics'!$B:$B,B$8,'Data - Monthly Metrics'!$C:$C,"NorthCentral",'Data - Monthly Metrics'!$D:$D,"Goal - Penetration %"))</formula>
    </cfRule>
    <cfRule type="expression" rank="0" priority="191" equalAverage="0" aboveAverage="0" dxfId="2" stopIfTrue="1" text="" percent="0" bottom="0">
      <formula>AND(ISNUMBER(B70),COUNTIFS('Data - Monthly Metrics'!$A:$A,$B$4-1,'Data - Monthly Metrics'!$B:$B,B$8,'Data - Monthly Metrics'!$C:$C,"NorthCentral",'Data - Monthly Metrics'!$D:$D,"Goal - Penetration %")&gt;0,B70&gt;=SUMIFS('Data - Monthly Metrics'!$E:$E,'Data - Monthly Metrics'!$A:$A,$B$4-1,'Data - Monthly Metrics'!$B:$B,B$8,'Data - Monthly Metrics'!$C:$C,"NorthCentral",'Data - Monthly Metrics'!$D:$D,"Goal - Penetration %")-0.05)</formula>
    </cfRule>
    <cfRule type="expression" rank="0" priority="192" equalAverage="0" aboveAverage="0" dxfId="1" stopIfTrue="1" text="" percent="0" bottom="0">
      <formula>AND(ISNUMBER(B70),COUNTIFS('Data - Monthly Metrics'!$A:$A,$B$4-1,'Data - Monthly Metrics'!$B:$B,B$8,'Data - Monthly Metrics'!$C:$C,"NorthCentral",'Data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Metrics'!$C:$C,"NorthCentral",'Data - Monthly Metrics'!$D:$D,"Goal - Penetration %")&gt;0,C70&gt;=SUMIFS('Data - Monthly Metrics'!$E:$E,'Data - Monthly Metrics'!$A:$A,$B$4-1,'Data - Monthly Metrics'!$B:$B,C$8,'Data - Monthly Metrics'!$C:$C,"NorthCentral",'Data - Monthly Metrics'!$D:$D,"Goal - Penetration %"))</formula>
    </cfRule>
    <cfRule type="expression" rank="0" priority="194" equalAverage="0" aboveAverage="0" dxfId="2" stopIfTrue="1" text="" percent="0" bottom="0">
      <formula>AND(ISNUMBER(C70),COUNTIFS('Data - Monthly Metrics'!$A:$A,$B$4-1,'Data - Monthly Metrics'!$B:$B,C$8,'Data - Monthly Metrics'!$C:$C,"NorthCentral",'Data - Monthly Metrics'!$D:$D,"Goal - Penetration %")&gt;0,C70&gt;=SUMIFS('Data - Monthly Metrics'!$E:$E,'Data - Monthly Metrics'!$A:$A,$B$4-1,'Data - Monthly Metrics'!$B:$B,C$8,'Data - Monthly Metrics'!$C:$C,"NorthCentral",'Data - Monthly Metrics'!$D:$D,"Goal - Penetration %")-0.05)</formula>
    </cfRule>
    <cfRule type="expression" rank="0" priority="195" equalAverage="0" aboveAverage="0" dxfId="1" stopIfTrue="1" text="" percent="0" bottom="0">
      <formula>AND(ISNUMBER(C70),COUNTIFS('Data - Monthly Metrics'!$A:$A,$B$4-1,'Data - Monthly Metrics'!$B:$B,C$8,'Data - Monthly Metrics'!$C:$C,"NorthCentral",'Data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Metrics'!$C:$C,"NorthCentral",'Data - Monthly Metrics'!$D:$D,"Goal - Penetration %")&gt;0,D70&gt;=SUMIFS('Data - Monthly Metrics'!$E:$E,'Data - Monthly Metrics'!$A:$A,$B$4-1,'Data - Monthly Metrics'!$B:$B,D$8,'Data - Monthly Metrics'!$C:$C,"NorthCentral",'Data - Monthly Metrics'!$D:$D,"Goal - Penetration %"))</formula>
    </cfRule>
    <cfRule type="expression" rank="0" priority="197" equalAverage="0" aboveAverage="0" dxfId="2" stopIfTrue="1" text="" percent="0" bottom="0">
      <formula>AND(ISNUMBER(D70),COUNTIFS('Data - Monthly Metrics'!$A:$A,$B$4-1,'Data - Monthly Metrics'!$B:$B,D$8,'Data - Monthly Metrics'!$C:$C,"NorthCentral",'Data - Monthly Metrics'!$D:$D,"Goal - Penetration %")&gt;0,D70&gt;=SUMIFS('Data - Monthly Metrics'!$E:$E,'Data - Monthly Metrics'!$A:$A,$B$4-1,'Data - Monthly Metrics'!$B:$B,D$8,'Data - Monthly Metrics'!$C:$C,"NorthCentral",'Data - Monthly Metrics'!$D:$D,"Goal - Penetration %")-0.05)</formula>
    </cfRule>
    <cfRule type="expression" rank="0" priority="198" equalAverage="0" aboveAverage="0" dxfId="1" stopIfTrue="1" text="" percent="0" bottom="0">
      <formula>AND(ISNUMBER(D70),COUNTIFS('Data - Monthly Metrics'!$A:$A,$B$4-1,'Data - Monthly Metrics'!$B:$B,D$8,'Data - Monthly Metrics'!$C:$C,"NorthCentral",'Data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Metrics'!$C:$C,"NorthCentral",'Data - Monthly Metrics'!$D:$D,"Goal - Penetration %")&gt;0,F70&gt;=SUMIFS('Data - Monthly Metrics'!$E:$E,'Data - Monthly Metrics'!$A:$A,$B$4,'Data - Monthly Metrics'!$B:$B,F$8,'Data - Monthly Metrics'!$C:$C,"NorthCentral",'Data - Monthly Metrics'!$D:$D,"Goal - Penetration %"))</formula>
    </cfRule>
    <cfRule type="expression" rank="0" priority="200" equalAverage="0" aboveAverage="0" dxfId="2" stopIfTrue="1" text="" percent="0" bottom="0">
      <formula>AND(ISNUMBER(F70),COUNTIFS('Data - Monthly Metrics'!$A:$A,$B$4,'Data - Monthly Metrics'!$B:$B,F$8,'Data - Monthly Metrics'!$C:$C,"NorthCentral",'Data - Monthly Metrics'!$D:$D,"Goal - Penetration %")&gt;0,F70&gt;=SUMIFS('Data - Monthly Metrics'!$E:$E,'Data - Monthly Metrics'!$A:$A,$B$4,'Data - Monthly Metrics'!$B:$B,F$8,'Data - Monthly Metrics'!$C:$C,"NorthCentral",'Data - Monthly Metrics'!$D:$D,"Goal - Penetration %")-0.05)</formula>
    </cfRule>
    <cfRule type="expression" rank="0" priority="201" equalAverage="0" aboveAverage="0" dxfId="1" stopIfTrue="1" text="" percent="0" bottom="0">
      <formula>AND(ISNUMBER(F70),COUNTIFS('Data - Monthly Metrics'!$A:$A,$B$4,'Data - Monthly Metrics'!$B:$B,F$8,'Data - Monthly Metrics'!$C:$C,"NorthCentral",'Data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Metrics'!$C:$C,"NorthCentral",'Data - Monthly Metrics'!$D:$D,"Goal - Penetration %")&gt;0,G70&gt;=SUMIFS('Data - Monthly Metrics'!$E:$E,'Data - Monthly Metrics'!$A:$A,$B$4,'Data - Monthly Metrics'!$B:$B,G$8,'Data - Monthly Metrics'!$C:$C,"NorthCentral",'Data - Monthly Metrics'!$D:$D,"Goal - Penetration %"))</formula>
    </cfRule>
    <cfRule type="expression" rank="0" priority="203" equalAverage="0" aboveAverage="0" dxfId="2" stopIfTrue="1" text="" percent="0" bottom="0">
      <formula>AND(ISNUMBER(G70),COUNTIFS('Data - Monthly Metrics'!$A:$A,$B$4,'Data - Monthly Metrics'!$B:$B,G$8,'Data - Monthly Metrics'!$C:$C,"NorthCentral",'Data - Monthly Metrics'!$D:$D,"Goal - Penetration %")&gt;0,G70&gt;=SUMIFS('Data - Monthly Metrics'!$E:$E,'Data - Monthly Metrics'!$A:$A,$B$4,'Data - Monthly Metrics'!$B:$B,G$8,'Data - Monthly Metrics'!$C:$C,"NorthCentral",'Data - Monthly Metrics'!$D:$D,"Goal - Penetration %")-0.05)</formula>
    </cfRule>
    <cfRule type="expression" rank="0" priority="204" equalAverage="0" aboveAverage="0" dxfId="1" stopIfTrue="1" text="" percent="0" bottom="0">
      <formula>AND(ISNUMBER(G70),COUNTIFS('Data - Monthly Metrics'!$A:$A,$B$4,'Data - Monthly Metrics'!$B:$B,G$8,'Data - Monthly Metrics'!$C:$C,"NorthCentral",'Data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Metrics'!$C:$C,"NorthCentral",'Data - Monthly Metrics'!$D:$D,"Goal - Penetration %")&gt;0,H70&gt;=SUMIFS('Data - Monthly Metrics'!$E:$E,'Data - Monthly Metrics'!$A:$A,$B$4,'Data - Monthly Metrics'!$B:$B,H$8,'Data - Monthly Metrics'!$C:$C,"NorthCentral",'Data - Monthly Metrics'!$D:$D,"Goal - Penetration %"))</formula>
    </cfRule>
    <cfRule type="expression" rank="0" priority="206" equalAverage="0" aboveAverage="0" dxfId="2" stopIfTrue="1" text="" percent="0" bottom="0">
      <formula>AND(ISNUMBER(H70),COUNTIFS('Data - Monthly Metrics'!$A:$A,$B$4,'Data - Monthly Metrics'!$B:$B,H$8,'Data - Monthly Metrics'!$C:$C,"NorthCentral",'Data - Monthly Metrics'!$D:$D,"Goal - Penetration %")&gt;0,H70&gt;=SUMIFS('Data - Monthly Metrics'!$E:$E,'Data - Monthly Metrics'!$A:$A,$B$4,'Data - Monthly Metrics'!$B:$B,H$8,'Data - Monthly Metrics'!$C:$C,"NorthCentral",'Data - Monthly Metrics'!$D:$D,"Goal - Penetration %")-0.05)</formula>
    </cfRule>
    <cfRule type="expression" rank="0" priority="207" equalAverage="0" aboveAverage="0" dxfId="1" stopIfTrue="1" text="" percent="0" bottom="0">
      <formula>AND(ISNUMBER(H70),COUNTIFS('Data - Monthly Metrics'!$A:$A,$B$4,'Data - Monthly Metrics'!$B:$B,H$8,'Data - Monthly Metrics'!$C:$C,"NorthCentral",'Data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Metrics'!$C:$C,"NorthCentral",'Data - Monthly Metrics'!$D:$D,"Goal - Penetration %")&gt;0,J70&gt;=SUMIFS('Data - Monthly Metrics'!$E:$E,'Data - Monthly Metrics'!$A:$A,$B$4,'Data - Monthly Metrics'!$B:$B,J$8,'Data - Monthly Metrics'!$C:$C,"NorthCentral",'Data - Monthly Metrics'!$D:$D,"Goal - Penetration %"))</formula>
    </cfRule>
    <cfRule type="expression" rank="0" priority="209" equalAverage="0" aboveAverage="0" dxfId="2" stopIfTrue="1" text="" percent="0" bottom="0">
      <formula>AND(ISNUMBER(J70),COUNTIFS('Data - Monthly Metrics'!$A:$A,$B$4,'Data - Monthly Metrics'!$B:$B,J$8,'Data - Monthly Metrics'!$C:$C,"NorthCentral",'Data - Monthly Metrics'!$D:$D,"Goal - Penetration %")&gt;0,J70&gt;=SUMIFS('Data - Monthly Metrics'!$E:$E,'Data - Monthly Metrics'!$A:$A,$B$4,'Data - Monthly Metrics'!$B:$B,J$8,'Data - Monthly Metrics'!$C:$C,"NorthCentral",'Data - Monthly Metrics'!$D:$D,"Goal - Penetration %")-0.05)</formula>
    </cfRule>
    <cfRule type="expression" rank="0" priority="210" equalAverage="0" aboveAverage="0" dxfId="1" stopIfTrue="1" text="" percent="0" bottom="0">
      <formula>AND(ISNUMBER(J70),COUNTIFS('Data - Monthly Metrics'!$A:$A,$B$4,'Data - Monthly Metrics'!$B:$B,J$8,'Data - Monthly Metrics'!$C:$C,"NorthCentral",'Data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Metrics'!$C:$C,"NorthCentral",'Data - Monthly Metrics'!$D:$D,"Goal - Penetration %")&gt;0,K70&gt;=SUMIFS('Data - Monthly Metrics'!$E:$E,'Data - Monthly Metrics'!$A:$A,$B$4,'Data - Monthly Metrics'!$B:$B,K$8,'Data - Monthly Metrics'!$C:$C,"NorthCentral",'Data - Monthly Metrics'!$D:$D,"Goal - Penetration %"))</formula>
    </cfRule>
    <cfRule type="expression" rank="0" priority="212" equalAverage="0" aboveAverage="0" dxfId="2" stopIfTrue="1" text="" percent="0" bottom="0">
      <formula>AND(ISNUMBER(K70),COUNTIFS('Data - Monthly Metrics'!$A:$A,$B$4,'Data - Monthly Metrics'!$B:$B,K$8,'Data - Monthly Metrics'!$C:$C,"NorthCentral",'Data - Monthly Metrics'!$D:$D,"Goal - Penetration %")&gt;0,K70&gt;=SUMIFS('Data - Monthly Metrics'!$E:$E,'Data - Monthly Metrics'!$A:$A,$B$4,'Data - Monthly Metrics'!$B:$B,K$8,'Data - Monthly Metrics'!$C:$C,"NorthCentral",'Data - Monthly Metrics'!$D:$D,"Goal - Penetration %")-0.05)</formula>
    </cfRule>
    <cfRule type="expression" rank="0" priority="213" equalAverage="0" aboveAverage="0" dxfId="1" stopIfTrue="1" text="" percent="0" bottom="0">
      <formula>AND(ISNUMBER(K70),COUNTIFS('Data - Monthly Metrics'!$A:$A,$B$4,'Data - Monthly Metrics'!$B:$B,K$8,'Data - Monthly Metrics'!$C:$C,"NorthCentral",'Data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Metrics'!$C:$C,"NorthCentral",'Data - Monthly Metrics'!$D:$D,"Goal - Penetration %")&gt;0,L70&gt;=SUMIFS('Data - Monthly Metrics'!$E:$E,'Data - Monthly Metrics'!$A:$A,$B$4,'Data - Monthly Metrics'!$B:$B,L$8,'Data - Monthly Metrics'!$C:$C,"NorthCentral",'Data - Monthly Metrics'!$D:$D,"Goal - Penetration %"))</formula>
    </cfRule>
    <cfRule type="expression" rank="0" priority="215" equalAverage="0" aboveAverage="0" dxfId="2" stopIfTrue="1" text="" percent="0" bottom="0">
      <formula>AND(ISNUMBER(L70),COUNTIFS('Data - Monthly Metrics'!$A:$A,$B$4,'Data - Monthly Metrics'!$B:$B,L$8,'Data - Monthly Metrics'!$C:$C,"NorthCentral",'Data - Monthly Metrics'!$D:$D,"Goal - Penetration %")&gt;0,L70&gt;=SUMIFS('Data - Monthly Metrics'!$E:$E,'Data - Monthly Metrics'!$A:$A,$B$4,'Data - Monthly Metrics'!$B:$B,L$8,'Data - Monthly Metrics'!$C:$C,"NorthCentral",'Data - Monthly Metrics'!$D:$D,"Goal - Penetration %")-0.05)</formula>
    </cfRule>
    <cfRule type="expression" rank="0" priority="216" equalAverage="0" aboveAverage="0" dxfId="1" stopIfTrue="1" text="" percent="0" bottom="0">
      <formula>AND(ISNUMBER(L70),COUNTIFS('Data - Monthly Metrics'!$A:$A,$B$4,'Data - Monthly Metrics'!$B:$B,L$8,'Data - Monthly Metrics'!$C:$C,"NorthCentral",'Data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Metrics'!$C:$C,"NorthCentral",'Data - Monthly Metrics'!$D:$D,"Goal - Penetration %")&gt;0,N70&gt;=SUMIFS('Data - Monthly Metrics'!$E:$E,'Data - Monthly Metrics'!$A:$A,$B$4,'Data - Monthly Metrics'!$B:$B,N$8,'Data - Monthly Metrics'!$C:$C,"NorthCentral",'Data - Monthly Metrics'!$D:$D,"Goal - Penetration %"))</formula>
    </cfRule>
    <cfRule type="expression" rank="0" priority="218" equalAverage="0" aboveAverage="0" dxfId="2" stopIfTrue="1" text="" percent="0" bottom="0">
      <formula>AND(ISNUMBER(N70),COUNTIFS('Data - Monthly Metrics'!$A:$A,$B$4,'Data - Monthly Metrics'!$B:$B,N$8,'Data - Monthly Metrics'!$C:$C,"NorthCentral",'Data - Monthly Metrics'!$D:$D,"Goal - Penetration %")&gt;0,N70&gt;=SUMIFS('Data - Monthly Metrics'!$E:$E,'Data - Monthly Metrics'!$A:$A,$B$4,'Data - Monthly Metrics'!$B:$B,N$8,'Data - Monthly Metrics'!$C:$C,"NorthCentral",'Data - Monthly Metrics'!$D:$D,"Goal - Penetration %")-0.05)</formula>
    </cfRule>
    <cfRule type="expression" rank="0" priority="219" equalAverage="0" aboveAverage="0" dxfId="1" stopIfTrue="1" text="" percent="0" bottom="0">
      <formula>AND(ISNUMBER(N70),COUNTIFS('Data - Monthly Metrics'!$A:$A,$B$4,'Data - Monthly Metrics'!$B:$B,N$8,'Data - Monthly Metrics'!$C:$C,"NorthCentral",'Data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Metrics'!$C:$C,"NorthCentral",'Data - Monthly Metrics'!$D:$D,"Goal - Penetration %")&gt;0,O70&gt;=SUMIFS('Data - Monthly Metrics'!$E:$E,'Data - Monthly Metrics'!$A:$A,$B$4,'Data - Monthly Metrics'!$B:$B,O$8,'Data - Monthly Metrics'!$C:$C,"NorthCentral",'Data - Monthly Metrics'!$D:$D,"Goal - Penetration %"))</formula>
    </cfRule>
    <cfRule type="expression" rank="0" priority="221" equalAverage="0" aboveAverage="0" dxfId="2" stopIfTrue="1" text="" percent="0" bottom="0">
      <formula>AND(ISNUMBER(O70),COUNTIFS('Data - Monthly Metrics'!$A:$A,$B$4,'Data - Monthly Metrics'!$B:$B,O$8,'Data - Monthly Metrics'!$C:$C,"NorthCentral",'Data - Monthly Metrics'!$D:$D,"Goal - Penetration %")&gt;0,O70&gt;=SUMIFS('Data - Monthly Metrics'!$E:$E,'Data - Monthly Metrics'!$A:$A,$B$4,'Data - Monthly Metrics'!$B:$B,O$8,'Data - Monthly Metrics'!$C:$C,"NorthCentral",'Data - Monthly Metrics'!$D:$D,"Goal - Penetration %")-0.05)</formula>
    </cfRule>
    <cfRule type="expression" rank="0" priority="222" equalAverage="0" aboveAverage="0" dxfId="1" stopIfTrue="1" text="" percent="0" bottom="0">
      <formula>AND(ISNUMBER(O70),COUNTIFS('Data - Monthly Metrics'!$A:$A,$B$4,'Data - Monthly Metrics'!$B:$B,O$8,'Data - Monthly Metrics'!$C:$C,"NorthCentral",'Data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Metrics'!$C:$C,"NorthCentral",'Data - Monthly Metrics'!$D:$D,"Goal - Penetration %")&gt;0,P70&gt;=SUMIFS('Data - Monthly Metrics'!$E:$E,'Data - Monthly Metrics'!$A:$A,$B$4,'Data - Monthly Metrics'!$B:$B,P$8,'Data - Monthly Metrics'!$C:$C,"NorthCentral",'Data - Monthly Metrics'!$D:$D,"Goal - Penetration %"))</formula>
    </cfRule>
    <cfRule type="expression" rank="0" priority="224" equalAverage="0" aboveAverage="0" dxfId="2" stopIfTrue="1" text="" percent="0" bottom="0">
      <formula>AND(ISNUMBER(P70),COUNTIFS('Data - Monthly Metrics'!$A:$A,$B$4,'Data - Monthly Metrics'!$B:$B,P$8,'Data - Monthly Metrics'!$C:$C,"NorthCentral",'Data - Monthly Metrics'!$D:$D,"Goal - Penetration %")&gt;0,P70&gt;=SUMIFS('Data - Monthly Metrics'!$E:$E,'Data - Monthly Metrics'!$A:$A,$B$4,'Data - Monthly Metrics'!$B:$B,P$8,'Data - Monthly Metrics'!$C:$C,"NorthCentral",'Data - Monthly Metrics'!$D:$D,"Goal - Penetration %")-0.05)</formula>
    </cfRule>
    <cfRule type="expression" rank="0" priority="225" equalAverage="0" aboveAverage="0" dxfId="1" stopIfTrue="1" text="" percent="0" bottom="0">
      <formula>AND(ISNUMBER(P70),COUNTIFS('Data - Monthly Metrics'!$A:$A,$B$4,'Data - Monthly Metrics'!$B:$B,P$8,'Data - Monthly Metrics'!$C:$C,"NorthCentral",'Data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Metrics'!$C:$C,"NorthCentral",'Data - Monthly Metrics'!$D:$D,"Goal - Penetration %")&gt;0,B105&gt;=SUMIFS('Data - Monthly Metrics'!$E:$E,'Data - Monthly Metrics'!$A:$A,$B$4-1,'Data - Monthly Metrics'!$B:$B,B$8,'Data - Monthly Metrics'!$C:$C,"NorthCentral",'Data - Monthly Metrics'!$D:$D,"Goal - Penetration %"))</formula>
    </cfRule>
    <cfRule type="expression" rank="0" priority="227" equalAverage="0" aboveAverage="0" dxfId="2" stopIfTrue="1" text="" percent="0" bottom="0">
      <formula>AND(ISNUMBER(B105),COUNTIFS('Data - Monthly Metrics'!$A:$A,$B$4-1,'Data - Monthly Metrics'!$B:$B,B$8,'Data - Monthly Metrics'!$C:$C,"NorthCentral",'Data - Monthly Metrics'!$D:$D,"Goal - Penetration %")&gt;0,B105&gt;=SUMIFS('Data - Monthly Metrics'!$E:$E,'Data - Monthly Metrics'!$A:$A,$B$4-1,'Data - Monthly Metrics'!$B:$B,B$8,'Data - Monthly Metrics'!$C:$C,"NorthCentral",'Data - Monthly Metrics'!$D:$D,"Goal - Penetration %")-0.05)</formula>
    </cfRule>
    <cfRule type="expression" rank="0" priority="228" equalAverage="0" aboveAverage="0" dxfId="1" stopIfTrue="1" text="" percent="0" bottom="0">
      <formula>AND(ISNUMBER(B105),COUNTIFS('Data - Monthly Metrics'!$A:$A,$B$4-1,'Data - Monthly Metrics'!$B:$B,B$8,'Data - Monthly Metrics'!$C:$C,"NorthCentral",'Data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Metrics'!$C:$C,"NorthCentral",'Data - Monthly Metrics'!$D:$D,"Goal - Penetration %")&gt;0,C105&gt;=SUMIFS('Data - Monthly Metrics'!$E:$E,'Data - Monthly Metrics'!$A:$A,$B$4-1,'Data - Monthly Metrics'!$B:$B,C$8,'Data - Monthly Metrics'!$C:$C,"NorthCentral",'Data - Monthly Metrics'!$D:$D,"Goal - Penetration %"))</formula>
    </cfRule>
    <cfRule type="expression" rank="0" priority="230" equalAverage="0" aboveAverage="0" dxfId="2" stopIfTrue="1" text="" percent="0" bottom="0">
      <formula>AND(ISNUMBER(C105),COUNTIFS('Data - Monthly Metrics'!$A:$A,$B$4-1,'Data - Monthly Metrics'!$B:$B,C$8,'Data - Monthly Metrics'!$C:$C,"NorthCentral",'Data - Monthly Metrics'!$D:$D,"Goal - Penetration %")&gt;0,C105&gt;=SUMIFS('Data - Monthly Metrics'!$E:$E,'Data - Monthly Metrics'!$A:$A,$B$4-1,'Data - Monthly Metrics'!$B:$B,C$8,'Data - Monthly Metrics'!$C:$C,"NorthCentral",'Data - Monthly Metrics'!$D:$D,"Goal - Penetration %")-0.05)</formula>
    </cfRule>
    <cfRule type="expression" rank="0" priority="231" equalAverage="0" aboveAverage="0" dxfId="1" stopIfTrue="1" text="" percent="0" bottom="0">
      <formula>AND(ISNUMBER(C105),COUNTIFS('Data - Monthly Metrics'!$A:$A,$B$4-1,'Data - Monthly Metrics'!$B:$B,C$8,'Data - Monthly Metrics'!$C:$C,"NorthCentral",'Data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Metrics'!$C:$C,"NorthCentral",'Data - Monthly Metrics'!$D:$D,"Goal - Penetration %")&gt;0,D105&gt;=SUMIFS('Data - Monthly Metrics'!$E:$E,'Data - Monthly Metrics'!$A:$A,$B$4-1,'Data - Monthly Metrics'!$B:$B,D$8,'Data - Monthly Metrics'!$C:$C,"NorthCentral",'Data - Monthly Metrics'!$D:$D,"Goal - Penetration %"))</formula>
    </cfRule>
    <cfRule type="expression" rank="0" priority="233" equalAverage="0" aboveAverage="0" dxfId="2" stopIfTrue="1" text="" percent="0" bottom="0">
      <formula>AND(ISNUMBER(D105),COUNTIFS('Data - Monthly Metrics'!$A:$A,$B$4-1,'Data - Monthly Metrics'!$B:$B,D$8,'Data - Monthly Metrics'!$C:$C,"NorthCentral",'Data - Monthly Metrics'!$D:$D,"Goal - Penetration %")&gt;0,D105&gt;=SUMIFS('Data - Monthly Metrics'!$E:$E,'Data - Monthly Metrics'!$A:$A,$B$4-1,'Data - Monthly Metrics'!$B:$B,D$8,'Data - Monthly Metrics'!$C:$C,"NorthCentral",'Data - Monthly Metrics'!$D:$D,"Goal - Penetration %")-0.05)</formula>
    </cfRule>
    <cfRule type="expression" rank="0" priority="234" equalAverage="0" aboveAverage="0" dxfId="1" stopIfTrue="1" text="" percent="0" bottom="0">
      <formula>AND(ISNUMBER(D105),COUNTIFS('Data - Monthly Metrics'!$A:$A,$B$4-1,'Data - Monthly Metrics'!$B:$B,D$8,'Data - Monthly Metrics'!$C:$C,"NorthCentral",'Data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Metrics'!$C:$C,"NorthCentral",'Data - Monthly Metrics'!$D:$D,"Goal - Penetration %")&gt;0,F105&gt;=SUMIFS('Data - Monthly Metrics'!$E:$E,'Data - Monthly Metrics'!$A:$A,$B$4,'Data - Monthly Metrics'!$B:$B,F$8,'Data - Monthly Metrics'!$C:$C,"NorthCentral",'Data - Monthly Metrics'!$D:$D,"Goal - Penetration %"))</formula>
    </cfRule>
    <cfRule type="expression" rank="0" priority="236" equalAverage="0" aboveAverage="0" dxfId="2" stopIfTrue="1" text="" percent="0" bottom="0">
      <formula>AND(ISNUMBER(F105),COUNTIFS('Data - Monthly Metrics'!$A:$A,$B$4,'Data - Monthly Metrics'!$B:$B,F$8,'Data - Monthly Metrics'!$C:$C,"NorthCentral",'Data - Monthly Metrics'!$D:$D,"Goal - Penetration %")&gt;0,F105&gt;=SUMIFS('Data - Monthly Metrics'!$E:$E,'Data - Monthly Metrics'!$A:$A,$B$4,'Data - Monthly Metrics'!$B:$B,F$8,'Data - Monthly Metrics'!$C:$C,"NorthCentral",'Data - Monthly Metrics'!$D:$D,"Goal - Penetration %")-0.05)</formula>
    </cfRule>
    <cfRule type="expression" rank="0" priority="237" equalAverage="0" aboveAverage="0" dxfId="1" stopIfTrue="1" text="" percent="0" bottom="0">
      <formula>AND(ISNUMBER(F105),COUNTIFS('Data - Monthly Metrics'!$A:$A,$B$4,'Data - Monthly Metrics'!$B:$B,F$8,'Data - Monthly Metrics'!$C:$C,"NorthCentral",'Data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Metrics'!$C:$C,"NorthCentral",'Data - Monthly Metrics'!$D:$D,"Goal - Penetration %")&gt;0,G105&gt;=SUMIFS('Data - Monthly Metrics'!$E:$E,'Data - Monthly Metrics'!$A:$A,$B$4,'Data - Monthly Metrics'!$B:$B,G$8,'Data - Monthly Metrics'!$C:$C,"NorthCentral",'Data - Monthly Metrics'!$D:$D,"Goal - Penetration %"))</formula>
    </cfRule>
    <cfRule type="expression" rank="0" priority="239" equalAverage="0" aboveAverage="0" dxfId="2" stopIfTrue="1" text="" percent="0" bottom="0">
      <formula>AND(ISNUMBER(G105),COUNTIFS('Data - Monthly Metrics'!$A:$A,$B$4,'Data - Monthly Metrics'!$B:$B,G$8,'Data - Monthly Metrics'!$C:$C,"NorthCentral",'Data - Monthly Metrics'!$D:$D,"Goal - Penetration %")&gt;0,G105&gt;=SUMIFS('Data - Monthly Metrics'!$E:$E,'Data - Monthly Metrics'!$A:$A,$B$4,'Data - Monthly Metrics'!$B:$B,G$8,'Data - Monthly Metrics'!$C:$C,"NorthCentral",'Data - Monthly Metrics'!$D:$D,"Goal - Penetration %")-0.05)</formula>
    </cfRule>
    <cfRule type="expression" rank="0" priority="240" equalAverage="0" aboveAverage="0" dxfId="1" stopIfTrue="1" text="" percent="0" bottom="0">
      <formula>AND(ISNUMBER(G105),COUNTIFS('Data - Monthly Metrics'!$A:$A,$B$4,'Data - Monthly Metrics'!$B:$B,G$8,'Data - Monthly Metrics'!$C:$C,"NorthCentral",'Data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Metrics'!$C:$C,"NorthCentral",'Data - Monthly Metrics'!$D:$D,"Goal - Penetration %")&gt;0,H105&gt;=SUMIFS('Data - Monthly Metrics'!$E:$E,'Data - Monthly Metrics'!$A:$A,$B$4,'Data - Monthly Metrics'!$B:$B,H$8,'Data - Monthly Metrics'!$C:$C,"NorthCentral",'Data - Monthly Metrics'!$D:$D,"Goal - Penetration %"))</formula>
    </cfRule>
    <cfRule type="expression" rank="0" priority="242" equalAverage="0" aboveAverage="0" dxfId="2" stopIfTrue="1" text="" percent="0" bottom="0">
      <formula>AND(ISNUMBER(H105),COUNTIFS('Data - Monthly Metrics'!$A:$A,$B$4,'Data - Monthly Metrics'!$B:$B,H$8,'Data - Monthly Metrics'!$C:$C,"NorthCentral",'Data - Monthly Metrics'!$D:$D,"Goal - Penetration %")&gt;0,H105&gt;=SUMIFS('Data - Monthly Metrics'!$E:$E,'Data - Monthly Metrics'!$A:$A,$B$4,'Data - Monthly Metrics'!$B:$B,H$8,'Data - Monthly Metrics'!$C:$C,"NorthCentral",'Data - Monthly Metrics'!$D:$D,"Goal - Penetration %")-0.05)</formula>
    </cfRule>
    <cfRule type="expression" rank="0" priority="243" equalAverage="0" aboveAverage="0" dxfId="1" stopIfTrue="1" text="" percent="0" bottom="0">
      <formula>AND(ISNUMBER(H105),COUNTIFS('Data - Monthly Metrics'!$A:$A,$B$4,'Data - Monthly Metrics'!$B:$B,H$8,'Data - Monthly Metrics'!$C:$C,"NorthCentral",'Data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Metrics'!$C:$C,"NorthCentral",'Data - Monthly Metrics'!$D:$D,"Goal - Penetration %")&gt;0,J105&gt;=SUMIFS('Data - Monthly Metrics'!$E:$E,'Data - Monthly Metrics'!$A:$A,$B$4,'Data - Monthly Metrics'!$B:$B,J$8,'Data - Monthly Metrics'!$C:$C,"NorthCentral",'Data - Monthly Metrics'!$D:$D,"Goal - Penetration %"))</formula>
    </cfRule>
    <cfRule type="expression" rank="0" priority="245" equalAverage="0" aboveAverage="0" dxfId="2" stopIfTrue="1" text="" percent="0" bottom="0">
      <formula>AND(ISNUMBER(J105),COUNTIFS('Data - Monthly Metrics'!$A:$A,$B$4,'Data - Monthly Metrics'!$B:$B,J$8,'Data - Monthly Metrics'!$C:$C,"NorthCentral",'Data - Monthly Metrics'!$D:$D,"Goal - Penetration %")&gt;0,J105&gt;=SUMIFS('Data - Monthly Metrics'!$E:$E,'Data - Monthly Metrics'!$A:$A,$B$4,'Data - Monthly Metrics'!$B:$B,J$8,'Data - Monthly Metrics'!$C:$C,"NorthCentral",'Data - Monthly Metrics'!$D:$D,"Goal - Penetration %")-0.05)</formula>
    </cfRule>
    <cfRule type="expression" rank="0" priority="246" equalAverage="0" aboveAverage="0" dxfId="1" stopIfTrue="1" text="" percent="0" bottom="0">
      <formula>AND(ISNUMBER(J105),COUNTIFS('Data - Monthly Metrics'!$A:$A,$B$4,'Data - Monthly Metrics'!$B:$B,J$8,'Data - Monthly Metrics'!$C:$C,"NorthCentral",'Data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Metrics'!$C:$C,"NorthCentral",'Data - Monthly Metrics'!$D:$D,"Goal - Penetration %")&gt;0,K105&gt;=SUMIFS('Data - Monthly Metrics'!$E:$E,'Data - Monthly Metrics'!$A:$A,$B$4,'Data - Monthly Metrics'!$B:$B,K$8,'Data - Monthly Metrics'!$C:$C,"NorthCentral",'Data - Monthly Metrics'!$D:$D,"Goal - Penetration %"))</formula>
    </cfRule>
    <cfRule type="expression" rank="0" priority="248" equalAverage="0" aboveAverage="0" dxfId="2" stopIfTrue="1" text="" percent="0" bottom="0">
      <formula>AND(ISNUMBER(K105),COUNTIFS('Data - Monthly Metrics'!$A:$A,$B$4,'Data - Monthly Metrics'!$B:$B,K$8,'Data - Monthly Metrics'!$C:$C,"NorthCentral",'Data - Monthly Metrics'!$D:$D,"Goal - Penetration %")&gt;0,K105&gt;=SUMIFS('Data - Monthly Metrics'!$E:$E,'Data - Monthly Metrics'!$A:$A,$B$4,'Data - Monthly Metrics'!$B:$B,K$8,'Data - Monthly Metrics'!$C:$C,"NorthCentral",'Data - Monthly Metrics'!$D:$D,"Goal - Penetration %")-0.05)</formula>
    </cfRule>
    <cfRule type="expression" rank="0" priority="249" equalAverage="0" aboveAverage="0" dxfId="1" stopIfTrue="1" text="" percent="0" bottom="0">
      <formula>AND(ISNUMBER(K105),COUNTIFS('Data - Monthly Metrics'!$A:$A,$B$4,'Data - Monthly Metrics'!$B:$B,K$8,'Data - Monthly Metrics'!$C:$C,"NorthCentral",'Data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Metrics'!$C:$C,"NorthCentral",'Data - Monthly Metrics'!$D:$D,"Goal - Penetration %")&gt;0,L105&gt;=SUMIFS('Data - Monthly Metrics'!$E:$E,'Data - Monthly Metrics'!$A:$A,$B$4,'Data - Monthly Metrics'!$B:$B,L$8,'Data - Monthly Metrics'!$C:$C,"NorthCentral",'Data - Monthly Metrics'!$D:$D,"Goal - Penetration %"))</formula>
    </cfRule>
    <cfRule type="expression" rank="0" priority="251" equalAverage="0" aboveAverage="0" dxfId="2" stopIfTrue="1" text="" percent="0" bottom="0">
      <formula>AND(ISNUMBER(L105),COUNTIFS('Data - Monthly Metrics'!$A:$A,$B$4,'Data - Monthly Metrics'!$B:$B,L$8,'Data - Monthly Metrics'!$C:$C,"NorthCentral",'Data - Monthly Metrics'!$D:$D,"Goal - Penetration %")&gt;0,L105&gt;=SUMIFS('Data - Monthly Metrics'!$E:$E,'Data - Monthly Metrics'!$A:$A,$B$4,'Data - Monthly Metrics'!$B:$B,L$8,'Data - Monthly Metrics'!$C:$C,"NorthCentral",'Data - Monthly Metrics'!$D:$D,"Goal - Penetration %")-0.05)</formula>
    </cfRule>
    <cfRule type="expression" rank="0" priority="252" equalAverage="0" aboveAverage="0" dxfId="1" stopIfTrue="1" text="" percent="0" bottom="0">
      <formula>AND(ISNUMBER(L105),COUNTIFS('Data - Monthly Metrics'!$A:$A,$B$4,'Data - Monthly Metrics'!$B:$B,L$8,'Data - Monthly Metrics'!$C:$C,"NorthCentral",'Data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Metrics'!$C:$C,"NorthCentral",'Data - Monthly Metrics'!$D:$D,"Goal - Penetration %")&gt;0,N105&gt;=SUMIFS('Data - Monthly Metrics'!$E:$E,'Data - Monthly Metrics'!$A:$A,$B$4,'Data - Monthly Metrics'!$B:$B,N$8,'Data - Monthly Metrics'!$C:$C,"NorthCentral",'Data - Monthly Metrics'!$D:$D,"Goal - Penetration %"))</formula>
    </cfRule>
    <cfRule type="expression" rank="0" priority="254" equalAverage="0" aboveAverage="0" dxfId="2" stopIfTrue="1" text="" percent="0" bottom="0">
      <formula>AND(ISNUMBER(N105),COUNTIFS('Data - Monthly Metrics'!$A:$A,$B$4,'Data - Monthly Metrics'!$B:$B,N$8,'Data - Monthly Metrics'!$C:$C,"NorthCentral",'Data - Monthly Metrics'!$D:$D,"Goal - Penetration %")&gt;0,N105&gt;=SUMIFS('Data - Monthly Metrics'!$E:$E,'Data - Monthly Metrics'!$A:$A,$B$4,'Data - Monthly Metrics'!$B:$B,N$8,'Data - Monthly Metrics'!$C:$C,"NorthCentral",'Data - Monthly Metrics'!$D:$D,"Goal - Penetration %")-0.05)</formula>
    </cfRule>
    <cfRule type="expression" rank="0" priority="255" equalAverage="0" aboveAverage="0" dxfId="1" stopIfTrue="1" text="" percent="0" bottom="0">
      <formula>AND(ISNUMBER(N105),COUNTIFS('Data - Monthly Metrics'!$A:$A,$B$4,'Data - Monthly Metrics'!$B:$B,N$8,'Data - Monthly Metrics'!$C:$C,"NorthCentral",'Data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Metrics'!$C:$C,"NorthCentral",'Data - Monthly Metrics'!$D:$D,"Goal - Penetration %")&gt;0,O105&gt;=SUMIFS('Data - Monthly Metrics'!$E:$E,'Data - Monthly Metrics'!$A:$A,$B$4,'Data - Monthly Metrics'!$B:$B,O$8,'Data - Monthly Metrics'!$C:$C,"NorthCentral",'Data - Monthly Metrics'!$D:$D,"Goal - Penetration %"))</formula>
    </cfRule>
    <cfRule type="expression" rank="0" priority="257" equalAverage="0" aboveAverage="0" dxfId="2" stopIfTrue="1" text="" percent="0" bottom="0">
      <formula>AND(ISNUMBER(O105),COUNTIFS('Data - Monthly Metrics'!$A:$A,$B$4,'Data - Monthly Metrics'!$B:$B,O$8,'Data - Monthly Metrics'!$C:$C,"NorthCentral",'Data - Monthly Metrics'!$D:$D,"Goal - Penetration %")&gt;0,O105&gt;=SUMIFS('Data - Monthly Metrics'!$E:$E,'Data - Monthly Metrics'!$A:$A,$B$4,'Data - Monthly Metrics'!$B:$B,O$8,'Data - Monthly Metrics'!$C:$C,"NorthCentral",'Data - Monthly Metrics'!$D:$D,"Goal - Penetration %")-0.05)</formula>
    </cfRule>
    <cfRule type="expression" rank="0" priority="258" equalAverage="0" aboveAverage="0" dxfId="1" stopIfTrue="1" text="" percent="0" bottom="0">
      <formula>AND(ISNUMBER(O105),COUNTIFS('Data - Monthly Metrics'!$A:$A,$B$4,'Data - Monthly Metrics'!$B:$B,O$8,'Data - Monthly Metrics'!$C:$C,"NorthCentral",'Data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Metrics'!$C:$C,"NorthCentral",'Data - Monthly Metrics'!$D:$D,"Goal - Penetration %")&gt;0,P105&gt;=SUMIFS('Data - Monthly Metrics'!$E:$E,'Data - Monthly Metrics'!$A:$A,$B$4,'Data - Monthly Metrics'!$B:$B,P$8,'Data - Monthly Metrics'!$C:$C,"NorthCentral",'Data - Monthly Metrics'!$D:$D,"Goal - Penetration %"))</formula>
    </cfRule>
    <cfRule type="expression" rank="0" priority="260" equalAverage="0" aboveAverage="0" dxfId="2" stopIfTrue="1" text="" percent="0" bottom="0">
      <formula>AND(ISNUMBER(P105),COUNTIFS('Data - Monthly Metrics'!$A:$A,$B$4,'Data - Monthly Metrics'!$B:$B,P$8,'Data - Monthly Metrics'!$C:$C,"NorthCentral",'Data - Monthly Metrics'!$D:$D,"Goal - Penetration %")&gt;0,P105&gt;=SUMIFS('Data - Monthly Metrics'!$E:$E,'Data - Monthly Metrics'!$A:$A,$B$4,'Data - Monthly Metrics'!$B:$B,P$8,'Data - Monthly Metrics'!$C:$C,"NorthCentral",'Data - Monthly Metrics'!$D:$D,"Goal - Penetration %")-0.05)</formula>
    </cfRule>
    <cfRule type="expression" rank="0" priority="261" equalAverage="0" aboveAverage="0" dxfId="1" stopIfTrue="1" text="" percent="0" bottom="0">
      <formula>AND(ISNUMBER(P105),COUNTIFS('Data - Monthly Metrics'!$A:$A,$B$4,'Data - Monthly Metrics'!$B:$B,P$8,'Data - Monthly Metrics'!$C:$C,"NorthCentral",'Data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Metrics'!$C:$C,"NorthCentral",'Data - Monthly Metrics'!$D:$D,"Goal - Penetration %")&gt;0,B106&gt;=SUMIFS('Data - Monthly Metrics'!$E:$E,'Data - Monthly Metrics'!$A:$A,$B$4-1,'Data - Monthly Metrics'!$B:$B,B$8,'Data - Monthly Metrics'!$C:$C,"NorthCentral",'Data - Monthly Metrics'!$D:$D,"Goal - Penetration %"))</formula>
    </cfRule>
    <cfRule type="expression" rank="0" priority="263" equalAverage="0" aboveAverage="0" dxfId="2" stopIfTrue="1" text="" percent="0" bottom="0">
      <formula>AND(ISNUMBER(B106),COUNTIFS('Data - Monthly Metrics'!$A:$A,$B$4-1,'Data - Monthly Metrics'!$B:$B,B$8,'Data - Monthly Metrics'!$C:$C,"NorthCentral",'Data - Monthly Metrics'!$D:$D,"Goal - Penetration %")&gt;0,B106&gt;=SUMIFS('Data - Monthly Metrics'!$E:$E,'Data - Monthly Metrics'!$A:$A,$B$4-1,'Data - Monthly Metrics'!$B:$B,B$8,'Data - Monthly Metrics'!$C:$C,"NorthCentral",'Data - Monthly Metrics'!$D:$D,"Goal - Penetration %")-0.05)</formula>
    </cfRule>
    <cfRule type="expression" rank="0" priority="264" equalAverage="0" aboveAverage="0" dxfId="1" stopIfTrue="1" text="" percent="0" bottom="0">
      <formula>AND(ISNUMBER(B106),COUNTIFS('Data - Monthly Metrics'!$A:$A,$B$4-1,'Data - Monthly Metrics'!$B:$B,B$8,'Data - Monthly Metrics'!$C:$C,"NorthCentral",'Data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Metrics'!$C:$C,"NorthCentral",'Data - Monthly Metrics'!$D:$D,"Goal - Penetration %")&gt;0,C106&gt;=SUMIFS('Data - Monthly Metrics'!$E:$E,'Data - Monthly Metrics'!$A:$A,$B$4-1,'Data - Monthly Metrics'!$B:$B,C$8,'Data - Monthly Metrics'!$C:$C,"NorthCentral",'Data - Monthly Metrics'!$D:$D,"Goal - Penetration %"))</formula>
    </cfRule>
    <cfRule type="expression" rank="0" priority="266" equalAverage="0" aboveAverage="0" dxfId="2" stopIfTrue="1" text="" percent="0" bottom="0">
      <formula>AND(ISNUMBER(C106),COUNTIFS('Data - Monthly Metrics'!$A:$A,$B$4-1,'Data - Monthly Metrics'!$B:$B,C$8,'Data - Monthly Metrics'!$C:$C,"NorthCentral",'Data - Monthly Metrics'!$D:$D,"Goal - Penetration %")&gt;0,C106&gt;=SUMIFS('Data - Monthly Metrics'!$E:$E,'Data - Monthly Metrics'!$A:$A,$B$4-1,'Data - Monthly Metrics'!$B:$B,C$8,'Data - Monthly Metrics'!$C:$C,"NorthCentral",'Data - Monthly Metrics'!$D:$D,"Goal - Penetration %")-0.05)</formula>
    </cfRule>
    <cfRule type="expression" rank="0" priority="267" equalAverage="0" aboveAverage="0" dxfId="1" stopIfTrue="1" text="" percent="0" bottom="0">
      <formula>AND(ISNUMBER(C106),COUNTIFS('Data - Monthly Metrics'!$A:$A,$B$4-1,'Data - Monthly Metrics'!$B:$B,C$8,'Data - Monthly Metrics'!$C:$C,"NorthCentral",'Data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Metrics'!$C:$C,"NorthCentral",'Data - Monthly Metrics'!$D:$D,"Goal - Penetration %")&gt;0,D106&gt;=SUMIFS('Data - Monthly Metrics'!$E:$E,'Data - Monthly Metrics'!$A:$A,$B$4-1,'Data - Monthly Metrics'!$B:$B,D$8,'Data - Monthly Metrics'!$C:$C,"NorthCentral",'Data - Monthly Metrics'!$D:$D,"Goal - Penetration %"))</formula>
    </cfRule>
    <cfRule type="expression" rank="0" priority="269" equalAverage="0" aboveAverage="0" dxfId="2" stopIfTrue="1" text="" percent="0" bottom="0">
      <formula>AND(ISNUMBER(D106),COUNTIFS('Data - Monthly Metrics'!$A:$A,$B$4-1,'Data - Monthly Metrics'!$B:$B,D$8,'Data - Monthly Metrics'!$C:$C,"NorthCentral",'Data - Monthly Metrics'!$D:$D,"Goal - Penetration %")&gt;0,D106&gt;=SUMIFS('Data - Monthly Metrics'!$E:$E,'Data - Monthly Metrics'!$A:$A,$B$4-1,'Data - Monthly Metrics'!$B:$B,D$8,'Data - Monthly Metrics'!$C:$C,"NorthCentral",'Data - Monthly Metrics'!$D:$D,"Goal - Penetration %")-0.05)</formula>
    </cfRule>
    <cfRule type="expression" rank="0" priority="270" equalAverage="0" aboveAverage="0" dxfId="1" stopIfTrue="1" text="" percent="0" bottom="0">
      <formula>AND(ISNUMBER(D106),COUNTIFS('Data - Monthly Metrics'!$A:$A,$B$4-1,'Data - Monthly Metrics'!$B:$B,D$8,'Data - Monthly Metrics'!$C:$C,"NorthCentral",'Data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Metrics'!$C:$C,"NorthCentral",'Data - Monthly Metrics'!$D:$D,"Goal - Penetration %")&gt;0,F106&gt;=SUMIFS('Data - Monthly Metrics'!$E:$E,'Data - Monthly Metrics'!$A:$A,$B$4,'Data - Monthly Metrics'!$B:$B,F$8,'Data - Monthly Metrics'!$C:$C,"NorthCentral",'Data - Monthly Metrics'!$D:$D,"Goal - Penetration %"))</formula>
    </cfRule>
    <cfRule type="expression" rank="0" priority="272" equalAverage="0" aboveAverage="0" dxfId="2" stopIfTrue="1" text="" percent="0" bottom="0">
      <formula>AND(ISNUMBER(F106),COUNTIFS('Data - Monthly Metrics'!$A:$A,$B$4,'Data - Monthly Metrics'!$B:$B,F$8,'Data - Monthly Metrics'!$C:$C,"NorthCentral",'Data - Monthly Metrics'!$D:$D,"Goal - Penetration %")&gt;0,F106&gt;=SUMIFS('Data - Monthly Metrics'!$E:$E,'Data - Monthly Metrics'!$A:$A,$B$4,'Data - Monthly Metrics'!$B:$B,F$8,'Data - Monthly Metrics'!$C:$C,"NorthCentral",'Data - Monthly Metrics'!$D:$D,"Goal - Penetration %")-0.05)</formula>
    </cfRule>
    <cfRule type="expression" rank="0" priority="273" equalAverage="0" aboveAverage="0" dxfId="1" stopIfTrue="1" text="" percent="0" bottom="0">
      <formula>AND(ISNUMBER(F106),COUNTIFS('Data - Monthly Metrics'!$A:$A,$B$4,'Data - Monthly Metrics'!$B:$B,F$8,'Data - Monthly Metrics'!$C:$C,"NorthCentral",'Data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Metrics'!$C:$C,"NorthCentral",'Data - Monthly Metrics'!$D:$D,"Goal - Penetration %")&gt;0,G106&gt;=SUMIFS('Data - Monthly Metrics'!$E:$E,'Data - Monthly Metrics'!$A:$A,$B$4,'Data - Monthly Metrics'!$B:$B,G$8,'Data - Monthly Metrics'!$C:$C,"NorthCentral",'Data - Monthly Metrics'!$D:$D,"Goal - Penetration %"))</formula>
    </cfRule>
    <cfRule type="expression" rank="0" priority="275" equalAverage="0" aboveAverage="0" dxfId="2" stopIfTrue="1" text="" percent="0" bottom="0">
      <formula>AND(ISNUMBER(G106),COUNTIFS('Data - Monthly Metrics'!$A:$A,$B$4,'Data - Monthly Metrics'!$B:$B,G$8,'Data - Monthly Metrics'!$C:$C,"NorthCentral",'Data - Monthly Metrics'!$D:$D,"Goal - Penetration %")&gt;0,G106&gt;=SUMIFS('Data - Monthly Metrics'!$E:$E,'Data - Monthly Metrics'!$A:$A,$B$4,'Data - Monthly Metrics'!$B:$B,G$8,'Data - Monthly Metrics'!$C:$C,"NorthCentral",'Data - Monthly Metrics'!$D:$D,"Goal - Penetration %")-0.05)</formula>
    </cfRule>
    <cfRule type="expression" rank="0" priority="276" equalAverage="0" aboveAverage="0" dxfId="1" stopIfTrue="1" text="" percent="0" bottom="0">
      <formula>AND(ISNUMBER(G106),COUNTIFS('Data - Monthly Metrics'!$A:$A,$B$4,'Data - Monthly Metrics'!$B:$B,G$8,'Data - Monthly Metrics'!$C:$C,"NorthCentral",'Data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Metrics'!$C:$C,"NorthCentral",'Data - Monthly Metrics'!$D:$D,"Goal - Penetration %")&gt;0,H106&gt;=SUMIFS('Data - Monthly Metrics'!$E:$E,'Data - Monthly Metrics'!$A:$A,$B$4,'Data - Monthly Metrics'!$B:$B,H$8,'Data - Monthly Metrics'!$C:$C,"NorthCentral",'Data - Monthly Metrics'!$D:$D,"Goal - Penetration %"))</formula>
    </cfRule>
    <cfRule type="expression" rank="0" priority="278" equalAverage="0" aboveAverage="0" dxfId="2" stopIfTrue="1" text="" percent="0" bottom="0">
      <formula>AND(ISNUMBER(H106),COUNTIFS('Data - Monthly Metrics'!$A:$A,$B$4,'Data - Monthly Metrics'!$B:$B,H$8,'Data - Monthly Metrics'!$C:$C,"NorthCentral",'Data - Monthly Metrics'!$D:$D,"Goal - Penetration %")&gt;0,H106&gt;=SUMIFS('Data - Monthly Metrics'!$E:$E,'Data - Monthly Metrics'!$A:$A,$B$4,'Data - Monthly Metrics'!$B:$B,H$8,'Data - Monthly Metrics'!$C:$C,"NorthCentral",'Data - Monthly Metrics'!$D:$D,"Goal - Penetration %")-0.05)</formula>
    </cfRule>
    <cfRule type="expression" rank="0" priority="279" equalAverage="0" aboveAverage="0" dxfId="1" stopIfTrue="1" text="" percent="0" bottom="0">
      <formula>AND(ISNUMBER(H106),COUNTIFS('Data - Monthly Metrics'!$A:$A,$B$4,'Data - Monthly Metrics'!$B:$B,H$8,'Data - Monthly Metrics'!$C:$C,"NorthCentral",'Data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Metrics'!$C:$C,"NorthCentral",'Data - Monthly Metrics'!$D:$D,"Goal - Penetration %")&gt;0,J106&gt;=SUMIFS('Data - Monthly Metrics'!$E:$E,'Data - Monthly Metrics'!$A:$A,$B$4,'Data - Monthly Metrics'!$B:$B,J$8,'Data - Monthly Metrics'!$C:$C,"NorthCentral",'Data - Monthly Metrics'!$D:$D,"Goal - Penetration %"))</formula>
    </cfRule>
    <cfRule type="expression" rank="0" priority="281" equalAverage="0" aboveAverage="0" dxfId="2" stopIfTrue="1" text="" percent="0" bottom="0">
      <formula>AND(ISNUMBER(J106),COUNTIFS('Data - Monthly Metrics'!$A:$A,$B$4,'Data - Monthly Metrics'!$B:$B,J$8,'Data - Monthly Metrics'!$C:$C,"NorthCentral",'Data - Monthly Metrics'!$D:$D,"Goal - Penetration %")&gt;0,J106&gt;=SUMIFS('Data - Monthly Metrics'!$E:$E,'Data - Monthly Metrics'!$A:$A,$B$4,'Data - Monthly Metrics'!$B:$B,J$8,'Data - Monthly Metrics'!$C:$C,"NorthCentral",'Data - Monthly Metrics'!$D:$D,"Goal - Penetration %")-0.05)</formula>
    </cfRule>
    <cfRule type="expression" rank="0" priority="282" equalAverage="0" aboveAverage="0" dxfId="1" stopIfTrue="1" text="" percent="0" bottom="0">
      <formula>AND(ISNUMBER(J106),COUNTIFS('Data - Monthly Metrics'!$A:$A,$B$4,'Data - Monthly Metrics'!$B:$B,J$8,'Data - Monthly Metrics'!$C:$C,"NorthCentral",'Data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Metrics'!$C:$C,"NorthCentral",'Data - Monthly Metrics'!$D:$D,"Goal - Penetration %")&gt;0,K106&gt;=SUMIFS('Data - Monthly Metrics'!$E:$E,'Data - Monthly Metrics'!$A:$A,$B$4,'Data - Monthly Metrics'!$B:$B,K$8,'Data - Monthly Metrics'!$C:$C,"NorthCentral",'Data - Monthly Metrics'!$D:$D,"Goal - Penetration %"))</formula>
    </cfRule>
    <cfRule type="expression" rank="0" priority="284" equalAverage="0" aboveAverage="0" dxfId="2" stopIfTrue="1" text="" percent="0" bottom="0">
      <formula>AND(ISNUMBER(K106),COUNTIFS('Data - Monthly Metrics'!$A:$A,$B$4,'Data - Monthly Metrics'!$B:$B,K$8,'Data - Monthly Metrics'!$C:$C,"NorthCentral",'Data - Monthly Metrics'!$D:$D,"Goal - Penetration %")&gt;0,K106&gt;=SUMIFS('Data - Monthly Metrics'!$E:$E,'Data - Monthly Metrics'!$A:$A,$B$4,'Data - Monthly Metrics'!$B:$B,K$8,'Data - Monthly Metrics'!$C:$C,"NorthCentral",'Data - Monthly Metrics'!$D:$D,"Goal - Penetration %")-0.05)</formula>
    </cfRule>
    <cfRule type="expression" rank="0" priority="285" equalAverage="0" aboveAverage="0" dxfId="1" stopIfTrue="1" text="" percent="0" bottom="0">
      <formula>AND(ISNUMBER(K106),COUNTIFS('Data - Monthly Metrics'!$A:$A,$B$4,'Data - Monthly Metrics'!$B:$B,K$8,'Data - Monthly Metrics'!$C:$C,"NorthCentral",'Data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Metrics'!$C:$C,"NorthCentral",'Data - Monthly Metrics'!$D:$D,"Goal - Penetration %")&gt;0,L106&gt;=SUMIFS('Data - Monthly Metrics'!$E:$E,'Data - Monthly Metrics'!$A:$A,$B$4,'Data - Monthly Metrics'!$B:$B,L$8,'Data - Monthly Metrics'!$C:$C,"NorthCentral",'Data - Monthly Metrics'!$D:$D,"Goal - Penetration %"))</formula>
    </cfRule>
    <cfRule type="expression" rank="0" priority="287" equalAverage="0" aboveAverage="0" dxfId="2" stopIfTrue="1" text="" percent="0" bottom="0">
      <formula>AND(ISNUMBER(L106),COUNTIFS('Data - Monthly Metrics'!$A:$A,$B$4,'Data - Monthly Metrics'!$B:$B,L$8,'Data - Monthly Metrics'!$C:$C,"NorthCentral",'Data - Monthly Metrics'!$D:$D,"Goal - Penetration %")&gt;0,L106&gt;=SUMIFS('Data - Monthly Metrics'!$E:$E,'Data - Monthly Metrics'!$A:$A,$B$4,'Data - Monthly Metrics'!$B:$B,L$8,'Data - Monthly Metrics'!$C:$C,"NorthCentral",'Data - Monthly Metrics'!$D:$D,"Goal - Penetration %")-0.05)</formula>
    </cfRule>
    <cfRule type="expression" rank="0" priority="288" equalAverage="0" aboveAverage="0" dxfId="1" stopIfTrue="1" text="" percent="0" bottom="0">
      <formula>AND(ISNUMBER(L106),COUNTIFS('Data - Monthly Metrics'!$A:$A,$B$4,'Data - Monthly Metrics'!$B:$B,L$8,'Data - Monthly Metrics'!$C:$C,"NorthCentral",'Data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Metrics'!$C:$C,"NorthCentral",'Data - Monthly Metrics'!$D:$D,"Goal - Penetration %")&gt;0,N106&gt;=SUMIFS('Data - Monthly Metrics'!$E:$E,'Data - Monthly Metrics'!$A:$A,$B$4,'Data - Monthly Metrics'!$B:$B,N$8,'Data - Monthly Metrics'!$C:$C,"NorthCentral",'Data - Monthly Metrics'!$D:$D,"Goal - Penetration %"))</formula>
    </cfRule>
    <cfRule type="expression" rank="0" priority="290" equalAverage="0" aboveAverage="0" dxfId="2" stopIfTrue="1" text="" percent="0" bottom="0">
      <formula>AND(ISNUMBER(N106),COUNTIFS('Data - Monthly Metrics'!$A:$A,$B$4,'Data - Monthly Metrics'!$B:$B,N$8,'Data - Monthly Metrics'!$C:$C,"NorthCentral",'Data - Monthly Metrics'!$D:$D,"Goal - Penetration %")&gt;0,N106&gt;=SUMIFS('Data - Monthly Metrics'!$E:$E,'Data - Monthly Metrics'!$A:$A,$B$4,'Data - Monthly Metrics'!$B:$B,N$8,'Data - Monthly Metrics'!$C:$C,"NorthCentral",'Data - Monthly Metrics'!$D:$D,"Goal - Penetration %")-0.05)</formula>
    </cfRule>
    <cfRule type="expression" rank="0" priority="291" equalAverage="0" aboveAverage="0" dxfId="1" stopIfTrue="1" text="" percent="0" bottom="0">
      <formula>AND(ISNUMBER(N106),COUNTIFS('Data - Monthly Metrics'!$A:$A,$B$4,'Data - Monthly Metrics'!$B:$B,N$8,'Data - Monthly Metrics'!$C:$C,"NorthCentral",'Data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Metrics'!$C:$C,"NorthCentral",'Data - Monthly Metrics'!$D:$D,"Goal - Penetration %")&gt;0,O106&gt;=SUMIFS('Data - Monthly Metrics'!$E:$E,'Data - Monthly Metrics'!$A:$A,$B$4,'Data - Monthly Metrics'!$B:$B,O$8,'Data - Monthly Metrics'!$C:$C,"NorthCentral",'Data - Monthly Metrics'!$D:$D,"Goal - Penetration %"))</formula>
    </cfRule>
    <cfRule type="expression" rank="0" priority="293" equalAverage="0" aboveAverage="0" dxfId="2" stopIfTrue="1" text="" percent="0" bottom="0">
      <formula>AND(ISNUMBER(O106),COUNTIFS('Data - Monthly Metrics'!$A:$A,$B$4,'Data - Monthly Metrics'!$B:$B,O$8,'Data - Monthly Metrics'!$C:$C,"NorthCentral",'Data - Monthly Metrics'!$D:$D,"Goal - Penetration %")&gt;0,O106&gt;=SUMIFS('Data - Monthly Metrics'!$E:$E,'Data - Monthly Metrics'!$A:$A,$B$4,'Data - Monthly Metrics'!$B:$B,O$8,'Data - Monthly Metrics'!$C:$C,"NorthCentral",'Data - Monthly Metrics'!$D:$D,"Goal - Penetration %")-0.05)</formula>
    </cfRule>
    <cfRule type="expression" rank="0" priority="294" equalAverage="0" aboveAverage="0" dxfId="1" stopIfTrue="1" text="" percent="0" bottom="0">
      <formula>AND(ISNUMBER(O106),COUNTIFS('Data - Monthly Metrics'!$A:$A,$B$4,'Data - Monthly Metrics'!$B:$B,O$8,'Data - Monthly Metrics'!$C:$C,"NorthCentral",'Data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Metrics'!$C:$C,"NorthCentral",'Data - Monthly Metrics'!$D:$D,"Goal - Penetration %")&gt;0,P106&gt;=SUMIFS('Data - Monthly Metrics'!$E:$E,'Data - Monthly Metrics'!$A:$A,$B$4,'Data - Monthly Metrics'!$B:$B,P$8,'Data - Monthly Metrics'!$C:$C,"NorthCentral",'Data - Monthly Metrics'!$D:$D,"Goal - Penetration %"))</formula>
    </cfRule>
    <cfRule type="expression" rank="0" priority="296" equalAverage="0" aboveAverage="0" dxfId="2" stopIfTrue="1" text="" percent="0" bottom="0">
      <formula>AND(ISNUMBER(P106),COUNTIFS('Data - Monthly Metrics'!$A:$A,$B$4,'Data - Monthly Metrics'!$B:$B,P$8,'Data - Monthly Metrics'!$C:$C,"NorthCentral",'Data - Monthly Metrics'!$D:$D,"Goal - Penetration %")&gt;0,P106&gt;=SUMIFS('Data - Monthly Metrics'!$E:$E,'Data - Monthly Metrics'!$A:$A,$B$4,'Data - Monthly Metrics'!$B:$B,P$8,'Data - Monthly Metrics'!$C:$C,"NorthCentral",'Data - Monthly Metrics'!$D:$D,"Goal - Penetration %")-0.05)</formula>
    </cfRule>
    <cfRule type="expression" rank="0" priority="297" equalAverage="0" aboveAverage="0" dxfId="1" stopIfTrue="1" text="" percent="0" bottom="0">
      <formula>AND(ISNUMBER(P106),COUNTIFS('Data - Monthly Metrics'!$A:$A,$B$4,'Data - Monthly Metrics'!$B:$B,P$8,'Data - Monthly Metrics'!$C:$C,"NorthCentral",'Data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Metrics'!$C:$C,"NorthCentral",'Data - Monthly Metrics'!$D:$D,"Goal - Penetration %")&gt;0,B107&gt;=SUMIFS('Data - Monthly Metrics'!$E:$E,'Data - Monthly Metrics'!$A:$A,$B$4-1,'Data - Monthly Metrics'!$B:$B,B$8,'Data - Monthly Metrics'!$C:$C,"NorthCentral",'Data - Monthly Metrics'!$D:$D,"Goal - Penetration %"))</formula>
    </cfRule>
    <cfRule type="expression" rank="0" priority="299" equalAverage="0" aboveAverage="0" dxfId="2" stopIfTrue="1" text="" percent="0" bottom="0">
      <formula>AND(ISNUMBER(B107),COUNTIFS('Data - Monthly Metrics'!$A:$A,$B$4-1,'Data - Monthly Metrics'!$B:$B,B$8,'Data - Monthly Metrics'!$C:$C,"NorthCentral",'Data - Monthly Metrics'!$D:$D,"Goal - Penetration %")&gt;0,B107&gt;=SUMIFS('Data - Monthly Metrics'!$E:$E,'Data - Monthly Metrics'!$A:$A,$B$4-1,'Data - Monthly Metrics'!$B:$B,B$8,'Data - Monthly Metrics'!$C:$C,"NorthCentral",'Data - Monthly Metrics'!$D:$D,"Goal - Penetration %")-0.05)</formula>
    </cfRule>
    <cfRule type="expression" rank="0" priority="300" equalAverage="0" aboveAverage="0" dxfId="1" stopIfTrue="1" text="" percent="0" bottom="0">
      <formula>AND(ISNUMBER(B107),COUNTIFS('Data - Monthly Metrics'!$A:$A,$B$4-1,'Data - Monthly Metrics'!$B:$B,B$8,'Data - Monthly Metrics'!$C:$C,"NorthCentral",'Data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Metrics'!$C:$C,"NorthCentral",'Data - Monthly Metrics'!$D:$D,"Goal - Penetration %")&gt;0,C107&gt;=SUMIFS('Data - Monthly Metrics'!$E:$E,'Data - Monthly Metrics'!$A:$A,$B$4-1,'Data - Monthly Metrics'!$B:$B,C$8,'Data - Monthly Metrics'!$C:$C,"NorthCentral",'Data - Monthly Metrics'!$D:$D,"Goal - Penetration %"))</formula>
    </cfRule>
    <cfRule type="expression" rank="0" priority="302" equalAverage="0" aboveAverage="0" dxfId="2" stopIfTrue="1" text="" percent="0" bottom="0">
      <formula>AND(ISNUMBER(C107),COUNTIFS('Data - Monthly Metrics'!$A:$A,$B$4-1,'Data - Monthly Metrics'!$B:$B,C$8,'Data - Monthly Metrics'!$C:$C,"NorthCentral",'Data - Monthly Metrics'!$D:$D,"Goal - Penetration %")&gt;0,C107&gt;=SUMIFS('Data - Monthly Metrics'!$E:$E,'Data - Monthly Metrics'!$A:$A,$B$4-1,'Data - Monthly Metrics'!$B:$B,C$8,'Data - Monthly Metrics'!$C:$C,"NorthCentral",'Data - Monthly Metrics'!$D:$D,"Goal - Penetration %")-0.05)</formula>
    </cfRule>
    <cfRule type="expression" rank="0" priority="303" equalAverage="0" aboveAverage="0" dxfId="1" stopIfTrue="1" text="" percent="0" bottom="0">
      <formula>AND(ISNUMBER(C107),COUNTIFS('Data - Monthly Metrics'!$A:$A,$B$4-1,'Data - Monthly Metrics'!$B:$B,C$8,'Data - Monthly Metrics'!$C:$C,"NorthCentral",'Data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Metrics'!$C:$C,"NorthCentral",'Data - Monthly Metrics'!$D:$D,"Goal - Penetration %")&gt;0,D107&gt;=SUMIFS('Data - Monthly Metrics'!$E:$E,'Data - Monthly Metrics'!$A:$A,$B$4-1,'Data - Monthly Metrics'!$B:$B,D$8,'Data - Monthly Metrics'!$C:$C,"NorthCentral",'Data - Monthly Metrics'!$D:$D,"Goal - Penetration %"))</formula>
    </cfRule>
    <cfRule type="expression" rank="0" priority="305" equalAverage="0" aboveAverage="0" dxfId="2" stopIfTrue="1" text="" percent="0" bottom="0">
      <formula>AND(ISNUMBER(D107),COUNTIFS('Data - Monthly Metrics'!$A:$A,$B$4-1,'Data - Monthly Metrics'!$B:$B,D$8,'Data - Monthly Metrics'!$C:$C,"NorthCentral",'Data - Monthly Metrics'!$D:$D,"Goal - Penetration %")&gt;0,D107&gt;=SUMIFS('Data - Monthly Metrics'!$E:$E,'Data - Monthly Metrics'!$A:$A,$B$4-1,'Data - Monthly Metrics'!$B:$B,D$8,'Data - Monthly Metrics'!$C:$C,"NorthCentral",'Data - Monthly Metrics'!$D:$D,"Goal - Penetration %")-0.05)</formula>
    </cfRule>
    <cfRule type="expression" rank="0" priority="306" equalAverage="0" aboveAverage="0" dxfId="1" stopIfTrue="1" text="" percent="0" bottom="0">
      <formula>AND(ISNUMBER(D107),COUNTIFS('Data - Monthly Metrics'!$A:$A,$B$4-1,'Data - Monthly Metrics'!$B:$B,D$8,'Data - Monthly Metrics'!$C:$C,"NorthCentral",'Data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Metrics'!$C:$C,"NorthCentral",'Data - Monthly Metrics'!$D:$D,"Goal - Penetration %")&gt;0,F107&gt;=SUMIFS('Data - Monthly Metrics'!$E:$E,'Data - Monthly Metrics'!$A:$A,$B$4,'Data - Monthly Metrics'!$B:$B,F$8,'Data - Monthly Metrics'!$C:$C,"NorthCentral",'Data - Monthly Metrics'!$D:$D,"Goal - Penetration %"))</formula>
    </cfRule>
    <cfRule type="expression" rank="0" priority="308" equalAverage="0" aboveAverage="0" dxfId="2" stopIfTrue="1" text="" percent="0" bottom="0">
      <formula>AND(ISNUMBER(F107),COUNTIFS('Data - Monthly Metrics'!$A:$A,$B$4,'Data - Monthly Metrics'!$B:$B,F$8,'Data - Monthly Metrics'!$C:$C,"NorthCentral",'Data - Monthly Metrics'!$D:$D,"Goal - Penetration %")&gt;0,F107&gt;=SUMIFS('Data - Monthly Metrics'!$E:$E,'Data - Monthly Metrics'!$A:$A,$B$4,'Data - Monthly Metrics'!$B:$B,F$8,'Data - Monthly Metrics'!$C:$C,"NorthCentral",'Data - Monthly Metrics'!$D:$D,"Goal - Penetration %")-0.05)</formula>
    </cfRule>
    <cfRule type="expression" rank="0" priority="309" equalAverage="0" aboveAverage="0" dxfId="1" stopIfTrue="1" text="" percent="0" bottom="0">
      <formula>AND(ISNUMBER(F107),COUNTIFS('Data - Monthly Metrics'!$A:$A,$B$4,'Data - Monthly Metrics'!$B:$B,F$8,'Data - Monthly Metrics'!$C:$C,"NorthCentral",'Data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Metrics'!$C:$C,"NorthCentral",'Data - Monthly Metrics'!$D:$D,"Goal - Penetration %")&gt;0,G107&gt;=SUMIFS('Data - Monthly Metrics'!$E:$E,'Data - Monthly Metrics'!$A:$A,$B$4,'Data - Monthly Metrics'!$B:$B,G$8,'Data - Monthly Metrics'!$C:$C,"NorthCentral",'Data - Monthly Metrics'!$D:$D,"Goal - Penetration %"))</formula>
    </cfRule>
    <cfRule type="expression" rank="0" priority="311" equalAverage="0" aboveAverage="0" dxfId="2" stopIfTrue="1" text="" percent="0" bottom="0">
      <formula>AND(ISNUMBER(G107),COUNTIFS('Data - Monthly Metrics'!$A:$A,$B$4,'Data - Monthly Metrics'!$B:$B,G$8,'Data - Monthly Metrics'!$C:$C,"NorthCentral",'Data - Monthly Metrics'!$D:$D,"Goal - Penetration %")&gt;0,G107&gt;=SUMIFS('Data - Monthly Metrics'!$E:$E,'Data - Monthly Metrics'!$A:$A,$B$4,'Data - Monthly Metrics'!$B:$B,G$8,'Data - Monthly Metrics'!$C:$C,"NorthCentral",'Data - Monthly Metrics'!$D:$D,"Goal - Penetration %")-0.05)</formula>
    </cfRule>
    <cfRule type="expression" rank="0" priority="312" equalAverage="0" aboveAverage="0" dxfId="1" stopIfTrue="1" text="" percent="0" bottom="0">
      <formula>AND(ISNUMBER(G107),COUNTIFS('Data - Monthly Metrics'!$A:$A,$B$4,'Data - Monthly Metrics'!$B:$B,G$8,'Data - Monthly Metrics'!$C:$C,"NorthCentral",'Data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Metrics'!$C:$C,"NorthCentral",'Data - Monthly Metrics'!$D:$D,"Goal - Penetration %")&gt;0,H107&gt;=SUMIFS('Data - Monthly Metrics'!$E:$E,'Data - Monthly Metrics'!$A:$A,$B$4,'Data - Monthly Metrics'!$B:$B,H$8,'Data - Monthly Metrics'!$C:$C,"NorthCentral",'Data - Monthly Metrics'!$D:$D,"Goal - Penetration %"))</formula>
    </cfRule>
    <cfRule type="expression" rank="0" priority="314" equalAverage="0" aboveAverage="0" dxfId="2" stopIfTrue="1" text="" percent="0" bottom="0">
      <formula>AND(ISNUMBER(H107),COUNTIFS('Data - Monthly Metrics'!$A:$A,$B$4,'Data - Monthly Metrics'!$B:$B,H$8,'Data - Monthly Metrics'!$C:$C,"NorthCentral",'Data - Monthly Metrics'!$D:$D,"Goal - Penetration %")&gt;0,H107&gt;=SUMIFS('Data - Monthly Metrics'!$E:$E,'Data - Monthly Metrics'!$A:$A,$B$4,'Data - Monthly Metrics'!$B:$B,H$8,'Data - Monthly Metrics'!$C:$C,"NorthCentral",'Data - Monthly Metrics'!$D:$D,"Goal - Penetration %")-0.05)</formula>
    </cfRule>
    <cfRule type="expression" rank="0" priority="315" equalAverage="0" aboveAverage="0" dxfId="1" stopIfTrue="1" text="" percent="0" bottom="0">
      <formula>AND(ISNUMBER(H107),COUNTIFS('Data - Monthly Metrics'!$A:$A,$B$4,'Data - Monthly Metrics'!$B:$B,H$8,'Data - Monthly Metrics'!$C:$C,"NorthCentral",'Data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Metrics'!$C:$C,"NorthCentral",'Data - Monthly Metrics'!$D:$D,"Goal - Penetration %")&gt;0,J107&gt;=SUMIFS('Data - Monthly Metrics'!$E:$E,'Data - Monthly Metrics'!$A:$A,$B$4,'Data - Monthly Metrics'!$B:$B,J$8,'Data - Monthly Metrics'!$C:$C,"NorthCentral",'Data - Monthly Metrics'!$D:$D,"Goal - Penetration %"))</formula>
    </cfRule>
    <cfRule type="expression" rank="0" priority="317" equalAverage="0" aboveAverage="0" dxfId="2" stopIfTrue="1" text="" percent="0" bottom="0">
      <formula>AND(ISNUMBER(J107),COUNTIFS('Data - Monthly Metrics'!$A:$A,$B$4,'Data - Monthly Metrics'!$B:$B,J$8,'Data - Monthly Metrics'!$C:$C,"NorthCentral",'Data - Monthly Metrics'!$D:$D,"Goal - Penetration %")&gt;0,J107&gt;=SUMIFS('Data - Monthly Metrics'!$E:$E,'Data - Monthly Metrics'!$A:$A,$B$4,'Data - Monthly Metrics'!$B:$B,J$8,'Data - Monthly Metrics'!$C:$C,"NorthCentral",'Data - Monthly Metrics'!$D:$D,"Goal - Penetration %")-0.05)</formula>
    </cfRule>
    <cfRule type="expression" rank="0" priority="318" equalAverage="0" aboveAverage="0" dxfId="1" stopIfTrue="1" text="" percent="0" bottom="0">
      <formula>AND(ISNUMBER(J107),COUNTIFS('Data - Monthly Metrics'!$A:$A,$B$4,'Data - Monthly Metrics'!$B:$B,J$8,'Data - Monthly Metrics'!$C:$C,"NorthCentral",'Data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Metrics'!$C:$C,"NorthCentral",'Data - Monthly Metrics'!$D:$D,"Goal - Penetration %")&gt;0,K107&gt;=SUMIFS('Data - Monthly Metrics'!$E:$E,'Data - Monthly Metrics'!$A:$A,$B$4,'Data - Monthly Metrics'!$B:$B,K$8,'Data - Monthly Metrics'!$C:$C,"NorthCentral",'Data - Monthly Metrics'!$D:$D,"Goal - Penetration %"))</formula>
    </cfRule>
    <cfRule type="expression" rank="0" priority="320" equalAverage="0" aboveAverage="0" dxfId="2" stopIfTrue="1" text="" percent="0" bottom="0">
      <formula>AND(ISNUMBER(K107),COUNTIFS('Data - Monthly Metrics'!$A:$A,$B$4,'Data - Monthly Metrics'!$B:$B,K$8,'Data - Monthly Metrics'!$C:$C,"NorthCentral",'Data - Monthly Metrics'!$D:$D,"Goal - Penetration %")&gt;0,K107&gt;=SUMIFS('Data - Monthly Metrics'!$E:$E,'Data - Monthly Metrics'!$A:$A,$B$4,'Data - Monthly Metrics'!$B:$B,K$8,'Data - Monthly Metrics'!$C:$C,"NorthCentral",'Data - Monthly Metrics'!$D:$D,"Goal - Penetration %")-0.05)</formula>
    </cfRule>
    <cfRule type="expression" rank="0" priority="321" equalAverage="0" aboveAverage="0" dxfId="1" stopIfTrue="1" text="" percent="0" bottom="0">
      <formula>AND(ISNUMBER(K107),COUNTIFS('Data - Monthly Metrics'!$A:$A,$B$4,'Data - Monthly Metrics'!$B:$B,K$8,'Data - Monthly Metrics'!$C:$C,"NorthCentral",'Data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Metrics'!$C:$C,"NorthCentral",'Data - Monthly Metrics'!$D:$D,"Goal - Penetration %")&gt;0,L107&gt;=SUMIFS('Data - Monthly Metrics'!$E:$E,'Data - Monthly Metrics'!$A:$A,$B$4,'Data - Monthly Metrics'!$B:$B,L$8,'Data - Monthly Metrics'!$C:$C,"NorthCentral",'Data - Monthly Metrics'!$D:$D,"Goal - Penetration %"))</formula>
    </cfRule>
    <cfRule type="expression" rank="0" priority="323" equalAverage="0" aboveAverage="0" dxfId="2" stopIfTrue="1" text="" percent="0" bottom="0">
      <formula>AND(ISNUMBER(L107),COUNTIFS('Data - Monthly Metrics'!$A:$A,$B$4,'Data - Monthly Metrics'!$B:$B,L$8,'Data - Monthly Metrics'!$C:$C,"NorthCentral",'Data - Monthly Metrics'!$D:$D,"Goal - Penetration %")&gt;0,L107&gt;=SUMIFS('Data - Monthly Metrics'!$E:$E,'Data - Monthly Metrics'!$A:$A,$B$4,'Data - Monthly Metrics'!$B:$B,L$8,'Data - Monthly Metrics'!$C:$C,"NorthCentral",'Data - Monthly Metrics'!$D:$D,"Goal - Penetration %")-0.05)</formula>
    </cfRule>
    <cfRule type="expression" rank="0" priority="324" equalAverage="0" aboveAverage="0" dxfId="1" stopIfTrue="1" text="" percent="0" bottom="0">
      <formula>AND(ISNUMBER(L107),COUNTIFS('Data - Monthly Metrics'!$A:$A,$B$4,'Data - Monthly Metrics'!$B:$B,L$8,'Data - Monthly Metrics'!$C:$C,"NorthCentral",'Data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Metrics'!$C:$C,"NorthCentral",'Data - Monthly Metrics'!$D:$D,"Goal - Penetration %")&gt;0,N107&gt;=SUMIFS('Data - Monthly Metrics'!$E:$E,'Data - Monthly Metrics'!$A:$A,$B$4,'Data - Monthly Metrics'!$B:$B,N$8,'Data - Monthly Metrics'!$C:$C,"NorthCentral",'Data - Monthly Metrics'!$D:$D,"Goal - Penetration %"))</formula>
    </cfRule>
    <cfRule type="expression" rank="0" priority="326" equalAverage="0" aboveAverage="0" dxfId="2" stopIfTrue="1" text="" percent="0" bottom="0">
      <formula>AND(ISNUMBER(N107),COUNTIFS('Data - Monthly Metrics'!$A:$A,$B$4,'Data - Monthly Metrics'!$B:$B,N$8,'Data - Monthly Metrics'!$C:$C,"NorthCentral",'Data - Monthly Metrics'!$D:$D,"Goal - Penetration %")&gt;0,N107&gt;=SUMIFS('Data - Monthly Metrics'!$E:$E,'Data - Monthly Metrics'!$A:$A,$B$4,'Data - Monthly Metrics'!$B:$B,N$8,'Data - Monthly Metrics'!$C:$C,"NorthCentral",'Data - Monthly Metrics'!$D:$D,"Goal - Penetration %")-0.05)</formula>
    </cfRule>
    <cfRule type="expression" rank="0" priority="327" equalAverage="0" aboveAverage="0" dxfId="1" stopIfTrue="1" text="" percent="0" bottom="0">
      <formula>AND(ISNUMBER(N107),COUNTIFS('Data - Monthly Metrics'!$A:$A,$B$4,'Data - Monthly Metrics'!$B:$B,N$8,'Data - Monthly Metrics'!$C:$C,"NorthCentral",'Data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Metrics'!$C:$C,"NorthCentral",'Data - Monthly Metrics'!$D:$D,"Goal - Penetration %")&gt;0,O107&gt;=SUMIFS('Data - Monthly Metrics'!$E:$E,'Data - Monthly Metrics'!$A:$A,$B$4,'Data - Monthly Metrics'!$B:$B,O$8,'Data - Monthly Metrics'!$C:$C,"NorthCentral",'Data - Monthly Metrics'!$D:$D,"Goal - Penetration %"))</formula>
    </cfRule>
    <cfRule type="expression" rank="0" priority="329" equalAverage="0" aboveAverage="0" dxfId="2" stopIfTrue="1" text="" percent="0" bottom="0">
      <formula>AND(ISNUMBER(O107),COUNTIFS('Data - Monthly Metrics'!$A:$A,$B$4,'Data - Monthly Metrics'!$B:$B,O$8,'Data - Monthly Metrics'!$C:$C,"NorthCentral",'Data - Monthly Metrics'!$D:$D,"Goal - Penetration %")&gt;0,O107&gt;=SUMIFS('Data - Monthly Metrics'!$E:$E,'Data - Monthly Metrics'!$A:$A,$B$4,'Data - Monthly Metrics'!$B:$B,O$8,'Data - Monthly Metrics'!$C:$C,"NorthCentral",'Data - Monthly Metrics'!$D:$D,"Goal - Penetration %")-0.05)</formula>
    </cfRule>
    <cfRule type="expression" rank="0" priority="330" equalAverage="0" aboveAverage="0" dxfId="1" stopIfTrue="1" text="" percent="0" bottom="0">
      <formula>AND(ISNUMBER(O107),COUNTIFS('Data - Monthly Metrics'!$A:$A,$B$4,'Data - Monthly Metrics'!$B:$B,O$8,'Data - Monthly Metrics'!$C:$C,"NorthCentral",'Data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Metrics'!$C:$C,"NorthCentral",'Data - Monthly Metrics'!$D:$D,"Goal - Penetration %")&gt;0,P107&gt;=SUMIFS('Data - Monthly Metrics'!$E:$E,'Data - Monthly Metrics'!$A:$A,$B$4,'Data - Monthly Metrics'!$B:$B,P$8,'Data - Monthly Metrics'!$C:$C,"NorthCentral",'Data - Monthly Metrics'!$D:$D,"Goal - Penetration %"))</formula>
    </cfRule>
    <cfRule type="expression" rank="0" priority="332" equalAverage="0" aboveAverage="0" dxfId="2" stopIfTrue="1" text="" percent="0" bottom="0">
      <formula>AND(ISNUMBER(P107),COUNTIFS('Data - Monthly Metrics'!$A:$A,$B$4,'Data - Monthly Metrics'!$B:$B,P$8,'Data - Monthly Metrics'!$C:$C,"NorthCentral",'Data - Monthly Metrics'!$D:$D,"Goal - Penetration %")&gt;0,P107&gt;=SUMIFS('Data - Monthly Metrics'!$E:$E,'Data - Monthly Metrics'!$A:$A,$B$4,'Data - Monthly Metrics'!$B:$B,P$8,'Data - Monthly Metrics'!$C:$C,"NorthCentral",'Data - Monthly Metrics'!$D:$D,"Goal - Penetration %")-0.05)</formula>
    </cfRule>
    <cfRule type="expression" rank="0" priority="333" equalAverage="0" aboveAverage="0" dxfId="1" stopIfTrue="1" text="" percent="0" bottom="0">
      <formula>AND(ISNUMBER(P107),COUNTIFS('Data - Monthly Metrics'!$A:$A,$B$4,'Data - Monthly Metrics'!$B:$B,P$8,'Data - Monthly Metrics'!$C:$C,"NorthCentral",'Data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Metrics'!$C:$C,"NorthCentral",'Data - Monthly Metrics'!$D:$D,"Goal - Retention %")&gt;0,B19&gt;=SUMIFS('Data - Monthly Metrics'!$E:$E,'Data - Monthly Metrics'!$A:$A,$B$4-1,'Data - Monthly Metrics'!$B:$B,B$8,'Data - Monthly Metrics'!$C:$C,"NorthCentral",'Data - Monthly Metrics'!$D:$D,"Goal - Retention %"))</formula>
    </cfRule>
    <cfRule type="expression" rank="0" priority="335" equalAverage="0" aboveAverage="0" dxfId="2" stopIfTrue="1" text="" percent="0" bottom="0">
      <formula>AND(ISNUMBER(B19),COUNTIFS('Data - Monthly Metrics'!$A:$A,$B$4-1,'Data - Monthly Metrics'!$B:$B,B$8,'Data - Monthly Metrics'!$C:$C,"NorthCentral",'Data - Monthly Metrics'!$D:$D,"Goal - Retention %")&gt;0,B19&gt;=SUMIFS('Data - Monthly Metrics'!$E:$E,'Data - Monthly Metrics'!$A:$A,$B$4-1,'Data - Monthly Metrics'!$B:$B,B$8,'Data - Monthly Metrics'!$C:$C,"NorthCentral",'Data - Monthly Metrics'!$D:$D,"Goal - Retention %")-0.05)</formula>
    </cfRule>
    <cfRule type="expression" rank="0" priority="336" equalAverage="0" aboveAverage="0" dxfId="1" stopIfTrue="1" text="" percent="0" bottom="0">
      <formula>AND(ISNUMBER(B19),COUNTIFS('Data - Monthly Metrics'!$A:$A,$B$4-1,'Data - Monthly Metrics'!$B:$B,B$8,'Data - Monthly Metrics'!$C:$C,"NorthCentral",'Data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Metrics'!$C:$C,"NorthCentral",'Data - Monthly Metrics'!$D:$D,"Goal - Retention %")&gt;0,C19&gt;=SUMIFS('Data - Monthly Metrics'!$E:$E,'Data - Monthly Metrics'!$A:$A,$B$4-1,'Data - Monthly Metrics'!$B:$B,C$8,'Data - Monthly Metrics'!$C:$C,"NorthCentral",'Data - Monthly Metrics'!$D:$D,"Goal - Retention %"))</formula>
    </cfRule>
    <cfRule type="expression" rank="0" priority="338" equalAverage="0" aboveAverage="0" dxfId="2" stopIfTrue="1" text="" percent="0" bottom="0">
      <formula>AND(ISNUMBER(C19),COUNTIFS('Data - Monthly Metrics'!$A:$A,$B$4-1,'Data - Monthly Metrics'!$B:$B,C$8,'Data - Monthly Metrics'!$C:$C,"NorthCentral",'Data - Monthly Metrics'!$D:$D,"Goal - Retention %")&gt;0,C19&gt;=SUMIFS('Data - Monthly Metrics'!$E:$E,'Data - Monthly Metrics'!$A:$A,$B$4-1,'Data - Monthly Metrics'!$B:$B,C$8,'Data - Monthly Metrics'!$C:$C,"NorthCentral",'Data - Monthly Metrics'!$D:$D,"Goal - Retention %")-0.05)</formula>
    </cfRule>
    <cfRule type="expression" rank="0" priority="339" equalAverage="0" aboveAverage="0" dxfId="1" stopIfTrue="1" text="" percent="0" bottom="0">
      <formula>AND(ISNUMBER(C19),COUNTIFS('Data - Monthly Metrics'!$A:$A,$B$4-1,'Data - Monthly Metrics'!$B:$B,C$8,'Data - Monthly Metrics'!$C:$C,"NorthCentral",'Data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Metrics'!$C:$C,"NorthCentral",'Data - Monthly Metrics'!$D:$D,"Goal - Retention %")&gt;0,D19&gt;=SUMIFS('Data - Monthly Metrics'!$E:$E,'Data - Monthly Metrics'!$A:$A,$B$4-1,'Data - Monthly Metrics'!$B:$B,D$8,'Data - Monthly Metrics'!$C:$C,"NorthCentral",'Data - Monthly Metrics'!$D:$D,"Goal - Retention %"))</formula>
    </cfRule>
    <cfRule type="expression" rank="0" priority="341" equalAverage="0" aboveAverage="0" dxfId="2" stopIfTrue="1" text="" percent="0" bottom="0">
      <formula>AND(ISNUMBER(D19),COUNTIFS('Data - Monthly Metrics'!$A:$A,$B$4-1,'Data - Monthly Metrics'!$B:$B,D$8,'Data - Monthly Metrics'!$C:$C,"NorthCentral",'Data - Monthly Metrics'!$D:$D,"Goal - Retention %")&gt;0,D19&gt;=SUMIFS('Data - Monthly Metrics'!$E:$E,'Data - Monthly Metrics'!$A:$A,$B$4-1,'Data - Monthly Metrics'!$B:$B,D$8,'Data - Monthly Metrics'!$C:$C,"NorthCentral",'Data - Monthly Metrics'!$D:$D,"Goal - Retention %")-0.05)</formula>
    </cfRule>
    <cfRule type="expression" rank="0" priority="342" equalAverage="0" aboveAverage="0" dxfId="1" stopIfTrue="1" text="" percent="0" bottom="0">
      <formula>AND(ISNUMBER(D19),COUNTIFS('Data - Monthly Metrics'!$A:$A,$B$4-1,'Data - Monthly Metrics'!$B:$B,D$8,'Data - Monthly Metrics'!$C:$C,"NorthCentral",'Data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Metrics'!$C:$C,"NorthCentral",'Data - Monthly Metrics'!$D:$D,"Goal - Retention %")&gt;0,F19&gt;=SUMIFS('Data - Monthly Metrics'!$E:$E,'Data - Monthly Metrics'!$A:$A,$B$4,'Data - Monthly Metrics'!$B:$B,F$8,'Data - Monthly Metrics'!$C:$C,"NorthCentral",'Data - Monthly Metrics'!$D:$D,"Goal - Retention %"))</formula>
    </cfRule>
    <cfRule type="expression" rank="0" priority="344" equalAverage="0" aboveAverage="0" dxfId="2" stopIfTrue="1" text="" percent="0" bottom="0">
      <formula>AND(ISNUMBER(F19),COUNTIFS('Data - Monthly Metrics'!$A:$A,$B$4,'Data - Monthly Metrics'!$B:$B,F$8,'Data - Monthly Metrics'!$C:$C,"NorthCentral",'Data - Monthly Metrics'!$D:$D,"Goal - Retention %")&gt;0,F19&gt;=SUMIFS('Data - Monthly Metrics'!$E:$E,'Data - Monthly Metrics'!$A:$A,$B$4,'Data - Monthly Metrics'!$B:$B,F$8,'Data - Monthly Metrics'!$C:$C,"NorthCentral",'Data - Monthly Metrics'!$D:$D,"Goal - Retention %")-0.05)</formula>
    </cfRule>
    <cfRule type="expression" rank="0" priority="345" equalAverage="0" aboveAverage="0" dxfId="1" stopIfTrue="1" text="" percent="0" bottom="0">
      <formula>AND(ISNUMBER(F19),COUNTIFS('Data - Monthly Metrics'!$A:$A,$B$4,'Data - Monthly Metrics'!$B:$B,F$8,'Data - Monthly Metrics'!$C:$C,"NorthCentral",'Data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Metrics'!$C:$C,"NorthCentral",'Data - Monthly Metrics'!$D:$D,"Goal - Retention %")&gt;0,G19&gt;=SUMIFS('Data - Monthly Metrics'!$E:$E,'Data - Monthly Metrics'!$A:$A,$B$4,'Data - Monthly Metrics'!$B:$B,G$8,'Data - Monthly Metrics'!$C:$C,"NorthCentral",'Data - Monthly Metrics'!$D:$D,"Goal - Retention %"))</formula>
    </cfRule>
    <cfRule type="expression" rank="0" priority="347" equalAverage="0" aboveAverage="0" dxfId="2" stopIfTrue="1" text="" percent="0" bottom="0">
      <formula>AND(ISNUMBER(G19),COUNTIFS('Data - Monthly Metrics'!$A:$A,$B$4,'Data - Monthly Metrics'!$B:$B,G$8,'Data - Monthly Metrics'!$C:$C,"NorthCentral",'Data - Monthly Metrics'!$D:$D,"Goal - Retention %")&gt;0,G19&gt;=SUMIFS('Data - Monthly Metrics'!$E:$E,'Data - Monthly Metrics'!$A:$A,$B$4,'Data - Monthly Metrics'!$B:$B,G$8,'Data - Monthly Metrics'!$C:$C,"NorthCentral",'Data - Monthly Metrics'!$D:$D,"Goal - Retention %")-0.05)</formula>
    </cfRule>
    <cfRule type="expression" rank="0" priority="348" equalAverage="0" aboveAverage="0" dxfId="1" stopIfTrue="1" text="" percent="0" bottom="0">
      <formula>AND(ISNUMBER(G19),COUNTIFS('Data - Monthly Metrics'!$A:$A,$B$4,'Data - Monthly Metrics'!$B:$B,G$8,'Data - Monthly Metrics'!$C:$C,"NorthCentral",'Data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Metrics'!$C:$C,"NorthCentral",'Data - Monthly Metrics'!$D:$D,"Goal - Retention %")&gt;0,H19&gt;=SUMIFS('Data - Monthly Metrics'!$E:$E,'Data - Monthly Metrics'!$A:$A,$B$4,'Data - Monthly Metrics'!$B:$B,H$8,'Data - Monthly Metrics'!$C:$C,"NorthCentral",'Data - Monthly Metrics'!$D:$D,"Goal - Retention %"))</formula>
    </cfRule>
    <cfRule type="expression" rank="0" priority="350" equalAverage="0" aboveAverage="0" dxfId="2" stopIfTrue="1" text="" percent="0" bottom="0">
      <formula>AND(ISNUMBER(H19),COUNTIFS('Data - Monthly Metrics'!$A:$A,$B$4,'Data - Monthly Metrics'!$B:$B,H$8,'Data - Monthly Metrics'!$C:$C,"NorthCentral",'Data - Monthly Metrics'!$D:$D,"Goal - Retention %")&gt;0,H19&gt;=SUMIFS('Data - Monthly Metrics'!$E:$E,'Data - Monthly Metrics'!$A:$A,$B$4,'Data - Monthly Metrics'!$B:$B,H$8,'Data - Monthly Metrics'!$C:$C,"NorthCentral",'Data - Monthly Metrics'!$D:$D,"Goal - Retention %")-0.05)</formula>
    </cfRule>
    <cfRule type="expression" rank="0" priority="351" equalAverage="0" aboveAverage="0" dxfId="1" stopIfTrue="1" text="" percent="0" bottom="0">
      <formula>AND(ISNUMBER(H19),COUNTIFS('Data - Monthly Metrics'!$A:$A,$B$4,'Data - Monthly Metrics'!$B:$B,H$8,'Data - Monthly Metrics'!$C:$C,"NorthCentral",'Data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Metrics'!$C:$C,"NorthCentral",'Data - Monthly Metrics'!$D:$D,"Goal - Retention %")&gt;0,J19&gt;=SUMIFS('Data - Monthly Metrics'!$E:$E,'Data - Monthly Metrics'!$A:$A,$B$4,'Data - Monthly Metrics'!$B:$B,J$8,'Data - Monthly Metrics'!$C:$C,"NorthCentral",'Data - Monthly Metrics'!$D:$D,"Goal - Retention %"))</formula>
    </cfRule>
    <cfRule type="expression" rank="0" priority="353" equalAverage="0" aboveAverage="0" dxfId="2" stopIfTrue="1" text="" percent="0" bottom="0">
      <formula>AND(ISNUMBER(J19),COUNTIFS('Data - Monthly Metrics'!$A:$A,$B$4,'Data - Monthly Metrics'!$B:$B,J$8,'Data - Monthly Metrics'!$C:$C,"NorthCentral",'Data - Monthly Metrics'!$D:$D,"Goal - Retention %")&gt;0,J19&gt;=SUMIFS('Data - Monthly Metrics'!$E:$E,'Data - Monthly Metrics'!$A:$A,$B$4,'Data - Monthly Metrics'!$B:$B,J$8,'Data - Monthly Metrics'!$C:$C,"NorthCentral",'Data - Monthly Metrics'!$D:$D,"Goal - Retention %")-0.05)</formula>
    </cfRule>
    <cfRule type="expression" rank="0" priority="354" equalAverage="0" aboveAverage="0" dxfId="1" stopIfTrue="1" text="" percent="0" bottom="0">
      <formula>AND(ISNUMBER(J19),COUNTIFS('Data - Monthly Metrics'!$A:$A,$B$4,'Data - Monthly Metrics'!$B:$B,J$8,'Data - Monthly Metrics'!$C:$C,"NorthCentral",'Data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Metrics'!$C:$C,"NorthCentral",'Data - Monthly Metrics'!$D:$D,"Goal - Retention %")&gt;0,K19&gt;=SUMIFS('Data - Monthly Metrics'!$E:$E,'Data - Monthly Metrics'!$A:$A,$B$4,'Data - Monthly Metrics'!$B:$B,K$8,'Data - Monthly Metrics'!$C:$C,"NorthCentral",'Data - Monthly Metrics'!$D:$D,"Goal - Retention %"))</formula>
    </cfRule>
    <cfRule type="expression" rank="0" priority="356" equalAverage="0" aboveAverage="0" dxfId="2" stopIfTrue="1" text="" percent="0" bottom="0">
      <formula>AND(ISNUMBER(K19),COUNTIFS('Data - Monthly Metrics'!$A:$A,$B$4,'Data - Monthly Metrics'!$B:$B,K$8,'Data - Monthly Metrics'!$C:$C,"NorthCentral",'Data - Monthly Metrics'!$D:$D,"Goal - Retention %")&gt;0,K19&gt;=SUMIFS('Data - Monthly Metrics'!$E:$E,'Data - Monthly Metrics'!$A:$A,$B$4,'Data - Monthly Metrics'!$B:$B,K$8,'Data - Monthly Metrics'!$C:$C,"NorthCentral",'Data - Monthly Metrics'!$D:$D,"Goal - Retention %")-0.05)</formula>
    </cfRule>
    <cfRule type="expression" rank="0" priority="357" equalAverage="0" aboveAverage="0" dxfId="1" stopIfTrue="1" text="" percent="0" bottom="0">
      <formula>AND(ISNUMBER(K19),COUNTIFS('Data - Monthly Metrics'!$A:$A,$B$4,'Data - Monthly Metrics'!$B:$B,K$8,'Data - Monthly Metrics'!$C:$C,"NorthCentral",'Data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Metrics'!$C:$C,"NorthCentral",'Data - Monthly Metrics'!$D:$D,"Goal - Retention %")&gt;0,L19&gt;=SUMIFS('Data - Monthly Metrics'!$E:$E,'Data - Monthly Metrics'!$A:$A,$B$4,'Data - Monthly Metrics'!$B:$B,L$8,'Data - Monthly Metrics'!$C:$C,"NorthCentral",'Data - Monthly Metrics'!$D:$D,"Goal - Retention %"))</formula>
    </cfRule>
    <cfRule type="expression" rank="0" priority="359" equalAverage="0" aboveAverage="0" dxfId="2" stopIfTrue="1" text="" percent="0" bottom="0">
      <formula>AND(ISNUMBER(L19),COUNTIFS('Data - Monthly Metrics'!$A:$A,$B$4,'Data - Monthly Metrics'!$B:$B,L$8,'Data - Monthly Metrics'!$C:$C,"NorthCentral",'Data - Monthly Metrics'!$D:$D,"Goal - Retention %")&gt;0,L19&gt;=SUMIFS('Data - Monthly Metrics'!$E:$E,'Data - Monthly Metrics'!$A:$A,$B$4,'Data - Monthly Metrics'!$B:$B,L$8,'Data - Monthly Metrics'!$C:$C,"NorthCentral",'Data - Monthly Metrics'!$D:$D,"Goal - Retention %")-0.05)</formula>
    </cfRule>
    <cfRule type="expression" rank="0" priority="360" equalAverage="0" aboveAverage="0" dxfId="1" stopIfTrue="1" text="" percent="0" bottom="0">
      <formula>AND(ISNUMBER(L19),COUNTIFS('Data - Monthly Metrics'!$A:$A,$B$4,'Data - Monthly Metrics'!$B:$B,L$8,'Data - Monthly Metrics'!$C:$C,"NorthCentral",'Data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Metrics'!$C:$C,"NorthCentral",'Data - Monthly Metrics'!$D:$D,"Goal - Retention %")&gt;0,N19&gt;=SUMIFS('Data - Monthly Metrics'!$E:$E,'Data - Monthly Metrics'!$A:$A,$B$4,'Data - Monthly Metrics'!$B:$B,N$8,'Data - Monthly Metrics'!$C:$C,"NorthCentral",'Data - Monthly Metrics'!$D:$D,"Goal - Retention %"))</formula>
    </cfRule>
    <cfRule type="expression" rank="0" priority="362" equalAverage="0" aboveAverage="0" dxfId="2" stopIfTrue="1" text="" percent="0" bottom="0">
      <formula>AND(ISNUMBER(N19),COUNTIFS('Data - Monthly Metrics'!$A:$A,$B$4,'Data - Monthly Metrics'!$B:$B,N$8,'Data - Monthly Metrics'!$C:$C,"NorthCentral",'Data - Monthly Metrics'!$D:$D,"Goal - Retention %")&gt;0,N19&gt;=SUMIFS('Data - Monthly Metrics'!$E:$E,'Data - Monthly Metrics'!$A:$A,$B$4,'Data - Monthly Metrics'!$B:$B,N$8,'Data - Monthly Metrics'!$C:$C,"NorthCentral",'Data - Monthly Metrics'!$D:$D,"Goal - Retention %")-0.05)</formula>
    </cfRule>
    <cfRule type="expression" rank="0" priority="363" equalAverage="0" aboveAverage="0" dxfId="1" stopIfTrue="1" text="" percent="0" bottom="0">
      <formula>AND(ISNUMBER(N19),COUNTIFS('Data - Monthly Metrics'!$A:$A,$B$4,'Data - Monthly Metrics'!$B:$B,N$8,'Data - Monthly Metrics'!$C:$C,"NorthCentral",'Data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Metrics'!$C:$C,"NorthCentral",'Data - Monthly Metrics'!$D:$D,"Goal - Retention %")&gt;0,O19&gt;=SUMIFS('Data - Monthly Metrics'!$E:$E,'Data - Monthly Metrics'!$A:$A,$B$4,'Data - Monthly Metrics'!$B:$B,O$8,'Data - Monthly Metrics'!$C:$C,"NorthCentral",'Data - Monthly Metrics'!$D:$D,"Goal - Retention %"))</formula>
    </cfRule>
    <cfRule type="expression" rank="0" priority="365" equalAverage="0" aboveAverage="0" dxfId="2" stopIfTrue="1" text="" percent="0" bottom="0">
      <formula>AND(ISNUMBER(O19),COUNTIFS('Data - Monthly Metrics'!$A:$A,$B$4,'Data - Monthly Metrics'!$B:$B,O$8,'Data - Monthly Metrics'!$C:$C,"NorthCentral",'Data - Monthly Metrics'!$D:$D,"Goal - Retention %")&gt;0,O19&gt;=SUMIFS('Data - Monthly Metrics'!$E:$E,'Data - Monthly Metrics'!$A:$A,$B$4,'Data - Monthly Metrics'!$B:$B,O$8,'Data - Monthly Metrics'!$C:$C,"NorthCentral",'Data - Monthly Metrics'!$D:$D,"Goal - Retention %")-0.05)</formula>
    </cfRule>
    <cfRule type="expression" rank="0" priority="366" equalAverage="0" aboveAverage="0" dxfId="1" stopIfTrue="1" text="" percent="0" bottom="0">
      <formula>AND(ISNUMBER(O19),COUNTIFS('Data - Monthly Metrics'!$A:$A,$B$4,'Data - Monthly Metrics'!$B:$B,O$8,'Data - Monthly Metrics'!$C:$C,"NorthCentral",'Data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Metrics'!$C:$C,"NorthCentral",'Data - Monthly Metrics'!$D:$D,"Goal - Retention %")&gt;0,P19&gt;=SUMIFS('Data - Monthly Metrics'!$E:$E,'Data - Monthly Metrics'!$A:$A,$B$4,'Data - Monthly Metrics'!$B:$B,P$8,'Data - Monthly Metrics'!$C:$C,"NorthCentral",'Data - Monthly Metrics'!$D:$D,"Goal - Retention %"))</formula>
    </cfRule>
    <cfRule type="expression" rank="0" priority="368" equalAverage="0" aboveAverage="0" dxfId="2" stopIfTrue="1" text="" percent="0" bottom="0">
      <formula>AND(ISNUMBER(P19),COUNTIFS('Data - Monthly Metrics'!$A:$A,$B$4,'Data - Monthly Metrics'!$B:$B,P$8,'Data - Monthly Metrics'!$C:$C,"NorthCentral",'Data - Monthly Metrics'!$D:$D,"Goal - Retention %")&gt;0,P19&gt;=SUMIFS('Data - Monthly Metrics'!$E:$E,'Data - Monthly Metrics'!$A:$A,$B$4,'Data - Monthly Metrics'!$B:$B,P$8,'Data - Monthly Metrics'!$C:$C,"NorthCentral",'Data - Monthly Metrics'!$D:$D,"Goal - Retention %")-0.05)</formula>
    </cfRule>
    <cfRule type="expression" rank="0" priority="369" equalAverage="0" aboveAverage="0" dxfId="1" stopIfTrue="1" text="" percent="0" bottom="0">
      <formula>AND(ISNUMBER(P19),COUNTIFS('Data - Monthly Metrics'!$A:$A,$B$4,'Data - Monthly Metrics'!$B:$B,P$8,'Data - Monthly Metrics'!$C:$C,"NorthCentral",'Data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Metrics'!$C:$C,"NorthCentral",'Data - Monthly Metrics'!$D:$D,"Goal - Retention %")&gt;0,B28&gt;=SUMIFS('Data - Monthly Metrics'!$E:$E,'Data - Monthly Metrics'!$A:$A,$B$4-1,'Data - Monthly Metrics'!$B:$B,B$8,'Data - Monthly Metrics'!$C:$C,"NorthCentral",'Data - Monthly Metrics'!$D:$D,"Goal - Retention %"))</formula>
    </cfRule>
    <cfRule type="expression" rank="0" priority="371" equalAverage="0" aboveAverage="0" dxfId="2" stopIfTrue="1" text="" percent="0" bottom="0">
      <formula>AND(ISNUMBER(B28),COUNTIFS('Data - Monthly Metrics'!$A:$A,$B$4-1,'Data - Monthly Metrics'!$B:$B,B$8,'Data - Monthly Metrics'!$C:$C,"NorthCentral",'Data - Monthly Metrics'!$D:$D,"Goal - Retention %")&gt;0,B28&gt;=SUMIFS('Data - Monthly Metrics'!$E:$E,'Data - Monthly Metrics'!$A:$A,$B$4-1,'Data - Monthly Metrics'!$B:$B,B$8,'Data - Monthly Metrics'!$C:$C,"NorthCentral",'Data - Monthly Metrics'!$D:$D,"Goal - Retention %")-0.05)</formula>
    </cfRule>
    <cfRule type="expression" rank="0" priority="372" equalAverage="0" aboveAverage="0" dxfId="1" stopIfTrue="1" text="" percent="0" bottom="0">
      <formula>AND(ISNUMBER(B28),COUNTIFS('Data - Monthly Metrics'!$A:$A,$B$4-1,'Data - Monthly Metrics'!$B:$B,B$8,'Data - Monthly Metrics'!$C:$C,"NorthCentral",'Data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Metrics'!$C:$C,"NorthCentral",'Data - Monthly Metrics'!$D:$D,"Goal - Retention %")&gt;0,C28&gt;=SUMIFS('Data - Monthly Metrics'!$E:$E,'Data - Monthly Metrics'!$A:$A,$B$4-1,'Data - Monthly Metrics'!$B:$B,C$8,'Data - Monthly Metrics'!$C:$C,"NorthCentral",'Data - Monthly Metrics'!$D:$D,"Goal - Retention %"))</formula>
    </cfRule>
    <cfRule type="expression" rank="0" priority="374" equalAverage="0" aboveAverage="0" dxfId="2" stopIfTrue="1" text="" percent="0" bottom="0">
      <formula>AND(ISNUMBER(C28),COUNTIFS('Data - Monthly Metrics'!$A:$A,$B$4-1,'Data - Monthly Metrics'!$B:$B,C$8,'Data - Monthly Metrics'!$C:$C,"NorthCentral",'Data - Monthly Metrics'!$D:$D,"Goal - Retention %")&gt;0,C28&gt;=SUMIFS('Data - Monthly Metrics'!$E:$E,'Data - Monthly Metrics'!$A:$A,$B$4-1,'Data - Monthly Metrics'!$B:$B,C$8,'Data - Monthly Metrics'!$C:$C,"NorthCentral",'Data - Monthly Metrics'!$D:$D,"Goal - Retention %")-0.05)</formula>
    </cfRule>
    <cfRule type="expression" rank="0" priority="375" equalAverage="0" aboveAverage="0" dxfId="1" stopIfTrue="1" text="" percent="0" bottom="0">
      <formula>AND(ISNUMBER(C28),COUNTIFS('Data - Monthly Metrics'!$A:$A,$B$4-1,'Data - Monthly Metrics'!$B:$B,C$8,'Data - Monthly Metrics'!$C:$C,"NorthCentral",'Data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Metrics'!$C:$C,"NorthCentral",'Data - Monthly Metrics'!$D:$D,"Goal - Retention %")&gt;0,D28&gt;=SUMIFS('Data - Monthly Metrics'!$E:$E,'Data - Monthly Metrics'!$A:$A,$B$4-1,'Data - Monthly Metrics'!$B:$B,D$8,'Data - Monthly Metrics'!$C:$C,"NorthCentral",'Data - Monthly Metrics'!$D:$D,"Goal - Retention %"))</formula>
    </cfRule>
    <cfRule type="expression" rank="0" priority="377" equalAverage="0" aboveAverage="0" dxfId="2" stopIfTrue="1" text="" percent="0" bottom="0">
      <formula>AND(ISNUMBER(D28),COUNTIFS('Data - Monthly Metrics'!$A:$A,$B$4-1,'Data - Monthly Metrics'!$B:$B,D$8,'Data - Monthly Metrics'!$C:$C,"NorthCentral",'Data - Monthly Metrics'!$D:$D,"Goal - Retention %")&gt;0,D28&gt;=SUMIFS('Data - Monthly Metrics'!$E:$E,'Data - Monthly Metrics'!$A:$A,$B$4-1,'Data - Monthly Metrics'!$B:$B,D$8,'Data - Monthly Metrics'!$C:$C,"NorthCentral",'Data - Monthly Metrics'!$D:$D,"Goal - Retention %")-0.05)</formula>
    </cfRule>
    <cfRule type="expression" rank="0" priority="378" equalAverage="0" aboveAverage="0" dxfId="1" stopIfTrue="1" text="" percent="0" bottom="0">
      <formula>AND(ISNUMBER(D28),COUNTIFS('Data - Monthly Metrics'!$A:$A,$B$4-1,'Data - Monthly Metrics'!$B:$B,D$8,'Data - Monthly Metrics'!$C:$C,"NorthCentral",'Data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Metrics'!$C:$C,"NorthCentral",'Data - Monthly Metrics'!$D:$D,"Goal - Retention %")&gt;0,F28&gt;=SUMIFS('Data - Monthly Metrics'!$E:$E,'Data - Monthly Metrics'!$A:$A,$B$4,'Data - Monthly Metrics'!$B:$B,F$8,'Data - Monthly Metrics'!$C:$C,"NorthCentral",'Data - Monthly Metrics'!$D:$D,"Goal - Retention %"))</formula>
    </cfRule>
    <cfRule type="expression" rank="0" priority="380" equalAverage="0" aboveAverage="0" dxfId="2" stopIfTrue="1" text="" percent="0" bottom="0">
      <formula>AND(ISNUMBER(F28),COUNTIFS('Data - Monthly Metrics'!$A:$A,$B$4,'Data - Monthly Metrics'!$B:$B,F$8,'Data - Monthly Metrics'!$C:$C,"NorthCentral",'Data - Monthly Metrics'!$D:$D,"Goal - Retention %")&gt;0,F28&gt;=SUMIFS('Data - Monthly Metrics'!$E:$E,'Data - Monthly Metrics'!$A:$A,$B$4,'Data - Monthly Metrics'!$B:$B,F$8,'Data - Monthly Metrics'!$C:$C,"NorthCentral",'Data - Monthly Metrics'!$D:$D,"Goal - Retention %")-0.05)</formula>
    </cfRule>
    <cfRule type="expression" rank="0" priority="381" equalAverage="0" aboveAverage="0" dxfId="1" stopIfTrue="1" text="" percent="0" bottom="0">
      <formula>AND(ISNUMBER(F28),COUNTIFS('Data - Monthly Metrics'!$A:$A,$B$4,'Data - Monthly Metrics'!$B:$B,F$8,'Data - Monthly Metrics'!$C:$C,"NorthCentral",'Data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Metrics'!$C:$C,"NorthCentral",'Data - Monthly Metrics'!$D:$D,"Goal - Retention %")&gt;0,G28&gt;=SUMIFS('Data - Monthly Metrics'!$E:$E,'Data - Monthly Metrics'!$A:$A,$B$4,'Data - Monthly Metrics'!$B:$B,G$8,'Data - Monthly Metrics'!$C:$C,"NorthCentral",'Data - Monthly Metrics'!$D:$D,"Goal - Retention %"))</formula>
    </cfRule>
    <cfRule type="expression" rank="0" priority="383" equalAverage="0" aboveAverage="0" dxfId="2" stopIfTrue="1" text="" percent="0" bottom="0">
      <formula>AND(ISNUMBER(G28),COUNTIFS('Data - Monthly Metrics'!$A:$A,$B$4,'Data - Monthly Metrics'!$B:$B,G$8,'Data - Monthly Metrics'!$C:$C,"NorthCentral",'Data - Monthly Metrics'!$D:$D,"Goal - Retention %")&gt;0,G28&gt;=SUMIFS('Data - Monthly Metrics'!$E:$E,'Data - Monthly Metrics'!$A:$A,$B$4,'Data - Monthly Metrics'!$B:$B,G$8,'Data - Monthly Metrics'!$C:$C,"NorthCentral",'Data - Monthly Metrics'!$D:$D,"Goal - Retention %")-0.05)</formula>
    </cfRule>
    <cfRule type="expression" rank="0" priority="384" equalAverage="0" aboveAverage="0" dxfId="1" stopIfTrue="1" text="" percent="0" bottom="0">
      <formula>AND(ISNUMBER(G28),COUNTIFS('Data - Monthly Metrics'!$A:$A,$B$4,'Data - Monthly Metrics'!$B:$B,G$8,'Data - Monthly Metrics'!$C:$C,"NorthCentral",'Data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Metrics'!$C:$C,"NorthCentral",'Data - Monthly Metrics'!$D:$D,"Goal - Retention %")&gt;0,H28&gt;=SUMIFS('Data - Monthly Metrics'!$E:$E,'Data - Monthly Metrics'!$A:$A,$B$4,'Data - Monthly Metrics'!$B:$B,H$8,'Data - Monthly Metrics'!$C:$C,"NorthCentral",'Data - Monthly Metrics'!$D:$D,"Goal - Retention %"))</formula>
    </cfRule>
    <cfRule type="expression" rank="0" priority="386" equalAverage="0" aboveAverage="0" dxfId="2" stopIfTrue="1" text="" percent="0" bottom="0">
      <formula>AND(ISNUMBER(H28),COUNTIFS('Data - Monthly Metrics'!$A:$A,$B$4,'Data - Monthly Metrics'!$B:$B,H$8,'Data - Monthly Metrics'!$C:$C,"NorthCentral",'Data - Monthly Metrics'!$D:$D,"Goal - Retention %")&gt;0,H28&gt;=SUMIFS('Data - Monthly Metrics'!$E:$E,'Data - Monthly Metrics'!$A:$A,$B$4,'Data - Monthly Metrics'!$B:$B,H$8,'Data - Monthly Metrics'!$C:$C,"NorthCentral",'Data - Monthly Metrics'!$D:$D,"Goal - Retention %")-0.05)</formula>
    </cfRule>
    <cfRule type="expression" rank="0" priority="387" equalAverage="0" aboveAverage="0" dxfId="1" stopIfTrue="1" text="" percent="0" bottom="0">
      <formula>AND(ISNUMBER(H28),COUNTIFS('Data - Monthly Metrics'!$A:$A,$B$4,'Data - Monthly Metrics'!$B:$B,H$8,'Data - Monthly Metrics'!$C:$C,"NorthCentral",'Data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Metrics'!$C:$C,"NorthCentral",'Data - Monthly Metrics'!$D:$D,"Goal - Retention %")&gt;0,J28&gt;=SUMIFS('Data - Monthly Metrics'!$E:$E,'Data - Monthly Metrics'!$A:$A,$B$4,'Data - Monthly Metrics'!$B:$B,J$8,'Data - Monthly Metrics'!$C:$C,"NorthCentral",'Data - Monthly Metrics'!$D:$D,"Goal - Retention %"))</formula>
    </cfRule>
    <cfRule type="expression" rank="0" priority="389" equalAverage="0" aboveAverage="0" dxfId="2" stopIfTrue="1" text="" percent="0" bottom="0">
      <formula>AND(ISNUMBER(J28),COUNTIFS('Data - Monthly Metrics'!$A:$A,$B$4,'Data - Monthly Metrics'!$B:$B,J$8,'Data - Monthly Metrics'!$C:$C,"NorthCentral",'Data - Monthly Metrics'!$D:$D,"Goal - Retention %")&gt;0,J28&gt;=SUMIFS('Data - Monthly Metrics'!$E:$E,'Data - Monthly Metrics'!$A:$A,$B$4,'Data - Monthly Metrics'!$B:$B,J$8,'Data - Monthly Metrics'!$C:$C,"NorthCentral",'Data - Monthly Metrics'!$D:$D,"Goal - Retention %")-0.05)</formula>
    </cfRule>
    <cfRule type="expression" rank="0" priority="390" equalAverage="0" aboveAverage="0" dxfId="1" stopIfTrue="1" text="" percent="0" bottom="0">
      <formula>AND(ISNUMBER(J28),COUNTIFS('Data - Monthly Metrics'!$A:$A,$B$4,'Data - Monthly Metrics'!$B:$B,J$8,'Data - Monthly Metrics'!$C:$C,"NorthCentral",'Data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Metrics'!$C:$C,"NorthCentral",'Data - Monthly Metrics'!$D:$D,"Goal - Retention %")&gt;0,K28&gt;=SUMIFS('Data - Monthly Metrics'!$E:$E,'Data - Monthly Metrics'!$A:$A,$B$4,'Data - Monthly Metrics'!$B:$B,K$8,'Data - Monthly Metrics'!$C:$C,"NorthCentral",'Data - Monthly Metrics'!$D:$D,"Goal - Retention %"))</formula>
    </cfRule>
    <cfRule type="expression" rank="0" priority="392" equalAverage="0" aboveAverage="0" dxfId="2" stopIfTrue="1" text="" percent="0" bottom="0">
      <formula>AND(ISNUMBER(K28),COUNTIFS('Data - Monthly Metrics'!$A:$A,$B$4,'Data - Monthly Metrics'!$B:$B,K$8,'Data - Monthly Metrics'!$C:$C,"NorthCentral",'Data - Monthly Metrics'!$D:$D,"Goal - Retention %")&gt;0,K28&gt;=SUMIFS('Data - Monthly Metrics'!$E:$E,'Data - Monthly Metrics'!$A:$A,$B$4,'Data - Monthly Metrics'!$B:$B,K$8,'Data - Monthly Metrics'!$C:$C,"NorthCentral",'Data - Monthly Metrics'!$D:$D,"Goal - Retention %")-0.05)</formula>
    </cfRule>
    <cfRule type="expression" rank="0" priority="393" equalAverage="0" aboveAverage="0" dxfId="1" stopIfTrue="1" text="" percent="0" bottom="0">
      <formula>AND(ISNUMBER(K28),COUNTIFS('Data - Monthly Metrics'!$A:$A,$B$4,'Data - Monthly Metrics'!$B:$B,K$8,'Data - Monthly Metrics'!$C:$C,"NorthCentral",'Data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Metrics'!$C:$C,"NorthCentral",'Data - Monthly Metrics'!$D:$D,"Goal - Retention %")&gt;0,L28&gt;=SUMIFS('Data - Monthly Metrics'!$E:$E,'Data - Monthly Metrics'!$A:$A,$B$4,'Data - Monthly Metrics'!$B:$B,L$8,'Data - Monthly Metrics'!$C:$C,"NorthCentral",'Data - Monthly Metrics'!$D:$D,"Goal - Retention %"))</formula>
    </cfRule>
    <cfRule type="expression" rank="0" priority="395" equalAverage="0" aboveAverage="0" dxfId="2" stopIfTrue="1" text="" percent="0" bottom="0">
      <formula>AND(ISNUMBER(L28),COUNTIFS('Data - Monthly Metrics'!$A:$A,$B$4,'Data - Monthly Metrics'!$B:$B,L$8,'Data - Monthly Metrics'!$C:$C,"NorthCentral",'Data - Monthly Metrics'!$D:$D,"Goal - Retention %")&gt;0,L28&gt;=SUMIFS('Data - Monthly Metrics'!$E:$E,'Data - Monthly Metrics'!$A:$A,$B$4,'Data - Monthly Metrics'!$B:$B,L$8,'Data - Monthly Metrics'!$C:$C,"NorthCentral",'Data - Monthly Metrics'!$D:$D,"Goal - Retention %")-0.05)</formula>
    </cfRule>
    <cfRule type="expression" rank="0" priority="396" equalAverage="0" aboveAverage="0" dxfId="1" stopIfTrue="1" text="" percent="0" bottom="0">
      <formula>AND(ISNUMBER(L28),COUNTIFS('Data - Monthly Metrics'!$A:$A,$B$4,'Data - Monthly Metrics'!$B:$B,L$8,'Data - Monthly Metrics'!$C:$C,"NorthCentral",'Data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Metrics'!$C:$C,"NorthCentral",'Data - Monthly Metrics'!$D:$D,"Goal - Retention %")&gt;0,N28&gt;=SUMIFS('Data - Monthly Metrics'!$E:$E,'Data - Monthly Metrics'!$A:$A,$B$4,'Data - Monthly Metrics'!$B:$B,N$8,'Data - Monthly Metrics'!$C:$C,"NorthCentral",'Data - Monthly Metrics'!$D:$D,"Goal - Retention %"))</formula>
    </cfRule>
    <cfRule type="expression" rank="0" priority="398" equalAverage="0" aboveAverage="0" dxfId="2" stopIfTrue="1" text="" percent="0" bottom="0">
      <formula>AND(ISNUMBER(N28),COUNTIFS('Data - Monthly Metrics'!$A:$A,$B$4,'Data - Monthly Metrics'!$B:$B,N$8,'Data - Monthly Metrics'!$C:$C,"NorthCentral",'Data - Monthly Metrics'!$D:$D,"Goal - Retention %")&gt;0,N28&gt;=SUMIFS('Data - Monthly Metrics'!$E:$E,'Data - Monthly Metrics'!$A:$A,$B$4,'Data - Monthly Metrics'!$B:$B,N$8,'Data - Monthly Metrics'!$C:$C,"NorthCentral",'Data - Monthly Metrics'!$D:$D,"Goal - Retention %")-0.05)</formula>
    </cfRule>
    <cfRule type="expression" rank="0" priority="399" equalAverage="0" aboveAverage="0" dxfId="1" stopIfTrue="1" text="" percent="0" bottom="0">
      <formula>AND(ISNUMBER(N28),COUNTIFS('Data - Monthly Metrics'!$A:$A,$B$4,'Data - Monthly Metrics'!$B:$B,N$8,'Data - Monthly Metrics'!$C:$C,"NorthCentral",'Data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Metrics'!$C:$C,"NorthCentral",'Data - Monthly Metrics'!$D:$D,"Goal - Retention %")&gt;0,O28&gt;=SUMIFS('Data - Monthly Metrics'!$E:$E,'Data - Monthly Metrics'!$A:$A,$B$4,'Data - Monthly Metrics'!$B:$B,O$8,'Data - Monthly Metrics'!$C:$C,"NorthCentral",'Data - Monthly Metrics'!$D:$D,"Goal - Retention %"))</formula>
    </cfRule>
    <cfRule type="expression" rank="0" priority="401" equalAverage="0" aboveAverage="0" dxfId="2" stopIfTrue="1" text="" percent="0" bottom="0">
      <formula>AND(ISNUMBER(O28),COUNTIFS('Data - Monthly Metrics'!$A:$A,$B$4,'Data - Monthly Metrics'!$B:$B,O$8,'Data - Monthly Metrics'!$C:$C,"NorthCentral",'Data - Monthly Metrics'!$D:$D,"Goal - Retention %")&gt;0,O28&gt;=SUMIFS('Data - Monthly Metrics'!$E:$E,'Data - Monthly Metrics'!$A:$A,$B$4,'Data - Monthly Metrics'!$B:$B,O$8,'Data - Monthly Metrics'!$C:$C,"NorthCentral",'Data - Monthly Metrics'!$D:$D,"Goal - Retention %")-0.05)</formula>
    </cfRule>
    <cfRule type="expression" rank="0" priority="402" equalAverage="0" aboveAverage="0" dxfId="1" stopIfTrue="1" text="" percent="0" bottom="0">
      <formula>AND(ISNUMBER(O28),COUNTIFS('Data - Monthly Metrics'!$A:$A,$B$4,'Data - Monthly Metrics'!$B:$B,O$8,'Data - Monthly Metrics'!$C:$C,"NorthCentral",'Data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Metrics'!$C:$C,"NorthCentral",'Data - Monthly Metrics'!$D:$D,"Goal - Retention %")&gt;0,P28&gt;=SUMIFS('Data - Monthly Metrics'!$E:$E,'Data - Monthly Metrics'!$A:$A,$B$4,'Data - Monthly Metrics'!$B:$B,P$8,'Data - Monthly Metrics'!$C:$C,"NorthCentral",'Data - Monthly Metrics'!$D:$D,"Goal - Retention %"))</formula>
    </cfRule>
    <cfRule type="expression" rank="0" priority="404" equalAverage="0" aboveAverage="0" dxfId="2" stopIfTrue="1" text="" percent="0" bottom="0">
      <formula>AND(ISNUMBER(P28),COUNTIFS('Data - Monthly Metrics'!$A:$A,$B$4,'Data - Monthly Metrics'!$B:$B,P$8,'Data - Monthly Metrics'!$C:$C,"NorthCentral",'Data - Monthly Metrics'!$D:$D,"Goal - Retention %")&gt;0,P28&gt;=SUMIFS('Data - Monthly Metrics'!$E:$E,'Data - Monthly Metrics'!$A:$A,$B$4,'Data - Monthly Metrics'!$B:$B,P$8,'Data - Monthly Metrics'!$C:$C,"NorthCentral",'Data - Monthly Metrics'!$D:$D,"Goal - Retention %")-0.05)</formula>
    </cfRule>
    <cfRule type="expression" rank="0" priority="405" equalAverage="0" aboveAverage="0" dxfId="1" stopIfTrue="1" text="" percent="0" bottom="0">
      <formula>AND(ISNUMBER(P28),COUNTIFS('Data - Monthly Metrics'!$A:$A,$B$4,'Data - Monthly Metrics'!$B:$B,P$8,'Data - Monthly Metrics'!$C:$C,"NorthCentral",'Data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Metrics'!$C:$C,"NorthCentral",'Data - Monthly Metrics'!$D:$D,"Goal - Penetration %")&gt;0,B29&gt;=SUMIFS('Data - Monthly Metrics'!$E:$E,'Data - Monthly Metrics'!$A:$A,$B$4-1,'Data - Monthly Metrics'!$B:$B,B$8,'Data - Monthly Metrics'!$C:$C,"NorthCentral",'Data - Monthly Metrics'!$D:$D,"Goal - Penetration %"))</formula>
    </cfRule>
    <cfRule type="expression" rank="0" priority="407" equalAverage="0" aboveAverage="0" dxfId="2" stopIfTrue="1" text="" percent="0" bottom="0">
      <formula>AND(ISNUMBER(B29),COUNTIFS('Data - Monthly Metrics'!$A:$A,$B$4-1,'Data - Monthly Metrics'!$B:$B,B$8,'Data - Monthly Metrics'!$C:$C,"NorthCentral",'Data - Monthly Metrics'!$D:$D,"Goal - Penetration %")&gt;0,B29&gt;=SUMIFS('Data - Monthly Metrics'!$E:$E,'Data - Monthly Metrics'!$A:$A,$B$4-1,'Data - Monthly Metrics'!$B:$B,B$8,'Data - Monthly Metrics'!$C:$C,"NorthCentral",'Data - Monthly Metrics'!$D:$D,"Goal - Penetration %")-0.05)</formula>
    </cfRule>
    <cfRule type="expression" rank="0" priority="408" equalAverage="0" aboveAverage="0" dxfId="1" stopIfTrue="1" text="" percent="0" bottom="0">
      <formula>AND(ISNUMBER(B29),COUNTIFS('Data - Monthly Metrics'!$A:$A,$B$4-1,'Data - Monthly Metrics'!$B:$B,B$8,'Data - Monthly Metrics'!$C:$C,"NorthCentral",'Data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Metrics'!$C:$C,"NorthCentral",'Data - Monthly Metrics'!$D:$D,"Goal - Penetration %")&gt;0,C29&gt;=SUMIFS('Data - Monthly Metrics'!$E:$E,'Data - Monthly Metrics'!$A:$A,$B$4-1,'Data - Monthly Metrics'!$B:$B,C$8,'Data - Monthly Metrics'!$C:$C,"NorthCentral",'Data - Monthly Metrics'!$D:$D,"Goal - Penetration %"))</formula>
    </cfRule>
    <cfRule type="expression" rank="0" priority="410" equalAverage="0" aboveAverage="0" dxfId="2" stopIfTrue="1" text="" percent="0" bottom="0">
      <formula>AND(ISNUMBER(C29),COUNTIFS('Data - Monthly Metrics'!$A:$A,$B$4-1,'Data - Monthly Metrics'!$B:$B,C$8,'Data - Monthly Metrics'!$C:$C,"NorthCentral",'Data - Monthly Metrics'!$D:$D,"Goal - Penetration %")&gt;0,C29&gt;=SUMIFS('Data - Monthly Metrics'!$E:$E,'Data - Monthly Metrics'!$A:$A,$B$4-1,'Data - Monthly Metrics'!$B:$B,C$8,'Data - Monthly Metrics'!$C:$C,"NorthCentral",'Data - Monthly Metrics'!$D:$D,"Goal - Penetration %")-0.05)</formula>
    </cfRule>
    <cfRule type="expression" rank="0" priority="411" equalAverage="0" aboveAverage="0" dxfId="1" stopIfTrue="1" text="" percent="0" bottom="0">
      <formula>AND(ISNUMBER(C29),COUNTIFS('Data - Monthly Metrics'!$A:$A,$B$4-1,'Data - Monthly Metrics'!$B:$B,C$8,'Data - Monthly Metrics'!$C:$C,"NorthCentral",'Data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Metrics'!$C:$C,"NorthCentral",'Data - Monthly Metrics'!$D:$D,"Goal - Penetration %")&gt;0,D29&gt;=SUMIFS('Data - Monthly Metrics'!$E:$E,'Data - Monthly Metrics'!$A:$A,$B$4-1,'Data - Monthly Metrics'!$B:$B,D$8,'Data - Monthly Metrics'!$C:$C,"NorthCentral",'Data - Monthly Metrics'!$D:$D,"Goal - Penetration %"))</formula>
    </cfRule>
    <cfRule type="expression" rank="0" priority="413" equalAverage="0" aboveAverage="0" dxfId="2" stopIfTrue="1" text="" percent="0" bottom="0">
      <formula>AND(ISNUMBER(D29),COUNTIFS('Data - Monthly Metrics'!$A:$A,$B$4-1,'Data - Monthly Metrics'!$B:$B,D$8,'Data - Monthly Metrics'!$C:$C,"NorthCentral",'Data - Monthly Metrics'!$D:$D,"Goal - Penetration %")&gt;0,D29&gt;=SUMIFS('Data - Monthly Metrics'!$E:$E,'Data - Monthly Metrics'!$A:$A,$B$4-1,'Data - Monthly Metrics'!$B:$B,D$8,'Data - Monthly Metrics'!$C:$C,"NorthCentral",'Data - Monthly Metrics'!$D:$D,"Goal - Penetration %")-0.05)</formula>
    </cfRule>
    <cfRule type="expression" rank="0" priority="414" equalAverage="0" aboveAverage="0" dxfId="1" stopIfTrue="1" text="" percent="0" bottom="0">
      <formula>AND(ISNUMBER(D29),COUNTIFS('Data - Monthly Metrics'!$A:$A,$B$4-1,'Data - Monthly Metrics'!$B:$B,D$8,'Data - Monthly Metrics'!$C:$C,"NorthCentral",'Data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Metrics'!$C:$C,"NorthCentral",'Data - Monthly Metrics'!$D:$D,"Goal - Penetration %")&gt;0,F29&gt;=SUMIFS('Data - Monthly Metrics'!$E:$E,'Data - Monthly Metrics'!$A:$A,$B$4,'Data - Monthly Metrics'!$B:$B,F$8,'Data - Monthly Metrics'!$C:$C,"NorthCentral",'Data - Monthly Metrics'!$D:$D,"Goal - Penetration %"))</formula>
    </cfRule>
    <cfRule type="expression" rank="0" priority="416" equalAverage="0" aboveAverage="0" dxfId="2" stopIfTrue="1" text="" percent="0" bottom="0">
      <formula>AND(ISNUMBER(F29),COUNTIFS('Data - Monthly Metrics'!$A:$A,$B$4,'Data - Monthly Metrics'!$B:$B,F$8,'Data - Monthly Metrics'!$C:$C,"NorthCentral",'Data - Monthly Metrics'!$D:$D,"Goal - Penetration %")&gt;0,F29&gt;=SUMIFS('Data - Monthly Metrics'!$E:$E,'Data - Monthly Metrics'!$A:$A,$B$4,'Data - Monthly Metrics'!$B:$B,F$8,'Data - Monthly Metrics'!$C:$C,"NorthCentral",'Data - Monthly Metrics'!$D:$D,"Goal - Penetration %")-0.05)</formula>
    </cfRule>
    <cfRule type="expression" rank="0" priority="417" equalAverage="0" aboveAverage="0" dxfId="1" stopIfTrue="1" text="" percent="0" bottom="0">
      <formula>AND(ISNUMBER(F29),COUNTIFS('Data - Monthly Metrics'!$A:$A,$B$4,'Data - Monthly Metrics'!$B:$B,F$8,'Data - Monthly Metrics'!$C:$C,"NorthCentral",'Data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Metrics'!$C:$C,"NorthCentral",'Data - Monthly Metrics'!$D:$D,"Goal - Penetration %")&gt;0,G29&gt;=SUMIFS('Data - Monthly Metrics'!$E:$E,'Data - Monthly Metrics'!$A:$A,$B$4,'Data - Monthly Metrics'!$B:$B,G$8,'Data - Monthly Metrics'!$C:$C,"NorthCentral",'Data - Monthly Metrics'!$D:$D,"Goal - Penetration %"))</formula>
    </cfRule>
    <cfRule type="expression" rank="0" priority="419" equalAverage="0" aboveAverage="0" dxfId="2" stopIfTrue="1" text="" percent="0" bottom="0">
      <formula>AND(ISNUMBER(G29),COUNTIFS('Data - Monthly Metrics'!$A:$A,$B$4,'Data - Monthly Metrics'!$B:$B,G$8,'Data - Monthly Metrics'!$C:$C,"NorthCentral",'Data - Monthly Metrics'!$D:$D,"Goal - Penetration %")&gt;0,G29&gt;=SUMIFS('Data - Monthly Metrics'!$E:$E,'Data - Monthly Metrics'!$A:$A,$B$4,'Data - Monthly Metrics'!$B:$B,G$8,'Data - Monthly Metrics'!$C:$C,"NorthCentral",'Data - Monthly Metrics'!$D:$D,"Goal - Penetration %")-0.05)</formula>
    </cfRule>
    <cfRule type="expression" rank="0" priority="420" equalAverage="0" aboveAverage="0" dxfId="1" stopIfTrue="1" text="" percent="0" bottom="0">
      <formula>AND(ISNUMBER(G29),COUNTIFS('Data - Monthly Metrics'!$A:$A,$B$4,'Data - Monthly Metrics'!$B:$B,G$8,'Data - Monthly Metrics'!$C:$C,"NorthCentral",'Data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Metrics'!$C:$C,"NorthCentral",'Data - Monthly Metrics'!$D:$D,"Goal - Penetration %")&gt;0,H29&gt;=SUMIFS('Data - Monthly Metrics'!$E:$E,'Data - Monthly Metrics'!$A:$A,$B$4,'Data - Monthly Metrics'!$B:$B,H$8,'Data - Monthly Metrics'!$C:$C,"NorthCentral",'Data - Monthly Metrics'!$D:$D,"Goal - Penetration %"))</formula>
    </cfRule>
    <cfRule type="expression" rank="0" priority="422" equalAverage="0" aboveAverage="0" dxfId="2" stopIfTrue="1" text="" percent="0" bottom="0">
      <formula>AND(ISNUMBER(H29),COUNTIFS('Data - Monthly Metrics'!$A:$A,$B$4,'Data - Monthly Metrics'!$B:$B,H$8,'Data - Monthly Metrics'!$C:$C,"NorthCentral",'Data - Monthly Metrics'!$D:$D,"Goal - Penetration %")&gt;0,H29&gt;=SUMIFS('Data - Monthly Metrics'!$E:$E,'Data - Monthly Metrics'!$A:$A,$B$4,'Data - Monthly Metrics'!$B:$B,H$8,'Data - Monthly Metrics'!$C:$C,"NorthCentral",'Data - Monthly Metrics'!$D:$D,"Goal - Penetration %")-0.05)</formula>
    </cfRule>
    <cfRule type="expression" rank="0" priority="423" equalAverage="0" aboveAverage="0" dxfId="1" stopIfTrue="1" text="" percent="0" bottom="0">
      <formula>AND(ISNUMBER(H29),COUNTIFS('Data - Monthly Metrics'!$A:$A,$B$4,'Data - Monthly Metrics'!$B:$B,H$8,'Data - Monthly Metrics'!$C:$C,"NorthCentral",'Data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Metrics'!$C:$C,"NorthCentral",'Data - Monthly Metrics'!$D:$D,"Goal - Penetration %")&gt;0,J29&gt;=SUMIFS('Data - Monthly Metrics'!$E:$E,'Data - Monthly Metrics'!$A:$A,$B$4,'Data - Monthly Metrics'!$B:$B,J$8,'Data - Monthly Metrics'!$C:$C,"NorthCentral",'Data - Monthly Metrics'!$D:$D,"Goal - Penetration %"))</formula>
    </cfRule>
    <cfRule type="expression" rank="0" priority="425" equalAverage="0" aboveAverage="0" dxfId="2" stopIfTrue="1" text="" percent="0" bottom="0">
      <formula>AND(ISNUMBER(J29),COUNTIFS('Data - Monthly Metrics'!$A:$A,$B$4,'Data - Monthly Metrics'!$B:$B,J$8,'Data - Monthly Metrics'!$C:$C,"NorthCentral",'Data - Monthly Metrics'!$D:$D,"Goal - Penetration %")&gt;0,J29&gt;=SUMIFS('Data - Monthly Metrics'!$E:$E,'Data - Monthly Metrics'!$A:$A,$B$4,'Data - Monthly Metrics'!$B:$B,J$8,'Data - Monthly Metrics'!$C:$C,"NorthCentral",'Data - Monthly Metrics'!$D:$D,"Goal - Penetration %")-0.05)</formula>
    </cfRule>
    <cfRule type="expression" rank="0" priority="426" equalAverage="0" aboveAverage="0" dxfId="1" stopIfTrue="1" text="" percent="0" bottom="0">
      <formula>AND(ISNUMBER(J29),COUNTIFS('Data - Monthly Metrics'!$A:$A,$B$4,'Data - Monthly Metrics'!$B:$B,J$8,'Data - Monthly Metrics'!$C:$C,"NorthCentral",'Data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Metrics'!$C:$C,"NorthCentral",'Data - Monthly Metrics'!$D:$D,"Goal - Penetration %")&gt;0,K29&gt;=SUMIFS('Data - Monthly Metrics'!$E:$E,'Data - Monthly Metrics'!$A:$A,$B$4,'Data - Monthly Metrics'!$B:$B,K$8,'Data - Monthly Metrics'!$C:$C,"NorthCentral",'Data - Monthly Metrics'!$D:$D,"Goal - Penetration %"))</formula>
    </cfRule>
    <cfRule type="expression" rank="0" priority="428" equalAverage="0" aboveAverage="0" dxfId="2" stopIfTrue="1" text="" percent="0" bottom="0">
      <formula>AND(ISNUMBER(K29),COUNTIFS('Data - Monthly Metrics'!$A:$A,$B$4,'Data - Monthly Metrics'!$B:$B,K$8,'Data - Monthly Metrics'!$C:$C,"NorthCentral",'Data - Monthly Metrics'!$D:$D,"Goal - Penetration %")&gt;0,K29&gt;=SUMIFS('Data - Monthly Metrics'!$E:$E,'Data - Monthly Metrics'!$A:$A,$B$4,'Data - Monthly Metrics'!$B:$B,K$8,'Data - Monthly Metrics'!$C:$C,"NorthCentral",'Data - Monthly Metrics'!$D:$D,"Goal - Penetration %")-0.05)</formula>
    </cfRule>
    <cfRule type="expression" rank="0" priority="429" equalAverage="0" aboveAverage="0" dxfId="1" stopIfTrue="1" text="" percent="0" bottom="0">
      <formula>AND(ISNUMBER(K29),COUNTIFS('Data - Monthly Metrics'!$A:$A,$B$4,'Data - Monthly Metrics'!$B:$B,K$8,'Data - Monthly Metrics'!$C:$C,"NorthCentral",'Data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Metrics'!$C:$C,"NorthCentral",'Data - Monthly Metrics'!$D:$D,"Goal - Penetration %")&gt;0,L29&gt;=SUMIFS('Data - Monthly Metrics'!$E:$E,'Data - Monthly Metrics'!$A:$A,$B$4,'Data - Monthly Metrics'!$B:$B,L$8,'Data - Monthly Metrics'!$C:$C,"NorthCentral",'Data - Monthly Metrics'!$D:$D,"Goal - Penetration %"))</formula>
    </cfRule>
    <cfRule type="expression" rank="0" priority="431" equalAverage="0" aboveAverage="0" dxfId="2" stopIfTrue="1" text="" percent="0" bottom="0">
      <formula>AND(ISNUMBER(L29),COUNTIFS('Data - Monthly Metrics'!$A:$A,$B$4,'Data - Monthly Metrics'!$B:$B,L$8,'Data - Monthly Metrics'!$C:$C,"NorthCentral",'Data - Monthly Metrics'!$D:$D,"Goal - Penetration %")&gt;0,L29&gt;=SUMIFS('Data - Monthly Metrics'!$E:$E,'Data - Monthly Metrics'!$A:$A,$B$4,'Data - Monthly Metrics'!$B:$B,L$8,'Data - Monthly Metrics'!$C:$C,"NorthCentral",'Data - Monthly Metrics'!$D:$D,"Goal - Penetration %")-0.05)</formula>
    </cfRule>
    <cfRule type="expression" rank="0" priority="432" equalAverage="0" aboveAverage="0" dxfId="1" stopIfTrue="1" text="" percent="0" bottom="0">
      <formula>AND(ISNUMBER(L29),COUNTIFS('Data - Monthly Metrics'!$A:$A,$B$4,'Data - Monthly Metrics'!$B:$B,L$8,'Data - Monthly Metrics'!$C:$C,"NorthCentral",'Data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Metrics'!$C:$C,"NorthCentral",'Data - Monthly Metrics'!$D:$D,"Goal - Penetration %")&gt;0,N29&gt;=SUMIFS('Data - Monthly Metrics'!$E:$E,'Data - Monthly Metrics'!$A:$A,$B$4,'Data - Monthly Metrics'!$B:$B,N$8,'Data - Monthly Metrics'!$C:$C,"NorthCentral",'Data - Monthly Metrics'!$D:$D,"Goal - Penetration %"))</formula>
    </cfRule>
    <cfRule type="expression" rank="0" priority="434" equalAverage="0" aboveAverage="0" dxfId="2" stopIfTrue="1" text="" percent="0" bottom="0">
      <formula>AND(ISNUMBER(N29),COUNTIFS('Data - Monthly Metrics'!$A:$A,$B$4,'Data - Monthly Metrics'!$B:$B,N$8,'Data - Monthly Metrics'!$C:$C,"NorthCentral",'Data - Monthly Metrics'!$D:$D,"Goal - Penetration %")&gt;0,N29&gt;=SUMIFS('Data - Monthly Metrics'!$E:$E,'Data - Monthly Metrics'!$A:$A,$B$4,'Data - Monthly Metrics'!$B:$B,N$8,'Data - Monthly Metrics'!$C:$C,"NorthCentral",'Data - Monthly Metrics'!$D:$D,"Goal - Penetration %")-0.05)</formula>
    </cfRule>
    <cfRule type="expression" rank="0" priority="435" equalAverage="0" aboveAverage="0" dxfId="1" stopIfTrue="1" text="" percent="0" bottom="0">
      <formula>AND(ISNUMBER(N29),COUNTIFS('Data - Monthly Metrics'!$A:$A,$B$4,'Data - Monthly Metrics'!$B:$B,N$8,'Data - Monthly Metrics'!$C:$C,"NorthCentral",'Data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Metrics'!$C:$C,"NorthCentral",'Data - Monthly Metrics'!$D:$D,"Goal - Penetration %")&gt;0,O29&gt;=SUMIFS('Data - Monthly Metrics'!$E:$E,'Data - Monthly Metrics'!$A:$A,$B$4,'Data - Monthly Metrics'!$B:$B,O$8,'Data - Monthly Metrics'!$C:$C,"NorthCentral",'Data - Monthly Metrics'!$D:$D,"Goal - Penetration %"))</formula>
    </cfRule>
    <cfRule type="expression" rank="0" priority="437" equalAverage="0" aboveAverage="0" dxfId="2" stopIfTrue="1" text="" percent="0" bottom="0">
      <formula>AND(ISNUMBER(O29),COUNTIFS('Data - Monthly Metrics'!$A:$A,$B$4,'Data - Monthly Metrics'!$B:$B,O$8,'Data - Monthly Metrics'!$C:$C,"NorthCentral",'Data - Monthly Metrics'!$D:$D,"Goal - Penetration %")&gt;0,O29&gt;=SUMIFS('Data - Monthly Metrics'!$E:$E,'Data - Monthly Metrics'!$A:$A,$B$4,'Data - Monthly Metrics'!$B:$B,O$8,'Data - Monthly Metrics'!$C:$C,"NorthCentral",'Data - Monthly Metrics'!$D:$D,"Goal - Penetration %")-0.05)</formula>
    </cfRule>
    <cfRule type="expression" rank="0" priority="438" equalAverage="0" aboveAverage="0" dxfId="1" stopIfTrue="1" text="" percent="0" bottom="0">
      <formula>AND(ISNUMBER(O29),COUNTIFS('Data - Monthly Metrics'!$A:$A,$B$4,'Data - Monthly Metrics'!$B:$B,O$8,'Data - Monthly Metrics'!$C:$C,"NorthCentral",'Data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Metrics'!$C:$C,"NorthCentral",'Data - Monthly Metrics'!$D:$D,"Goal - Penetration %")&gt;0,P29&gt;=SUMIFS('Data - Monthly Metrics'!$E:$E,'Data - Monthly Metrics'!$A:$A,$B$4,'Data - Monthly Metrics'!$B:$B,P$8,'Data - Monthly Metrics'!$C:$C,"NorthCentral",'Data - Monthly Metrics'!$D:$D,"Goal - Penetration %"))</formula>
    </cfRule>
    <cfRule type="expression" rank="0" priority="440" equalAverage="0" aboveAverage="0" dxfId="2" stopIfTrue="1" text="" percent="0" bottom="0">
      <formula>AND(ISNUMBER(P29),COUNTIFS('Data - Monthly Metrics'!$A:$A,$B$4,'Data - Monthly Metrics'!$B:$B,P$8,'Data - Monthly Metrics'!$C:$C,"NorthCentral",'Data - Monthly Metrics'!$D:$D,"Goal - Penetration %")&gt;0,P29&gt;=SUMIFS('Data - Monthly Metrics'!$E:$E,'Data - Monthly Metrics'!$A:$A,$B$4,'Data - Monthly Metrics'!$B:$B,P$8,'Data - Monthly Metrics'!$C:$C,"NorthCentral",'Data - Monthly Metrics'!$D:$D,"Goal - Penetration %")-0.05)</formula>
    </cfRule>
    <cfRule type="expression" rank="0" priority="441" equalAverage="0" aboveAverage="0" dxfId="1" stopIfTrue="1" text="" percent="0" bottom="0">
      <formula>AND(ISNUMBER(P29),COUNTIFS('Data - Monthly Metrics'!$A:$A,$B$4,'Data - Monthly Metrics'!$B:$B,P$8,'Data - Monthly Metrics'!$C:$C,"NorthCentral",'Data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Metrics'!$C:$C,"NorthCentral",'Data - Monthly Metrics'!$D:$D,"Goal - Penetration %")&gt;0,B30&gt;=SUMIFS('Data - Monthly Metrics'!$E:$E,'Data - Monthly Metrics'!$A:$A,$B$4-1,'Data - Monthly Metrics'!$B:$B,B$8,'Data - Monthly Metrics'!$C:$C,"NorthCentral",'Data - Monthly Metrics'!$D:$D,"Goal - Penetration %"))</formula>
    </cfRule>
    <cfRule type="expression" rank="0" priority="443" equalAverage="0" aboveAverage="0" dxfId="2" stopIfTrue="1" text="" percent="0" bottom="0">
      <formula>AND(ISNUMBER(B30),COUNTIFS('Data - Monthly Metrics'!$A:$A,$B$4-1,'Data - Monthly Metrics'!$B:$B,B$8,'Data - Monthly Metrics'!$C:$C,"NorthCentral",'Data - Monthly Metrics'!$D:$D,"Goal - Penetration %")&gt;0,B30&gt;=SUMIFS('Data - Monthly Metrics'!$E:$E,'Data - Monthly Metrics'!$A:$A,$B$4-1,'Data - Monthly Metrics'!$B:$B,B$8,'Data - Monthly Metrics'!$C:$C,"NorthCentral",'Data - Monthly Metrics'!$D:$D,"Goal - Penetration %")-0.05)</formula>
    </cfRule>
    <cfRule type="expression" rank="0" priority="444" equalAverage="0" aboveAverage="0" dxfId="1" stopIfTrue="1" text="" percent="0" bottom="0">
      <formula>AND(ISNUMBER(B30),COUNTIFS('Data - Monthly Metrics'!$A:$A,$B$4-1,'Data - Monthly Metrics'!$B:$B,B$8,'Data - Monthly Metrics'!$C:$C,"NorthCentral",'Data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Metrics'!$C:$C,"NorthCentral",'Data - Monthly Metrics'!$D:$D,"Goal - Penetration %")&gt;0,C30&gt;=SUMIFS('Data - Monthly Metrics'!$E:$E,'Data - Monthly Metrics'!$A:$A,$B$4-1,'Data - Monthly Metrics'!$B:$B,C$8,'Data - Monthly Metrics'!$C:$C,"NorthCentral",'Data - Monthly Metrics'!$D:$D,"Goal - Penetration %"))</formula>
    </cfRule>
    <cfRule type="expression" rank="0" priority="446" equalAverage="0" aboveAverage="0" dxfId="2" stopIfTrue="1" text="" percent="0" bottom="0">
      <formula>AND(ISNUMBER(C30),COUNTIFS('Data - Monthly Metrics'!$A:$A,$B$4-1,'Data - Monthly Metrics'!$B:$B,C$8,'Data - Monthly Metrics'!$C:$C,"NorthCentral",'Data - Monthly Metrics'!$D:$D,"Goal - Penetration %")&gt;0,C30&gt;=SUMIFS('Data - Monthly Metrics'!$E:$E,'Data - Monthly Metrics'!$A:$A,$B$4-1,'Data - Monthly Metrics'!$B:$B,C$8,'Data - Monthly Metrics'!$C:$C,"NorthCentral",'Data - Monthly Metrics'!$D:$D,"Goal - Penetration %")-0.05)</formula>
    </cfRule>
    <cfRule type="expression" rank="0" priority="447" equalAverage="0" aboveAverage="0" dxfId="1" stopIfTrue="1" text="" percent="0" bottom="0">
      <formula>AND(ISNUMBER(C30),COUNTIFS('Data - Monthly Metrics'!$A:$A,$B$4-1,'Data - Monthly Metrics'!$B:$B,C$8,'Data - Monthly Metrics'!$C:$C,"NorthCentral",'Data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Metrics'!$C:$C,"NorthCentral",'Data - Monthly Metrics'!$D:$D,"Goal - Penetration %")&gt;0,D30&gt;=SUMIFS('Data - Monthly Metrics'!$E:$E,'Data - Monthly Metrics'!$A:$A,$B$4-1,'Data - Monthly Metrics'!$B:$B,D$8,'Data - Monthly Metrics'!$C:$C,"NorthCentral",'Data - Monthly Metrics'!$D:$D,"Goal - Penetration %"))</formula>
    </cfRule>
    <cfRule type="expression" rank="0" priority="449" equalAverage="0" aboveAverage="0" dxfId="2" stopIfTrue="1" text="" percent="0" bottom="0">
      <formula>AND(ISNUMBER(D30),COUNTIFS('Data - Monthly Metrics'!$A:$A,$B$4-1,'Data - Monthly Metrics'!$B:$B,D$8,'Data - Monthly Metrics'!$C:$C,"NorthCentral",'Data - Monthly Metrics'!$D:$D,"Goal - Penetration %")&gt;0,D30&gt;=SUMIFS('Data - Monthly Metrics'!$E:$E,'Data - Monthly Metrics'!$A:$A,$B$4-1,'Data - Monthly Metrics'!$B:$B,D$8,'Data - Monthly Metrics'!$C:$C,"NorthCentral",'Data - Monthly Metrics'!$D:$D,"Goal - Penetration %")-0.05)</formula>
    </cfRule>
    <cfRule type="expression" rank="0" priority="450" equalAverage="0" aboveAverage="0" dxfId="1" stopIfTrue="1" text="" percent="0" bottom="0">
      <formula>AND(ISNUMBER(D30),COUNTIFS('Data - Monthly Metrics'!$A:$A,$B$4-1,'Data - Monthly Metrics'!$B:$B,D$8,'Data - Monthly Metrics'!$C:$C,"NorthCentral",'Data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Metrics'!$C:$C,"NorthCentral",'Data - Monthly Metrics'!$D:$D,"Goal - Penetration %")&gt;0,F30&gt;=SUMIFS('Data - Monthly Metrics'!$E:$E,'Data - Monthly Metrics'!$A:$A,$B$4,'Data - Monthly Metrics'!$B:$B,F$8,'Data - Monthly Metrics'!$C:$C,"NorthCentral",'Data - Monthly Metrics'!$D:$D,"Goal - Penetration %"))</formula>
    </cfRule>
    <cfRule type="expression" rank="0" priority="452" equalAverage="0" aboveAverage="0" dxfId="2" stopIfTrue="1" text="" percent="0" bottom="0">
      <formula>AND(ISNUMBER(F30),COUNTIFS('Data - Monthly Metrics'!$A:$A,$B$4,'Data - Monthly Metrics'!$B:$B,F$8,'Data - Monthly Metrics'!$C:$C,"NorthCentral",'Data - Monthly Metrics'!$D:$D,"Goal - Penetration %")&gt;0,F30&gt;=SUMIFS('Data - Monthly Metrics'!$E:$E,'Data - Monthly Metrics'!$A:$A,$B$4,'Data - Monthly Metrics'!$B:$B,F$8,'Data - Monthly Metrics'!$C:$C,"NorthCentral",'Data - Monthly Metrics'!$D:$D,"Goal - Penetration %")-0.05)</formula>
    </cfRule>
    <cfRule type="expression" rank="0" priority="453" equalAverage="0" aboveAverage="0" dxfId="1" stopIfTrue="1" text="" percent="0" bottom="0">
      <formula>AND(ISNUMBER(F30),COUNTIFS('Data - Monthly Metrics'!$A:$A,$B$4,'Data - Monthly Metrics'!$B:$B,F$8,'Data - Monthly Metrics'!$C:$C,"NorthCentral",'Data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Metrics'!$C:$C,"NorthCentral",'Data - Monthly Metrics'!$D:$D,"Goal - Penetration %")&gt;0,G30&gt;=SUMIFS('Data - Monthly Metrics'!$E:$E,'Data - Monthly Metrics'!$A:$A,$B$4,'Data - Monthly Metrics'!$B:$B,G$8,'Data - Monthly Metrics'!$C:$C,"NorthCentral",'Data - Monthly Metrics'!$D:$D,"Goal - Penetration %"))</formula>
    </cfRule>
    <cfRule type="expression" rank="0" priority="455" equalAverage="0" aboveAverage="0" dxfId="2" stopIfTrue="1" text="" percent="0" bottom="0">
      <formula>AND(ISNUMBER(G30),COUNTIFS('Data - Monthly Metrics'!$A:$A,$B$4,'Data - Monthly Metrics'!$B:$B,G$8,'Data - Monthly Metrics'!$C:$C,"NorthCentral",'Data - Monthly Metrics'!$D:$D,"Goal - Penetration %")&gt;0,G30&gt;=SUMIFS('Data - Monthly Metrics'!$E:$E,'Data - Monthly Metrics'!$A:$A,$B$4,'Data - Monthly Metrics'!$B:$B,G$8,'Data - Monthly Metrics'!$C:$C,"NorthCentral",'Data - Monthly Metrics'!$D:$D,"Goal - Penetration %")-0.05)</formula>
    </cfRule>
    <cfRule type="expression" rank="0" priority="456" equalAverage="0" aboveAverage="0" dxfId="1" stopIfTrue="1" text="" percent="0" bottom="0">
      <formula>AND(ISNUMBER(G30),COUNTIFS('Data - Monthly Metrics'!$A:$A,$B$4,'Data - Monthly Metrics'!$B:$B,G$8,'Data - Monthly Metrics'!$C:$C,"NorthCentral",'Data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Metrics'!$C:$C,"NorthCentral",'Data - Monthly Metrics'!$D:$D,"Goal - Penetration %")&gt;0,H30&gt;=SUMIFS('Data - Monthly Metrics'!$E:$E,'Data - Monthly Metrics'!$A:$A,$B$4,'Data - Monthly Metrics'!$B:$B,H$8,'Data - Monthly Metrics'!$C:$C,"NorthCentral",'Data - Monthly Metrics'!$D:$D,"Goal - Penetration %"))</formula>
    </cfRule>
    <cfRule type="expression" rank="0" priority="458" equalAverage="0" aboveAverage="0" dxfId="2" stopIfTrue="1" text="" percent="0" bottom="0">
      <formula>AND(ISNUMBER(H30),COUNTIFS('Data - Monthly Metrics'!$A:$A,$B$4,'Data - Monthly Metrics'!$B:$B,H$8,'Data - Monthly Metrics'!$C:$C,"NorthCentral",'Data - Monthly Metrics'!$D:$D,"Goal - Penetration %")&gt;0,H30&gt;=SUMIFS('Data - Monthly Metrics'!$E:$E,'Data - Monthly Metrics'!$A:$A,$B$4,'Data - Monthly Metrics'!$B:$B,H$8,'Data - Monthly Metrics'!$C:$C,"NorthCentral",'Data - Monthly Metrics'!$D:$D,"Goal - Penetration %")-0.05)</formula>
    </cfRule>
    <cfRule type="expression" rank="0" priority="459" equalAverage="0" aboveAverage="0" dxfId="1" stopIfTrue="1" text="" percent="0" bottom="0">
      <formula>AND(ISNUMBER(H30),COUNTIFS('Data - Monthly Metrics'!$A:$A,$B$4,'Data - Monthly Metrics'!$B:$B,H$8,'Data - Monthly Metrics'!$C:$C,"NorthCentral",'Data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Metrics'!$C:$C,"NorthCentral",'Data - Monthly Metrics'!$D:$D,"Goal - Penetration %")&gt;0,J30&gt;=SUMIFS('Data - Monthly Metrics'!$E:$E,'Data - Monthly Metrics'!$A:$A,$B$4,'Data - Monthly Metrics'!$B:$B,J$8,'Data - Monthly Metrics'!$C:$C,"NorthCentral",'Data - Monthly Metrics'!$D:$D,"Goal - Penetration %"))</formula>
    </cfRule>
    <cfRule type="expression" rank="0" priority="461" equalAverage="0" aboveAverage="0" dxfId="2" stopIfTrue="1" text="" percent="0" bottom="0">
      <formula>AND(ISNUMBER(J30),COUNTIFS('Data - Monthly Metrics'!$A:$A,$B$4,'Data - Monthly Metrics'!$B:$B,J$8,'Data - Monthly Metrics'!$C:$C,"NorthCentral",'Data - Monthly Metrics'!$D:$D,"Goal - Penetration %")&gt;0,J30&gt;=SUMIFS('Data - Monthly Metrics'!$E:$E,'Data - Monthly Metrics'!$A:$A,$B$4,'Data - Monthly Metrics'!$B:$B,J$8,'Data - Monthly Metrics'!$C:$C,"NorthCentral",'Data - Monthly Metrics'!$D:$D,"Goal - Penetration %")-0.05)</formula>
    </cfRule>
    <cfRule type="expression" rank="0" priority="462" equalAverage="0" aboveAverage="0" dxfId="1" stopIfTrue="1" text="" percent="0" bottom="0">
      <formula>AND(ISNUMBER(J30),COUNTIFS('Data - Monthly Metrics'!$A:$A,$B$4,'Data - Monthly Metrics'!$B:$B,J$8,'Data - Monthly Metrics'!$C:$C,"NorthCentral",'Data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Metrics'!$C:$C,"NorthCentral",'Data - Monthly Metrics'!$D:$D,"Goal - Penetration %")&gt;0,K30&gt;=SUMIFS('Data - Monthly Metrics'!$E:$E,'Data - Monthly Metrics'!$A:$A,$B$4,'Data - Monthly Metrics'!$B:$B,K$8,'Data - Monthly Metrics'!$C:$C,"NorthCentral",'Data - Monthly Metrics'!$D:$D,"Goal - Penetration %"))</formula>
    </cfRule>
    <cfRule type="expression" rank="0" priority="464" equalAverage="0" aboveAverage="0" dxfId="2" stopIfTrue="1" text="" percent="0" bottom="0">
      <formula>AND(ISNUMBER(K30),COUNTIFS('Data - Monthly Metrics'!$A:$A,$B$4,'Data - Monthly Metrics'!$B:$B,K$8,'Data - Monthly Metrics'!$C:$C,"NorthCentral",'Data - Monthly Metrics'!$D:$D,"Goal - Penetration %")&gt;0,K30&gt;=SUMIFS('Data - Monthly Metrics'!$E:$E,'Data - Monthly Metrics'!$A:$A,$B$4,'Data - Monthly Metrics'!$B:$B,K$8,'Data - Monthly Metrics'!$C:$C,"NorthCentral",'Data - Monthly Metrics'!$D:$D,"Goal - Penetration %")-0.05)</formula>
    </cfRule>
    <cfRule type="expression" rank="0" priority="465" equalAverage="0" aboveAverage="0" dxfId="1" stopIfTrue="1" text="" percent="0" bottom="0">
      <formula>AND(ISNUMBER(K30),COUNTIFS('Data - Monthly Metrics'!$A:$A,$B$4,'Data - Monthly Metrics'!$B:$B,K$8,'Data - Monthly Metrics'!$C:$C,"NorthCentral",'Data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Metrics'!$C:$C,"NorthCentral",'Data - Monthly Metrics'!$D:$D,"Goal - Penetration %")&gt;0,L30&gt;=SUMIFS('Data - Monthly Metrics'!$E:$E,'Data - Monthly Metrics'!$A:$A,$B$4,'Data - Monthly Metrics'!$B:$B,L$8,'Data - Monthly Metrics'!$C:$C,"NorthCentral",'Data - Monthly Metrics'!$D:$D,"Goal - Penetration %"))</formula>
    </cfRule>
    <cfRule type="expression" rank="0" priority="467" equalAverage="0" aboveAverage="0" dxfId="2" stopIfTrue="1" text="" percent="0" bottom="0">
      <formula>AND(ISNUMBER(L30),COUNTIFS('Data - Monthly Metrics'!$A:$A,$B$4,'Data - Monthly Metrics'!$B:$B,L$8,'Data - Monthly Metrics'!$C:$C,"NorthCentral",'Data - Monthly Metrics'!$D:$D,"Goal - Penetration %")&gt;0,L30&gt;=SUMIFS('Data - Monthly Metrics'!$E:$E,'Data - Monthly Metrics'!$A:$A,$B$4,'Data - Monthly Metrics'!$B:$B,L$8,'Data - Monthly Metrics'!$C:$C,"NorthCentral",'Data - Monthly Metrics'!$D:$D,"Goal - Penetration %")-0.05)</formula>
    </cfRule>
    <cfRule type="expression" rank="0" priority="468" equalAverage="0" aboveAverage="0" dxfId="1" stopIfTrue="1" text="" percent="0" bottom="0">
      <formula>AND(ISNUMBER(L30),COUNTIFS('Data - Monthly Metrics'!$A:$A,$B$4,'Data - Monthly Metrics'!$B:$B,L$8,'Data - Monthly Metrics'!$C:$C,"NorthCentral",'Data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Metrics'!$C:$C,"NorthCentral",'Data - Monthly Metrics'!$D:$D,"Goal - Penetration %")&gt;0,N30&gt;=SUMIFS('Data - Monthly Metrics'!$E:$E,'Data - Monthly Metrics'!$A:$A,$B$4,'Data - Monthly Metrics'!$B:$B,N$8,'Data - Monthly Metrics'!$C:$C,"NorthCentral",'Data - Monthly Metrics'!$D:$D,"Goal - Penetration %"))</formula>
    </cfRule>
    <cfRule type="expression" rank="0" priority="470" equalAverage="0" aboveAverage="0" dxfId="2" stopIfTrue="1" text="" percent="0" bottom="0">
      <formula>AND(ISNUMBER(N30),COUNTIFS('Data - Monthly Metrics'!$A:$A,$B$4,'Data - Monthly Metrics'!$B:$B,N$8,'Data - Monthly Metrics'!$C:$C,"NorthCentral",'Data - Monthly Metrics'!$D:$D,"Goal - Penetration %")&gt;0,N30&gt;=SUMIFS('Data - Monthly Metrics'!$E:$E,'Data - Monthly Metrics'!$A:$A,$B$4,'Data - Monthly Metrics'!$B:$B,N$8,'Data - Monthly Metrics'!$C:$C,"NorthCentral",'Data - Monthly Metrics'!$D:$D,"Goal - Penetration %")-0.05)</formula>
    </cfRule>
    <cfRule type="expression" rank="0" priority="471" equalAverage="0" aboveAverage="0" dxfId="1" stopIfTrue="1" text="" percent="0" bottom="0">
      <formula>AND(ISNUMBER(N30),COUNTIFS('Data - Monthly Metrics'!$A:$A,$B$4,'Data - Monthly Metrics'!$B:$B,N$8,'Data - Monthly Metrics'!$C:$C,"NorthCentral",'Data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Metrics'!$C:$C,"NorthCentral",'Data - Monthly Metrics'!$D:$D,"Goal - Penetration %")&gt;0,O30&gt;=SUMIFS('Data - Monthly Metrics'!$E:$E,'Data - Monthly Metrics'!$A:$A,$B$4,'Data - Monthly Metrics'!$B:$B,O$8,'Data - Monthly Metrics'!$C:$C,"NorthCentral",'Data - Monthly Metrics'!$D:$D,"Goal - Penetration %"))</formula>
    </cfRule>
    <cfRule type="expression" rank="0" priority="473" equalAverage="0" aboveAverage="0" dxfId="2" stopIfTrue="1" text="" percent="0" bottom="0">
      <formula>AND(ISNUMBER(O30),COUNTIFS('Data - Monthly Metrics'!$A:$A,$B$4,'Data - Monthly Metrics'!$B:$B,O$8,'Data - Monthly Metrics'!$C:$C,"NorthCentral",'Data - Monthly Metrics'!$D:$D,"Goal - Penetration %")&gt;0,O30&gt;=SUMIFS('Data - Monthly Metrics'!$E:$E,'Data - Monthly Metrics'!$A:$A,$B$4,'Data - Monthly Metrics'!$B:$B,O$8,'Data - Monthly Metrics'!$C:$C,"NorthCentral",'Data - Monthly Metrics'!$D:$D,"Goal - Penetration %")-0.05)</formula>
    </cfRule>
    <cfRule type="expression" rank="0" priority="474" equalAverage="0" aboveAverage="0" dxfId="1" stopIfTrue="1" text="" percent="0" bottom="0">
      <formula>AND(ISNUMBER(O30),COUNTIFS('Data - Monthly Metrics'!$A:$A,$B$4,'Data - Monthly Metrics'!$B:$B,O$8,'Data - Monthly Metrics'!$C:$C,"NorthCentral",'Data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Metrics'!$C:$C,"NorthCentral",'Data - Monthly Metrics'!$D:$D,"Goal - Penetration %")&gt;0,P30&gt;=SUMIFS('Data - Monthly Metrics'!$E:$E,'Data - Monthly Metrics'!$A:$A,$B$4,'Data - Monthly Metrics'!$B:$B,P$8,'Data - Monthly Metrics'!$C:$C,"NorthCentral",'Data - Monthly Metrics'!$D:$D,"Goal - Penetration %"))</formula>
    </cfRule>
    <cfRule type="expression" rank="0" priority="476" equalAverage="0" aboveAverage="0" dxfId="2" stopIfTrue="1" text="" percent="0" bottom="0">
      <formula>AND(ISNUMBER(P30),COUNTIFS('Data - Monthly Metrics'!$A:$A,$B$4,'Data - Monthly Metrics'!$B:$B,P$8,'Data - Monthly Metrics'!$C:$C,"NorthCentral",'Data - Monthly Metrics'!$D:$D,"Goal - Penetration %")&gt;0,P30&gt;=SUMIFS('Data - Monthly Metrics'!$E:$E,'Data - Monthly Metrics'!$A:$A,$B$4,'Data - Monthly Metrics'!$B:$B,P$8,'Data - Monthly Metrics'!$C:$C,"NorthCentral",'Data - Monthly Metrics'!$D:$D,"Goal - Penetration %")-0.05)</formula>
    </cfRule>
    <cfRule type="expression" rank="0" priority="477" equalAverage="0" aboveAverage="0" dxfId="1" stopIfTrue="1" text="" percent="0" bottom="0">
      <formula>AND(ISNUMBER(P30),COUNTIFS('Data - Monthly Metrics'!$A:$A,$B$4,'Data - Monthly Metrics'!$B:$B,P$8,'Data - Monthly Metrics'!$C:$C,"NorthCentral",'Data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Metrics'!$C:$C,"NorthCentral",'Data - Monthly Metrics'!$D:$D,"Goal - Penetration %")&gt;0,B31&gt;=SUMIFS('Data - Monthly Metrics'!$E:$E,'Data - Monthly Metrics'!$A:$A,$B$4-1,'Data - Monthly Metrics'!$B:$B,B$8,'Data - Monthly Metrics'!$C:$C,"NorthCentral",'Data - Monthly Metrics'!$D:$D,"Goal - Penetration %"))</formula>
    </cfRule>
    <cfRule type="expression" rank="0" priority="479" equalAverage="0" aboveAverage="0" dxfId="2" stopIfTrue="1" text="" percent="0" bottom="0">
      <formula>AND(ISNUMBER(B31),COUNTIFS('Data - Monthly Metrics'!$A:$A,$B$4-1,'Data - Monthly Metrics'!$B:$B,B$8,'Data - Monthly Metrics'!$C:$C,"NorthCentral",'Data - Monthly Metrics'!$D:$D,"Goal - Penetration %")&gt;0,B31&gt;=SUMIFS('Data - Monthly Metrics'!$E:$E,'Data - Monthly Metrics'!$A:$A,$B$4-1,'Data - Monthly Metrics'!$B:$B,B$8,'Data - Monthly Metrics'!$C:$C,"NorthCentral",'Data - Monthly Metrics'!$D:$D,"Goal - Penetration %")-0.05)</formula>
    </cfRule>
    <cfRule type="expression" rank="0" priority="480" equalAverage="0" aboveAverage="0" dxfId="1" stopIfTrue="1" text="" percent="0" bottom="0">
      <formula>AND(ISNUMBER(B31),COUNTIFS('Data - Monthly Metrics'!$A:$A,$B$4-1,'Data - Monthly Metrics'!$B:$B,B$8,'Data - Monthly Metrics'!$C:$C,"NorthCentral",'Data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Metrics'!$C:$C,"NorthCentral",'Data - Monthly Metrics'!$D:$D,"Goal - Penetration %")&gt;0,C31&gt;=SUMIFS('Data - Monthly Metrics'!$E:$E,'Data - Monthly Metrics'!$A:$A,$B$4-1,'Data - Monthly Metrics'!$B:$B,C$8,'Data - Monthly Metrics'!$C:$C,"NorthCentral",'Data - Monthly Metrics'!$D:$D,"Goal - Penetration %"))</formula>
    </cfRule>
    <cfRule type="expression" rank="0" priority="482" equalAverage="0" aboveAverage="0" dxfId="2" stopIfTrue="1" text="" percent="0" bottom="0">
      <formula>AND(ISNUMBER(C31),COUNTIFS('Data - Monthly Metrics'!$A:$A,$B$4-1,'Data - Monthly Metrics'!$B:$B,C$8,'Data - Monthly Metrics'!$C:$C,"NorthCentral",'Data - Monthly Metrics'!$D:$D,"Goal - Penetration %")&gt;0,C31&gt;=SUMIFS('Data - Monthly Metrics'!$E:$E,'Data - Monthly Metrics'!$A:$A,$B$4-1,'Data - Monthly Metrics'!$B:$B,C$8,'Data - Monthly Metrics'!$C:$C,"NorthCentral",'Data - Monthly Metrics'!$D:$D,"Goal - Penetration %")-0.05)</formula>
    </cfRule>
    <cfRule type="expression" rank="0" priority="483" equalAverage="0" aboveAverage="0" dxfId="1" stopIfTrue="1" text="" percent="0" bottom="0">
      <formula>AND(ISNUMBER(C31),COUNTIFS('Data - Monthly Metrics'!$A:$A,$B$4-1,'Data - Monthly Metrics'!$B:$B,C$8,'Data - Monthly Metrics'!$C:$C,"NorthCentral",'Data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Metrics'!$C:$C,"NorthCentral",'Data - Monthly Metrics'!$D:$D,"Goal - Penetration %")&gt;0,D31&gt;=SUMIFS('Data - Monthly Metrics'!$E:$E,'Data - Monthly Metrics'!$A:$A,$B$4-1,'Data - Monthly Metrics'!$B:$B,D$8,'Data - Monthly Metrics'!$C:$C,"NorthCentral",'Data - Monthly Metrics'!$D:$D,"Goal - Penetration %"))</formula>
    </cfRule>
    <cfRule type="expression" rank="0" priority="485" equalAverage="0" aboveAverage="0" dxfId="2" stopIfTrue="1" text="" percent="0" bottom="0">
      <formula>AND(ISNUMBER(D31),COUNTIFS('Data - Monthly Metrics'!$A:$A,$B$4-1,'Data - Monthly Metrics'!$B:$B,D$8,'Data - Monthly Metrics'!$C:$C,"NorthCentral",'Data - Monthly Metrics'!$D:$D,"Goal - Penetration %")&gt;0,D31&gt;=SUMIFS('Data - Monthly Metrics'!$E:$E,'Data - Monthly Metrics'!$A:$A,$B$4-1,'Data - Monthly Metrics'!$B:$B,D$8,'Data - Monthly Metrics'!$C:$C,"NorthCentral",'Data - Monthly Metrics'!$D:$D,"Goal - Penetration %")-0.05)</formula>
    </cfRule>
    <cfRule type="expression" rank="0" priority="486" equalAverage="0" aboveAverage="0" dxfId="1" stopIfTrue="1" text="" percent="0" bottom="0">
      <formula>AND(ISNUMBER(D31),COUNTIFS('Data - Monthly Metrics'!$A:$A,$B$4-1,'Data - Monthly Metrics'!$B:$B,D$8,'Data - Monthly Metrics'!$C:$C,"NorthCentral",'Data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Metrics'!$C:$C,"NorthCentral",'Data - Monthly Metrics'!$D:$D,"Goal - Penetration %")&gt;0,F31&gt;=SUMIFS('Data - Monthly Metrics'!$E:$E,'Data - Monthly Metrics'!$A:$A,$B$4,'Data - Monthly Metrics'!$B:$B,F$8,'Data - Monthly Metrics'!$C:$C,"NorthCentral",'Data - Monthly Metrics'!$D:$D,"Goal - Penetration %"))</formula>
    </cfRule>
    <cfRule type="expression" rank="0" priority="488" equalAverage="0" aboveAverage="0" dxfId="2" stopIfTrue="1" text="" percent="0" bottom="0">
      <formula>AND(ISNUMBER(F31),COUNTIFS('Data - Monthly Metrics'!$A:$A,$B$4,'Data - Monthly Metrics'!$B:$B,F$8,'Data - Monthly Metrics'!$C:$C,"NorthCentral",'Data - Monthly Metrics'!$D:$D,"Goal - Penetration %")&gt;0,F31&gt;=SUMIFS('Data - Monthly Metrics'!$E:$E,'Data - Monthly Metrics'!$A:$A,$B$4,'Data - Monthly Metrics'!$B:$B,F$8,'Data - Monthly Metrics'!$C:$C,"NorthCentral",'Data - Monthly Metrics'!$D:$D,"Goal - Penetration %")-0.05)</formula>
    </cfRule>
    <cfRule type="expression" rank="0" priority="489" equalAverage="0" aboveAverage="0" dxfId="1" stopIfTrue="1" text="" percent="0" bottom="0">
      <formula>AND(ISNUMBER(F31),COUNTIFS('Data - Monthly Metrics'!$A:$A,$B$4,'Data - Monthly Metrics'!$B:$B,F$8,'Data - Monthly Metrics'!$C:$C,"NorthCentral",'Data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Metrics'!$C:$C,"NorthCentral",'Data - Monthly Metrics'!$D:$D,"Goal - Penetration %")&gt;0,G31&gt;=SUMIFS('Data - Monthly Metrics'!$E:$E,'Data - Monthly Metrics'!$A:$A,$B$4,'Data - Monthly Metrics'!$B:$B,G$8,'Data - Monthly Metrics'!$C:$C,"NorthCentral",'Data - Monthly Metrics'!$D:$D,"Goal - Penetration %"))</formula>
    </cfRule>
    <cfRule type="expression" rank="0" priority="491" equalAverage="0" aboveAverage="0" dxfId="2" stopIfTrue="1" text="" percent="0" bottom="0">
      <formula>AND(ISNUMBER(G31),COUNTIFS('Data - Monthly Metrics'!$A:$A,$B$4,'Data - Monthly Metrics'!$B:$B,G$8,'Data - Monthly Metrics'!$C:$C,"NorthCentral",'Data - Monthly Metrics'!$D:$D,"Goal - Penetration %")&gt;0,G31&gt;=SUMIFS('Data - Monthly Metrics'!$E:$E,'Data - Monthly Metrics'!$A:$A,$B$4,'Data - Monthly Metrics'!$B:$B,G$8,'Data - Monthly Metrics'!$C:$C,"NorthCentral",'Data - Monthly Metrics'!$D:$D,"Goal - Penetration %")-0.05)</formula>
    </cfRule>
    <cfRule type="expression" rank="0" priority="492" equalAverage="0" aboveAverage="0" dxfId="1" stopIfTrue="1" text="" percent="0" bottom="0">
      <formula>AND(ISNUMBER(G31),COUNTIFS('Data - Monthly Metrics'!$A:$A,$B$4,'Data - Monthly Metrics'!$B:$B,G$8,'Data - Monthly Metrics'!$C:$C,"NorthCentral",'Data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Metrics'!$C:$C,"NorthCentral",'Data - Monthly Metrics'!$D:$D,"Goal - Penetration %")&gt;0,H31&gt;=SUMIFS('Data - Monthly Metrics'!$E:$E,'Data - Monthly Metrics'!$A:$A,$B$4,'Data - Monthly Metrics'!$B:$B,H$8,'Data - Monthly Metrics'!$C:$C,"NorthCentral",'Data - Monthly Metrics'!$D:$D,"Goal - Penetration %"))</formula>
    </cfRule>
    <cfRule type="expression" rank="0" priority="494" equalAverage="0" aboveAverage="0" dxfId="2" stopIfTrue="1" text="" percent="0" bottom="0">
      <formula>AND(ISNUMBER(H31),COUNTIFS('Data - Monthly Metrics'!$A:$A,$B$4,'Data - Monthly Metrics'!$B:$B,H$8,'Data - Monthly Metrics'!$C:$C,"NorthCentral",'Data - Monthly Metrics'!$D:$D,"Goal - Penetration %")&gt;0,H31&gt;=SUMIFS('Data - Monthly Metrics'!$E:$E,'Data - Monthly Metrics'!$A:$A,$B$4,'Data - Monthly Metrics'!$B:$B,H$8,'Data - Monthly Metrics'!$C:$C,"NorthCentral",'Data - Monthly Metrics'!$D:$D,"Goal - Penetration %")-0.05)</formula>
    </cfRule>
    <cfRule type="expression" rank="0" priority="495" equalAverage="0" aboveAverage="0" dxfId="1" stopIfTrue="1" text="" percent="0" bottom="0">
      <formula>AND(ISNUMBER(H31),COUNTIFS('Data - Monthly Metrics'!$A:$A,$B$4,'Data - Monthly Metrics'!$B:$B,H$8,'Data - Monthly Metrics'!$C:$C,"NorthCentral",'Data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Metrics'!$C:$C,"NorthCentral",'Data - Monthly Metrics'!$D:$D,"Goal - Penetration %")&gt;0,J31&gt;=SUMIFS('Data - Monthly Metrics'!$E:$E,'Data - Monthly Metrics'!$A:$A,$B$4,'Data - Monthly Metrics'!$B:$B,J$8,'Data - Monthly Metrics'!$C:$C,"NorthCentral",'Data - Monthly Metrics'!$D:$D,"Goal - Penetration %"))</formula>
    </cfRule>
    <cfRule type="expression" rank="0" priority="497" equalAverage="0" aboveAverage="0" dxfId="2" stopIfTrue="1" text="" percent="0" bottom="0">
      <formula>AND(ISNUMBER(J31),COUNTIFS('Data - Monthly Metrics'!$A:$A,$B$4,'Data - Monthly Metrics'!$B:$B,J$8,'Data - Monthly Metrics'!$C:$C,"NorthCentral",'Data - Monthly Metrics'!$D:$D,"Goal - Penetration %")&gt;0,J31&gt;=SUMIFS('Data - Monthly Metrics'!$E:$E,'Data - Monthly Metrics'!$A:$A,$B$4,'Data - Monthly Metrics'!$B:$B,J$8,'Data - Monthly Metrics'!$C:$C,"NorthCentral",'Data - Monthly Metrics'!$D:$D,"Goal - Penetration %")-0.05)</formula>
    </cfRule>
    <cfRule type="expression" rank="0" priority="498" equalAverage="0" aboveAverage="0" dxfId="1" stopIfTrue="1" text="" percent="0" bottom="0">
      <formula>AND(ISNUMBER(J31),COUNTIFS('Data - Monthly Metrics'!$A:$A,$B$4,'Data - Monthly Metrics'!$B:$B,J$8,'Data - Monthly Metrics'!$C:$C,"NorthCentral",'Data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Metrics'!$C:$C,"NorthCentral",'Data - Monthly Metrics'!$D:$D,"Goal - Penetration %")&gt;0,K31&gt;=SUMIFS('Data - Monthly Metrics'!$E:$E,'Data - Monthly Metrics'!$A:$A,$B$4,'Data - Monthly Metrics'!$B:$B,K$8,'Data - Monthly Metrics'!$C:$C,"NorthCentral",'Data - Monthly Metrics'!$D:$D,"Goal - Penetration %"))</formula>
    </cfRule>
    <cfRule type="expression" rank="0" priority="500" equalAverage="0" aboveAverage="0" dxfId="2" stopIfTrue="1" text="" percent="0" bottom="0">
      <formula>AND(ISNUMBER(K31),COUNTIFS('Data - Monthly Metrics'!$A:$A,$B$4,'Data - Monthly Metrics'!$B:$B,K$8,'Data - Monthly Metrics'!$C:$C,"NorthCentral",'Data - Monthly Metrics'!$D:$D,"Goal - Penetration %")&gt;0,K31&gt;=SUMIFS('Data - Monthly Metrics'!$E:$E,'Data - Monthly Metrics'!$A:$A,$B$4,'Data - Monthly Metrics'!$B:$B,K$8,'Data - Monthly Metrics'!$C:$C,"NorthCentral",'Data - Monthly Metrics'!$D:$D,"Goal - Penetration %")-0.05)</formula>
    </cfRule>
    <cfRule type="expression" rank="0" priority="501" equalAverage="0" aboveAverage="0" dxfId="1" stopIfTrue="1" text="" percent="0" bottom="0">
      <formula>AND(ISNUMBER(K31),COUNTIFS('Data - Monthly Metrics'!$A:$A,$B$4,'Data - Monthly Metrics'!$B:$B,K$8,'Data - Monthly Metrics'!$C:$C,"NorthCentral",'Data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Metrics'!$C:$C,"NorthCentral",'Data - Monthly Metrics'!$D:$D,"Goal - Penetration %")&gt;0,L31&gt;=SUMIFS('Data - Monthly Metrics'!$E:$E,'Data - Monthly Metrics'!$A:$A,$B$4,'Data - Monthly Metrics'!$B:$B,L$8,'Data - Monthly Metrics'!$C:$C,"NorthCentral",'Data - Monthly Metrics'!$D:$D,"Goal - Penetration %"))</formula>
    </cfRule>
    <cfRule type="expression" rank="0" priority="503" equalAverage="0" aboveAverage="0" dxfId="2" stopIfTrue="1" text="" percent="0" bottom="0">
      <formula>AND(ISNUMBER(L31),COUNTIFS('Data - Monthly Metrics'!$A:$A,$B$4,'Data - Monthly Metrics'!$B:$B,L$8,'Data - Monthly Metrics'!$C:$C,"NorthCentral",'Data - Monthly Metrics'!$D:$D,"Goal - Penetration %")&gt;0,L31&gt;=SUMIFS('Data - Monthly Metrics'!$E:$E,'Data - Monthly Metrics'!$A:$A,$B$4,'Data - Monthly Metrics'!$B:$B,L$8,'Data - Monthly Metrics'!$C:$C,"NorthCentral",'Data - Monthly Metrics'!$D:$D,"Goal - Penetration %")-0.05)</formula>
    </cfRule>
    <cfRule type="expression" rank="0" priority="504" equalAverage="0" aboveAverage="0" dxfId="1" stopIfTrue="1" text="" percent="0" bottom="0">
      <formula>AND(ISNUMBER(L31),COUNTIFS('Data - Monthly Metrics'!$A:$A,$B$4,'Data - Monthly Metrics'!$B:$B,L$8,'Data - Monthly Metrics'!$C:$C,"NorthCentral",'Data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Metrics'!$C:$C,"NorthCentral",'Data - Monthly Metrics'!$D:$D,"Goal - Penetration %")&gt;0,N31&gt;=SUMIFS('Data - Monthly Metrics'!$E:$E,'Data - Monthly Metrics'!$A:$A,$B$4,'Data - Monthly Metrics'!$B:$B,N$8,'Data - Monthly Metrics'!$C:$C,"NorthCentral",'Data - Monthly Metrics'!$D:$D,"Goal - Penetration %"))</formula>
    </cfRule>
    <cfRule type="expression" rank="0" priority="506" equalAverage="0" aboveAverage="0" dxfId="2" stopIfTrue="1" text="" percent="0" bottom="0">
      <formula>AND(ISNUMBER(N31),COUNTIFS('Data - Monthly Metrics'!$A:$A,$B$4,'Data - Monthly Metrics'!$B:$B,N$8,'Data - Monthly Metrics'!$C:$C,"NorthCentral",'Data - Monthly Metrics'!$D:$D,"Goal - Penetration %")&gt;0,N31&gt;=SUMIFS('Data - Monthly Metrics'!$E:$E,'Data - Monthly Metrics'!$A:$A,$B$4,'Data - Monthly Metrics'!$B:$B,N$8,'Data - Monthly Metrics'!$C:$C,"NorthCentral",'Data - Monthly Metrics'!$D:$D,"Goal - Penetration %")-0.05)</formula>
    </cfRule>
    <cfRule type="expression" rank="0" priority="507" equalAverage="0" aboveAverage="0" dxfId="1" stopIfTrue="1" text="" percent="0" bottom="0">
      <formula>AND(ISNUMBER(N31),COUNTIFS('Data - Monthly Metrics'!$A:$A,$B$4,'Data - Monthly Metrics'!$B:$B,N$8,'Data - Monthly Metrics'!$C:$C,"NorthCentral",'Data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Metrics'!$C:$C,"NorthCentral",'Data - Monthly Metrics'!$D:$D,"Goal - Penetration %")&gt;0,O31&gt;=SUMIFS('Data - Monthly Metrics'!$E:$E,'Data - Monthly Metrics'!$A:$A,$B$4,'Data - Monthly Metrics'!$B:$B,O$8,'Data - Monthly Metrics'!$C:$C,"NorthCentral",'Data - Monthly Metrics'!$D:$D,"Goal - Penetration %"))</formula>
    </cfRule>
    <cfRule type="expression" rank="0" priority="509" equalAverage="0" aboveAverage="0" dxfId="2" stopIfTrue="1" text="" percent="0" bottom="0">
      <formula>AND(ISNUMBER(O31),COUNTIFS('Data - Monthly Metrics'!$A:$A,$B$4,'Data - Monthly Metrics'!$B:$B,O$8,'Data - Monthly Metrics'!$C:$C,"NorthCentral",'Data - Monthly Metrics'!$D:$D,"Goal - Penetration %")&gt;0,O31&gt;=SUMIFS('Data - Monthly Metrics'!$E:$E,'Data - Monthly Metrics'!$A:$A,$B$4,'Data - Monthly Metrics'!$B:$B,O$8,'Data - Monthly Metrics'!$C:$C,"NorthCentral",'Data - Monthly Metrics'!$D:$D,"Goal - Penetration %")-0.05)</formula>
    </cfRule>
    <cfRule type="expression" rank="0" priority="510" equalAverage="0" aboveAverage="0" dxfId="1" stopIfTrue="1" text="" percent="0" bottom="0">
      <formula>AND(ISNUMBER(O31),COUNTIFS('Data - Monthly Metrics'!$A:$A,$B$4,'Data - Monthly Metrics'!$B:$B,O$8,'Data - Monthly Metrics'!$C:$C,"NorthCentral",'Data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Metrics'!$C:$C,"NorthCentral",'Data - Monthly Metrics'!$D:$D,"Goal - Penetration %")&gt;0,P31&gt;=SUMIFS('Data - Monthly Metrics'!$E:$E,'Data - Monthly Metrics'!$A:$A,$B$4,'Data - Monthly Metrics'!$B:$B,P$8,'Data - Monthly Metrics'!$C:$C,"NorthCentral",'Data - Monthly Metrics'!$D:$D,"Goal - Penetration %"))</formula>
    </cfRule>
    <cfRule type="expression" rank="0" priority="512" equalAverage="0" aboveAverage="0" dxfId="2" stopIfTrue="1" text="" percent="0" bottom="0">
      <formula>AND(ISNUMBER(P31),COUNTIFS('Data - Monthly Metrics'!$A:$A,$B$4,'Data - Monthly Metrics'!$B:$B,P$8,'Data - Monthly Metrics'!$C:$C,"NorthCentral",'Data - Monthly Metrics'!$D:$D,"Goal - Penetration %")&gt;0,P31&gt;=SUMIFS('Data - Monthly Metrics'!$E:$E,'Data - Monthly Metrics'!$A:$A,$B$4,'Data - Monthly Metrics'!$B:$B,P$8,'Data - Monthly Metrics'!$C:$C,"NorthCentral",'Data - Monthly Metrics'!$D:$D,"Goal - Penetration %")-0.05)</formula>
    </cfRule>
    <cfRule type="expression" rank="0" priority="513" equalAverage="0" aboveAverage="0" dxfId="1" stopIfTrue="1" text="" percent="0" bottom="0">
      <formula>AND(ISNUMBER(P31),COUNTIFS('Data - Monthly Metrics'!$A:$A,$B$4,'Data - Monthly Metrics'!$B:$B,P$8,'Data - Monthly Metrics'!$C:$C,"NorthCentral",'Data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2E75B6"/>
    <outlinePr summaryBelow="1" summaryRight="1"/>
    <pageSetUpPr fitToPage="0"/>
  </sheetPr>
  <dimension ref="A1:AR10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4.25" customHeight="0" zeroHeight="0" outlineLevelRow="0"/>
  <cols>
    <col width="34" customWidth="1" style="81" min="1" max="1"/>
    <col outlineLevel="1" width="9" customWidth="1" style="81" min="2" max="2"/>
    <col outlineLevel="1" width="13" customWidth="1" style="82" min="3" max="3"/>
    <col outlineLevel="1" width="13" customWidth="1" style="82" min="4" max="4"/>
    <col width="12" customWidth="1" style="81" min="5" max="5"/>
    <col outlineLevel="1" width="9" customWidth="1" style="81" min="6" max="6"/>
    <col outlineLevel="1" width="13" customWidth="1" style="82" min="7" max="7"/>
    <col outlineLevel="1" width="13" customWidth="1" style="82" min="8" max="8"/>
    <col width="12" customWidth="1" style="81" min="9" max="9"/>
    <col outlineLevel="1" width="9" customWidth="1" style="81" min="10" max="10"/>
    <col outlineLevel="1" width="13" customWidth="1" style="82" min="11" max="11"/>
    <col outlineLevel="1" width="13" customWidth="1" style="82" min="12" max="12"/>
    <col width="12" customWidth="1" style="81" min="13" max="13"/>
    <col outlineLevel="1" width="9" customWidth="1" style="81" min="14" max="14"/>
    <col outlineLevel="1" width="13" customWidth="1" style="82" min="15" max="15"/>
    <col outlineLevel="1" width="13" customWidth="1" style="82" min="16" max="16"/>
    <col width="12" customWidth="1" style="81" min="17" max="17"/>
    <col width="13" customWidth="1" style="81" min="18" max="18"/>
  </cols>
  <sheetData>
    <row r="1" ht="30" customHeight="1" s="82">
      <c r="A1" s="83" t="inlineStr">
        <is>
          <t>Majors/NRA</t>
        </is>
      </c>
    </row>
    <row r="2" ht="14.25" customHeight="1" s="82">
      <c r="A2" s="84" t="inlineStr">
        <is>
          <t>Combined first, then Target detail, then Non-Target. All months shown; click [–] above the column headers to fold a quarter to its subtotal.</t>
        </is>
      </c>
    </row>
    <row r="4" ht="14.25" customHeight="1" s="82">
      <c r="A4" s="85" t="inlineStr">
        <is>
          <t>Reporting Year:</t>
        </is>
      </c>
      <c r="B4" s="86" t="n">
        <v>2026</v>
      </c>
      <c r="C4" s="84" t="n"/>
    </row>
    <row r="6" ht="15.75" customHeight="1" s="82">
      <c r="A6" s="104" t="inlineStr">
        <is>
          <t>▼  COMBINED  —  TARGET + NON-TARGET  ▼</t>
        </is>
      </c>
    </row>
    <row r="7" ht="14.25" customHeight="1" s="82">
      <c r="A7" s="105" t="n"/>
    </row>
    <row r="8" ht="14.25" customHeight="1" s="82">
      <c r="A8" s="88" t="inlineStr">
        <is>
          <t>Metric</t>
        </is>
      </c>
      <c r="B8" s="88" t="inlineStr">
        <is>
          <t>Oct</t>
        </is>
      </c>
      <c r="C8" s="88" t="inlineStr">
        <is>
          <t>Nov</t>
        </is>
      </c>
      <c r="D8" s="88" t="inlineStr">
        <is>
          <t>Dec</t>
        </is>
      </c>
      <c r="E8" s="88" t="inlineStr">
        <is>
          <t>Q1</t>
        </is>
      </c>
      <c r="F8" s="88" t="inlineStr">
        <is>
          <t>Jan</t>
        </is>
      </c>
      <c r="G8" s="88" t="inlineStr">
        <is>
          <t>Feb</t>
        </is>
      </c>
      <c r="H8" s="88" t="inlineStr">
        <is>
          <t>Mar</t>
        </is>
      </c>
      <c r="I8" s="88" t="inlineStr">
        <is>
          <t>Q2</t>
        </is>
      </c>
      <c r="J8" s="88" t="inlineStr">
        <is>
          <t>Apr</t>
        </is>
      </c>
      <c r="K8" s="88" t="inlineStr">
        <is>
          <t>May</t>
        </is>
      </c>
      <c r="L8" s="88" t="inlineStr">
        <is>
          <t>Jun</t>
        </is>
      </c>
      <c r="M8" s="88" t="inlineStr">
        <is>
          <t>Q3</t>
        </is>
      </c>
      <c r="N8" s="88" t="inlineStr">
        <is>
          <t>Jul</t>
        </is>
      </c>
      <c r="O8" s="88" t="inlineStr">
        <is>
          <t>Aug</t>
        </is>
      </c>
      <c r="P8" s="88" t="inlineStr">
        <is>
          <t>Sep</t>
        </is>
      </c>
      <c r="Q8" s="88" t="inlineStr">
        <is>
          <t>Q4</t>
        </is>
      </c>
      <c r="R8" s="88" t="inlineStr">
        <is>
          <t>YTD</t>
        </is>
      </c>
    </row>
    <row r="9" ht="14.25" customHeight="1" s="82">
      <c r="A9" s="89" t="inlineStr">
        <is>
          <t>New Sales Revenue — Combined ($)</t>
        </is>
      </c>
      <c r="B9" s="91">
        <f>N(B38)+N(B79)</f>
        <v/>
      </c>
      <c r="C9" s="91">
        <f>N(C38)+N(C79)</f>
        <v/>
      </c>
      <c r="D9" s="91">
        <f>N(D38)+N(D79)</f>
        <v/>
      </c>
      <c r="E9" s="101">
        <f>N(E38)+N(E79)</f>
        <v/>
      </c>
      <c r="F9" s="91">
        <f>N(F38)+N(F79)</f>
        <v/>
      </c>
      <c r="G9" s="91">
        <f>N(G38)+N(G79)</f>
        <v/>
      </c>
      <c r="H9" s="91">
        <f>N(H38)+N(H79)</f>
        <v/>
      </c>
      <c r="I9" s="101">
        <f>N(I38)+N(I79)</f>
        <v/>
      </c>
      <c r="J9" s="91">
        <f>N(J38)+N(J79)</f>
        <v/>
      </c>
      <c r="K9" s="91">
        <f>N(K38)+N(K79)</f>
        <v/>
      </c>
      <c r="L9" s="91">
        <f>N(L38)+N(L79)</f>
        <v/>
      </c>
      <c r="M9" s="101">
        <f>N(M38)+N(M79)</f>
        <v/>
      </c>
      <c r="N9" s="91">
        <f>N(N38)+N(N79)</f>
        <v/>
      </c>
      <c r="O9" s="91">
        <f>N(O38)+N(O79)</f>
        <v/>
      </c>
      <c r="P9" s="91">
        <f>N(P38)+N(P79)</f>
        <v/>
      </c>
      <c r="Q9" s="101">
        <f>N(Q38)+N(Q79)</f>
        <v/>
      </c>
      <c r="R9" s="101">
        <f>N(R38)+N(R79)</f>
        <v/>
      </c>
    </row>
    <row r="10" ht="14.25" customHeight="1" s="82">
      <c r="A10" s="89" t="inlineStr">
        <is>
          <t xml:space="preserve">   BOB ($)</t>
        </is>
      </c>
      <c r="B10" s="91">
        <f>IF(COUNTIFS('Data - Monthly Metrics'!A:A,$B$4-1,'Data - Monthly Metrics'!B:B,"Oct",'Data - Monthly Metrics'!C:C,"Majors/NRA",'Data - Monthly Metrics'!D:D,"New Sales Revenue - BOB/Promo ($)")=0,"-",SUMIFS('Data - Monthly Metrics'!E:E,'Data - Monthly Metrics'!A:A,$B$4-1,'Data - Monthly Metrics'!B:B,"Oct",'Data - Monthly Metrics'!C:C,"Majors/NRA",'Data - Monthly Metrics'!D:D,"New Sales Revenue - BOB/Promo ($)"))</f>
        <v/>
      </c>
      <c r="C10" s="91">
        <f>IF(COUNTIFS('Data - Monthly Metrics'!A:A,$B$4-1,'Data - Monthly Metrics'!B:B,"Nov",'Data - Monthly Metrics'!C:C,"Majors/NRA",'Data - Monthly Metrics'!D:D,"New Sales Revenue - BOB/Promo ($)")=0,"-",SUMIFS('Data - Monthly Metrics'!E:E,'Data - Monthly Metrics'!A:A,$B$4-1,'Data - Monthly Metrics'!B:B,"Nov",'Data - Monthly Metrics'!C:C,"Majors/NRA",'Data - Monthly Metrics'!D:D,"New Sales Revenue - BOB/Promo ($)"))</f>
        <v/>
      </c>
      <c r="D10" s="91">
        <f>IF(COUNTIFS('Data - Monthly Metrics'!A:A,$B$4-1,'Data - Monthly Metrics'!B:B,"Dec",'Data - Monthly Metrics'!C:C,"Majors/NRA",'Data - Monthly Metrics'!D:D,"New Sales Revenue - BOB/Promo ($)")=0,"-",SUMIFS('Data - Monthly Metrics'!E:E,'Data - Monthly Metrics'!A:A,$B$4-1,'Data - Monthly Metrics'!B:B,"Dec",'Data - Monthly Metrics'!C:C,"Majors/NRA",'Data - Monthly Metrics'!D:D,"New Sales Revenue - BOB/Promo ($)"))</f>
        <v/>
      </c>
      <c r="E10" s="101">
        <f>SUM(B10,C10,D10)</f>
        <v/>
      </c>
      <c r="F10" s="91">
        <f>IF(COUNTIFS('Data - Monthly Metrics'!A:A,$B$4,'Data - Monthly Metrics'!B:B,"Jan",'Data - Monthly Metrics'!C:C,"Majors/NRA",'Data - Monthly Metrics'!D:D,"New Sales Revenue - BOB/Promo ($)")=0,"-",SUMIFS('Data - Monthly Metrics'!E:E,'Data - Monthly Metrics'!A:A,$B$4,'Data - Monthly Metrics'!B:B,"Jan",'Data - Monthly Metrics'!C:C,"Majors/NRA",'Data - Monthly Metrics'!D:D,"New Sales Revenue - BOB/Promo ($)"))</f>
        <v/>
      </c>
      <c r="G10" s="91">
        <f>IF(COUNTIFS('Data - Monthly Metrics'!A:A,$B$4,'Data - Monthly Metrics'!B:B,"Feb",'Data - Monthly Metrics'!C:C,"Majors/NRA",'Data - Monthly Metrics'!D:D,"New Sales Revenue - BOB/Promo ($)")=0,"-",SUMIFS('Data - Monthly Metrics'!E:E,'Data - Monthly Metrics'!A:A,$B$4,'Data - Monthly Metrics'!B:B,"Feb",'Data - Monthly Metrics'!C:C,"Majors/NRA",'Data - Monthly Metrics'!D:D,"New Sales Revenue - BOB/Promo ($)"))</f>
        <v/>
      </c>
      <c r="H10" s="91">
        <f>IF(COUNTIFS('Data - Monthly Metrics'!A:A,$B$4,'Data - Monthly Metrics'!B:B,"Mar",'Data - Monthly Metrics'!C:C,"Majors/NRA",'Data - Monthly Metrics'!D:D,"New Sales Revenue - BOB/Promo ($)")=0,"-",SUMIFS('Data - Monthly Metrics'!E:E,'Data - Monthly Metrics'!A:A,$B$4,'Data - Monthly Metrics'!B:B,"Mar",'Data - Monthly Metrics'!C:C,"Majors/NRA",'Data - Monthly Metrics'!D:D,"New Sales Revenue - BOB/Promo ($)"))</f>
        <v/>
      </c>
      <c r="I10" s="101">
        <f>SUM(F10,G10,H10)</f>
        <v/>
      </c>
      <c r="J10" s="91">
        <f>IF(COUNTIFS('Data - Monthly Metrics'!A:A,$B$4,'Data - Monthly Metrics'!B:B,"Apr",'Data - Monthly Metrics'!C:C,"Majors/NRA",'Data - Monthly Metrics'!D:D,"New Sales Revenue - BOB/Promo ($)")=0,"-",SUMIFS('Data - Monthly Metrics'!E:E,'Data - Monthly Metrics'!A:A,$B$4,'Data - Monthly Metrics'!B:B,"Apr",'Data - Monthly Metrics'!C:C,"Majors/NRA",'Data - Monthly Metrics'!D:D,"New Sales Revenue - BOB/Promo ($)"))</f>
        <v/>
      </c>
      <c r="K10" s="91">
        <f>IF(COUNTIFS('Data - Monthly Metrics'!A:A,$B$4,'Data - Monthly Metrics'!B:B,"May",'Data - Monthly Metrics'!C:C,"Majors/NRA",'Data - Monthly Metrics'!D:D,"New Sales Revenue - BOB/Promo ($)")=0,"-",SUMIFS('Data - Monthly Metrics'!E:E,'Data - Monthly Metrics'!A:A,$B$4,'Data - Monthly Metrics'!B:B,"May",'Data - Monthly Metrics'!C:C,"Majors/NRA",'Data - Monthly Metrics'!D:D,"New Sales Revenue - BOB/Promo ($)"))</f>
        <v/>
      </c>
      <c r="L10" s="91">
        <f>IF(COUNTIFS('Data - Monthly Metrics'!A:A,$B$4,'Data - Monthly Metrics'!B:B,"Jun",'Data - Monthly Metrics'!C:C,"Majors/NRA",'Data - Monthly Metrics'!D:D,"New Sales Revenue - BOB/Promo ($)")=0,"-",SUMIFS('Data - Monthly Metrics'!E:E,'Data - Monthly Metrics'!A:A,$B$4,'Data - Monthly Metrics'!B:B,"Jun",'Data - Monthly Metrics'!C:C,"Majors/NRA",'Data - Monthly Metrics'!D:D,"New Sales Revenue - BOB/Promo ($)"))</f>
        <v/>
      </c>
      <c r="M10" s="101">
        <f>SUM(J10,K10,L10)</f>
        <v/>
      </c>
      <c r="N10" s="91">
        <f>IF(COUNTIFS('Data - Monthly Metrics'!A:A,$B$4,'Data - Monthly Metrics'!B:B,"Jul",'Data - Monthly Metrics'!C:C,"Majors/NRA",'Data - Monthly Metrics'!D:D,"New Sales Revenue - BOB/Promo ($)")=0,"-",SUMIFS('Data - Monthly Metrics'!E:E,'Data - Monthly Metrics'!A:A,$B$4,'Data - Monthly Metrics'!B:B,"Jul",'Data - Monthly Metrics'!C:C,"Majors/NRA",'Data - Monthly Metrics'!D:D,"New Sales Revenue - BOB/Promo ($)"))</f>
        <v/>
      </c>
      <c r="O10" s="91">
        <f>IF(COUNTIFS('Data - Monthly Metrics'!A:A,$B$4,'Data - Monthly Metrics'!B:B,"Aug",'Data - Monthly Metrics'!C:C,"Majors/NRA",'Data - Monthly Metrics'!D:D,"New Sales Revenue - BOB/Promo ($)")=0,"-",SUMIFS('Data - Monthly Metrics'!E:E,'Data - Monthly Metrics'!A:A,$B$4,'Data - Monthly Metrics'!B:B,"Aug",'Data - Monthly Metrics'!C:C,"Majors/NRA",'Data - Monthly Metrics'!D:D,"New Sales Revenue - BOB/Promo ($)"))</f>
        <v/>
      </c>
      <c r="P10" s="91">
        <f>IF(COUNTIFS('Data - Monthly Metrics'!A:A,$B$4,'Data - Monthly Metrics'!B:B,"Sep",'Data - Monthly Metrics'!C:C,"Majors/NRA",'Data - Monthly Metrics'!D:D,"New Sales Revenue - BOB/Promo ($)")=0,"-",SUMIFS('Data - Monthly Metrics'!E:E,'Data - Monthly Metrics'!A:A,$B$4,'Data - Monthly Metrics'!B:B,"Sep",'Data - Monthly Metrics'!C:C,"Majors/NRA",'Data - Monthly Metrics'!D:D,"New Sales Revenue - BOB/Promo ($)"))</f>
        <v/>
      </c>
      <c r="Q10" s="101">
        <f>SUM(N10,O10,P10)</f>
        <v/>
      </c>
      <c r="R10" s="101">
        <f>SUM(E10,I10,M10,Q10)</f>
        <v/>
      </c>
    </row>
    <row r="11" s="82">
      <c r="A11" s="89" t="inlineStr">
        <is>
          <t xml:space="preserve">   New BOBs (#)</t>
        </is>
      </c>
      <c r="B11" s="93">
        <f>IF(COUNTIFS('Data - Monthly Metrics'!A:A,$B$4-1,'Data - Monthly Metrics'!B:B,"Oct",'Data - Monthly Metrics'!C:C,"Majors/NRA",'Data - Monthly Metrics'!D:D,"New Members - BOB (#)")=0,"-",SUMIFS('Data - Monthly Metrics'!E:E,'Data - Monthly Metrics'!A:A,$B$4-1,'Data - Monthly Metrics'!B:B,"Oct",'Data - Monthly Metrics'!C:C,"Majors/NRA",'Data - Monthly Metrics'!D:D,"New Members - BOB (#)"))</f>
        <v/>
      </c>
      <c r="C11" s="93">
        <f>IF(COUNTIFS('Data - Monthly Metrics'!A:A,$B$4-1,'Data - Monthly Metrics'!B:B,"Nov",'Data - Monthly Metrics'!C:C,"Majors/NRA",'Data - Monthly Metrics'!D:D,"New Members - BOB (#)")=0,"-",SUMIFS('Data - Monthly Metrics'!E:E,'Data - Monthly Metrics'!A:A,$B$4-1,'Data - Monthly Metrics'!B:B,"Nov",'Data - Monthly Metrics'!C:C,"Majors/NRA",'Data - Monthly Metrics'!D:D,"New Members - BOB (#)"))</f>
        <v/>
      </c>
      <c r="D11" s="93">
        <f>IF(COUNTIFS('Data - Monthly Metrics'!A:A,$B$4-1,'Data - Monthly Metrics'!B:B,"Dec",'Data - Monthly Metrics'!C:C,"Majors/NRA",'Data - Monthly Metrics'!D:D,"New Members - BOB (#)")=0,"-",SUMIFS('Data - Monthly Metrics'!E:E,'Data - Monthly Metrics'!A:A,$B$4-1,'Data - Monthly Metrics'!B:B,"Dec",'Data - Monthly Metrics'!C:C,"Majors/NRA",'Data - Monthly Metrics'!D:D,"New Members - BOB (#)"))</f>
        <v/>
      </c>
      <c r="E11" s="103">
        <f>SUM(B11,C11,D11)</f>
        <v/>
      </c>
      <c r="F11" s="93">
        <f>IF(COUNTIFS('Data - Monthly Metrics'!A:A,$B$4,'Data - Monthly Metrics'!B:B,"Jan",'Data - Monthly Metrics'!C:C,"Majors/NRA",'Data - Monthly Metrics'!D:D,"New Members - BOB (#)")=0,"-",SUMIFS('Data - Monthly Metrics'!E:E,'Data - Monthly Metrics'!A:A,$B$4,'Data - Monthly Metrics'!B:B,"Jan",'Data - Monthly Metrics'!C:C,"Majors/NRA",'Data - Monthly Metrics'!D:D,"New Members - BOB (#)"))</f>
        <v/>
      </c>
      <c r="G11" s="93">
        <f>IF(COUNTIFS('Data - Monthly Metrics'!A:A,$B$4,'Data - Monthly Metrics'!B:B,"Feb",'Data - Monthly Metrics'!C:C,"Majors/NRA",'Data - Monthly Metrics'!D:D,"New Members - BOB (#)")=0,"-",SUMIFS('Data - Monthly Metrics'!E:E,'Data - Monthly Metrics'!A:A,$B$4,'Data - Monthly Metrics'!B:B,"Feb",'Data - Monthly Metrics'!C:C,"Majors/NRA",'Data - Monthly Metrics'!D:D,"New Members - BOB (#)"))</f>
        <v/>
      </c>
      <c r="H11" s="93">
        <f>IF(COUNTIFS('Data - Monthly Metrics'!A:A,$B$4,'Data - Monthly Metrics'!B:B,"Mar",'Data - Monthly Metrics'!C:C,"Majors/NRA",'Data - Monthly Metrics'!D:D,"New Members - BOB (#)")=0,"-",SUMIFS('Data - Monthly Metrics'!E:E,'Data - Monthly Metrics'!A:A,$B$4,'Data - Monthly Metrics'!B:B,"Mar",'Data - Monthly Metrics'!C:C,"Majors/NRA",'Data - Monthly Metrics'!D:D,"New Members - BOB (#)"))</f>
        <v/>
      </c>
      <c r="I11" s="103">
        <f>SUM(F11,G11,H11)</f>
        <v/>
      </c>
      <c r="J11" s="93">
        <f>IF(COUNTIFS('Data - Monthly Metrics'!A:A,$B$4,'Data - Monthly Metrics'!B:B,"Apr",'Data - Monthly Metrics'!C:C,"Majors/NRA",'Data - Monthly Metrics'!D:D,"New Members - BOB (#)")=0,"-",SUMIFS('Data - Monthly Metrics'!E:E,'Data - Monthly Metrics'!A:A,$B$4,'Data - Monthly Metrics'!B:B,"Apr",'Data - Monthly Metrics'!C:C,"Majors/NRA",'Data - Monthly Metrics'!D:D,"New Members - BOB (#)"))</f>
        <v/>
      </c>
      <c r="K11" s="93">
        <f>IF(COUNTIFS('Data - Monthly Metrics'!A:A,$B$4,'Data - Monthly Metrics'!B:B,"May",'Data - Monthly Metrics'!C:C,"Majors/NRA",'Data - Monthly Metrics'!D:D,"New Members - BOB (#)")=0,"-",SUMIFS('Data - Monthly Metrics'!E:E,'Data - Monthly Metrics'!A:A,$B$4,'Data - Monthly Metrics'!B:B,"May",'Data - Monthly Metrics'!C:C,"Majors/NRA",'Data - Monthly Metrics'!D:D,"New Members - BOB (#)"))</f>
        <v/>
      </c>
      <c r="L11" s="93">
        <f>IF(COUNTIFS('Data - Monthly Metrics'!A:A,$B$4,'Data - Monthly Metrics'!B:B,"Jun",'Data - Monthly Metrics'!C:C,"Majors/NRA",'Data - Monthly Metrics'!D:D,"New Members - BOB (#)")=0,"-",SUMIFS('Data - Monthly Metrics'!E:E,'Data - Monthly Metrics'!A:A,$B$4,'Data - Monthly Metrics'!B:B,"Jun",'Data - Monthly Metrics'!C:C,"Majors/NRA",'Data - Monthly Metrics'!D:D,"New Members - BOB (#)"))</f>
        <v/>
      </c>
      <c r="M11" s="103">
        <f>SUM(J11,K11,L11)</f>
        <v/>
      </c>
      <c r="N11" s="93">
        <f>IF(COUNTIFS('Data - Monthly Metrics'!A:A,$B$4,'Data - Monthly Metrics'!B:B,"Jul",'Data - Monthly Metrics'!C:C,"Majors/NRA",'Data - Monthly Metrics'!D:D,"New Members - BOB (#)")=0,"-",SUMIFS('Data - Monthly Metrics'!E:E,'Data - Monthly Metrics'!A:A,$B$4,'Data - Monthly Metrics'!B:B,"Jul",'Data - Monthly Metrics'!C:C,"Majors/NRA",'Data - Monthly Metrics'!D:D,"New Members - BOB (#)"))</f>
        <v/>
      </c>
      <c r="O11" s="93">
        <f>IF(COUNTIFS('Data - Monthly Metrics'!A:A,$B$4,'Data - Monthly Metrics'!B:B,"Aug",'Data - Monthly Metrics'!C:C,"Majors/NRA",'Data - Monthly Metrics'!D:D,"New Members - BOB (#)")=0,"-",SUMIFS('Data - Monthly Metrics'!E:E,'Data - Monthly Metrics'!A:A,$B$4,'Data - Monthly Metrics'!B:B,"Aug",'Data - Monthly Metrics'!C:C,"Majors/NRA",'Data - Monthly Metrics'!D:D,"New Members - BOB (#)"))</f>
        <v/>
      </c>
      <c r="P11" s="93">
        <f>IF(COUNTIFS('Data - Monthly Metrics'!A:A,$B$4,'Data - Monthly Metrics'!B:B,"Sep",'Data - Monthly Metrics'!C:C,"Majors/NRA",'Data - Monthly Metrics'!D:D,"New Members - BOB (#)")=0,"-",SUMIFS('Data - Monthly Metrics'!E:E,'Data - Monthly Metrics'!A:A,$B$4,'Data - Monthly Metrics'!B:B,"Sep",'Data - Monthly Metrics'!C:C,"Majors/NRA",'Data - Monthly Metrics'!D:D,"New Members - BOB (#)"))</f>
        <v/>
      </c>
      <c r="Q11" s="103">
        <f>SUM(N11,O11,P11)</f>
        <v/>
      </c>
      <c r="R11" s="103">
        <f>SUM(E11,I11,M11,Q11)</f>
        <v/>
      </c>
    </row>
    <row r="12" ht="14.25" customHeight="1" s="82">
      <c r="A12" s="89" t="inlineStr">
        <is>
          <t xml:space="preserve">   Comps ($)</t>
        </is>
      </c>
      <c r="B12" s="91">
        <f>IF(COUNTIFS('Data - Monthly Metrics'!A:A,$B$4-1,'Data - Monthly Metrics'!B:B,"Oct",'Data - Monthly Metrics'!C:C,"Majors/NRA",'Data - Monthly Metrics'!D:D,"New Sales - Comped ($)")=0,"-",SUMIFS('Data - Monthly Metrics'!E:E,'Data - Monthly Metrics'!A:A,$B$4-1,'Data - Monthly Metrics'!B:B,"Oct",'Data - Monthly Metrics'!C:C,"Majors/NRA",'Data - Monthly Metrics'!D:D,"New Sales - Comped ($)"))</f>
        <v/>
      </c>
      <c r="C12" s="91">
        <f>IF(COUNTIFS('Data - Monthly Metrics'!A:A,$B$4-1,'Data - Monthly Metrics'!B:B,"Nov",'Data - Monthly Metrics'!C:C,"Majors/NRA",'Data - Monthly Metrics'!D:D,"New Sales - Comped ($)")=0,"-",SUMIFS('Data - Monthly Metrics'!E:E,'Data - Monthly Metrics'!A:A,$B$4-1,'Data - Monthly Metrics'!B:B,"Nov",'Data - Monthly Metrics'!C:C,"Majors/NRA",'Data - Monthly Metrics'!D:D,"New Sales - Comped ($)"))</f>
        <v/>
      </c>
      <c r="D12" s="91">
        <f>IF(COUNTIFS('Data - Monthly Metrics'!A:A,$B$4-1,'Data - Monthly Metrics'!B:B,"Dec",'Data - Monthly Metrics'!C:C,"Majors/NRA",'Data - Monthly Metrics'!D:D,"New Sales - Comped ($)")=0,"-",SUMIFS('Data - Monthly Metrics'!E:E,'Data - Monthly Metrics'!A:A,$B$4-1,'Data - Monthly Metrics'!B:B,"Dec",'Data - Monthly Metrics'!C:C,"Majors/NRA",'Data - Monthly Metrics'!D:D,"New Sales - Comped ($)"))</f>
        <v/>
      </c>
      <c r="E12" s="101">
        <f>SUM(B12,C12,D12)</f>
        <v/>
      </c>
      <c r="F12" s="91">
        <f>IF(COUNTIFS('Data - Monthly Metrics'!A:A,$B$4,'Data - Monthly Metrics'!B:B,"Jan",'Data - Monthly Metrics'!C:C,"Majors/NRA",'Data - Monthly Metrics'!D:D,"New Sales - Comped ($)")=0,"-",SUMIFS('Data - Monthly Metrics'!E:E,'Data - Monthly Metrics'!A:A,$B$4,'Data - Monthly Metrics'!B:B,"Jan",'Data - Monthly Metrics'!C:C,"Majors/NRA",'Data - Monthly Metrics'!D:D,"New Sales - Comped ($)"))</f>
        <v/>
      </c>
      <c r="G12" s="91">
        <f>IF(COUNTIFS('Data - Monthly Metrics'!A:A,$B$4,'Data - Monthly Metrics'!B:B,"Feb",'Data - Monthly Metrics'!C:C,"Majors/NRA",'Data - Monthly Metrics'!D:D,"New Sales - Comped ($)")=0,"-",SUMIFS('Data - Monthly Metrics'!E:E,'Data - Monthly Metrics'!A:A,$B$4,'Data - Monthly Metrics'!B:B,"Feb",'Data - Monthly Metrics'!C:C,"Majors/NRA",'Data - Monthly Metrics'!D:D,"New Sales - Comped ($)"))</f>
        <v/>
      </c>
      <c r="H12" s="91">
        <f>IF(COUNTIFS('Data - Monthly Metrics'!A:A,$B$4,'Data - Monthly Metrics'!B:B,"Mar",'Data - Monthly Metrics'!C:C,"Majors/NRA",'Data - Monthly Metrics'!D:D,"New Sales - Comped ($)")=0,"-",SUMIFS('Data - Monthly Metrics'!E:E,'Data - Monthly Metrics'!A:A,$B$4,'Data - Monthly Metrics'!B:B,"Mar",'Data - Monthly Metrics'!C:C,"Majors/NRA",'Data - Monthly Metrics'!D:D,"New Sales - Comped ($)"))</f>
        <v/>
      </c>
      <c r="I12" s="101">
        <f>SUM(F12,G12,H12)</f>
        <v/>
      </c>
      <c r="J12" s="91">
        <f>IF(COUNTIFS('Data - Monthly Metrics'!A:A,$B$4,'Data - Monthly Metrics'!B:B,"Apr",'Data - Monthly Metrics'!C:C,"Majors/NRA",'Data - Monthly Metrics'!D:D,"New Sales - Comped ($)")=0,"-",SUMIFS('Data - Monthly Metrics'!E:E,'Data - Monthly Metrics'!A:A,$B$4,'Data - Monthly Metrics'!B:B,"Apr",'Data - Monthly Metrics'!C:C,"Majors/NRA",'Data - Monthly Metrics'!D:D,"New Sales - Comped ($)"))</f>
        <v/>
      </c>
      <c r="K12" s="91">
        <f>IF(COUNTIFS('Data - Monthly Metrics'!A:A,$B$4,'Data - Monthly Metrics'!B:B,"May",'Data - Monthly Metrics'!C:C,"Majors/NRA",'Data - Monthly Metrics'!D:D,"New Sales - Comped ($)")=0,"-",SUMIFS('Data - Monthly Metrics'!E:E,'Data - Monthly Metrics'!A:A,$B$4,'Data - Monthly Metrics'!B:B,"May",'Data - Monthly Metrics'!C:C,"Majors/NRA",'Data - Monthly Metrics'!D:D,"New Sales - Comped ($)"))</f>
        <v/>
      </c>
      <c r="L12" s="91">
        <f>IF(COUNTIFS('Data - Monthly Metrics'!A:A,$B$4,'Data - Monthly Metrics'!B:B,"Jun",'Data - Monthly Metrics'!C:C,"Majors/NRA",'Data - Monthly Metrics'!D:D,"New Sales - Comped ($)")=0,"-",SUMIFS('Data - Monthly Metrics'!E:E,'Data - Monthly Metrics'!A:A,$B$4,'Data - Monthly Metrics'!B:B,"Jun",'Data - Monthly Metrics'!C:C,"Majors/NRA",'Data - Monthly Metrics'!D:D,"New Sales - Comped ($)"))</f>
        <v/>
      </c>
      <c r="M12" s="101">
        <f>SUM(J12,K12,L12)</f>
        <v/>
      </c>
      <c r="N12" s="91">
        <f>IF(COUNTIFS('Data - Monthly Metrics'!A:A,$B$4,'Data - Monthly Metrics'!B:B,"Jul",'Data - Monthly Metrics'!C:C,"Majors/NRA",'Data - Monthly Metrics'!D:D,"New Sales - Comped ($)")=0,"-",SUMIFS('Data - Monthly Metrics'!E:E,'Data - Monthly Metrics'!A:A,$B$4,'Data - Monthly Metrics'!B:B,"Jul",'Data - Monthly Metrics'!C:C,"Majors/NRA",'Data - Monthly Metrics'!D:D,"New Sales - Comped ($)"))</f>
        <v/>
      </c>
      <c r="O12" s="91">
        <f>IF(COUNTIFS('Data - Monthly Metrics'!A:A,$B$4,'Data - Monthly Metrics'!B:B,"Aug",'Data - Monthly Metrics'!C:C,"Majors/NRA",'Data - Monthly Metrics'!D:D,"New Sales - Comped ($)")=0,"-",SUMIFS('Data - Monthly Metrics'!E:E,'Data - Monthly Metrics'!A:A,$B$4,'Data - Monthly Metrics'!B:B,"Aug",'Data - Monthly Metrics'!C:C,"Majors/NRA",'Data - Monthly Metrics'!D:D,"New Sales - Comped ($)"))</f>
        <v/>
      </c>
      <c r="P12" s="91">
        <f>IF(COUNTIFS('Data - Monthly Metrics'!A:A,$B$4,'Data - Monthly Metrics'!B:B,"Sep",'Data - Monthly Metrics'!C:C,"Majors/NRA",'Data - Monthly Metrics'!D:D,"New Sales - Comped ($)")=0,"-",SUMIFS('Data - Monthly Metrics'!E:E,'Data - Monthly Metrics'!A:A,$B$4,'Data - Monthly Metrics'!B:B,"Sep",'Data - Monthly Metrics'!C:C,"Majors/NRA",'Data - Monthly Metrics'!D:D,"New Sales - Comped ($)"))</f>
        <v/>
      </c>
      <c r="Q12" s="101">
        <f>SUM(N12,O12,P12)</f>
        <v/>
      </c>
      <c r="R12" s="101">
        <f>SUM(E12,I12,M12,Q12)</f>
        <v/>
      </c>
    </row>
    <row r="13" ht="14.25" customHeight="1" s="82">
      <c r="A13" s="89" t="inlineStr">
        <is>
          <t>New Members — Combined (#)</t>
        </is>
      </c>
      <c r="B13" s="93">
        <f>N(B42)+N(B80)</f>
        <v/>
      </c>
      <c r="C13" s="93">
        <f>N(C42)+N(C80)</f>
        <v/>
      </c>
      <c r="D13" s="93">
        <f>N(D42)+N(D80)</f>
        <v/>
      </c>
      <c r="E13" s="103">
        <f>N(E42)+N(E80)</f>
        <v/>
      </c>
      <c r="F13" s="93">
        <f>N(F42)+N(F80)</f>
        <v/>
      </c>
      <c r="G13" s="93">
        <f>N(G42)+N(G80)</f>
        <v/>
      </c>
      <c r="H13" s="93">
        <f>N(H42)+N(H80)</f>
        <v/>
      </c>
      <c r="I13" s="103">
        <f>N(I42)+N(I80)</f>
        <v/>
      </c>
      <c r="J13" s="93">
        <f>N(J42)+N(J80)</f>
        <v/>
      </c>
      <c r="K13" s="93">
        <f>N(K42)+N(K80)</f>
        <v/>
      </c>
      <c r="L13" s="93">
        <f>N(L42)+N(L80)</f>
        <v/>
      </c>
      <c r="M13" s="103">
        <f>N(M42)+N(M80)</f>
        <v/>
      </c>
      <c r="N13" s="93">
        <f>N(N42)+N(N80)</f>
        <v/>
      </c>
      <c r="O13" s="93">
        <f>N(O42)+N(O80)</f>
        <v/>
      </c>
      <c r="P13" s="93">
        <f>N(P42)+N(P80)</f>
        <v/>
      </c>
      <c r="Q13" s="103">
        <f>N(Q42)+N(Q80)</f>
        <v/>
      </c>
      <c r="R13" s="103">
        <f>N(R42)+N(R80)</f>
        <v/>
      </c>
    </row>
    <row r="14" ht="14.25" customHeight="1" s="82">
      <c r="A14" s="89" t="inlineStr">
        <is>
          <t>Billables — Combined (T + NT) (#)</t>
        </is>
      </c>
      <c r="B14" s="93">
        <f>IF(OR(ISNUMBER(B46),ISNUMBER(B84)),N(B46)+N(B84),"-")</f>
        <v/>
      </c>
      <c r="C14" s="93">
        <f>IF(OR(ISNUMBER(C46),ISNUMBER(C84)),N(C46)+N(C84),"-")</f>
        <v/>
      </c>
      <c r="D14" s="93">
        <f>IF(OR(ISNUMBER(D46),ISNUMBER(D84)),N(D46)+N(D84),"-")</f>
        <v/>
      </c>
      <c r="E14" s="103">
        <f>IF(OR(ISNUMBER(E46),ISNUMBER(E84)),N(E46)+N(E84),"-")</f>
        <v/>
      </c>
      <c r="F14" s="93">
        <f>IF(OR(ISNUMBER(F46),ISNUMBER(F84)),N(F46)+N(F84),"-")</f>
        <v/>
      </c>
      <c r="G14" s="93">
        <f>IF(OR(ISNUMBER(G46),ISNUMBER(G84)),N(G46)+N(G84),"-")</f>
        <v/>
      </c>
      <c r="H14" s="93">
        <f>IF(OR(ISNUMBER(H46),ISNUMBER(H84)),N(H46)+N(H84),"-")</f>
        <v/>
      </c>
      <c r="I14" s="103">
        <f>IF(OR(ISNUMBER(I46),ISNUMBER(I84)),N(I46)+N(I84),"-")</f>
        <v/>
      </c>
      <c r="J14" s="93">
        <f>IF(OR(ISNUMBER(J46),ISNUMBER(J84)),N(J46)+N(J84),"-")</f>
        <v/>
      </c>
      <c r="K14" s="93">
        <f>IF(OR(ISNUMBER(K46),ISNUMBER(K84)),N(K46)+N(K84),"-")</f>
        <v/>
      </c>
      <c r="L14" s="93">
        <f>IF(OR(ISNUMBER(L46),ISNUMBER(L84)),N(L46)+N(L84),"-")</f>
        <v/>
      </c>
      <c r="M14" s="103">
        <f>IF(OR(ISNUMBER(M46),ISNUMBER(M84)),N(M46)+N(M84),"-")</f>
        <v/>
      </c>
      <c r="N14" s="93">
        <f>IF(OR(ISNUMBER(N46),ISNUMBER(N84)),N(N46)+N(N84),"-")</f>
        <v/>
      </c>
      <c r="O14" s="93">
        <f>IF(OR(ISNUMBER(O46),ISNUMBER(O84)),N(O46)+N(O84),"-")</f>
        <v/>
      </c>
      <c r="P14" s="93">
        <f>IF(OR(ISNUMBER(P46),ISNUMBER(P84)),N(P46)+N(P84),"-")</f>
        <v/>
      </c>
      <c r="Q14" s="103">
        <f>IF(OR(ISNUMBER(Q46),ISNUMBER(Q84)),N(Q46)+N(Q84),"-")</f>
        <v/>
      </c>
      <c r="R14" s="103">
        <f>IF(OR(ISNUMBER(R46),ISNUMBER(R84)),N(R46)+N(R84),"-")</f>
        <v/>
      </c>
    </row>
    <row r="15" ht="14.25" customHeight="1" s="82">
      <c r="A15" s="89" t="inlineStr">
        <is>
          <t>Member Locations — Combined (#)</t>
        </is>
      </c>
      <c r="B15" s="93">
        <f>IF(OR(ISNUMBER(B47),ISNUMBER(B85)),N(B47)+N(B85),"-")</f>
        <v/>
      </c>
      <c r="C15" s="93">
        <f>IF(OR(ISNUMBER(C47),ISNUMBER(C85)),N(C47)+N(C85),"-")</f>
        <v/>
      </c>
      <c r="D15" s="93">
        <f>IF(OR(ISNUMBER(D47),ISNUMBER(D85)),N(D47)+N(D85),"-")</f>
        <v/>
      </c>
      <c r="E15" s="103">
        <f>IF(OR(ISNUMBER(E47),ISNUMBER(E85)),N(E47)+N(E85),"-")</f>
        <v/>
      </c>
      <c r="F15" s="93">
        <f>IF(OR(ISNUMBER(F47),ISNUMBER(F85)),N(F47)+N(F85),"-")</f>
        <v/>
      </c>
      <c r="G15" s="93">
        <f>IF(OR(ISNUMBER(G47),ISNUMBER(G85)),N(G47)+N(G85),"-")</f>
        <v/>
      </c>
      <c r="H15" s="93">
        <f>IF(OR(ISNUMBER(H47),ISNUMBER(H85)),N(H47)+N(H85),"-")</f>
        <v/>
      </c>
      <c r="I15" s="103">
        <f>IF(OR(ISNUMBER(I47),ISNUMBER(I85)),N(I47)+N(I85),"-")</f>
        <v/>
      </c>
      <c r="J15" s="93">
        <f>IF(OR(ISNUMBER(J47),ISNUMBER(J85)),N(J47)+N(J85),"-")</f>
        <v/>
      </c>
      <c r="K15" s="93">
        <f>IF(OR(ISNUMBER(K47),ISNUMBER(K85)),N(K47)+N(K85),"-")</f>
        <v/>
      </c>
      <c r="L15" s="93">
        <f>IF(OR(ISNUMBER(L47),ISNUMBER(L85)),N(L47)+N(L85),"-")</f>
        <v/>
      </c>
      <c r="M15" s="103">
        <f>IF(OR(ISNUMBER(M47),ISNUMBER(M85)),N(M47)+N(M85),"-")</f>
        <v/>
      </c>
      <c r="N15" s="93">
        <f>IF(OR(ISNUMBER(N47),ISNUMBER(N85)),N(N47)+N(N85),"-")</f>
        <v/>
      </c>
      <c r="O15" s="93">
        <f>IF(OR(ISNUMBER(O47),ISNUMBER(O85)),N(O47)+N(O85),"-")</f>
        <v/>
      </c>
      <c r="P15" s="93">
        <f>IF(OR(ISNUMBER(P47),ISNUMBER(P85)),N(P47)+N(P85),"-")</f>
        <v/>
      </c>
      <c r="Q15" s="103">
        <f>IF(OR(ISNUMBER(Q47),ISNUMBER(Q85)),N(Q47)+N(Q85),"-")</f>
        <v/>
      </c>
      <c r="R15" s="103">
        <f>IF(OR(ISNUMBER(R47),ISNUMBER(R85)),N(R47)+N(R85),"-")</f>
        <v/>
      </c>
    </row>
    <row r="16" ht="14.25" customHeight="1" s="82">
      <c r="A16" s="89" t="inlineStr">
        <is>
          <t>Billables — Total incl. Allied (#)</t>
        </is>
      </c>
      <c r="B16" s="93">
        <f>IF(OR(ISNUMBER(B46),ISNUMBER(B87)),N(B46)+N(B87),"-")</f>
        <v/>
      </c>
      <c r="C16" s="93">
        <f>IF(OR(ISNUMBER(C46),ISNUMBER(C87)),N(C46)+N(C87),"-")</f>
        <v/>
      </c>
      <c r="D16" s="93">
        <f>IF(OR(ISNUMBER(D46),ISNUMBER(D87)),N(D46)+N(D87),"-")</f>
        <v/>
      </c>
      <c r="E16" s="103">
        <f>IF(OR(ISNUMBER(E46),ISNUMBER(E87)),N(E46)+N(E87),"-")</f>
        <v/>
      </c>
      <c r="F16" s="93">
        <f>IF(OR(ISNUMBER(F46),ISNUMBER(F87)),N(F46)+N(F87),"-")</f>
        <v/>
      </c>
      <c r="G16" s="93">
        <f>IF(OR(ISNUMBER(G46),ISNUMBER(G87)),N(G46)+N(G87),"-")</f>
        <v/>
      </c>
      <c r="H16" s="93">
        <f>IF(OR(ISNUMBER(H46),ISNUMBER(H87)),N(H46)+N(H87),"-")</f>
        <v/>
      </c>
      <c r="I16" s="103">
        <f>IF(OR(ISNUMBER(I46),ISNUMBER(I87)),N(I46)+N(I87),"-")</f>
        <v/>
      </c>
      <c r="J16" s="93">
        <f>IF(OR(ISNUMBER(J46),ISNUMBER(J87)),N(J46)+N(J87),"-")</f>
        <v/>
      </c>
      <c r="K16" s="93">
        <f>IF(OR(ISNUMBER(K46),ISNUMBER(K87)),N(K46)+N(K87),"-")</f>
        <v/>
      </c>
      <c r="L16" s="93">
        <f>IF(OR(ISNUMBER(L46),ISNUMBER(L87)),N(L46)+N(L87),"-")</f>
        <v/>
      </c>
      <c r="M16" s="103">
        <f>IF(OR(ISNUMBER(M46),ISNUMBER(M87)),N(M46)+N(M87),"-")</f>
        <v/>
      </c>
      <c r="N16" s="93">
        <f>IF(OR(ISNUMBER(N46),ISNUMBER(N87)),N(N46)+N(N87),"-")</f>
        <v/>
      </c>
      <c r="O16" s="93">
        <f>IF(OR(ISNUMBER(O46),ISNUMBER(O87)),N(O46)+N(O87),"-")</f>
        <v/>
      </c>
      <c r="P16" s="93">
        <f>IF(OR(ISNUMBER(P46),ISNUMBER(P87)),N(P46)+N(P87),"-")</f>
        <v/>
      </c>
      <c r="Q16" s="103">
        <f>IF(OR(ISNUMBER(Q46),ISNUMBER(Q87)),N(Q46)+N(Q87),"-")</f>
        <v/>
      </c>
      <c r="R16" s="103">
        <f>IF(OR(ISNUMBER(R46),ISNUMBER(R87)),N(R46)+N(R87),"-")</f>
        <v/>
      </c>
    </row>
    <row r="17" ht="14.25" customHeight="1" s="82">
      <c r="A17" s="89" t="inlineStr">
        <is>
          <t>Up for Renewal — T + NT (#)</t>
        </is>
      </c>
      <c r="B17" s="93">
        <f>N(B51)+N(B91)</f>
        <v/>
      </c>
      <c r="C17" s="93">
        <f>N(C51)+N(C91)</f>
        <v/>
      </c>
      <c r="D17" s="93">
        <f>N(D51)+N(D91)</f>
        <v/>
      </c>
      <c r="E17" s="103">
        <f>N(E51)+N(E91)</f>
        <v/>
      </c>
      <c r="F17" s="93">
        <f>N(F51)+N(F91)</f>
        <v/>
      </c>
      <c r="G17" s="93">
        <f>N(G51)+N(G91)</f>
        <v/>
      </c>
      <c r="H17" s="93">
        <f>N(H51)+N(H91)</f>
        <v/>
      </c>
      <c r="I17" s="103">
        <f>N(I51)+N(I91)</f>
        <v/>
      </c>
      <c r="J17" s="93">
        <f>N(J51)+N(J91)</f>
        <v/>
      </c>
      <c r="K17" s="93">
        <f>N(K51)+N(K91)</f>
        <v/>
      </c>
      <c r="L17" s="93">
        <f>N(L51)+N(L91)</f>
        <v/>
      </c>
      <c r="M17" s="103">
        <f>N(M51)+N(M91)</f>
        <v/>
      </c>
      <c r="N17" s="93">
        <f>N(N51)+N(N91)</f>
        <v/>
      </c>
      <c r="O17" s="93">
        <f>N(O51)+N(O91)</f>
        <v/>
      </c>
      <c r="P17" s="93">
        <f>N(P51)+N(P91)</f>
        <v/>
      </c>
      <c r="Q17" s="103">
        <f>N(Q51)+N(Q91)</f>
        <v/>
      </c>
      <c r="R17" s="103">
        <f>N(R51)+N(R91)</f>
        <v/>
      </c>
    </row>
    <row r="18" ht="14.25" customHeight="1" s="82">
      <c r="A18" s="89" t="inlineStr">
        <is>
          <t>Retained — T + NT (#)</t>
        </is>
      </c>
      <c r="B18" s="93">
        <f>N(B52)+N(B92)</f>
        <v/>
      </c>
      <c r="C18" s="93">
        <f>N(C52)+N(C92)</f>
        <v/>
      </c>
      <c r="D18" s="93">
        <f>N(D52)+N(D92)</f>
        <v/>
      </c>
      <c r="E18" s="103">
        <f>N(E52)+N(E92)</f>
        <v/>
      </c>
      <c r="F18" s="93">
        <f>N(F52)+N(F92)</f>
        <v/>
      </c>
      <c r="G18" s="93">
        <f>N(G52)+N(G92)</f>
        <v/>
      </c>
      <c r="H18" s="93">
        <f>N(H52)+N(H92)</f>
        <v/>
      </c>
      <c r="I18" s="103">
        <f>N(I52)+N(I92)</f>
        <v/>
      </c>
      <c r="J18" s="93">
        <f>N(J52)+N(J92)</f>
        <v/>
      </c>
      <c r="K18" s="93">
        <f>N(K52)+N(K92)</f>
        <v/>
      </c>
      <c r="L18" s="93">
        <f>N(L52)+N(L92)</f>
        <v/>
      </c>
      <c r="M18" s="103">
        <f>N(M52)+N(M92)</f>
        <v/>
      </c>
      <c r="N18" s="93">
        <f>N(N52)+N(N92)</f>
        <v/>
      </c>
      <c r="O18" s="93">
        <f>N(O52)+N(O92)</f>
        <v/>
      </c>
      <c r="P18" s="93">
        <f>N(P52)+N(P92)</f>
        <v/>
      </c>
      <c r="Q18" s="103">
        <f>N(Q52)+N(Q92)</f>
        <v/>
      </c>
      <c r="R18" s="103">
        <f>N(R52)+N(R92)</f>
        <v/>
      </c>
    </row>
    <row r="19" ht="14.25" customHeight="1" s="82">
      <c r="A19" s="89" t="inlineStr">
        <is>
          <t>Account Retention % — T + NT</t>
        </is>
      </c>
      <c r="B19" s="107">
        <f>IF((N(B51)+N(B91))=0,"",(N(B52)+N(B92))/(N(B51)+N(B91)))</f>
        <v/>
      </c>
      <c r="C19" s="107">
        <f>IF((N(C51)+N(C91))=0,"",(N(C52)+N(C92))/(N(C51)+N(C91)))</f>
        <v/>
      </c>
      <c r="D19" s="107">
        <f>IF((N(D51)+N(D91))=0,"",(N(D52)+N(D92))/(N(D51)+N(D91)))</f>
        <v/>
      </c>
      <c r="E19" s="108">
        <f>IF((N(E51)+N(E91))=0,"",(N(E52)+N(E92))/(N(E51)+N(E91)))</f>
        <v/>
      </c>
      <c r="F19" s="107">
        <f>IF((N(F51)+N(F91))=0,"",(N(F52)+N(F92))/(N(F51)+N(F91)))</f>
        <v/>
      </c>
      <c r="G19" s="107">
        <f>IF((N(G51)+N(G91))=0,"",(N(G52)+N(G92))/(N(G51)+N(G91)))</f>
        <v/>
      </c>
      <c r="H19" s="107">
        <f>IF((N(H51)+N(H91))=0,"",(N(H52)+N(H92))/(N(H51)+N(H91)))</f>
        <v/>
      </c>
      <c r="I19" s="108">
        <f>IF((N(I51)+N(I91))=0,"",(N(I52)+N(I92))/(N(I51)+N(I91)))</f>
        <v/>
      </c>
      <c r="J19" s="107">
        <f>IF((N(J51)+N(J91))=0,"",(N(J52)+N(J92))/(N(J51)+N(J91)))</f>
        <v/>
      </c>
      <c r="K19" s="107">
        <f>IF((N(K51)+N(K91))=0,"",(N(K52)+N(K92))/(N(K51)+N(K91)))</f>
        <v/>
      </c>
      <c r="L19" s="107">
        <f>IF((N(L51)+N(L91))=0,"",(N(L52)+N(L92))/(N(L51)+N(L91)))</f>
        <v/>
      </c>
      <c r="M19" s="108">
        <f>IF((N(M51)+N(M91))=0,"",(N(M52)+N(M92))/(N(M51)+N(M91)))</f>
        <v/>
      </c>
      <c r="N19" s="107">
        <f>IF((N(N51)+N(N91))=0,"",(N(N52)+N(N92))/(N(N51)+N(N91)))</f>
        <v/>
      </c>
      <c r="O19" s="107">
        <f>IF((N(O51)+N(O91))=0,"",(N(O52)+N(O92))/(N(O51)+N(O91)))</f>
        <v/>
      </c>
      <c r="P19" s="107">
        <f>IF((N(P51)+N(P91))=0,"",(N(P52)+N(P92))/(N(P51)+N(P91)))</f>
        <v/>
      </c>
      <c r="Q19" s="108">
        <f>IF((N(Q51)+N(Q91))=0,"",(N(Q52)+N(Q92))/(N(Q51)+N(Q91)))</f>
        <v/>
      </c>
      <c r="R19" s="108">
        <f>IF((N(R51)+N(R91))=0,"",(N(R52)+N(R92))/(N(R51)+N(R91)))</f>
        <v/>
      </c>
    </row>
    <row r="20" ht="14.25" customHeight="1" s="82">
      <c r="A20" s="89" t="inlineStr">
        <is>
          <t>Drops — Combined (#)</t>
        </is>
      </c>
      <c r="B20" s="93">
        <f>N(B63)+N(B100)</f>
        <v/>
      </c>
      <c r="C20" s="93">
        <f>N(C63)+N(C100)</f>
        <v/>
      </c>
      <c r="D20" s="93">
        <f>N(D63)+N(D100)</f>
        <v/>
      </c>
      <c r="E20" s="103">
        <f>N(E63)+N(E100)</f>
        <v/>
      </c>
      <c r="F20" s="93">
        <f>N(F63)+N(F100)</f>
        <v/>
      </c>
      <c r="G20" s="93">
        <f>N(G63)+N(G100)</f>
        <v/>
      </c>
      <c r="H20" s="93">
        <f>N(H63)+N(H100)</f>
        <v/>
      </c>
      <c r="I20" s="103">
        <f>N(I63)+N(I100)</f>
        <v/>
      </c>
      <c r="J20" s="93">
        <f>N(J63)+N(J100)</f>
        <v/>
      </c>
      <c r="K20" s="93">
        <f>N(K63)+N(K100)</f>
        <v/>
      </c>
      <c r="L20" s="93">
        <f>N(L63)+N(L100)</f>
        <v/>
      </c>
      <c r="M20" s="103">
        <f>N(M63)+N(M100)</f>
        <v/>
      </c>
      <c r="N20" s="93">
        <f>N(N63)+N(N100)</f>
        <v/>
      </c>
      <c r="O20" s="93">
        <f>N(O63)+N(O100)</f>
        <v/>
      </c>
      <c r="P20" s="93">
        <f>N(P63)+N(P100)</f>
        <v/>
      </c>
      <c r="Q20" s="103">
        <f>N(Q63)+N(Q100)</f>
        <v/>
      </c>
      <c r="R20" s="103">
        <f>N(R63)+N(R100)</f>
        <v/>
      </c>
    </row>
    <row r="21" ht="14.25" customHeight="1" s="82">
      <c r="A21" s="89" t="inlineStr">
        <is>
          <t>Dropped Revenue — Combined ($)</t>
        </is>
      </c>
      <c r="B21" s="91">
        <f>N(B64)+N(B101)</f>
        <v/>
      </c>
      <c r="C21" s="91">
        <f>N(C64)+N(C101)</f>
        <v/>
      </c>
      <c r="D21" s="91">
        <f>N(D64)+N(D101)</f>
        <v/>
      </c>
      <c r="E21" s="101">
        <f>N(E64)+N(E101)</f>
        <v/>
      </c>
      <c r="F21" s="91">
        <f>N(F64)+N(F101)</f>
        <v/>
      </c>
      <c r="G21" s="91">
        <f>N(G64)+N(G101)</f>
        <v/>
      </c>
      <c r="H21" s="91">
        <f>N(H64)+N(H101)</f>
        <v/>
      </c>
      <c r="I21" s="101">
        <f>N(I64)+N(I101)</f>
        <v/>
      </c>
      <c r="J21" s="91">
        <f>N(J64)+N(J101)</f>
        <v/>
      </c>
      <c r="K21" s="91">
        <f>N(K64)+N(K101)</f>
        <v/>
      </c>
      <c r="L21" s="91">
        <f>N(L64)+N(L101)</f>
        <v/>
      </c>
      <c r="M21" s="101">
        <f>N(M64)+N(M101)</f>
        <v/>
      </c>
      <c r="N21" s="91">
        <f>N(N64)+N(N101)</f>
        <v/>
      </c>
      <c r="O21" s="91">
        <f>N(O64)+N(O101)</f>
        <v/>
      </c>
      <c r="P21" s="91">
        <f>N(P64)+N(P101)</f>
        <v/>
      </c>
      <c r="Q21" s="101">
        <f>N(Q64)+N(Q101)</f>
        <v/>
      </c>
      <c r="R21" s="101">
        <f>N(R64)+N(R101)</f>
        <v/>
      </c>
    </row>
    <row r="22" ht="14.25" customHeight="1" s="82">
      <c r="A22" s="109" t="inlineStr">
        <is>
          <t>Revenue Up for Renewal — T + NT ($)</t>
        </is>
      </c>
      <c r="B22" s="110">
        <f>SUMIFS('Data - Monthly Metrics'!E:E,'Data - Monthly Metrics'!A:A,$B$4-1,'Data - Monthly Metrics'!B:B,"Oct",'Data - Monthly Metrics'!C:C,"Majors/NRA",'Data - Monthly Metrics'!D:D,"Revenue Up for Renewal - Target ($)")+SUMIFS('Data - Monthly Metrics'!E:E,'Data - Monthly Metrics'!A:A,$B$4-1,'Data - Monthly Metrics'!B:B,"Oct",'Data - Monthly Metrics'!C:C,"Majors/NRA",'Data - Monthly Metrics'!D:D,"Revenue Up for Renewal - Non-Target ($)")</f>
        <v/>
      </c>
      <c r="C22" s="110">
        <f>SUMIFS('Data - Monthly Metrics'!E:E,'Data - Monthly Metrics'!A:A,$B$4-1,'Data - Monthly Metrics'!B:B,"Nov",'Data - Monthly Metrics'!C:C,"Majors/NRA",'Data - Monthly Metrics'!D:D,"Revenue Up for Renewal - Target ($)")+SUMIFS('Data - Monthly Metrics'!E:E,'Data - Monthly Metrics'!A:A,$B$4-1,'Data - Monthly Metrics'!B:B,"Nov",'Data - Monthly Metrics'!C:C,"Majors/NRA",'Data - Monthly Metrics'!D:D,"Revenue Up for Renewal - Non-Target ($)")</f>
        <v/>
      </c>
      <c r="D22" s="110">
        <f>SUMIFS('Data - Monthly Metrics'!E:E,'Data - Monthly Metrics'!A:A,$B$4-1,'Data - Monthly Metrics'!B:B,"Dec",'Data - Monthly Metrics'!C:C,"Majors/NRA",'Data - Monthly Metrics'!D:D,"Revenue Up for Renewal - Target ($)")+SUMIFS('Data - Monthly Metrics'!E:E,'Data - Monthly Metrics'!A:A,$B$4-1,'Data - Monthly Metrics'!B:B,"Dec",'Data - Monthly Metrics'!C:C,"Majors/NRA",'Data - Monthly Metrics'!D:D,"Revenue Up for Renewal - Non-Target ($)")</f>
        <v/>
      </c>
      <c r="E22" s="111">
        <f>SUM(B22,C22,D22)</f>
        <v/>
      </c>
      <c r="F22" s="110">
        <f>SUMIFS('Data - Monthly Metrics'!E:E,'Data - Monthly Metrics'!A:A,$B$4,'Data - Monthly Metrics'!B:B,"Jan",'Data - Monthly Metrics'!C:C,"Majors/NRA",'Data - Monthly Metrics'!D:D,"Revenue Up for Renewal - Target ($)")+SUMIFS('Data - Monthly Metrics'!E:E,'Data - Monthly Metrics'!A:A,$B$4,'Data - Monthly Metrics'!B:B,"Jan",'Data - Monthly Metrics'!C:C,"Majors/NRA",'Data - Monthly Metrics'!D:D,"Revenue Up for Renewal - Non-Target ($)")</f>
        <v/>
      </c>
      <c r="G22" s="110">
        <f>SUMIFS('Data - Monthly Metrics'!E:E,'Data - Monthly Metrics'!A:A,$B$4,'Data - Monthly Metrics'!B:B,"Feb",'Data - Monthly Metrics'!C:C,"Majors/NRA",'Data - Monthly Metrics'!D:D,"Revenue Up for Renewal - Target ($)")+SUMIFS('Data - Monthly Metrics'!E:E,'Data - Monthly Metrics'!A:A,$B$4,'Data - Monthly Metrics'!B:B,"Feb",'Data - Monthly Metrics'!C:C,"Majors/NRA",'Data - Monthly Metrics'!D:D,"Revenue Up for Renewal - Non-Target ($)")</f>
        <v/>
      </c>
      <c r="H22" s="110">
        <f>SUMIFS('Data - Monthly Metrics'!E:E,'Data - Monthly Metrics'!A:A,$B$4,'Data - Monthly Metrics'!B:B,"Mar",'Data - Monthly Metrics'!C:C,"Majors/NRA",'Data - Monthly Metrics'!D:D,"Revenue Up for Renewal - Target ($)")+SUMIFS('Data - Monthly Metrics'!E:E,'Data - Monthly Metrics'!A:A,$B$4,'Data - Monthly Metrics'!B:B,"Mar",'Data - Monthly Metrics'!C:C,"Majors/NRA",'Data - Monthly Metrics'!D:D,"Revenue Up for Renewal - Non-Target ($)")</f>
        <v/>
      </c>
      <c r="I22" s="111">
        <f>SUM(F22,G22,H22)</f>
        <v/>
      </c>
      <c r="J22" s="110">
        <f>SUMIFS('Data - Monthly Metrics'!E:E,'Data - Monthly Metrics'!A:A,$B$4,'Data - Monthly Metrics'!B:B,"Apr",'Data - Monthly Metrics'!C:C,"Majors/NRA",'Data - Monthly Metrics'!D:D,"Revenue Up for Renewal - Target ($)")+SUMIFS('Data - Monthly Metrics'!E:E,'Data - Monthly Metrics'!A:A,$B$4,'Data - Monthly Metrics'!B:B,"Apr",'Data - Monthly Metrics'!C:C,"Majors/NRA",'Data - Monthly Metrics'!D:D,"Revenue Up for Renewal - Non-Target ($)")</f>
        <v/>
      </c>
      <c r="K22" s="110">
        <f>SUMIFS('Data - Monthly Metrics'!E:E,'Data - Monthly Metrics'!A:A,$B$4,'Data - Monthly Metrics'!B:B,"May",'Data - Monthly Metrics'!C:C,"Majors/NRA",'Data - Monthly Metrics'!D:D,"Revenue Up for Renewal - Target ($)")+SUMIFS('Data - Monthly Metrics'!E:E,'Data - Monthly Metrics'!A:A,$B$4,'Data - Monthly Metrics'!B:B,"May",'Data - Monthly Metrics'!C:C,"Majors/NRA",'Data - Monthly Metrics'!D:D,"Revenue Up for Renewal - Non-Target ($)")</f>
        <v/>
      </c>
      <c r="L22" s="110">
        <f>SUMIFS('Data - Monthly Metrics'!E:E,'Data - Monthly Metrics'!A:A,$B$4,'Data - Monthly Metrics'!B:B,"Jun",'Data - Monthly Metrics'!C:C,"Majors/NRA",'Data - Monthly Metrics'!D:D,"Revenue Up for Renewal - Target ($)")+SUMIFS('Data - Monthly Metrics'!E:E,'Data - Monthly Metrics'!A:A,$B$4,'Data - Monthly Metrics'!B:B,"Jun",'Data - Monthly Metrics'!C:C,"Majors/NRA",'Data - Monthly Metrics'!D:D,"Revenue Up for Renewal - Non-Target ($)")</f>
        <v/>
      </c>
      <c r="M22" s="111">
        <f>SUM(J22,K22,L22)</f>
        <v/>
      </c>
      <c r="N22" s="110">
        <f>SUMIFS('Data - Monthly Metrics'!E:E,'Data - Monthly Metrics'!A:A,$B$4,'Data - Monthly Metrics'!B:B,"Jul",'Data - Monthly Metrics'!C:C,"Majors/NRA",'Data - Monthly Metrics'!D:D,"Revenue Up for Renewal - Target ($)")+SUMIFS('Data - Monthly Metrics'!E:E,'Data - Monthly Metrics'!A:A,$B$4,'Data - Monthly Metrics'!B:B,"Jul",'Data - Monthly Metrics'!C:C,"Majors/NRA",'Data - Monthly Metrics'!D:D,"Revenue Up for Renewal - Non-Target ($)")</f>
        <v/>
      </c>
      <c r="O22" s="110">
        <f>SUMIFS('Data - Monthly Metrics'!E:E,'Data - Monthly Metrics'!A:A,$B$4,'Data - Monthly Metrics'!B:B,"Aug",'Data - Monthly Metrics'!C:C,"Majors/NRA",'Data - Monthly Metrics'!D:D,"Revenue Up for Renewal - Target ($)")+SUMIFS('Data - Monthly Metrics'!E:E,'Data - Monthly Metrics'!A:A,$B$4,'Data - Monthly Metrics'!B:B,"Aug",'Data - Monthly Metrics'!C:C,"Majors/NRA",'Data - Monthly Metrics'!D:D,"Revenue Up for Renewal - Non-Target ($)")</f>
        <v/>
      </c>
      <c r="P22" s="110">
        <f>SUMIFS('Data - Monthly Metrics'!E:E,'Data - Monthly Metrics'!A:A,$B$4,'Data - Monthly Metrics'!B:B,"Sep",'Data - Monthly Metrics'!C:C,"Majors/NRA",'Data - Monthly Metrics'!D:D,"Revenue Up for Renewal - Target ($)")+SUMIFS('Data - Monthly Metrics'!E:E,'Data - Monthly Metrics'!A:A,$B$4,'Data - Monthly Metrics'!B:B,"Sep",'Data - Monthly Metrics'!C:C,"Majors/NRA",'Data - Monthly Metrics'!D:D,"Revenue Up for Renewal - Non-Target ($)")</f>
        <v/>
      </c>
      <c r="Q22" s="111">
        <f>SUM(N22,O22,P22)</f>
        <v/>
      </c>
      <c r="R22" s="111">
        <f>SUM(E22,I22,M22,Q22)</f>
        <v/>
      </c>
      <c r="S22" s="81" t="n"/>
      <c r="T22" s="81" t="n"/>
      <c r="U22" s="81" t="n"/>
      <c r="V22" s="81" t="n"/>
      <c r="W22" s="81" t="n"/>
      <c r="X22" s="81" t="n"/>
      <c r="Y22" s="81" t="n"/>
      <c r="Z22" s="81" t="n"/>
      <c r="AA22" s="81" t="n"/>
      <c r="AB22" s="81" t="n"/>
      <c r="AC22" s="81" t="n"/>
      <c r="AD22" s="81" t="n"/>
      <c r="AE22" s="81" t="n"/>
      <c r="AF22" s="81" t="n"/>
      <c r="AG22" s="81" t="n"/>
      <c r="AH22" s="81" t="n"/>
      <c r="AI22" s="81" t="n"/>
      <c r="AJ22" s="81" t="n"/>
      <c r="AK22" s="81" t="n"/>
      <c r="AL22" s="81" t="n"/>
      <c r="AM22" s="81" t="n"/>
      <c r="AN22" s="81" t="n"/>
      <c r="AO22" s="81" t="n"/>
      <c r="AP22" s="81" t="n"/>
      <c r="AQ22" s="81" t="n"/>
      <c r="AR22" s="81" t="n"/>
    </row>
    <row r="23" ht="14.25" customHeight="1" s="82">
      <c r="A23" s="109" t="inlineStr">
        <is>
          <t>Revenue Retained — T + NT ($)</t>
        </is>
      </c>
      <c r="B23" s="112">
        <f>SUMIFS('Data - Monthly Metrics'!E:E,'Data - Monthly Metrics'!A:A,$B$4-1,'Data - Monthly Metrics'!B:B,"Oct",'Data - Monthly Metrics'!C:C,"Majors/NRA",'Data - Monthly Metrics'!D:D,"Revenue Retained - Target ($)")+SUMIFS('Data - Monthly Metrics'!E:E,'Data - Monthly Metrics'!A:A,$B$4-1,'Data - Monthly Metrics'!B:B,"Oct",'Data - Monthly Metrics'!C:C,"Majors/NRA",'Data - Monthly Metrics'!D:D,"Revenue Retained - Non-Target ($)")</f>
        <v/>
      </c>
      <c r="C23" s="112">
        <f>SUMIFS('Data - Monthly Metrics'!E:E,'Data - Monthly Metrics'!A:A,$B$4-1,'Data - Monthly Metrics'!B:B,"Nov",'Data - Monthly Metrics'!C:C,"Majors/NRA",'Data - Monthly Metrics'!D:D,"Revenue Retained - Target ($)")+SUMIFS('Data - Monthly Metrics'!E:E,'Data - Monthly Metrics'!A:A,$B$4-1,'Data - Monthly Metrics'!B:B,"Nov",'Data - Monthly Metrics'!C:C,"Majors/NRA",'Data - Monthly Metrics'!D:D,"Revenue Retained - Non-Target ($)")</f>
        <v/>
      </c>
      <c r="D23" s="112">
        <f>SUMIFS('Data - Monthly Metrics'!E:E,'Data - Monthly Metrics'!A:A,$B$4-1,'Data - Monthly Metrics'!B:B,"Dec",'Data - Monthly Metrics'!C:C,"Majors/NRA",'Data - Monthly Metrics'!D:D,"Revenue Retained - Target ($)")+SUMIFS('Data - Monthly Metrics'!E:E,'Data - Monthly Metrics'!A:A,$B$4-1,'Data - Monthly Metrics'!B:B,"Dec",'Data - Monthly Metrics'!C:C,"Majors/NRA",'Data - Monthly Metrics'!D:D,"Revenue Retained - Non-Target ($)")</f>
        <v/>
      </c>
      <c r="E23" s="111">
        <f>SUM(B23,C23,D23)</f>
        <v/>
      </c>
      <c r="F23" s="112">
        <f>SUMIFS('Data - Monthly Metrics'!E:E,'Data - Monthly Metrics'!A:A,$B$4,'Data - Monthly Metrics'!B:B,"Jan",'Data - Monthly Metrics'!C:C,"Majors/NRA",'Data - Monthly Metrics'!D:D,"Revenue Retained - Target ($)")+SUMIFS('Data - Monthly Metrics'!E:E,'Data - Monthly Metrics'!A:A,$B$4,'Data - Monthly Metrics'!B:B,"Jan",'Data - Monthly Metrics'!C:C,"Majors/NRA",'Data - Monthly Metrics'!D:D,"Revenue Retained - Non-Target ($)")</f>
        <v/>
      </c>
      <c r="G23" s="112">
        <f>SUMIFS('Data - Monthly Metrics'!E:E,'Data - Monthly Metrics'!A:A,$B$4,'Data - Monthly Metrics'!B:B,"Feb",'Data - Monthly Metrics'!C:C,"Majors/NRA",'Data - Monthly Metrics'!D:D,"Revenue Retained - Target ($)")+SUMIFS('Data - Monthly Metrics'!E:E,'Data - Monthly Metrics'!A:A,$B$4,'Data - Monthly Metrics'!B:B,"Feb",'Data - Monthly Metrics'!C:C,"Majors/NRA",'Data - Monthly Metrics'!D:D,"Revenue Retained - Non-Target ($)")</f>
        <v/>
      </c>
      <c r="H23" s="112">
        <f>SUMIFS('Data - Monthly Metrics'!E:E,'Data - Monthly Metrics'!A:A,$B$4,'Data - Monthly Metrics'!B:B,"Mar",'Data - Monthly Metrics'!C:C,"Majors/NRA",'Data - Monthly Metrics'!D:D,"Revenue Retained - Target ($)")+SUMIFS('Data - Monthly Metrics'!E:E,'Data - Monthly Metrics'!A:A,$B$4,'Data - Monthly Metrics'!B:B,"Mar",'Data - Monthly Metrics'!C:C,"Majors/NRA",'Data - Monthly Metrics'!D:D,"Revenue Retained - Non-Target ($)")</f>
        <v/>
      </c>
      <c r="I23" s="111">
        <f>SUM(F23,G23,H23)</f>
        <v/>
      </c>
      <c r="J23" s="112">
        <f>SUMIFS('Data - Monthly Metrics'!E:E,'Data - Monthly Metrics'!A:A,$B$4,'Data - Monthly Metrics'!B:B,"Apr",'Data - Monthly Metrics'!C:C,"Majors/NRA",'Data - Monthly Metrics'!D:D,"Revenue Retained - Target ($)")+SUMIFS('Data - Monthly Metrics'!E:E,'Data - Monthly Metrics'!A:A,$B$4,'Data - Monthly Metrics'!B:B,"Apr",'Data - Monthly Metrics'!C:C,"Majors/NRA",'Data - Monthly Metrics'!D:D,"Revenue Retained - Non-Target ($)")</f>
        <v/>
      </c>
      <c r="K23" s="112">
        <f>SUMIFS('Data - Monthly Metrics'!E:E,'Data - Monthly Metrics'!A:A,$B$4,'Data - Monthly Metrics'!B:B,"May",'Data - Monthly Metrics'!C:C,"Majors/NRA",'Data - Monthly Metrics'!D:D,"Revenue Retained - Target ($)")+SUMIFS('Data - Monthly Metrics'!E:E,'Data - Monthly Metrics'!A:A,$B$4,'Data - Monthly Metrics'!B:B,"May",'Data - Monthly Metrics'!C:C,"Majors/NRA",'Data - Monthly Metrics'!D:D,"Revenue Retained - Non-Target ($)")</f>
        <v/>
      </c>
      <c r="L23" s="112">
        <f>SUMIFS('Data - Monthly Metrics'!E:E,'Data - Monthly Metrics'!A:A,$B$4,'Data - Monthly Metrics'!B:B,"Jun",'Data - Monthly Metrics'!C:C,"Majors/NRA",'Data - Monthly Metrics'!D:D,"Revenue Retained - Target ($)")+SUMIFS('Data - Monthly Metrics'!E:E,'Data - Monthly Metrics'!A:A,$B$4,'Data - Monthly Metrics'!B:B,"Jun",'Data - Monthly Metrics'!C:C,"Majors/NRA",'Data - Monthly Metrics'!D:D,"Revenue Retained - Non-Target ($)")</f>
        <v/>
      </c>
      <c r="M23" s="111">
        <f>SUM(J23,K23,L23)</f>
        <v/>
      </c>
      <c r="N23" s="112">
        <f>SUMIFS('Data - Monthly Metrics'!E:E,'Data - Monthly Metrics'!A:A,$B$4,'Data - Monthly Metrics'!B:B,"Jul",'Data - Monthly Metrics'!C:C,"Majors/NRA",'Data - Monthly Metrics'!D:D,"Revenue Retained - Target ($)")+SUMIFS('Data - Monthly Metrics'!E:E,'Data - Monthly Metrics'!A:A,$B$4,'Data - Monthly Metrics'!B:B,"Jul",'Data - Monthly Metrics'!C:C,"Majors/NRA",'Data - Monthly Metrics'!D:D,"Revenue Retained - Non-Target ($)")</f>
        <v/>
      </c>
      <c r="O23" s="112">
        <f>SUMIFS('Data - Monthly Metrics'!E:E,'Data - Monthly Metrics'!A:A,$B$4,'Data - Monthly Metrics'!B:B,"Aug",'Data - Monthly Metrics'!C:C,"Majors/NRA",'Data - Monthly Metrics'!D:D,"Revenue Retained - Target ($)")+SUMIFS('Data - Monthly Metrics'!E:E,'Data - Monthly Metrics'!A:A,$B$4,'Data - Monthly Metrics'!B:B,"Aug",'Data - Monthly Metrics'!C:C,"Majors/NRA",'Data - Monthly Metrics'!D:D,"Revenue Retained - Non-Target ($)")</f>
        <v/>
      </c>
      <c r="P23" s="112">
        <f>SUMIFS('Data - Monthly Metrics'!E:E,'Data - Monthly Metrics'!A:A,$B$4,'Data - Monthly Metrics'!B:B,"Sep",'Data - Monthly Metrics'!C:C,"Majors/NRA",'Data - Monthly Metrics'!D:D,"Revenue Retained - Target ($)")+SUMIFS('Data - Monthly Metrics'!E:E,'Data - Monthly Metrics'!A:A,$B$4,'Data - Monthly Metrics'!B:B,"Sep",'Data - Monthly Metrics'!C:C,"Majors/NRA",'Data - Monthly Metrics'!D:D,"Revenue Retained - Non-Target ($)")</f>
        <v/>
      </c>
      <c r="Q23" s="111">
        <f>SUM(N23,O23,P23)</f>
        <v/>
      </c>
      <c r="R23" s="111">
        <f>SUM(E23,I23,M23,Q23)</f>
        <v/>
      </c>
      <c r="S23" s="81"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c r="AN23" s="81" t="n"/>
      <c r="AO23" s="81" t="n"/>
      <c r="AP23" s="81" t="n"/>
      <c r="AQ23" s="81" t="n"/>
      <c r="AR23" s="81" t="n"/>
    </row>
    <row r="24" ht="14.25" customHeight="1" s="82">
      <c r="A24" s="109" t="inlineStr">
        <is>
          <t xml:space="preserve">   Comped ($) — not counted in retention</t>
        </is>
      </c>
      <c r="B24" s="112">
        <f>SUMIFS('Data - Monthly Metrics'!E:E,'Data - Monthly Metrics'!A:A,$B$4-1,'Data - Monthly Metrics'!B:B,"Oct",'Data - Monthly Metrics'!C:C,"Majors/NRA",'Data - Monthly Metrics'!D:D,"Retention - Comped ($)")</f>
        <v/>
      </c>
      <c r="C24" s="112">
        <f>SUMIFS('Data - Monthly Metrics'!E:E,'Data - Monthly Metrics'!A:A,$B$4-1,'Data - Monthly Metrics'!B:B,"Nov",'Data - Monthly Metrics'!C:C,"Majors/NRA",'Data - Monthly Metrics'!D:D,"Retention - Comped ($)")</f>
        <v/>
      </c>
      <c r="D24" s="112">
        <f>SUMIFS('Data - Monthly Metrics'!E:E,'Data - Monthly Metrics'!A:A,$B$4-1,'Data - Monthly Metrics'!B:B,"Dec",'Data - Monthly Metrics'!C:C,"Majors/NRA",'Data - Monthly Metrics'!D:D,"Retention - Comped ($)")</f>
        <v/>
      </c>
      <c r="E24" s="111">
        <f>SUM(B24,C24,D24)</f>
        <v/>
      </c>
      <c r="F24" s="112">
        <f>SUMIFS('Data - Monthly Metrics'!E:E,'Data - Monthly Metrics'!A:A,$B$4,'Data - Monthly Metrics'!B:B,"Jan",'Data - Monthly Metrics'!C:C,"Majors/NRA",'Data - Monthly Metrics'!D:D,"Retention - Comped ($)")</f>
        <v/>
      </c>
      <c r="G24" s="112">
        <f>SUMIFS('Data - Monthly Metrics'!E:E,'Data - Monthly Metrics'!A:A,$B$4,'Data - Monthly Metrics'!B:B,"Feb",'Data - Monthly Metrics'!C:C,"Majors/NRA",'Data - Monthly Metrics'!D:D,"Retention - Comped ($)")</f>
        <v/>
      </c>
      <c r="H24" s="112">
        <f>SUMIFS('Data - Monthly Metrics'!E:E,'Data - Monthly Metrics'!A:A,$B$4,'Data - Monthly Metrics'!B:B,"Mar",'Data - Monthly Metrics'!C:C,"Majors/NRA",'Data - Monthly Metrics'!D:D,"Retention - Comped ($)")</f>
        <v/>
      </c>
      <c r="I24" s="111">
        <f>SUM(F24,G24,H24)</f>
        <v/>
      </c>
      <c r="J24" s="112">
        <f>SUMIFS('Data - Monthly Metrics'!E:E,'Data - Monthly Metrics'!A:A,$B$4,'Data - Monthly Metrics'!B:B,"Apr",'Data - Monthly Metrics'!C:C,"Majors/NRA",'Data - Monthly Metrics'!D:D,"Retention - Comped ($)")</f>
        <v/>
      </c>
      <c r="K24" s="112">
        <f>SUMIFS('Data - Monthly Metrics'!E:E,'Data - Monthly Metrics'!A:A,$B$4,'Data - Monthly Metrics'!B:B,"May",'Data - Monthly Metrics'!C:C,"Majors/NRA",'Data - Monthly Metrics'!D:D,"Retention - Comped ($)")</f>
        <v/>
      </c>
      <c r="L24" s="112">
        <f>SUMIFS('Data - Monthly Metrics'!E:E,'Data - Monthly Metrics'!A:A,$B$4,'Data - Monthly Metrics'!B:B,"Jun",'Data - Monthly Metrics'!C:C,"Majors/NRA",'Data - Monthly Metrics'!D:D,"Retention - Comped ($)")</f>
        <v/>
      </c>
      <c r="M24" s="111">
        <f>SUM(J24,K24,L24)</f>
        <v/>
      </c>
      <c r="N24" s="112">
        <f>SUMIFS('Data - Monthly Metrics'!E:E,'Data - Monthly Metrics'!A:A,$B$4,'Data - Monthly Metrics'!B:B,"Jul",'Data - Monthly Metrics'!C:C,"Majors/NRA",'Data - Monthly Metrics'!D:D,"Retention - Comped ($)")</f>
        <v/>
      </c>
      <c r="O24" s="112">
        <f>SUMIFS('Data - Monthly Metrics'!E:E,'Data - Monthly Metrics'!A:A,$B$4,'Data - Monthly Metrics'!B:B,"Aug",'Data - Monthly Metrics'!C:C,"Majors/NRA",'Data - Monthly Metrics'!D:D,"Retention - Comped ($)")</f>
        <v/>
      </c>
      <c r="P24" s="112">
        <f>SUMIFS('Data - Monthly Metrics'!E:E,'Data - Monthly Metrics'!A:A,$B$4,'Data - Monthly Metrics'!B:B,"Sep",'Data - Monthly Metrics'!C:C,"Majors/NRA",'Data - Monthly Metrics'!D:D,"Retention - Comped ($)")</f>
        <v/>
      </c>
      <c r="Q24" s="111">
        <f>SUM(N24,O24,P24)</f>
        <v/>
      </c>
      <c r="R24" s="111">
        <f>SUM(E24,I24,M24,Q24)</f>
        <v/>
      </c>
      <c r="S24" s="81" t="n"/>
      <c r="T24" s="81" t="n"/>
      <c r="U24" s="81" t="n"/>
      <c r="V24" s="81" t="n"/>
      <c r="W24" s="81" t="n"/>
      <c r="X24" s="81" t="n"/>
      <c r="Y24" s="81" t="n"/>
      <c r="Z24" s="81" t="n"/>
      <c r="AA24" s="81" t="n"/>
      <c r="AB24" s="81" t="n"/>
      <c r="AC24" s="81" t="n"/>
      <c r="AD24" s="81" t="n"/>
      <c r="AE24" s="81" t="n"/>
      <c r="AF24" s="81" t="n"/>
      <c r="AG24" s="81" t="n"/>
      <c r="AH24" s="81" t="n"/>
      <c r="AI24" s="81" t="n"/>
      <c r="AJ24" s="81" t="n"/>
      <c r="AK24" s="81" t="n"/>
      <c r="AL24" s="81" t="n"/>
      <c r="AM24" s="81" t="n"/>
      <c r="AN24" s="81" t="n"/>
      <c r="AO24" s="81" t="n"/>
      <c r="AP24" s="81" t="n"/>
      <c r="AQ24" s="81" t="n"/>
      <c r="AR24" s="81" t="n"/>
    </row>
    <row r="25" ht="14.25" customHeight="1" s="82">
      <c r="A25" s="109" t="inlineStr">
        <is>
          <t xml:space="preserve">   Comped Members (#)</t>
        </is>
      </c>
      <c r="B25" s="113">
        <f>SUMIFS('Data - Monthly Metrics'!E:E,'Data - Monthly Metrics'!A:A,$B$4-1,'Data - Monthly Metrics'!B:B,"Oct",'Data - Monthly Metrics'!C:C,"Majors/NRA",'Data - Monthly Metrics'!D:D,"Retention - Comped (#)")</f>
        <v/>
      </c>
      <c r="C25" s="113">
        <f>SUMIFS('Data - Monthly Metrics'!E:E,'Data - Monthly Metrics'!A:A,$B$4-1,'Data - Monthly Metrics'!B:B,"Nov",'Data - Monthly Metrics'!C:C,"Majors/NRA",'Data - Monthly Metrics'!D:D,"Retention - Comped (#)")</f>
        <v/>
      </c>
      <c r="D25" s="113">
        <f>SUMIFS('Data - Monthly Metrics'!E:E,'Data - Monthly Metrics'!A:A,$B$4-1,'Data - Monthly Metrics'!B:B,"Dec",'Data - Monthly Metrics'!C:C,"Majors/NRA",'Data - Monthly Metrics'!D:D,"Retention - Comped (#)")</f>
        <v/>
      </c>
      <c r="E25" s="114">
        <f>SUM(B25,C25,D25)</f>
        <v/>
      </c>
      <c r="F25" s="113">
        <f>SUMIFS('Data - Monthly Metrics'!E:E,'Data - Monthly Metrics'!A:A,$B$4,'Data - Monthly Metrics'!B:B,"Jan",'Data - Monthly Metrics'!C:C,"Majors/NRA",'Data - Monthly Metrics'!D:D,"Retention - Comped (#)")</f>
        <v/>
      </c>
      <c r="G25" s="113">
        <f>SUMIFS('Data - Monthly Metrics'!E:E,'Data - Monthly Metrics'!A:A,$B$4,'Data - Monthly Metrics'!B:B,"Feb",'Data - Monthly Metrics'!C:C,"Majors/NRA",'Data - Monthly Metrics'!D:D,"Retention - Comped (#)")</f>
        <v/>
      </c>
      <c r="H25" s="113">
        <f>SUMIFS('Data - Monthly Metrics'!E:E,'Data - Monthly Metrics'!A:A,$B$4,'Data - Monthly Metrics'!B:B,"Mar",'Data - Monthly Metrics'!C:C,"Majors/NRA",'Data - Monthly Metrics'!D:D,"Retention - Comped (#)")</f>
        <v/>
      </c>
      <c r="I25" s="114">
        <f>SUM(F25,G25,H25)</f>
        <v/>
      </c>
      <c r="J25" s="113">
        <f>SUMIFS('Data - Monthly Metrics'!E:E,'Data - Monthly Metrics'!A:A,$B$4,'Data - Monthly Metrics'!B:B,"Apr",'Data - Monthly Metrics'!C:C,"Majors/NRA",'Data - Monthly Metrics'!D:D,"Retention - Comped (#)")</f>
        <v/>
      </c>
      <c r="K25" s="113">
        <f>SUMIFS('Data - Monthly Metrics'!E:E,'Data - Monthly Metrics'!A:A,$B$4,'Data - Monthly Metrics'!B:B,"May",'Data - Monthly Metrics'!C:C,"Majors/NRA",'Data - Monthly Metrics'!D:D,"Retention - Comped (#)")</f>
        <v/>
      </c>
      <c r="L25" s="113">
        <f>SUMIFS('Data - Monthly Metrics'!E:E,'Data - Monthly Metrics'!A:A,$B$4,'Data - Monthly Metrics'!B:B,"Jun",'Data - Monthly Metrics'!C:C,"Majors/NRA",'Data - Monthly Metrics'!D:D,"Retention - Comped (#)")</f>
        <v/>
      </c>
      <c r="M25" s="114">
        <f>SUM(J25,K25,L25)</f>
        <v/>
      </c>
      <c r="N25" s="113">
        <f>SUMIFS('Data - Monthly Metrics'!E:E,'Data - Monthly Metrics'!A:A,$B$4,'Data - Monthly Metrics'!B:B,"Jul",'Data - Monthly Metrics'!C:C,"Majors/NRA",'Data - Monthly Metrics'!D:D,"Retention - Comped (#)")</f>
        <v/>
      </c>
      <c r="O25" s="113">
        <f>SUMIFS('Data - Monthly Metrics'!E:E,'Data - Monthly Metrics'!A:A,$B$4,'Data - Monthly Metrics'!B:B,"Aug",'Data - Monthly Metrics'!C:C,"Majors/NRA",'Data - Monthly Metrics'!D:D,"Retention - Comped (#)")</f>
        <v/>
      </c>
      <c r="P25" s="113">
        <f>SUMIFS('Data - Monthly Metrics'!E:E,'Data - Monthly Metrics'!A:A,$B$4,'Data - Monthly Metrics'!B:B,"Sep",'Data - Monthly Metrics'!C:C,"Majors/NRA",'Data - Monthly Metrics'!D:D,"Retention - Comped (#)")</f>
        <v/>
      </c>
      <c r="Q25" s="114">
        <f>SUM(N25,O25,P25)</f>
        <v/>
      </c>
      <c r="R25" s="114">
        <f>SUM(E25,I25,M25,Q25)</f>
        <v/>
      </c>
      <c r="S25" s="81" t="n"/>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c r="AO25" s="81" t="n"/>
      <c r="AP25" s="81" t="n"/>
      <c r="AQ25" s="81" t="n"/>
      <c r="AR25" s="81" t="n"/>
    </row>
    <row r="26" ht="14.25" customHeight="1" s="82">
      <c r="A26" s="109" t="inlineStr">
        <is>
          <t xml:space="preserve">   BOB Renewals ($) — counted in retention</t>
        </is>
      </c>
      <c r="B26" s="112">
        <f>SUMIFS('Data - Monthly Metrics'!E:E,'Data - Monthly Metrics'!A:A,$B$4-1,'Data - Monthly Metrics'!B:B,"Oct",'Data - Monthly Metrics'!C:C,"Majors/NRA",'Data - Monthly Metrics'!D:D,"Retention - BOB ($)")</f>
        <v/>
      </c>
      <c r="C26" s="112">
        <f>SUMIFS('Data - Monthly Metrics'!E:E,'Data - Monthly Metrics'!A:A,$B$4-1,'Data - Monthly Metrics'!B:B,"Nov",'Data - Monthly Metrics'!C:C,"Majors/NRA",'Data - Monthly Metrics'!D:D,"Retention - BOB ($)")</f>
        <v/>
      </c>
      <c r="D26" s="112">
        <f>SUMIFS('Data - Monthly Metrics'!E:E,'Data - Monthly Metrics'!A:A,$B$4-1,'Data - Monthly Metrics'!B:B,"Dec",'Data - Monthly Metrics'!C:C,"Majors/NRA",'Data - Monthly Metrics'!D:D,"Retention - BOB ($)")</f>
        <v/>
      </c>
      <c r="E26" s="111">
        <f>SUM(B26,C26,D26)</f>
        <v/>
      </c>
      <c r="F26" s="112">
        <f>SUMIFS('Data - Monthly Metrics'!E:E,'Data - Monthly Metrics'!A:A,$B$4,'Data - Monthly Metrics'!B:B,"Jan",'Data - Monthly Metrics'!C:C,"Majors/NRA",'Data - Monthly Metrics'!D:D,"Retention - BOB ($)")</f>
        <v/>
      </c>
      <c r="G26" s="112">
        <f>SUMIFS('Data - Monthly Metrics'!E:E,'Data - Monthly Metrics'!A:A,$B$4,'Data - Monthly Metrics'!B:B,"Feb",'Data - Monthly Metrics'!C:C,"Majors/NRA",'Data - Monthly Metrics'!D:D,"Retention - BOB ($)")</f>
        <v/>
      </c>
      <c r="H26" s="112">
        <f>SUMIFS('Data - Monthly Metrics'!E:E,'Data - Monthly Metrics'!A:A,$B$4,'Data - Monthly Metrics'!B:B,"Mar",'Data - Monthly Metrics'!C:C,"Majors/NRA",'Data - Monthly Metrics'!D:D,"Retention - BOB ($)")</f>
        <v/>
      </c>
      <c r="I26" s="111">
        <f>SUM(F26,G26,H26)</f>
        <v/>
      </c>
      <c r="J26" s="112">
        <f>SUMIFS('Data - Monthly Metrics'!E:E,'Data - Monthly Metrics'!A:A,$B$4,'Data - Monthly Metrics'!B:B,"Apr",'Data - Monthly Metrics'!C:C,"Majors/NRA",'Data - Monthly Metrics'!D:D,"Retention - BOB ($)")</f>
        <v/>
      </c>
      <c r="K26" s="112">
        <f>SUMIFS('Data - Monthly Metrics'!E:E,'Data - Monthly Metrics'!A:A,$B$4,'Data - Monthly Metrics'!B:B,"May",'Data - Monthly Metrics'!C:C,"Majors/NRA",'Data - Monthly Metrics'!D:D,"Retention - BOB ($)")</f>
        <v/>
      </c>
      <c r="L26" s="112">
        <f>SUMIFS('Data - Monthly Metrics'!E:E,'Data - Monthly Metrics'!A:A,$B$4,'Data - Monthly Metrics'!B:B,"Jun",'Data - Monthly Metrics'!C:C,"Majors/NRA",'Data - Monthly Metrics'!D:D,"Retention - BOB ($)")</f>
        <v/>
      </c>
      <c r="M26" s="111">
        <f>SUM(J26,K26,L26)</f>
        <v/>
      </c>
      <c r="N26" s="112">
        <f>SUMIFS('Data - Monthly Metrics'!E:E,'Data - Monthly Metrics'!A:A,$B$4,'Data - Monthly Metrics'!B:B,"Jul",'Data - Monthly Metrics'!C:C,"Majors/NRA",'Data - Monthly Metrics'!D:D,"Retention - BOB ($)")</f>
        <v/>
      </c>
      <c r="O26" s="112">
        <f>SUMIFS('Data - Monthly Metrics'!E:E,'Data - Monthly Metrics'!A:A,$B$4,'Data - Monthly Metrics'!B:B,"Aug",'Data - Monthly Metrics'!C:C,"Majors/NRA",'Data - Monthly Metrics'!D:D,"Retention - BOB ($)")</f>
        <v/>
      </c>
      <c r="P26" s="112">
        <f>SUMIFS('Data - Monthly Metrics'!E:E,'Data - Monthly Metrics'!A:A,$B$4,'Data - Monthly Metrics'!B:B,"Sep",'Data - Monthly Metrics'!C:C,"Majors/NRA",'Data - Monthly Metrics'!D:D,"Retention - BOB ($)")</f>
        <v/>
      </c>
      <c r="Q26" s="111">
        <f>SUM(N26,O26,P26)</f>
        <v/>
      </c>
      <c r="R26" s="111">
        <f>SUM(E26,I26,M26,Q26)</f>
        <v/>
      </c>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c r="AN26" s="81" t="n"/>
      <c r="AO26" s="81" t="n"/>
      <c r="AP26" s="81" t="n"/>
      <c r="AQ26" s="81" t="n"/>
      <c r="AR26" s="81" t="n"/>
    </row>
    <row r="27" ht="14.25" customHeight="1" s="82">
      <c r="A27" s="109" t="inlineStr">
        <is>
          <t xml:space="preserve">   BOB Renewals (#)</t>
        </is>
      </c>
      <c r="B27" s="113">
        <f>SUMIFS('Data - Monthly Metrics'!E:E,'Data - Monthly Metrics'!A:A,$B$4-1,'Data - Monthly Metrics'!B:B,"Oct",'Data - Monthly Metrics'!C:C,"Majors/NRA",'Data - Monthly Metrics'!D:D,"Retention - BOB (#)")</f>
        <v/>
      </c>
      <c r="C27" s="113">
        <f>SUMIFS('Data - Monthly Metrics'!E:E,'Data - Monthly Metrics'!A:A,$B$4-1,'Data - Monthly Metrics'!B:B,"Nov",'Data - Monthly Metrics'!C:C,"Majors/NRA",'Data - Monthly Metrics'!D:D,"Retention - BOB (#)")</f>
        <v/>
      </c>
      <c r="D27" s="113">
        <f>SUMIFS('Data - Monthly Metrics'!E:E,'Data - Monthly Metrics'!A:A,$B$4-1,'Data - Monthly Metrics'!B:B,"Dec",'Data - Monthly Metrics'!C:C,"Majors/NRA",'Data - Monthly Metrics'!D:D,"Retention - BOB (#)")</f>
        <v/>
      </c>
      <c r="E27" s="114">
        <f>SUM(B27,C27,D27)</f>
        <v/>
      </c>
      <c r="F27" s="113">
        <f>SUMIFS('Data - Monthly Metrics'!E:E,'Data - Monthly Metrics'!A:A,$B$4,'Data - Monthly Metrics'!B:B,"Jan",'Data - Monthly Metrics'!C:C,"Majors/NRA",'Data - Monthly Metrics'!D:D,"Retention - BOB (#)")</f>
        <v/>
      </c>
      <c r="G27" s="113">
        <f>SUMIFS('Data - Monthly Metrics'!E:E,'Data - Monthly Metrics'!A:A,$B$4,'Data - Monthly Metrics'!B:B,"Feb",'Data - Monthly Metrics'!C:C,"Majors/NRA",'Data - Monthly Metrics'!D:D,"Retention - BOB (#)")</f>
        <v/>
      </c>
      <c r="H27" s="113">
        <f>SUMIFS('Data - Monthly Metrics'!E:E,'Data - Monthly Metrics'!A:A,$B$4,'Data - Monthly Metrics'!B:B,"Mar",'Data - Monthly Metrics'!C:C,"Majors/NRA",'Data - Monthly Metrics'!D:D,"Retention - BOB (#)")</f>
        <v/>
      </c>
      <c r="I27" s="114">
        <f>SUM(F27,G27,H27)</f>
        <v/>
      </c>
      <c r="J27" s="113">
        <f>SUMIFS('Data - Monthly Metrics'!E:E,'Data - Monthly Metrics'!A:A,$B$4,'Data - Monthly Metrics'!B:B,"Apr",'Data - Monthly Metrics'!C:C,"Majors/NRA",'Data - Monthly Metrics'!D:D,"Retention - BOB (#)")</f>
        <v/>
      </c>
      <c r="K27" s="113">
        <f>SUMIFS('Data - Monthly Metrics'!E:E,'Data - Monthly Metrics'!A:A,$B$4,'Data - Monthly Metrics'!B:B,"May",'Data - Monthly Metrics'!C:C,"Majors/NRA",'Data - Monthly Metrics'!D:D,"Retention - BOB (#)")</f>
        <v/>
      </c>
      <c r="L27" s="113">
        <f>SUMIFS('Data - Monthly Metrics'!E:E,'Data - Monthly Metrics'!A:A,$B$4,'Data - Monthly Metrics'!B:B,"Jun",'Data - Monthly Metrics'!C:C,"Majors/NRA",'Data - Monthly Metrics'!D:D,"Retention - BOB (#)")</f>
        <v/>
      </c>
      <c r="M27" s="114">
        <f>SUM(J27,K27,L27)</f>
        <v/>
      </c>
      <c r="N27" s="113">
        <f>SUMIFS('Data - Monthly Metrics'!E:E,'Data - Monthly Metrics'!A:A,$B$4,'Data - Monthly Metrics'!B:B,"Jul",'Data - Monthly Metrics'!C:C,"Majors/NRA",'Data - Monthly Metrics'!D:D,"Retention - BOB (#)")</f>
        <v/>
      </c>
      <c r="O27" s="113">
        <f>SUMIFS('Data - Monthly Metrics'!E:E,'Data - Monthly Metrics'!A:A,$B$4,'Data - Monthly Metrics'!B:B,"Aug",'Data - Monthly Metrics'!C:C,"Majors/NRA",'Data - Monthly Metrics'!D:D,"Retention - BOB (#)")</f>
        <v/>
      </c>
      <c r="P27" s="113">
        <f>SUMIFS('Data - Monthly Metrics'!E:E,'Data - Monthly Metrics'!A:A,$B$4,'Data - Monthly Metrics'!B:B,"Sep",'Data - Monthly Metrics'!C:C,"Majors/NRA",'Data - Monthly Metrics'!D:D,"Retention - BOB (#)")</f>
        <v/>
      </c>
      <c r="Q27" s="114">
        <f>SUM(N27,O27,P27)</f>
        <v/>
      </c>
      <c r="R27" s="114">
        <f>SUM(E27,I27,M27,Q27)</f>
        <v/>
      </c>
      <c r="S27" s="81"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c r="AN27" s="81" t="n"/>
      <c r="AO27" s="81" t="n"/>
      <c r="AP27" s="81" t="n"/>
      <c r="AQ27" s="81" t="n"/>
      <c r="AR27" s="81" t="n"/>
    </row>
    <row r="28" ht="14.25" customHeight="1" s="82">
      <c r="A28" s="109" t="inlineStr">
        <is>
          <t>Revenue Retention % — T + NT</t>
        </is>
      </c>
      <c r="B28" s="115">
        <f>IF((SUMIFS('Data - Monthly Metrics'!E:E,'Data - Monthly Metrics'!A:A,$B$4-1,'Data - Monthly Metrics'!B:B,"Oct",'Data - Monthly Metrics'!C:C,"Majors/NRA",'Data - Monthly Metrics'!D:D,"Revenue Up for Renewal - Target ($)")+SUMIFS('Data - Monthly Metrics'!E:E,'Data - Monthly Metrics'!A:A,$B$4-1,'Data - Monthly Metrics'!B:B,"Oct",'Data - Monthly Metrics'!C:C,"Majors/NRA",'Data - Monthly Metrics'!D:D,"Revenue Up for Renewal - Non-Target ($)"))=0,"-",(SUMIFS('Data - Monthly Metrics'!E:E,'Data - Monthly Metrics'!A:A,$B$4-1,'Data - Monthly Metrics'!B:B,"Oct",'Data - Monthly Metrics'!C:C,"Majors/NRA",'Data - Monthly Metrics'!D:D,"Revenue Retained - Target ($)")+SUMIFS('Data - Monthly Metrics'!E:E,'Data - Monthly Metrics'!A:A,$B$4-1,'Data - Monthly Metrics'!B:B,"Oct",'Data - Monthly Metrics'!C:C,"Majors/NRA",'Data - Monthly Metrics'!D:D,"Revenue Retained - Non-Target ($)"))/(SUMIFS('Data - Monthly Metrics'!E:E,'Data - Monthly Metrics'!A:A,$B$4-1,'Data - Monthly Metrics'!B:B,"Oct",'Data - Monthly Metrics'!C:C,"Majors/NRA",'Data - Monthly Metrics'!D:D,"Revenue Up for Renewal - Target ($)")+SUMIFS('Data - Monthly Metrics'!E:E,'Data - Monthly Metrics'!A:A,$B$4-1,'Data - Monthly Metrics'!B:B,"Oct",'Data - Monthly Metrics'!C:C,"Majors/NRA",'Data - Monthly Metrics'!D:D,"Revenue Up for Renewal - Non-Target ($)")))</f>
        <v/>
      </c>
      <c r="C28" s="115">
        <f>IF((SUMIFS('Data - Monthly Metrics'!E:E,'Data - Monthly Metrics'!A:A,$B$4-1,'Data - Monthly Metrics'!B:B,"Nov",'Data - Monthly Metrics'!C:C,"Majors/NRA",'Data - Monthly Metrics'!D:D,"Revenue Up for Renewal - Target ($)")+SUMIFS('Data - Monthly Metrics'!E:E,'Data - Monthly Metrics'!A:A,$B$4-1,'Data - Monthly Metrics'!B:B,"Nov",'Data - Monthly Metrics'!C:C,"Majors/NRA",'Data - Monthly Metrics'!D:D,"Revenue Up for Renewal - Non-Target ($)"))=0,"-",(SUMIFS('Data - Monthly Metrics'!E:E,'Data - Monthly Metrics'!A:A,$B$4-1,'Data - Monthly Metrics'!B:B,"Nov",'Data - Monthly Metrics'!C:C,"Majors/NRA",'Data - Monthly Metrics'!D:D,"Revenue Retained - Target ($)")+SUMIFS('Data - Monthly Metrics'!E:E,'Data - Monthly Metrics'!A:A,$B$4-1,'Data - Monthly Metrics'!B:B,"Nov",'Data - Monthly Metrics'!C:C,"Majors/NRA",'Data - Monthly Metrics'!D:D,"Revenue Retained - Non-Target ($)"))/(SUMIFS('Data - Monthly Metrics'!E:E,'Data - Monthly Metrics'!A:A,$B$4-1,'Data - Monthly Metrics'!B:B,"Nov",'Data - Monthly Metrics'!C:C,"Majors/NRA",'Data - Monthly Metrics'!D:D,"Revenue Up for Renewal - Target ($)")+SUMIFS('Data - Monthly Metrics'!E:E,'Data - Monthly Metrics'!A:A,$B$4-1,'Data - Monthly Metrics'!B:B,"Nov",'Data - Monthly Metrics'!C:C,"Majors/NRA",'Data - Monthly Metrics'!D:D,"Revenue Up for Renewal - Non-Target ($)")))</f>
        <v/>
      </c>
      <c r="D28" s="115">
        <f>IF((SUMIFS('Data - Monthly Metrics'!E:E,'Data - Monthly Metrics'!A:A,$B$4-1,'Data - Monthly Metrics'!B:B,"Dec",'Data - Monthly Metrics'!C:C,"Majors/NRA",'Data - Monthly Metrics'!D:D,"Revenue Up for Renewal - Target ($)")+SUMIFS('Data - Monthly Metrics'!E:E,'Data - Monthly Metrics'!A:A,$B$4-1,'Data - Monthly Metrics'!B:B,"Dec",'Data - Monthly Metrics'!C:C,"Majors/NRA",'Data - Monthly Metrics'!D:D,"Revenue Up for Renewal - Non-Target ($)"))=0,"-",(SUMIFS('Data - Monthly Metrics'!E:E,'Data - Monthly Metrics'!A:A,$B$4-1,'Data - Monthly Metrics'!B:B,"Dec",'Data - Monthly Metrics'!C:C,"Majors/NRA",'Data - Monthly Metrics'!D:D,"Revenue Retained - Target ($)")+SUMIFS('Data - Monthly Metrics'!E:E,'Data - Monthly Metrics'!A:A,$B$4-1,'Data - Monthly Metrics'!B:B,"Dec",'Data - Monthly Metrics'!C:C,"Majors/NRA",'Data - Monthly Metrics'!D:D,"Revenue Retained - Non-Target ($)"))/(SUMIFS('Data - Monthly Metrics'!E:E,'Data - Monthly Metrics'!A:A,$B$4-1,'Data - Monthly Metrics'!B:B,"Dec",'Data - Monthly Metrics'!C:C,"Majors/NRA",'Data - Monthly Metrics'!D:D,"Revenue Up for Renewal - Target ($)")+SUMIFS('Data - Monthly Metrics'!E:E,'Data - Monthly Metrics'!A:A,$B$4-1,'Data - Monthly Metrics'!B:B,"Dec",'Data - Monthly Metrics'!C:C,"Majors/NRA",'Data - Monthly Metrics'!D:D,"Revenue Up for Renewal - Non-Target ($)")))</f>
        <v/>
      </c>
      <c r="E28" s="116">
        <f>IF(E22=0,0,E23/E22)</f>
        <v/>
      </c>
      <c r="F28" s="115">
        <f>IF((SUMIFS('Data - Monthly Metrics'!E:E,'Data - Monthly Metrics'!A:A,$B$4,'Data - Monthly Metrics'!B:B,"Jan",'Data - Monthly Metrics'!C:C,"Majors/NRA",'Data - Monthly Metrics'!D:D,"Revenue Up for Renewal - Target ($)")+SUMIFS('Data - Monthly Metrics'!E:E,'Data - Monthly Metrics'!A:A,$B$4,'Data - Monthly Metrics'!B:B,"Jan",'Data - Monthly Metrics'!C:C,"Majors/NRA",'Data - Monthly Metrics'!D:D,"Revenue Up for Renewal - Non-Target ($)"))=0,"-",(SUMIFS('Data - Monthly Metrics'!E:E,'Data - Monthly Metrics'!A:A,$B$4,'Data - Monthly Metrics'!B:B,"Jan",'Data - Monthly Metrics'!C:C,"Majors/NRA",'Data - Monthly Metrics'!D:D,"Revenue Retained - Target ($)")+SUMIFS('Data - Monthly Metrics'!E:E,'Data - Monthly Metrics'!A:A,$B$4,'Data - Monthly Metrics'!B:B,"Jan",'Data - Monthly Metrics'!C:C,"Majors/NRA",'Data - Monthly Metrics'!D:D,"Revenue Retained - Non-Target ($)"))/(SUMIFS('Data - Monthly Metrics'!E:E,'Data - Monthly Metrics'!A:A,$B$4,'Data - Monthly Metrics'!B:B,"Jan",'Data - Monthly Metrics'!C:C,"Majors/NRA",'Data - Monthly Metrics'!D:D,"Revenue Up for Renewal - Target ($)")+SUMIFS('Data - Monthly Metrics'!E:E,'Data - Monthly Metrics'!A:A,$B$4,'Data - Monthly Metrics'!B:B,"Jan",'Data - Monthly Metrics'!C:C,"Majors/NRA",'Data - Monthly Metrics'!D:D,"Revenue Up for Renewal - Non-Target ($)")))</f>
        <v/>
      </c>
      <c r="G28" s="115">
        <f>IF((SUMIFS('Data - Monthly Metrics'!E:E,'Data - Monthly Metrics'!A:A,$B$4,'Data - Monthly Metrics'!B:B,"Feb",'Data - Monthly Metrics'!C:C,"Majors/NRA",'Data - Monthly Metrics'!D:D,"Revenue Up for Renewal - Target ($)")+SUMIFS('Data - Monthly Metrics'!E:E,'Data - Monthly Metrics'!A:A,$B$4,'Data - Monthly Metrics'!B:B,"Feb",'Data - Monthly Metrics'!C:C,"Majors/NRA",'Data - Monthly Metrics'!D:D,"Revenue Up for Renewal - Non-Target ($)"))=0,"-",(SUMIFS('Data - Monthly Metrics'!E:E,'Data - Monthly Metrics'!A:A,$B$4,'Data - Monthly Metrics'!B:B,"Feb",'Data - Monthly Metrics'!C:C,"Majors/NRA",'Data - Monthly Metrics'!D:D,"Revenue Retained - Target ($)")+SUMIFS('Data - Monthly Metrics'!E:E,'Data - Monthly Metrics'!A:A,$B$4,'Data - Monthly Metrics'!B:B,"Feb",'Data - Monthly Metrics'!C:C,"Majors/NRA",'Data - Monthly Metrics'!D:D,"Revenue Retained - Non-Target ($)"))/(SUMIFS('Data - Monthly Metrics'!E:E,'Data - Monthly Metrics'!A:A,$B$4,'Data - Monthly Metrics'!B:B,"Feb",'Data - Monthly Metrics'!C:C,"Majors/NRA",'Data - Monthly Metrics'!D:D,"Revenue Up for Renewal - Target ($)")+SUMIFS('Data - Monthly Metrics'!E:E,'Data - Monthly Metrics'!A:A,$B$4,'Data - Monthly Metrics'!B:B,"Feb",'Data - Monthly Metrics'!C:C,"Majors/NRA",'Data - Monthly Metrics'!D:D,"Revenue Up for Renewal - Non-Target ($)")))</f>
        <v/>
      </c>
      <c r="H28" s="115">
        <f>IF((SUMIFS('Data - Monthly Metrics'!E:E,'Data - Monthly Metrics'!A:A,$B$4,'Data - Monthly Metrics'!B:B,"Mar",'Data - Monthly Metrics'!C:C,"Majors/NRA",'Data - Monthly Metrics'!D:D,"Revenue Up for Renewal - Target ($)")+SUMIFS('Data - Monthly Metrics'!E:E,'Data - Monthly Metrics'!A:A,$B$4,'Data - Monthly Metrics'!B:B,"Mar",'Data - Monthly Metrics'!C:C,"Majors/NRA",'Data - Monthly Metrics'!D:D,"Revenue Up for Renewal - Non-Target ($)"))=0,"-",(SUMIFS('Data - Monthly Metrics'!E:E,'Data - Monthly Metrics'!A:A,$B$4,'Data - Monthly Metrics'!B:B,"Mar",'Data - Monthly Metrics'!C:C,"Majors/NRA",'Data - Monthly Metrics'!D:D,"Revenue Retained - Target ($)")+SUMIFS('Data - Monthly Metrics'!E:E,'Data - Monthly Metrics'!A:A,$B$4,'Data - Monthly Metrics'!B:B,"Mar",'Data - Monthly Metrics'!C:C,"Majors/NRA",'Data - Monthly Metrics'!D:D,"Revenue Retained - Non-Target ($)"))/(SUMIFS('Data - Monthly Metrics'!E:E,'Data - Monthly Metrics'!A:A,$B$4,'Data - Monthly Metrics'!B:B,"Mar",'Data - Monthly Metrics'!C:C,"Majors/NRA",'Data - Monthly Metrics'!D:D,"Revenue Up for Renewal - Target ($)")+SUMIFS('Data - Monthly Metrics'!E:E,'Data - Monthly Metrics'!A:A,$B$4,'Data - Monthly Metrics'!B:B,"Mar",'Data - Monthly Metrics'!C:C,"Majors/NRA",'Data - Monthly Metrics'!D:D,"Revenue Up for Renewal - Non-Target ($)")))</f>
        <v/>
      </c>
      <c r="I28" s="116">
        <f>IF(I22=0,0,I23/I22)</f>
        <v/>
      </c>
      <c r="J28" s="115">
        <f>IF((SUMIFS('Data - Monthly Metrics'!E:E,'Data - Monthly Metrics'!A:A,$B$4,'Data - Monthly Metrics'!B:B,"Apr",'Data - Monthly Metrics'!C:C,"Majors/NRA",'Data - Monthly Metrics'!D:D,"Revenue Up for Renewal - Target ($)")+SUMIFS('Data - Monthly Metrics'!E:E,'Data - Monthly Metrics'!A:A,$B$4,'Data - Monthly Metrics'!B:B,"Apr",'Data - Monthly Metrics'!C:C,"Majors/NRA",'Data - Monthly Metrics'!D:D,"Revenue Up for Renewal - Non-Target ($)"))=0,"-",(SUMIFS('Data - Monthly Metrics'!E:E,'Data - Monthly Metrics'!A:A,$B$4,'Data - Monthly Metrics'!B:B,"Apr",'Data - Monthly Metrics'!C:C,"Majors/NRA",'Data - Monthly Metrics'!D:D,"Revenue Retained - Target ($)")+SUMIFS('Data - Monthly Metrics'!E:E,'Data - Monthly Metrics'!A:A,$B$4,'Data - Monthly Metrics'!B:B,"Apr",'Data - Monthly Metrics'!C:C,"Majors/NRA",'Data - Monthly Metrics'!D:D,"Revenue Retained - Non-Target ($)"))/(SUMIFS('Data - Monthly Metrics'!E:E,'Data - Monthly Metrics'!A:A,$B$4,'Data - Monthly Metrics'!B:B,"Apr",'Data - Monthly Metrics'!C:C,"Majors/NRA",'Data - Monthly Metrics'!D:D,"Revenue Up for Renewal - Target ($)")+SUMIFS('Data - Monthly Metrics'!E:E,'Data - Monthly Metrics'!A:A,$B$4,'Data - Monthly Metrics'!B:B,"Apr",'Data - Monthly Metrics'!C:C,"Majors/NRA",'Data - Monthly Metrics'!D:D,"Revenue Up for Renewal - Non-Target ($)")))</f>
        <v/>
      </c>
      <c r="K28" s="115">
        <f>IF((SUMIFS('Data - Monthly Metrics'!E:E,'Data - Monthly Metrics'!A:A,$B$4,'Data - Monthly Metrics'!B:B,"May",'Data - Monthly Metrics'!C:C,"Majors/NRA",'Data - Monthly Metrics'!D:D,"Revenue Up for Renewal - Target ($)")+SUMIFS('Data - Monthly Metrics'!E:E,'Data - Monthly Metrics'!A:A,$B$4,'Data - Monthly Metrics'!B:B,"May",'Data - Monthly Metrics'!C:C,"Majors/NRA",'Data - Monthly Metrics'!D:D,"Revenue Up for Renewal - Non-Target ($)"))=0,"-",(SUMIFS('Data - Monthly Metrics'!E:E,'Data - Monthly Metrics'!A:A,$B$4,'Data - Monthly Metrics'!B:B,"May",'Data - Monthly Metrics'!C:C,"Majors/NRA",'Data - Monthly Metrics'!D:D,"Revenue Retained - Target ($)")+SUMIFS('Data - Monthly Metrics'!E:E,'Data - Monthly Metrics'!A:A,$B$4,'Data - Monthly Metrics'!B:B,"May",'Data - Monthly Metrics'!C:C,"Majors/NRA",'Data - Monthly Metrics'!D:D,"Revenue Retained - Non-Target ($)"))/(SUMIFS('Data - Monthly Metrics'!E:E,'Data - Monthly Metrics'!A:A,$B$4,'Data - Monthly Metrics'!B:B,"May",'Data - Monthly Metrics'!C:C,"Majors/NRA",'Data - Monthly Metrics'!D:D,"Revenue Up for Renewal - Target ($)")+SUMIFS('Data - Monthly Metrics'!E:E,'Data - Monthly Metrics'!A:A,$B$4,'Data - Monthly Metrics'!B:B,"May",'Data - Monthly Metrics'!C:C,"Majors/NRA",'Data - Monthly Metrics'!D:D,"Revenue Up for Renewal - Non-Target ($)")))</f>
        <v/>
      </c>
      <c r="L28" s="115">
        <f>IF((SUMIFS('Data - Monthly Metrics'!E:E,'Data - Monthly Metrics'!A:A,$B$4,'Data - Monthly Metrics'!B:B,"Jun",'Data - Monthly Metrics'!C:C,"Majors/NRA",'Data - Monthly Metrics'!D:D,"Revenue Up for Renewal - Target ($)")+SUMIFS('Data - Monthly Metrics'!E:E,'Data - Monthly Metrics'!A:A,$B$4,'Data - Monthly Metrics'!B:B,"Jun",'Data - Monthly Metrics'!C:C,"Majors/NRA",'Data - Monthly Metrics'!D:D,"Revenue Up for Renewal - Non-Target ($)"))=0,"-",(SUMIFS('Data - Monthly Metrics'!E:E,'Data - Monthly Metrics'!A:A,$B$4,'Data - Monthly Metrics'!B:B,"Jun",'Data - Monthly Metrics'!C:C,"Majors/NRA",'Data - Monthly Metrics'!D:D,"Revenue Retained - Target ($)")+SUMIFS('Data - Monthly Metrics'!E:E,'Data - Monthly Metrics'!A:A,$B$4,'Data - Monthly Metrics'!B:B,"Jun",'Data - Monthly Metrics'!C:C,"Majors/NRA",'Data - Monthly Metrics'!D:D,"Revenue Retained - Non-Target ($)"))/(SUMIFS('Data - Monthly Metrics'!E:E,'Data - Monthly Metrics'!A:A,$B$4,'Data - Monthly Metrics'!B:B,"Jun",'Data - Monthly Metrics'!C:C,"Majors/NRA",'Data - Monthly Metrics'!D:D,"Revenue Up for Renewal - Target ($)")+SUMIFS('Data - Monthly Metrics'!E:E,'Data - Monthly Metrics'!A:A,$B$4,'Data - Monthly Metrics'!B:B,"Jun",'Data - Monthly Metrics'!C:C,"Majors/NRA",'Data - Monthly Metrics'!D:D,"Revenue Up for Renewal - Non-Target ($)")))</f>
        <v/>
      </c>
      <c r="M28" s="116">
        <f>IF(M22=0,0,M23/M22)</f>
        <v/>
      </c>
      <c r="N28" s="115">
        <f>IF((SUMIFS('Data - Monthly Metrics'!E:E,'Data - Monthly Metrics'!A:A,$B$4,'Data - Monthly Metrics'!B:B,"Jul",'Data - Monthly Metrics'!C:C,"Majors/NRA",'Data - Monthly Metrics'!D:D,"Revenue Up for Renewal - Target ($)")+SUMIFS('Data - Monthly Metrics'!E:E,'Data - Monthly Metrics'!A:A,$B$4,'Data - Monthly Metrics'!B:B,"Jul",'Data - Monthly Metrics'!C:C,"Majors/NRA",'Data - Monthly Metrics'!D:D,"Revenue Up for Renewal - Non-Target ($)"))=0,"-",(SUMIFS('Data - Monthly Metrics'!E:E,'Data - Monthly Metrics'!A:A,$B$4,'Data - Monthly Metrics'!B:B,"Jul",'Data - Monthly Metrics'!C:C,"Majors/NRA",'Data - Monthly Metrics'!D:D,"Revenue Retained - Target ($)")+SUMIFS('Data - Monthly Metrics'!E:E,'Data - Monthly Metrics'!A:A,$B$4,'Data - Monthly Metrics'!B:B,"Jul",'Data - Monthly Metrics'!C:C,"Majors/NRA",'Data - Monthly Metrics'!D:D,"Revenue Retained - Non-Target ($)"))/(SUMIFS('Data - Monthly Metrics'!E:E,'Data - Monthly Metrics'!A:A,$B$4,'Data - Monthly Metrics'!B:B,"Jul",'Data - Monthly Metrics'!C:C,"Majors/NRA",'Data - Monthly Metrics'!D:D,"Revenue Up for Renewal - Target ($)")+SUMIFS('Data - Monthly Metrics'!E:E,'Data - Monthly Metrics'!A:A,$B$4,'Data - Monthly Metrics'!B:B,"Jul",'Data - Monthly Metrics'!C:C,"Majors/NRA",'Data - Monthly Metrics'!D:D,"Revenue Up for Renewal - Non-Target ($)")))</f>
        <v/>
      </c>
      <c r="O28" s="115">
        <f>IF((SUMIFS('Data - Monthly Metrics'!E:E,'Data - Monthly Metrics'!A:A,$B$4,'Data - Monthly Metrics'!B:B,"Aug",'Data - Monthly Metrics'!C:C,"Majors/NRA",'Data - Monthly Metrics'!D:D,"Revenue Up for Renewal - Target ($)")+SUMIFS('Data - Monthly Metrics'!E:E,'Data - Monthly Metrics'!A:A,$B$4,'Data - Monthly Metrics'!B:B,"Aug",'Data - Monthly Metrics'!C:C,"Majors/NRA",'Data - Monthly Metrics'!D:D,"Revenue Up for Renewal - Non-Target ($)"))=0,"-",(SUMIFS('Data - Monthly Metrics'!E:E,'Data - Monthly Metrics'!A:A,$B$4,'Data - Monthly Metrics'!B:B,"Aug",'Data - Monthly Metrics'!C:C,"Majors/NRA",'Data - Monthly Metrics'!D:D,"Revenue Retained - Target ($)")+SUMIFS('Data - Monthly Metrics'!E:E,'Data - Monthly Metrics'!A:A,$B$4,'Data - Monthly Metrics'!B:B,"Aug",'Data - Monthly Metrics'!C:C,"Majors/NRA",'Data - Monthly Metrics'!D:D,"Revenue Retained - Non-Target ($)"))/(SUMIFS('Data - Monthly Metrics'!E:E,'Data - Monthly Metrics'!A:A,$B$4,'Data - Monthly Metrics'!B:B,"Aug",'Data - Monthly Metrics'!C:C,"Majors/NRA",'Data - Monthly Metrics'!D:D,"Revenue Up for Renewal - Target ($)")+SUMIFS('Data - Monthly Metrics'!E:E,'Data - Monthly Metrics'!A:A,$B$4,'Data - Monthly Metrics'!B:B,"Aug",'Data - Monthly Metrics'!C:C,"Majors/NRA",'Data - Monthly Metrics'!D:D,"Revenue Up for Renewal - Non-Target ($)")))</f>
        <v/>
      </c>
      <c r="P28" s="115">
        <f>IF((SUMIFS('Data - Monthly Metrics'!E:E,'Data - Monthly Metrics'!A:A,$B$4,'Data - Monthly Metrics'!B:B,"Sep",'Data - Monthly Metrics'!C:C,"Majors/NRA",'Data - Monthly Metrics'!D:D,"Revenue Up for Renewal - Target ($)")+SUMIFS('Data - Monthly Metrics'!E:E,'Data - Monthly Metrics'!A:A,$B$4,'Data - Monthly Metrics'!B:B,"Sep",'Data - Monthly Metrics'!C:C,"Majors/NRA",'Data - Monthly Metrics'!D:D,"Revenue Up for Renewal - Non-Target ($)"))=0,"-",(SUMIFS('Data - Monthly Metrics'!E:E,'Data - Monthly Metrics'!A:A,$B$4,'Data - Monthly Metrics'!B:B,"Sep",'Data - Monthly Metrics'!C:C,"Majors/NRA",'Data - Monthly Metrics'!D:D,"Revenue Retained - Target ($)")+SUMIFS('Data - Monthly Metrics'!E:E,'Data - Monthly Metrics'!A:A,$B$4,'Data - Monthly Metrics'!B:B,"Sep",'Data - Monthly Metrics'!C:C,"Majors/NRA",'Data - Monthly Metrics'!D:D,"Revenue Retained - Non-Target ($)"))/(SUMIFS('Data - Monthly Metrics'!E:E,'Data - Monthly Metrics'!A:A,$B$4,'Data - Monthly Metrics'!B:B,"Sep",'Data - Monthly Metrics'!C:C,"Majors/NRA",'Data - Monthly Metrics'!D:D,"Revenue Up for Renewal - Target ($)")+SUMIFS('Data - Monthly Metrics'!E:E,'Data - Monthly Metrics'!A:A,$B$4,'Data - Monthly Metrics'!B:B,"Sep",'Data - Monthly Metrics'!C:C,"Majors/NRA",'Data - Monthly Metrics'!D:D,"Revenue Up for Renewal - Non-Target ($)")))</f>
        <v/>
      </c>
      <c r="Q28" s="116">
        <f>IF(Q22=0,0,Q23/Q22)</f>
        <v/>
      </c>
      <c r="R28" s="116">
        <f>IF(R22=0,0,R23/R22)</f>
        <v/>
      </c>
      <c r="S28" s="81" t="n"/>
      <c r="T28" s="81" t="n"/>
      <c r="U28" s="81" t="n"/>
      <c r="V28" s="81" t="n"/>
      <c r="W28" s="81" t="n"/>
      <c r="X28" s="81" t="n"/>
      <c r="Y28" s="81" t="n"/>
      <c r="Z28" s="81" t="n"/>
      <c r="AA28" s="81" t="n"/>
      <c r="AB28" s="81" t="n"/>
      <c r="AC28" s="81" t="n"/>
      <c r="AD28" s="81" t="n"/>
      <c r="AE28" s="81" t="n"/>
      <c r="AF28" s="81" t="n"/>
      <c r="AG28" s="81" t="n"/>
      <c r="AH28" s="81" t="n"/>
      <c r="AI28" s="81" t="n"/>
      <c r="AJ28" s="81" t="n"/>
      <c r="AK28" s="81" t="n"/>
      <c r="AL28" s="81" t="n"/>
      <c r="AM28" s="81" t="n"/>
      <c r="AN28" s="81" t="n"/>
      <c r="AO28" s="81" t="n"/>
      <c r="AP28" s="81" t="n"/>
      <c r="AQ28" s="81" t="n"/>
      <c r="AR28" s="81" t="n"/>
    </row>
    <row r="29" ht="14.25" customHeight="1" s="82">
      <c r="A29" s="109" t="inlineStr">
        <is>
          <t>Penetration — Restaurant % (Combined)</t>
        </is>
      </c>
      <c r="B29" s="115">
        <f>IF((SUMIFS('Data - Monthly Metrics'!E:E,'Data - Monthly Metrics'!A:A,$B$4-1,'Data - Monthly Metrics'!B:B,"Oct",'Data - Monthly Metrics'!C:C,"Majors/NRA",'Data - Monthly Metrics'!D:D,"Total Target Locations - Restaurant (#)")+SUMIFS('Data - Monthly Metrics'!E:E,'Data - Monthly Metrics'!A:A,$B$4-1,'Data - Monthly Metrics'!B:B,"Oct",'Data - Monthly Metrics'!C:C,"Majors/NRA",'Data - Monthly Metrics'!D:D,"Non-Target Locations - Restaurant (#)"))=0,"-",(SUMIFS('Data - Monthly Metrics'!E:E,'Data - Monthly Metrics'!A:A,$B$4-1,'Data - Monthly Metrics'!B:B,"Oct",'Data - Monthly Metrics'!C:C,"Majors/NRA",'Data - Monthly Metrics'!D:D,"Target Members - Restaurant (#)")+SUMIFS('Data - Monthly Metrics'!E:E,'Data - Monthly Metrics'!A:A,$B$4-1,'Data - Monthly Metrics'!B:B,"Oct",'Data - Monthly Metrics'!C:C,"Majors/NRA",'Data - Monthly Metrics'!D:D,"Non-Target Members - Restaurant (#)"))/(SUMIFS('Data - Monthly Metrics'!E:E,'Data - Monthly Metrics'!A:A,$B$4-1,'Data - Monthly Metrics'!B:B,"Oct",'Data - Monthly Metrics'!C:C,"Majors/NRA",'Data - Monthly Metrics'!D:D,"Total Target Locations - Restaurant (#)")+SUMIFS('Data - Monthly Metrics'!E:E,'Data - Monthly Metrics'!A:A,$B$4-1,'Data - Monthly Metrics'!B:B,"Oct",'Data - Monthly Metrics'!C:C,"Majors/NRA",'Data - Monthly Metrics'!D:D,"Non-Target Locations - Restaurant (#)")))</f>
        <v/>
      </c>
      <c r="C29" s="115">
        <f>IF((SUMIFS('Data - Monthly Metrics'!E:E,'Data - Monthly Metrics'!A:A,$B$4-1,'Data - Monthly Metrics'!B:B,"Nov",'Data - Monthly Metrics'!C:C,"Majors/NRA",'Data - Monthly Metrics'!D:D,"Total Target Locations - Restaurant (#)")+SUMIFS('Data - Monthly Metrics'!E:E,'Data - Monthly Metrics'!A:A,$B$4-1,'Data - Monthly Metrics'!B:B,"Nov",'Data - Monthly Metrics'!C:C,"Majors/NRA",'Data - Monthly Metrics'!D:D,"Non-Target Locations - Restaurant (#)"))=0,"-",(SUMIFS('Data - Monthly Metrics'!E:E,'Data - Monthly Metrics'!A:A,$B$4-1,'Data - Monthly Metrics'!B:B,"Nov",'Data - Monthly Metrics'!C:C,"Majors/NRA",'Data - Monthly Metrics'!D:D,"Target Members - Restaurant (#)")+SUMIFS('Data - Monthly Metrics'!E:E,'Data - Monthly Metrics'!A:A,$B$4-1,'Data - Monthly Metrics'!B:B,"Nov",'Data - Monthly Metrics'!C:C,"Majors/NRA",'Data - Monthly Metrics'!D:D,"Non-Target Members - Restaurant (#)"))/(SUMIFS('Data - Monthly Metrics'!E:E,'Data - Monthly Metrics'!A:A,$B$4-1,'Data - Monthly Metrics'!B:B,"Nov",'Data - Monthly Metrics'!C:C,"Majors/NRA",'Data - Monthly Metrics'!D:D,"Total Target Locations - Restaurant (#)")+SUMIFS('Data - Monthly Metrics'!E:E,'Data - Monthly Metrics'!A:A,$B$4-1,'Data - Monthly Metrics'!B:B,"Nov",'Data - Monthly Metrics'!C:C,"Majors/NRA",'Data - Monthly Metrics'!D:D,"Non-Target Locations - Restaurant (#)")))</f>
        <v/>
      </c>
      <c r="D29" s="115">
        <f>IF((SUMIFS('Data - Monthly Metrics'!E:E,'Data - Monthly Metrics'!A:A,$B$4-1,'Data - Monthly Metrics'!B:B,"Dec",'Data - Monthly Metrics'!C:C,"Majors/NRA",'Data - Monthly Metrics'!D:D,"Total Target Locations - Restaurant (#)")+SUMIFS('Data - Monthly Metrics'!E:E,'Data - Monthly Metrics'!A:A,$B$4-1,'Data - Monthly Metrics'!B:B,"Dec",'Data - Monthly Metrics'!C:C,"Majors/NRA",'Data - Monthly Metrics'!D:D,"Non-Target Locations - Restaurant (#)"))=0,"-",(SUMIFS('Data - Monthly Metrics'!E:E,'Data - Monthly Metrics'!A:A,$B$4-1,'Data - Monthly Metrics'!B:B,"Dec",'Data - Monthly Metrics'!C:C,"Majors/NRA",'Data - Monthly Metrics'!D:D,"Target Members - Restaurant (#)")+SUMIFS('Data - Monthly Metrics'!E:E,'Data - Monthly Metrics'!A:A,$B$4-1,'Data - Monthly Metrics'!B:B,"Dec",'Data - Monthly Metrics'!C:C,"Majors/NRA",'Data - Monthly Metrics'!D:D,"Non-Target Members - Restaurant (#)"))/(SUMIFS('Data - Monthly Metrics'!E:E,'Data - Monthly Metrics'!A:A,$B$4-1,'Data - Monthly Metrics'!B:B,"Dec",'Data - Monthly Metrics'!C:C,"Majors/NRA",'Data - Monthly Metrics'!D:D,"Total Target Locations - Restaurant (#)")+SUMIFS('Data - Monthly Metrics'!E:E,'Data - Monthly Metrics'!A:A,$B$4-1,'Data - Monthly Metrics'!B:B,"Dec",'Data - Monthly Metrics'!C:C,"Majors/NRA",'Data - Monthly Metrics'!D:D,"Non-Target Locations - Restaurant (#)")))</f>
        <v/>
      </c>
      <c r="E29" s="116">
        <f>IF(ISNUMBER(D29),D29,IF(ISNUMBER(C29),C29,IF(ISNUMBER(B29),B29,"-")))</f>
        <v/>
      </c>
      <c r="F29" s="115">
        <f>IF((SUMIFS('Data - Monthly Metrics'!E:E,'Data - Monthly Metrics'!A:A,$B$4,'Data - Monthly Metrics'!B:B,"Jan",'Data - Monthly Metrics'!C:C,"Majors/NRA",'Data - Monthly Metrics'!D:D,"Total Target Locations - Restaurant (#)")+SUMIFS('Data - Monthly Metrics'!E:E,'Data - Monthly Metrics'!A:A,$B$4,'Data - Monthly Metrics'!B:B,"Jan",'Data - Monthly Metrics'!C:C,"Majors/NRA",'Data - Monthly Metrics'!D:D,"Non-Target Locations - Restaurant (#)"))=0,"-",(SUMIFS('Data - Monthly Metrics'!E:E,'Data - Monthly Metrics'!A:A,$B$4,'Data - Monthly Metrics'!B:B,"Jan",'Data - Monthly Metrics'!C:C,"Majors/NRA",'Data - Monthly Metrics'!D:D,"Target Members - Restaurant (#)")+SUMIFS('Data - Monthly Metrics'!E:E,'Data - Monthly Metrics'!A:A,$B$4,'Data - Monthly Metrics'!B:B,"Jan",'Data - Monthly Metrics'!C:C,"Majors/NRA",'Data - Monthly Metrics'!D:D,"Non-Target Members - Restaurant (#)"))/(SUMIFS('Data - Monthly Metrics'!E:E,'Data - Monthly Metrics'!A:A,$B$4,'Data - Monthly Metrics'!B:B,"Jan",'Data - Monthly Metrics'!C:C,"Majors/NRA",'Data - Monthly Metrics'!D:D,"Total Target Locations - Restaurant (#)")+SUMIFS('Data - Monthly Metrics'!E:E,'Data - Monthly Metrics'!A:A,$B$4,'Data - Monthly Metrics'!B:B,"Jan",'Data - Monthly Metrics'!C:C,"Majors/NRA",'Data - Monthly Metrics'!D:D,"Non-Target Locations - Restaurant (#)")))</f>
        <v/>
      </c>
      <c r="G29" s="115">
        <f>IF((SUMIFS('Data - Monthly Metrics'!E:E,'Data - Monthly Metrics'!A:A,$B$4,'Data - Monthly Metrics'!B:B,"Feb",'Data - Monthly Metrics'!C:C,"Majors/NRA",'Data - Monthly Metrics'!D:D,"Total Target Locations - Restaurant (#)")+SUMIFS('Data - Monthly Metrics'!E:E,'Data - Monthly Metrics'!A:A,$B$4,'Data - Monthly Metrics'!B:B,"Feb",'Data - Monthly Metrics'!C:C,"Majors/NRA",'Data - Monthly Metrics'!D:D,"Non-Target Locations - Restaurant (#)"))=0,"-",(SUMIFS('Data - Monthly Metrics'!E:E,'Data - Monthly Metrics'!A:A,$B$4,'Data - Monthly Metrics'!B:B,"Feb",'Data - Monthly Metrics'!C:C,"Majors/NRA",'Data - Monthly Metrics'!D:D,"Target Members - Restaurant (#)")+SUMIFS('Data - Monthly Metrics'!E:E,'Data - Monthly Metrics'!A:A,$B$4,'Data - Monthly Metrics'!B:B,"Feb",'Data - Monthly Metrics'!C:C,"Majors/NRA",'Data - Monthly Metrics'!D:D,"Non-Target Members - Restaurant (#)"))/(SUMIFS('Data - Monthly Metrics'!E:E,'Data - Monthly Metrics'!A:A,$B$4,'Data - Monthly Metrics'!B:B,"Feb",'Data - Monthly Metrics'!C:C,"Majors/NRA",'Data - Monthly Metrics'!D:D,"Total Target Locations - Restaurant (#)")+SUMIFS('Data - Monthly Metrics'!E:E,'Data - Monthly Metrics'!A:A,$B$4,'Data - Monthly Metrics'!B:B,"Feb",'Data - Monthly Metrics'!C:C,"Majors/NRA",'Data - Monthly Metrics'!D:D,"Non-Target Locations - Restaurant (#)")))</f>
        <v/>
      </c>
      <c r="H29" s="115">
        <f>IF((SUMIFS('Data - Monthly Metrics'!E:E,'Data - Monthly Metrics'!A:A,$B$4,'Data - Monthly Metrics'!B:B,"Mar",'Data - Monthly Metrics'!C:C,"Majors/NRA",'Data - Monthly Metrics'!D:D,"Total Target Locations - Restaurant (#)")+SUMIFS('Data - Monthly Metrics'!E:E,'Data - Monthly Metrics'!A:A,$B$4,'Data - Monthly Metrics'!B:B,"Mar",'Data - Monthly Metrics'!C:C,"Majors/NRA",'Data - Monthly Metrics'!D:D,"Non-Target Locations - Restaurant (#)"))=0,"-",(SUMIFS('Data - Monthly Metrics'!E:E,'Data - Monthly Metrics'!A:A,$B$4,'Data - Monthly Metrics'!B:B,"Mar",'Data - Monthly Metrics'!C:C,"Majors/NRA",'Data - Monthly Metrics'!D:D,"Target Members - Restaurant (#)")+SUMIFS('Data - Monthly Metrics'!E:E,'Data - Monthly Metrics'!A:A,$B$4,'Data - Monthly Metrics'!B:B,"Mar",'Data - Monthly Metrics'!C:C,"Majors/NRA",'Data - Monthly Metrics'!D:D,"Non-Target Members - Restaurant (#)"))/(SUMIFS('Data - Monthly Metrics'!E:E,'Data - Monthly Metrics'!A:A,$B$4,'Data - Monthly Metrics'!B:B,"Mar",'Data - Monthly Metrics'!C:C,"Majors/NRA",'Data - Monthly Metrics'!D:D,"Total Target Locations - Restaurant (#)")+SUMIFS('Data - Monthly Metrics'!E:E,'Data - Monthly Metrics'!A:A,$B$4,'Data - Monthly Metrics'!B:B,"Mar",'Data - Monthly Metrics'!C:C,"Majors/NRA",'Data - Monthly Metrics'!D:D,"Non-Target Locations - Restaurant (#)")))</f>
        <v/>
      </c>
      <c r="I29" s="116">
        <f>IF(ISNUMBER(H29),H29,IF(ISNUMBER(G29),G29,IF(ISNUMBER(F29),F29,"-")))</f>
        <v/>
      </c>
      <c r="J29" s="115">
        <f>IF((SUMIFS('Data - Monthly Metrics'!E:E,'Data - Monthly Metrics'!A:A,$B$4,'Data - Monthly Metrics'!B:B,"Apr",'Data - Monthly Metrics'!C:C,"Majors/NRA",'Data - Monthly Metrics'!D:D,"Total Target Locations - Restaurant (#)")+SUMIFS('Data - Monthly Metrics'!E:E,'Data - Monthly Metrics'!A:A,$B$4,'Data - Monthly Metrics'!B:B,"Apr",'Data - Monthly Metrics'!C:C,"Majors/NRA",'Data - Monthly Metrics'!D:D,"Non-Target Locations - Restaurant (#)"))=0,"-",(SUMIFS('Data - Monthly Metrics'!E:E,'Data - Monthly Metrics'!A:A,$B$4,'Data - Monthly Metrics'!B:B,"Apr",'Data - Monthly Metrics'!C:C,"Majors/NRA",'Data - Monthly Metrics'!D:D,"Target Members - Restaurant (#)")+SUMIFS('Data - Monthly Metrics'!E:E,'Data - Monthly Metrics'!A:A,$B$4,'Data - Monthly Metrics'!B:B,"Apr",'Data - Monthly Metrics'!C:C,"Majors/NRA",'Data - Monthly Metrics'!D:D,"Non-Target Members - Restaurant (#)"))/(SUMIFS('Data - Monthly Metrics'!E:E,'Data - Monthly Metrics'!A:A,$B$4,'Data - Monthly Metrics'!B:B,"Apr",'Data - Monthly Metrics'!C:C,"Majors/NRA",'Data - Monthly Metrics'!D:D,"Total Target Locations - Restaurant (#)")+SUMIFS('Data - Monthly Metrics'!E:E,'Data - Monthly Metrics'!A:A,$B$4,'Data - Monthly Metrics'!B:B,"Apr",'Data - Monthly Metrics'!C:C,"Majors/NRA",'Data - Monthly Metrics'!D:D,"Non-Target Locations - Restaurant (#)")))</f>
        <v/>
      </c>
      <c r="K29" s="115">
        <f>IF((SUMIFS('Data - Monthly Metrics'!E:E,'Data - Monthly Metrics'!A:A,$B$4,'Data - Monthly Metrics'!B:B,"May",'Data - Monthly Metrics'!C:C,"Majors/NRA",'Data - Monthly Metrics'!D:D,"Total Target Locations - Restaurant (#)")+SUMIFS('Data - Monthly Metrics'!E:E,'Data - Monthly Metrics'!A:A,$B$4,'Data - Monthly Metrics'!B:B,"May",'Data - Monthly Metrics'!C:C,"Majors/NRA",'Data - Monthly Metrics'!D:D,"Non-Target Locations - Restaurant (#)"))=0,"-",(SUMIFS('Data - Monthly Metrics'!E:E,'Data - Monthly Metrics'!A:A,$B$4,'Data - Monthly Metrics'!B:B,"May",'Data - Monthly Metrics'!C:C,"Majors/NRA",'Data - Monthly Metrics'!D:D,"Target Members - Restaurant (#)")+SUMIFS('Data - Monthly Metrics'!E:E,'Data - Monthly Metrics'!A:A,$B$4,'Data - Monthly Metrics'!B:B,"May",'Data - Monthly Metrics'!C:C,"Majors/NRA",'Data - Monthly Metrics'!D:D,"Non-Target Members - Restaurant (#)"))/(SUMIFS('Data - Monthly Metrics'!E:E,'Data - Monthly Metrics'!A:A,$B$4,'Data - Monthly Metrics'!B:B,"May",'Data - Monthly Metrics'!C:C,"Majors/NRA",'Data - Monthly Metrics'!D:D,"Total Target Locations - Restaurant (#)")+SUMIFS('Data - Monthly Metrics'!E:E,'Data - Monthly Metrics'!A:A,$B$4,'Data - Monthly Metrics'!B:B,"May",'Data - Monthly Metrics'!C:C,"Majors/NRA",'Data - Monthly Metrics'!D:D,"Non-Target Locations - Restaurant (#)")))</f>
        <v/>
      </c>
      <c r="L29" s="115">
        <f>IF((SUMIFS('Data - Monthly Metrics'!E:E,'Data - Monthly Metrics'!A:A,$B$4,'Data - Monthly Metrics'!B:B,"Jun",'Data - Monthly Metrics'!C:C,"Majors/NRA",'Data - Monthly Metrics'!D:D,"Total Target Locations - Restaurant (#)")+SUMIFS('Data - Monthly Metrics'!E:E,'Data - Monthly Metrics'!A:A,$B$4,'Data - Monthly Metrics'!B:B,"Jun",'Data - Monthly Metrics'!C:C,"Majors/NRA",'Data - Monthly Metrics'!D:D,"Non-Target Locations - Restaurant (#)"))=0,"-",(SUMIFS('Data - Monthly Metrics'!E:E,'Data - Monthly Metrics'!A:A,$B$4,'Data - Monthly Metrics'!B:B,"Jun",'Data - Monthly Metrics'!C:C,"Majors/NRA",'Data - Monthly Metrics'!D:D,"Target Members - Restaurant (#)")+SUMIFS('Data - Monthly Metrics'!E:E,'Data - Monthly Metrics'!A:A,$B$4,'Data - Monthly Metrics'!B:B,"Jun",'Data - Monthly Metrics'!C:C,"Majors/NRA",'Data - Monthly Metrics'!D:D,"Non-Target Members - Restaurant (#)"))/(SUMIFS('Data - Monthly Metrics'!E:E,'Data - Monthly Metrics'!A:A,$B$4,'Data - Monthly Metrics'!B:B,"Jun",'Data - Monthly Metrics'!C:C,"Majors/NRA",'Data - Monthly Metrics'!D:D,"Total Target Locations - Restaurant (#)")+SUMIFS('Data - Monthly Metrics'!E:E,'Data - Monthly Metrics'!A:A,$B$4,'Data - Monthly Metrics'!B:B,"Jun",'Data - Monthly Metrics'!C:C,"Majors/NRA",'Data - Monthly Metrics'!D:D,"Non-Target Locations - Restaurant (#)")))</f>
        <v/>
      </c>
      <c r="M29" s="116">
        <f>IF(ISNUMBER(L29),L29,IF(ISNUMBER(K29),K29,IF(ISNUMBER(J29),J29,"-")))</f>
        <v/>
      </c>
      <c r="N29" s="115">
        <f>IF((SUMIFS('Data - Monthly Metrics'!E:E,'Data - Monthly Metrics'!A:A,$B$4,'Data - Monthly Metrics'!B:B,"Jul",'Data - Monthly Metrics'!C:C,"Majors/NRA",'Data - Monthly Metrics'!D:D,"Total Target Locations - Restaurant (#)")+SUMIFS('Data - Monthly Metrics'!E:E,'Data - Monthly Metrics'!A:A,$B$4,'Data - Monthly Metrics'!B:B,"Jul",'Data - Monthly Metrics'!C:C,"Majors/NRA",'Data - Monthly Metrics'!D:D,"Non-Target Locations - Restaurant (#)"))=0,"-",(SUMIFS('Data - Monthly Metrics'!E:E,'Data - Monthly Metrics'!A:A,$B$4,'Data - Monthly Metrics'!B:B,"Jul",'Data - Monthly Metrics'!C:C,"Majors/NRA",'Data - Monthly Metrics'!D:D,"Target Members - Restaurant (#)")+SUMIFS('Data - Monthly Metrics'!E:E,'Data - Monthly Metrics'!A:A,$B$4,'Data - Monthly Metrics'!B:B,"Jul",'Data - Monthly Metrics'!C:C,"Majors/NRA",'Data - Monthly Metrics'!D:D,"Non-Target Members - Restaurant (#)"))/(SUMIFS('Data - Monthly Metrics'!E:E,'Data - Monthly Metrics'!A:A,$B$4,'Data - Monthly Metrics'!B:B,"Jul",'Data - Monthly Metrics'!C:C,"Majors/NRA",'Data - Monthly Metrics'!D:D,"Total Target Locations - Restaurant (#)")+SUMIFS('Data - Monthly Metrics'!E:E,'Data - Monthly Metrics'!A:A,$B$4,'Data - Monthly Metrics'!B:B,"Jul",'Data - Monthly Metrics'!C:C,"Majors/NRA",'Data - Monthly Metrics'!D:D,"Non-Target Locations - Restaurant (#)")))</f>
        <v/>
      </c>
      <c r="O29" s="115">
        <f>IF((SUMIFS('Data - Monthly Metrics'!E:E,'Data - Monthly Metrics'!A:A,$B$4,'Data - Monthly Metrics'!B:B,"Aug",'Data - Monthly Metrics'!C:C,"Majors/NRA",'Data - Monthly Metrics'!D:D,"Total Target Locations - Restaurant (#)")+SUMIFS('Data - Monthly Metrics'!E:E,'Data - Monthly Metrics'!A:A,$B$4,'Data - Monthly Metrics'!B:B,"Aug",'Data - Monthly Metrics'!C:C,"Majors/NRA",'Data - Monthly Metrics'!D:D,"Non-Target Locations - Restaurant (#)"))=0,"-",(SUMIFS('Data - Monthly Metrics'!E:E,'Data - Monthly Metrics'!A:A,$B$4,'Data - Monthly Metrics'!B:B,"Aug",'Data - Monthly Metrics'!C:C,"Majors/NRA",'Data - Monthly Metrics'!D:D,"Target Members - Restaurant (#)")+SUMIFS('Data - Monthly Metrics'!E:E,'Data - Monthly Metrics'!A:A,$B$4,'Data - Monthly Metrics'!B:B,"Aug",'Data - Monthly Metrics'!C:C,"Majors/NRA",'Data - Monthly Metrics'!D:D,"Non-Target Members - Restaurant (#)"))/(SUMIFS('Data - Monthly Metrics'!E:E,'Data - Monthly Metrics'!A:A,$B$4,'Data - Monthly Metrics'!B:B,"Aug",'Data - Monthly Metrics'!C:C,"Majors/NRA",'Data - Monthly Metrics'!D:D,"Total Target Locations - Restaurant (#)")+SUMIFS('Data - Monthly Metrics'!E:E,'Data - Monthly Metrics'!A:A,$B$4,'Data - Monthly Metrics'!B:B,"Aug",'Data - Monthly Metrics'!C:C,"Majors/NRA",'Data - Monthly Metrics'!D:D,"Non-Target Locations - Restaurant (#)")))</f>
        <v/>
      </c>
      <c r="P29" s="115">
        <f>IF((SUMIFS('Data - Monthly Metrics'!E:E,'Data - Monthly Metrics'!A:A,$B$4,'Data - Monthly Metrics'!B:B,"Sep",'Data - Monthly Metrics'!C:C,"Majors/NRA",'Data - Monthly Metrics'!D:D,"Total Target Locations - Restaurant (#)")+SUMIFS('Data - Monthly Metrics'!E:E,'Data - Monthly Metrics'!A:A,$B$4,'Data - Monthly Metrics'!B:B,"Sep",'Data - Monthly Metrics'!C:C,"Majors/NRA",'Data - Monthly Metrics'!D:D,"Non-Target Locations - Restaurant (#)"))=0,"-",(SUMIFS('Data - Monthly Metrics'!E:E,'Data - Monthly Metrics'!A:A,$B$4,'Data - Monthly Metrics'!B:B,"Sep",'Data - Monthly Metrics'!C:C,"Majors/NRA",'Data - Monthly Metrics'!D:D,"Target Members - Restaurant (#)")+SUMIFS('Data - Monthly Metrics'!E:E,'Data - Monthly Metrics'!A:A,$B$4,'Data - Monthly Metrics'!B:B,"Sep",'Data - Monthly Metrics'!C:C,"Majors/NRA",'Data - Monthly Metrics'!D:D,"Non-Target Members - Restaurant (#)"))/(SUMIFS('Data - Monthly Metrics'!E:E,'Data - Monthly Metrics'!A:A,$B$4,'Data - Monthly Metrics'!B:B,"Sep",'Data - Monthly Metrics'!C:C,"Majors/NRA",'Data - Monthly Metrics'!D:D,"Total Target Locations - Restaurant (#)")+SUMIFS('Data - Monthly Metrics'!E:E,'Data - Monthly Metrics'!A:A,$B$4,'Data - Monthly Metrics'!B:B,"Sep",'Data - Monthly Metrics'!C:C,"Majors/NRA",'Data - Monthly Metrics'!D:D,"Non-Target Locations - Restaurant (#)")))</f>
        <v/>
      </c>
      <c r="Q29" s="116">
        <f>IF(ISNUMBER(P29),P29,IF(ISNUMBER(O29),O29,IF(ISNUMBER(N29),N29,"-")))</f>
        <v/>
      </c>
      <c r="R29" s="116">
        <f>IF(ISNUMBER(Q29),Q29,IF(ISNUMBER(M29),M29,IF(ISNUMBER(I29),I29,IF(ISNUMBER(E29),E29,"-"))))</f>
        <v/>
      </c>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row>
    <row r="30" ht="14.25" customHeight="1" s="82">
      <c r="A30" s="109" t="inlineStr">
        <is>
          <t>Penetration — Lodging % (Combined)</t>
        </is>
      </c>
      <c r="B30" s="118">
        <f>IF((SUMIFS('Data - Monthly Metrics'!E:E,'Data - Monthly Metrics'!A:A,$B$4-1,'Data - Monthly Metrics'!B:B,"Oct",'Data - Monthly Metrics'!C:C,"Majors/NRA",'Data - Monthly Metrics'!D:D,"Total Target Locations - Lodging (#)")+SUMIFS('Data - Monthly Metrics'!E:E,'Data - Monthly Metrics'!A:A,$B$4-1,'Data - Monthly Metrics'!B:B,"Oct",'Data - Monthly Metrics'!C:C,"Majors/NRA",'Data - Monthly Metrics'!D:D,"Non-Target Locations - Lodging (#)"))=0,"-",(SUMIFS('Data - Monthly Metrics'!E:E,'Data - Monthly Metrics'!A:A,$B$4-1,'Data - Monthly Metrics'!B:B,"Oct",'Data - Monthly Metrics'!C:C,"Majors/NRA",'Data - Monthly Metrics'!D:D,"Target Members - Lodging (#)")+SUMIFS('Data - Monthly Metrics'!E:E,'Data - Monthly Metrics'!A:A,$B$4-1,'Data - Monthly Metrics'!B:B,"Oct",'Data - Monthly Metrics'!C:C,"Majors/NRA",'Data - Monthly Metrics'!D:D,"Non-Target Members - Lodging (#)"))/(SUMIFS('Data - Monthly Metrics'!E:E,'Data - Monthly Metrics'!A:A,$B$4-1,'Data - Monthly Metrics'!B:B,"Oct",'Data - Monthly Metrics'!C:C,"Majors/NRA",'Data - Monthly Metrics'!D:D,"Total Target Locations - Lodging (#)")+SUMIFS('Data - Monthly Metrics'!E:E,'Data - Monthly Metrics'!A:A,$B$4-1,'Data - Monthly Metrics'!B:B,"Oct",'Data - Monthly Metrics'!C:C,"Majors/NRA",'Data - Monthly Metrics'!D:D,"Non-Target Locations - Lodging (#)")))</f>
        <v/>
      </c>
      <c r="C30" s="118">
        <f>IF((SUMIFS('Data - Monthly Metrics'!E:E,'Data - Monthly Metrics'!A:A,$B$4-1,'Data - Monthly Metrics'!B:B,"Nov",'Data - Monthly Metrics'!C:C,"Majors/NRA",'Data - Monthly Metrics'!D:D,"Total Target Locations - Lodging (#)")+SUMIFS('Data - Monthly Metrics'!E:E,'Data - Monthly Metrics'!A:A,$B$4-1,'Data - Monthly Metrics'!B:B,"Nov",'Data - Monthly Metrics'!C:C,"Majors/NRA",'Data - Monthly Metrics'!D:D,"Non-Target Locations - Lodging (#)"))=0,"-",(SUMIFS('Data - Monthly Metrics'!E:E,'Data - Monthly Metrics'!A:A,$B$4-1,'Data - Monthly Metrics'!B:B,"Nov",'Data - Monthly Metrics'!C:C,"Majors/NRA",'Data - Monthly Metrics'!D:D,"Target Members - Lodging (#)")+SUMIFS('Data - Monthly Metrics'!E:E,'Data - Monthly Metrics'!A:A,$B$4-1,'Data - Monthly Metrics'!B:B,"Nov",'Data - Monthly Metrics'!C:C,"Majors/NRA",'Data - Monthly Metrics'!D:D,"Non-Target Members - Lodging (#)"))/(SUMIFS('Data - Monthly Metrics'!E:E,'Data - Monthly Metrics'!A:A,$B$4-1,'Data - Monthly Metrics'!B:B,"Nov",'Data - Monthly Metrics'!C:C,"Majors/NRA",'Data - Monthly Metrics'!D:D,"Total Target Locations - Lodging (#)")+SUMIFS('Data - Monthly Metrics'!E:E,'Data - Monthly Metrics'!A:A,$B$4-1,'Data - Monthly Metrics'!B:B,"Nov",'Data - Monthly Metrics'!C:C,"Majors/NRA",'Data - Monthly Metrics'!D:D,"Non-Target Locations - Lodging (#)")))</f>
        <v/>
      </c>
      <c r="D30" s="118">
        <f>IF((SUMIFS('Data - Monthly Metrics'!E:E,'Data - Monthly Metrics'!A:A,$B$4-1,'Data - Monthly Metrics'!B:B,"Dec",'Data - Monthly Metrics'!C:C,"Majors/NRA",'Data - Monthly Metrics'!D:D,"Total Target Locations - Lodging (#)")+SUMIFS('Data - Monthly Metrics'!E:E,'Data - Monthly Metrics'!A:A,$B$4-1,'Data - Monthly Metrics'!B:B,"Dec",'Data - Monthly Metrics'!C:C,"Majors/NRA",'Data - Monthly Metrics'!D:D,"Non-Target Locations - Lodging (#)"))=0,"-",(SUMIFS('Data - Monthly Metrics'!E:E,'Data - Monthly Metrics'!A:A,$B$4-1,'Data - Monthly Metrics'!B:B,"Dec",'Data - Monthly Metrics'!C:C,"Majors/NRA",'Data - Monthly Metrics'!D:D,"Target Members - Lodging (#)")+SUMIFS('Data - Monthly Metrics'!E:E,'Data - Monthly Metrics'!A:A,$B$4-1,'Data - Monthly Metrics'!B:B,"Dec",'Data - Monthly Metrics'!C:C,"Majors/NRA",'Data - Monthly Metrics'!D:D,"Non-Target Members - Lodging (#)"))/(SUMIFS('Data - Monthly Metrics'!E:E,'Data - Monthly Metrics'!A:A,$B$4-1,'Data - Monthly Metrics'!B:B,"Dec",'Data - Monthly Metrics'!C:C,"Majors/NRA",'Data - Monthly Metrics'!D:D,"Total Target Locations - Lodging (#)")+SUMIFS('Data - Monthly Metrics'!E:E,'Data - Monthly Metrics'!A:A,$B$4-1,'Data - Monthly Metrics'!B:B,"Dec",'Data - Monthly Metrics'!C:C,"Majors/NRA",'Data - Monthly Metrics'!D:D,"Non-Target Locations - Lodging (#)")))</f>
        <v/>
      </c>
      <c r="E30" s="116">
        <f>IF(ISNUMBER(D30),D30,IF(ISNUMBER(C30),C30,IF(ISNUMBER(B30),B30,"-")))</f>
        <v/>
      </c>
      <c r="F30" s="118">
        <f>IF((SUMIFS('Data - Monthly Metrics'!E:E,'Data - Monthly Metrics'!A:A,$B$4,'Data - Monthly Metrics'!B:B,"Jan",'Data - Monthly Metrics'!C:C,"Majors/NRA",'Data - Monthly Metrics'!D:D,"Total Target Locations - Lodging (#)")+SUMIFS('Data - Monthly Metrics'!E:E,'Data - Monthly Metrics'!A:A,$B$4,'Data - Monthly Metrics'!B:B,"Jan",'Data - Monthly Metrics'!C:C,"Majors/NRA",'Data - Monthly Metrics'!D:D,"Non-Target Locations - Lodging (#)"))=0,"-",(SUMIFS('Data - Monthly Metrics'!E:E,'Data - Monthly Metrics'!A:A,$B$4,'Data - Monthly Metrics'!B:B,"Jan",'Data - Monthly Metrics'!C:C,"Majors/NRA",'Data - Monthly Metrics'!D:D,"Target Members - Lodging (#)")+SUMIFS('Data - Monthly Metrics'!E:E,'Data - Monthly Metrics'!A:A,$B$4,'Data - Monthly Metrics'!B:B,"Jan",'Data - Monthly Metrics'!C:C,"Majors/NRA",'Data - Monthly Metrics'!D:D,"Non-Target Members - Lodging (#)"))/(SUMIFS('Data - Monthly Metrics'!E:E,'Data - Monthly Metrics'!A:A,$B$4,'Data - Monthly Metrics'!B:B,"Jan",'Data - Monthly Metrics'!C:C,"Majors/NRA",'Data - Monthly Metrics'!D:D,"Total Target Locations - Lodging (#)")+SUMIFS('Data - Monthly Metrics'!E:E,'Data - Monthly Metrics'!A:A,$B$4,'Data - Monthly Metrics'!B:B,"Jan",'Data - Monthly Metrics'!C:C,"Majors/NRA",'Data - Monthly Metrics'!D:D,"Non-Target Locations - Lodging (#)")))</f>
        <v/>
      </c>
      <c r="G30" s="118">
        <f>IF((SUMIFS('Data - Monthly Metrics'!E:E,'Data - Monthly Metrics'!A:A,$B$4,'Data - Monthly Metrics'!B:B,"Feb",'Data - Monthly Metrics'!C:C,"Majors/NRA",'Data - Monthly Metrics'!D:D,"Total Target Locations - Lodging (#)")+SUMIFS('Data - Monthly Metrics'!E:E,'Data - Monthly Metrics'!A:A,$B$4,'Data - Monthly Metrics'!B:B,"Feb",'Data - Monthly Metrics'!C:C,"Majors/NRA",'Data - Monthly Metrics'!D:D,"Non-Target Locations - Lodging (#)"))=0,"-",(SUMIFS('Data - Monthly Metrics'!E:E,'Data - Monthly Metrics'!A:A,$B$4,'Data - Monthly Metrics'!B:B,"Feb",'Data - Monthly Metrics'!C:C,"Majors/NRA",'Data - Monthly Metrics'!D:D,"Target Members - Lodging (#)")+SUMIFS('Data - Monthly Metrics'!E:E,'Data - Monthly Metrics'!A:A,$B$4,'Data - Monthly Metrics'!B:B,"Feb",'Data - Monthly Metrics'!C:C,"Majors/NRA",'Data - Monthly Metrics'!D:D,"Non-Target Members - Lodging (#)"))/(SUMIFS('Data - Monthly Metrics'!E:E,'Data - Monthly Metrics'!A:A,$B$4,'Data - Monthly Metrics'!B:B,"Feb",'Data - Monthly Metrics'!C:C,"Majors/NRA",'Data - Monthly Metrics'!D:D,"Total Target Locations - Lodging (#)")+SUMIFS('Data - Monthly Metrics'!E:E,'Data - Monthly Metrics'!A:A,$B$4,'Data - Monthly Metrics'!B:B,"Feb",'Data - Monthly Metrics'!C:C,"Majors/NRA",'Data - Monthly Metrics'!D:D,"Non-Target Locations - Lodging (#)")))</f>
        <v/>
      </c>
      <c r="H30" s="118">
        <f>IF((SUMIFS('Data - Monthly Metrics'!E:E,'Data - Monthly Metrics'!A:A,$B$4,'Data - Monthly Metrics'!B:B,"Mar",'Data - Monthly Metrics'!C:C,"Majors/NRA",'Data - Monthly Metrics'!D:D,"Total Target Locations - Lodging (#)")+SUMIFS('Data - Monthly Metrics'!E:E,'Data - Monthly Metrics'!A:A,$B$4,'Data - Monthly Metrics'!B:B,"Mar",'Data - Monthly Metrics'!C:C,"Majors/NRA",'Data - Monthly Metrics'!D:D,"Non-Target Locations - Lodging (#)"))=0,"-",(SUMIFS('Data - Monthly Metrics'!E:E,'Data - Monthly Metrics'!A:A,$B$4,'Data - Monthly Metrics'!B:B,"Mar",'Data - Monthly Metrics'!C:C,"Majors/NRA",'Data - Monthly Metrics'!D:D,"Target Members - Lodging (#)")+SUMIFS('Data - Monthly Metrics'!E:E,'Data - Monthly Metrics'!A:A,$B$4,'Data - Monthly Metrics'!B:B,"Mar",'Data - Monthly Metrics'!C:C,"Majors/NRA",'Data - Monthly Metrics'!D:D,"Non-Target Members - Lodging (#)"))/(SUMIFS('Data - Monthly Metrics'!E:E,'Data - Monthly Metrics'!A:A,$B$4,'Data - Monthly Metrics'!B:B,"Mar",'Data - Monthly Metrics'!C:C,"Majors/NRA",'Data - Monthly Metrics'!D:D,"Total Target Locations - Lodging (#)")+SUMIFS('Data - Monthly Metrics'!E:E,'Data - Monthly Metrics'!A:A,$B$4,'Data - Monthly Metrics'!B:B,"Mar",'Data - Monthly Metrics'!C:C,"Majors/NRA",'Data - Monthly Metrics'!D:D,"Non-Target Locations - Lodging (#)")))</f>
        <v/>
      </c>
      <c r="I30" s="116">
        <f>IF(ISNUMBER(H30),H30,IF(ISNUMBER(G30),G30,IF(ISNUMBER(F30),F30,"-")))</f>
        <v/>
      </c>
      <c r="J30" s="118">
        <f>IF((SUMIFS('Data - Monthly Metrics'!E:E,'Data - Monthly Metrics'!A:A,$B$4,'Data - Monthly Metrics'!B:B,"Apr",'Data - Monthly Metrics'!C:C,"Majors/NRA",'Data - Monthly Metrics'!D:D,"Total Target Locations - Lodging (#)")+SUMIFS('Data - Monthly Metrics'!E:E,'Data - Monthly Metrics'!A:A,$B$4,'Data - Monthly Metrics'!B:B,"Apr",'Data - Monthly Metrics'!C:C,"Majors/NRA",'Data - Monthly Metrics'!D:D,"Non-Target Locations - Lodging (#)"))=0,"-",(SUMIFS('Data - Monthly Metrics'!E:E,'Data - Monthly Metrics'!A:A,$B$4,'Data - Monthly Metrics'!B:B,"Apr",'Data - Monthly Metrics'!C:C,"Majors/NRA",'Data - Monthly Metrics'!D:D,"Target Members - Lodging (#)")+SUMIFS('Data - Monthly Metrics'!E:E,'Data - Monthly Metrics'!A:A,$B$4,'Data - Monthly Metrics'!B:B,"Apr",'Data - Monthly Metrics'!C:C,"Majors/NRA",'Data - Monthly Metrics'!D:D,"Non-Target Members - Lodging (#)"))/(SUMIFS('Data - Monthly Metrics'!E:E,'Data - Monthly Metrics'!A:A,$B$4,'Data - Monthly Metrics'!B:B,"Apr",'Data - Monthly Metrics'!C:C,"Majors/NRA",'Data - Monthly Metrics'!D:D,"Total Target Locations - Lodging (#)")+SUMIFS('Data - Monthly Metrics'!E:E,'Data - Monthly Metrics'!A:A,$B$4,'Data - Monthly Metrics'!B:B,"Apr",'Data - Monthly Metrics'!C:C,"Majors/NRA",'Data - Monthly Metrics'!D:D,"Non-Target Locations - Lodging (#)")))</f>
        <v/>
      </c>
      <c r="K30" s="118">
        <f>IF((SUMIFS('Data - Monthly Metrics'!E:E,'Data - Monthly Metrics'!A:A,$B$4,'Data - Monthly Metrics'!B:B,"May",'Data - Monthly Metrics'!C:C,"Majors/NRA",'Data - Monthly Metrics'!D:D,"Total Target Locations - Lodging (#)")+SUMIFS('Data - Monthly Metrics'!E:E,'Data - Monthly Metrics'!A:A,$B$4,'Data - Monthly Metrics'!B:B,"May",'Data - Monthly Metrics'!C:C,"Majors/NRA",'Data - Monthly Metrics'!D:D,"Non-Target Locations - Lodging (#)"))=0,"-",(SUMIFS('Data - Monthly Metrics'!E:E,'Data - Monthly Metrics'!A:A,$B$4,'Data - Monthly Metrics'!B:B,"May",'Data - Monthly Metrics'!C:C,"Majors/NRA",'Data - Monthly Metrics'!D:D,"Target Members - Lodging (#)")+SUMIFS('Data - Monthly Metrics'!E:E,'Data - Monthly Metrics'!A:A,$B$4,'Data - Monthly Metrics'!B:B,"May",'Data - Monthly Metrics'!C:C,"Majors/NRA",'Data - Monthly Metrics'!D:D,"Non-Target Members - Lodging (#)"))/(SUMIFS('Data - Monthly Metrics'!E:E,'Data - Monthly Metrics'!A:A,$B$4,'Data - Monthly Metrics'!B:B,"May",'Data - Monthly Metrics'!C:C,"Majors/NRA",'Data - Monthly Metrics'!D:D,"Total Target Locations - Lodging (#)")+SUMIFS('Data - Monthly Metrics'!E:E,'Data - Monthly Metrics'!A:A,$B$4,'Data - Monthly Metrics'!B:B,"May",'Data - Monthly Metrics'!C:C,"Majors/NRA",'Data - Monthly Metrics'!D:D,"Non-Target Locations - Lodging (#)")))</f>
        <v/>
      </c>
      <c r="L30" s="118">
        <f>IF((SUMIFS('Data - Monthly Metrics'!E:E,'Data - Monthly Metrics'!A:A,$B$4,'Data - Monthly Metrics'!B:B,"Jun",'Data - Monthly Metrics'!C:C,"Majors/NRA",'Data - Monthly Metrics'!D:D,"Total Target Locations - Lodging (#)")+SUMIFS('Data - Monthly Metrics'!E:E,'Data - Monthly Metrics'!A:A,$B$4,'Data - Monthly Metrics'!B:B,"Jun",'Data - Monthly Metrics'!C:C,"Majors/NRA",'Data - Monthly Metrics'!D:D,"Non-Target Locations - Lodging (#)"))=0,"-",(SUMIFS('Data - Monthly Metrics'!E:E,'Data - Monthly Metrics'!A:A,$B$4,'Data - Monthly Metrics'!B:B,"Jun",'Data - Monthly Metrics'!C:C,"Majors/NRA",'Data - Monthly Metrics'!D:D,"Target Members - Lodging (#)")+SUMIFS('Data - Monthly Metrics'!E:E,'Data - Monthly Metrics'!A:A,$B$4,'Data - Monthly Metrics'!B:B,"Jun",'Data - Monthly Metrics'!C:C,"Majors/NRA",'Data - Monthly Metrics'!D:D,"Non-Target Members - Lodging (#)"))/(SUMIFS('Data - Monthly Metrics'!E:E,'Data - Monthly Metrics'!A:A,$B$4,'Data - Monthly Metrics'!B:B,"Jun",'Data - Monthly Metrics'!C:C,"Majors/NRA",'Data - Monthly Metrics'!D:D,"Total Target Locations - Lodging (#)")+SUMIFS('Data - Monthly Metrics'!E:E,'Data - Monthly Metrics'!A:A,$B$4,'Data - Monthly Metrics'!B:B,"Jun",'Data - Monthly Metrics'!C:C,"Majors/NRA",'Data - Monthly Metrics'!D:D,"Non-Target Locations - Lodging (#)")))</f>
        <v/>
      </c>
      <c r="M30" s="116">
        <f>IF(ISNUMBER(L30),L30,IF(ISNUMBER(K30),K30,IF(ISNUMBER(J30),J30,"-")))</f>
        <v/>
      </c>
      <c r="N30" s="118">
        <f>IF((SUMIFS('Data - Monthly Metrics'!E:E,'Data - Monthly Metrics'!A:A,$B$4,'Data - Monthly Metrics'!B:B,"Jul",'Data - Monthly Metrics'!C:C,"Majors/NRA",'Data - Monthly Metrics'!D:D,"Total Target Locations - Lodging (#)")+SUMIFS('Data - Monthly Metrics'!E:E,'Data - Monthly Metrics'!A:A,$B$4,'Data - Monthly Metrics'!B:B,"Jul",'Data - Monthly Metrics'!C:C,"Majors/NRA",'Data - Monthly Metrics'!D:D,"Non-Target Locations - Lodging (#)"))=0,"-",(SUMIFS('Data - Monthly Metrics'!E:E,'Data - Monthly Metrics'!A:A,$B$4,'Data - Monthly Metrics'!B:B,"Jul",'Data - Monthly Metrics'!C:C,"Majors/NRA",'Data - Monthly Metrics'!D:D,"Target Members - Lodging (#)")+SUMIFS('Data - Monthly Metrics'!E:E,'Data - Monthly Metrics'!A:A,$B$4,'Data - Monthly Metrics'!B:B,"Jul",'Data - Monthly Metrics'!C:C,"Majors/NRA",'Data - Monthly Metrics'!D:D,"Non-Target Members - Lodging (#)"))/(SUMIFS('Data - Monthly Metrics'!E:E,'Data - Monthly Metrics'!A:A,$B$4,'Data - Monthly Metrics'!B:B,"Jul",'Data - Monthly Metrics'!C:C,"Majors/NRA",'Data - Monthly Metrics'!D:D,"Total Target Locations - Lodging (#)")+SUMIFS('Data - Monthly Metrics'!E:E,'Data - Monthly Metrics'!A:A,$B$4,'Data - Monthly Metrics'!B:B,"Jul",'Data - Monthly Metrics'!C:C,"Majors/NRA",'Data - Monthly Metrics'!D:D,"Non-Target Locations - Lodging (#)")))</f>
        <v/>
      </c>
      <c r="O30" s="118">
        <f>IF((SUMIFS('Data - Monthly Metrics'!E:E,'Data - Monthly Metrics'!A:A,$B$4,'Data - Monthly Metrics'!B:B,"Aug",'Data - Monthly Metrics'!C:C,"Majors/NRA",'Data - Monthly Metrics'!D:D,"Total Target Locations - Lodging (#)")+SUMIFS('Data - Monthly Metrics'!E:E,'Data - Monthly Metrics'!A:A,$B$4,'Data - Monthly Metrics'!B:B,"Aug",'Data - Monthly Metrics'!C:C,"Majors/NRA",'Data - Monthly Metrics'!D:D,"Non-Target Locations - Lodging (#)"))=0,"-",(SUMIFS('Data - Monthly Metrics'!E:E,'Data - Monthly Metrics'!A:A,$B$4,'Data - Monthly Metrics'!B:B,"Aug",'Data - Monthly Metrics'!C:C,"Majors/NRA",'Data - Monthly Metrics'!D:D,"Target Members - Lodging (#)")+SUMIFS('Data - Monthly Metrics'!E:E,'Data - Monthly Metrics'!A:A,$B$4,'Data - Monthly Metrics'!B:B,"Aug",'Data - Monthly Metrics'!C:C,"Majors/NRA",'Data - Monthly Metrics'!D:D,"Non-Target Members - Lodging (#)"))/(SUMIFS('Data - Monthly Metrics'!E:E,'Data - Monthly Metrics'!A:A,$B$4,'Data - Monthly Metrics'!B:B,"Aug",'Data - Monthly Metrics'!C:C,"Majors/NRA",'Data - Monthly Metrics'!D:D,"Total Target Locations - Lodging (#)")+SUMIFS('Data - Monthly Metrics'!E:E,'Data - Monthly Metrics'!A:A,$B$4,'Data - Monthly Metrics'!B:B,"Aug",'Data - Monthly Metrics'!C:C,"Majors/NRA",'Data - Monthly Metrics'!D:D,"Non-Target Locations - Lodging (#)")))</f>
        <v/>
      </c>
      <c r="P30" s="118">
        <f>IF((SUMIFS('Data - Monthly Metrics'!E:E,'Data - Monthly Metrics'!A:A,$B$4,'Data - Monthly Metrics'!B:B,"Sep",'Data - Monthly Metrics'!C:C,"Majors/NRA",'Data - Monthly Metrics'!D:D,"Total Target Locations - Lodging (#)")+SUMIFS('Data - Monthly Metrics'!E:E,'Data - Monthly Metrics'!A:A,$B$4,'Data - Monthly Metrics'!B:B,"Sep",'Data - Monthly Metrics'!C:C,"Majors/NRA",'Data - Monthly Metrics'!D:D,"Non-Target Locations - Lodging (#)"))=0,"-",(SUMIFS('Data - Monthly Metrics'!E:E,'Data - Monthly Metrics'!A:A,$B$4,'Data - Monthly Metrics'!B:B,"Sep",'Data - Monthly Metrics'!C:C,"Majors/NRA",'Data - Monthly Metrics'!D:D,"Target Members - Lodging (#)")+SUMIFS('Data - Monthly Metrics'!E:E,'Data - Monthly Metrics'!A:A,$B$4,'Data - Monthly Metrics'!B:B,"Sep",'Data - Monthly Metrics'!C:C,"Majors/NRA",'Data - Monthly Metrics'!D:D,"Non-Target Members - Lodging (#)"))/(SUMIFS('Data - Monthly Metrics'!E:E,'Data - Monthly Metrics'!A:A,$B$4,'Data - Monthly Metrics'!B:B,"Sep",'Data - Monthly Metrics'!C:C,"Majors/NRA",'Data - Monthly Metrics'!D:D,"Total Target Locations - Lodging (#)")+SUMIFS('Data - Monthly Metrics'!E:E,'Data - Monthly Metrics'!A:A,$B$4,'Data - Monthly Metrics'!B:B,"Sep",'Data - Monthly Metrics'!C:C,"Majors/NRA",'Data - Monthly Metrics'!D:D,"Non-Target Locations - Lodging (#)")))</f>
        <v/>
      </c>
      <c r="Q30" s="116">
        <f>IF(ISNUMBER(P30),P30,IF(ISNUMBER(O30),O30,IF(ISNUMBER(N30),N30,"-")))</f>
        <v/>
      </c>
      <c r="R30" s="116">
        <f>IF(ISNUMBER(Q30),Q30,IF(ISNUMBER(M30),M30,IF(ISNUMBER(I30),I30,IF(ISNUMBER(E30),E30,"-"))))</f>
        <v/>
      </c>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row>
    <row r="31" ht="14.25" customHeight="1" s="82">
      <c r="A31" s="109" t="inlineStr">
        <is>
          <t>Penetration — Overall % (Combined)</t>
        </is>
      </c>
      <c r="B31" s="115">
        <f>IF((SUMIFS('Data - Monthly Metrics'!E:E,'Data - Monthly Metrics'!A:A,$B$4-1,'Data - Monthly Metrics'!B:B,"Oct",'Data - Monthly Metrics'!C:C,"Majors/NRA",'Data - Monthly Metrics'!D:D,"Total Target Locations - Restaurant (#)")+SUMIFS('Data - Monthly Metrics'!E:E,'Data - Monthly Metrics'!A:A,$B$4-1,'Data - Monthly Metrics'!B:B,"Oct",'Data - Monthly Metrics'!C:C,"Majors/NRA",'Data - Monthly Metrics'!D:D,"Total Target Locations - Lodging (#)")+SUMIFS('Data - Monthly Metrics'!E:E,'Data - Monthly Metrics'!A:A,$B$4-1,'Data - Monthly Metrics'!B:B,"Oct",'Data - Monthly Metrics'!C:C,"Majors/NRA",'Data - Monthly Metrics'!D:D,"Non-Target Locations - Restaurant (#)")+SUMIFS('Data - Monthly Metrics'!E:E,'Data - Monthly Metrics'!A:A,$B$4-1,'Data - Monthly Metrics'!B:B,"Oct",'Data - Monthly Metrics'!C:C,"Majors/NRA",'Data - Monthly Metrics'!D:D,"Non-Target Locations - Lodging (#)"))=0,"-",(SUMIFS('Data - Monthly Metrics'!E:E,'Data - Monthly Metrics'!A:A,$B$4-1,'Data - Monthly Metrics'!B:B,"Oct",'Data - Monthly Metrics'!C:C,"Majors/NRA",'Data - Monthly Metrics'!D:D,"Target Members - Restaurant (#)")+SUMIFS('Data - Monthly Metrics'!E:E,'Data - Monthly Metrics'!A:A,$B$4-1,'Data - Monthly Metrics'!B:B,"Oct",'Data - Monthly Metrics'!C:C,"Majors/NRA",'Data - Monthly Metrics'!D:D,"Target Members - Lodging (#)")+SUMIFS('Data - Monthly Metrics'!E:E,'Data - Monthly Metrics'!A:A,$B$4-1,'Data - Monthly Metrics'!B:B,"Oct",'Data - Monthly Metrics'!C:C,"Majors/NRA",'Data - Monthly Metrics'!D:D,"Non-Target Members - Restaurant (#)")+SUMIFS('Data - Monthly Metrics'!E:E,'Data - Monthly Metrics'!A:A,$B$4-1,'Data - Monthly Metrics'!B:B,"Oct",'Data - Monthly Metrics'!C:C,"Majors/NRA",'Data - Monthly Metrics'!D:D,"Non-Target Members - Lodging (#)"))/(SUMIFS('Data - Monthly Metrics'!E:E,'Data - Monthly Metrics'!A:A,$B$4-1,'Data - Monthly Metrics'!B:B,"Oct",'Data - Monthly Metrics'!C:C,"Majors/NRA",'Data - Monthly Metrics'!D:D,"Total Target Locations - Restaurant (#)")+SUMIFS('Data - Monthly Metrics'!E:E,'Data - Monthly Metrics'!A:A,$B$4-1,'Data - Monthly Metrics'!B:B,"Oct",'Data - Monthly Metrics'!C:C,"Majors/NRA",'Data - Monthly Metrics'!D:D,"Total Target Locations - Lodging (#)")+SUMIFS('Data - Monthly Metrics'!E:E,'Data - Monthly Metrics'!A:A,$B$4-1,'Data - Monthly Metrics'!B:B,"Oct",'Data - Monthly Metrics'!C:C,"Majors/NRA",'Data - Monthly Metrics'!D:D,"Non-Target Locations - Restaurant (#)")+SUMIFS('Data - Monthly Metrics'!E:E,'Data - Monthly Metrics'!A:A,$B$4-1,'Data - Monthly Metrics'!B:B,"Oct",'Data - Monthly Metrics'!C:C,"Majors/NRA",'Data - Monthly Metrics'!D:D,"Non-Target Locations - Lodging (#)")))</f>
        <v/>
      </c>
      <c r="C31" s="115">
        <f>IF((SUMIFS('Data - Monthly Metrics'!E:E,'Data - Monthly Metrics'!A:A,$B$4-1,'Data - Monthly Metrics'!B:B,"Nov",'Data - Monthly Metrics'!C:C,"Majors/NRA",'Data - Monthly Metrics'!D:D,"Total Target Locations - Restaurant (#)")+SUMIFS('Data - Monthly Metrics'!E:E,'Data - Monthly Metrics'!A:A,$B$4-1,'Data - Monthly Metrics'!B:B,"Nov",'Data - Monthly Metrics'!C:C,"Majors/NRA",'Data - Monthly Metrics'!D:D,"Total Target Locations - Lodging (#)")+SUMIFS('Data - Monthly Metrics'!E:E,'Data - Monthly Metrics'!A:A,$B$4-1,'Data - Monthly Metrics'!B:B,"Nov",'Data - Monthly Metrics'!C:C,"Majors/NRA",'Data - Monthly Metrics'!D:D,"Non-Target Locations - Restaurant (#)")+SUMIFS('Data - Monthly Metrics'!E:E,'Data - Monthly Metrics'!A:A,$B$4-1,'Data - Monthly Metrics'!B:B,"Nov",'Data - Monthly Metrics'!C:C,"Majors/NRA",'Data - Monthly Metrics'!D:D,"Non-Target Locations - Lodging (#)"))=0,"-",(SUMIFS('Data - Monthly Metrics'!E:E,'Data - Monthly Metrics'!A:A,$B$4-1,'Data - Monthly Metrics'!B:B,"Nov",'Data - Monthly Metrics'!C:C,"Majors/NRA",'Data - Monthly Metrics'!D:D,"Target Members - Restaurant (#)")+SUMIFS('Data - Monthly Metrics'!E:E,'Data - Monthly Metrics'!A:A,$B$4-1,'Data - Monthly Metrics'!B:B,"Nov",'Data - Monthly Metrics'!C:C,"Majors/NRA",'Data - Monthly Metrics'!D:D,"Target Members - Lodging (#)")+SUMIFS('Data - Monthly Metrics'!E:E,'Data - Monthly Metrics'!A:A,$B$4-1,'Data - Monthly Metrics'!B:B,"Nov",'Data - Monthly Metrics'!C:C,"Majors/NRA",'Data - Monthly Metrics'!D:D,"Non-Target Members - Restaurant (#)")+SUMIFS('Data - Monthly Metrics'!E:E,'Data - Monthly Metrics'!A:A,$B$4-1,'Data - Monthly Metrics'!B:B,"Nov",'Data - Monthly Metrics'!C:C,"Majors/NRA",'Data - Monthly Metrics'!D:D,"Non-Target Members - Lodging (#)"))/(SUMIFS('Data - Monthly Metrics'!E:E,'Data - Monthly Metrics'!A:A,$B$4-1,'Data - Monthly Metrics'!B:B,"Nov",'Data - Monthly Metrics'!C:C,"Majors/NRA",'Data - Monthly Metrics'!D:D,"Total Target Locations - Restaurant (#)")+SUMIFS('Data - Monthly Metrics'!E:E,'Data - Monthly Metrics'!A:A,$B$4-1,'Data - Monthly Metrics'!B:B,"Nov",'Data - Monthly Metrics'!C:C,"Majors/NRA",'Data - Monthly Metrics'!D:D,"Total Target Locations - Lodging (#)")+SUMIFS('Data - Monthly Metrics'!E:E,'Data - Monthly Metrics'!A:A,$B$4-1,'Data - Monthly Metrics'!B:B,"Nov",'Data - Monthly Metrics'!C:C,"Majors/NRA",'Data - Monthly Metrics'!D:D,"Non-Target Locations - Restaurant (#)")+SUMIFS('Data - Monthly Metrics'!E:E,'Data - Monthly Metrics'!A:A,$B$4-1,'Data - Monthly Metrics'!B:B,"Nov",'Data - Monthly Metrics'!C:C,"Majors/NRA",'Data - Monthly Metrics'!D:D,"Non-Target Locations - Lodging (#)")))</f>
        <v/>
      </c>
      <c r="D31" s="115">
        <f>IF((SUMIFS('Data - Monthly Metrics'!E:E,'Data - Monthly Metrics'!A:A,$B$4-1,'Data - Monthly Metrics'!B:B,"Dec",'Data - Monthly Metrics'!C:C,"Majors/NRA",'Data - Monthly Metrics'!D:D,"Total Target Locations - Restaurant (#)")+SUMIFS('Data - Monthly Metrics'!E:E,'Data - Monthly Metrics'!A:A,$B$4-1,'Data - Monthly Metrics'!B:B,"Dec",'Data - Monthly Metrics'!C:C,"Majors/NRA",'Data - Monthly Metrics'!D:D,"Total Target Locations - Lodging (#)")+SUMIFS('Data - Monthly Metrics'!E:E,'Data - Monthly Metrics'!A:A,$B$4-1,'Data - Monthly Metrics'!B:B,"Dec",'Data - Monthly Metrics'!C:C,"Majors/NRA",'Data - Monthly Metrics'!D:D,"Non-Target Locations - Restaurant (#)")+SUMIFS('Data - Monthly Metrics'!E:E,'Data - Monthly Metrics'!A:A,$B$4-1,'Data - Monthly Metrics'!B:B,"Dec",'Data - Monthly Metrics'!C:C,"Majors/NRA",'Data - Monthly Metrics'!D:D,"Non-Target Locations - Lodging (#)"))=0,"-",(SUMIFS('Data - Monthly Metrics'!E:E,'Data - Monthly Metrics'!A:A,$B$4-1,'Data - Monthly Metrics'!B:B,"Dec",'Data - Monthly Metrics'!C:C,"Majors/NRA",'Data - Monthly Metrics'!D:D,"Target Members - Restaurant (#)")+SUMIFS('Data - Monthly Metrics'!E:E,'Data - Monthly Metrics'!A:A,$B$4-1,'Data - Monthly Metrics'!B:B,"Dec",'Data - Monthly Metrics'!C:C,"Majors/NRA",'Data - Monthly Metrics'!D:D,"Target Members - Lodging (#)")+SUMIFS('Data - Monthly Metrics'!E:E,'Data - Monthly Metrics'!A:A,$B$4-1,'Data - Monthly Metrics'!B:B,"Dec",'Data - Monthly Metrics'!C:C,"Majors/NRA",'Data - Monthly Metrics'!D:D,"Non-Target Members - Restaurant (#)")+SUMIFS('Data - Monthly Metrics'!E:E,'Data - Monthly Metrics'!A:A,$B$4-1,'Data - Monthly Metrics'!B:B,"Dec",'Data - Monthly Metrics'!C:C,"Majors/NRA",'Data - Monthly Metrics'!D:D,"Non-Target Members - Lodging (#)"))/(SUMIFS('Data - Monthly Metrics'!E:E,'Data - Monthly Metrics'!A:A,$B$4-1,'Data - Monthly Metrics'!B:B,"Dec",'Data - Monthly Metrics'!C:C,"Majors/NRA",'Data - Monthly Metrics'!D:D,"Total Target Locations - Restaurant (#)")+SUMIFS('Data - Monthly Metrics'!E:E,'Data - Monthly Metrics'!A:A,$B$4-1,'Data - Monthly Metrics'!B:B,"Dec",'Data - Monthly Metrics'!C:C,"Majors/NRA",'Data - Monthly Metrics'!D:D,"Total Target Locations - Lodging (#)")+SUMIFS('Data - Monthly Metrics'!E:E,'Data - Monthly Metrics'!A:A,$B$4-1,'Data - Monthly Metrics'!B:B,"Dec",'Data - Monthly Metrics'!C:C,"Majors/NRA",'Data - Monthly Metrics'!D:D,"Non-Target Locations - Restaurant (#)")+SUMIFS('Data - Monthly Metrics'!E:E,'Data - Monthly Metrics'!A:A,$B$4-1,'Data - Monthly Metrics'!B:B,"Dec",'Data - Monthly Metrics'!C:C,"Majors/NRA",'Data - Monthly Metrics'!D:D,"Non-Target Locations - Lodging (#)")))</f>
        <v/>
      </c>
      <c r="E31" s="116">
        <f>IF(ISNUMBER(D31),D31,IF(ISNUMBER(C31),C31,IF(ISNUMBER(B31),B31,"-")))</f>
        <v/>
      </c>
      <c r="F31" s="115">
        <f>IF((SUMIFS('Data - Monthly Metrics'!E:E,'Data - Monthly Metrics'!A:A,$B$4,'Data - Monthly Metrics'!B:B,"Jan",'Data - Monthly Metrics'!C:C,"Majors/NRA",'Data - Monthly Metrics'!D:D,"Total Target Locations - Restaurant (#)")+SUMIFS('Data - Monthly Metrics'!E:E,'Data - Monthly Metrics'!A:A,$B$4,'Data - Monthly Metrics'!B:B,"Jan",'Data - Monthly Metrics'!C:C,"Majors/NRA",'Data - Monthly Metrics'!D:D,"Total Target Locations - Lodging (#)")+SUMIFS('Data - Monthly Metrics'!E:E,'Data - Monthly Metrics'!A:A,$B$4,'Data - Monthly Metrics'!B:B,"Jan",'Data - Monthly Metrics'!C:C,"Majors/NRA",'Data - Monthly Metrics'!D:D,"Non-Target Locations - Restaurant (#)")+SUMIFS('Data - Monthly Metrics'!E:E,'Data - Monthly Metrics'!A:A,$B$4,'Data - Monthly Metrics'!B:B,"Jan",'Data - Monthly Metrics'!C:C,"Majors/NRA",'Data - Monthly Metrics'!D:D,"Non-Target Locations - Lodging (#)"))=0,"-",(SUMIFS('Data - Monthly Metrics'!E:E,'Data - Monthly Metrics'!A:A,$B$4,'Data - Monthly Metrics'!B:B,"Jan",'Data - Monthly Metrics'!C:C,"Majors/NRA",'Data - Monthly Metrics'!D:D,"Target Members - Restaurant (#)")+SUMIFS('Data - Monthly Metrics'!E:E,'Data - Monthly Metrics'!A:A,$B$4,'Data - Monthly Metrics'!B:B,"Jan",'Data - Monthly Metrics'!C:C,"Majors/NRA",'Data - Monthly Metrics'!D:D,"Target Members - Lodging (#)")+SUMIFS('Data - Monthly Metrics'!E:E,'Data - Monthly Metrics'!A:A,$B$4,'Data - Monthly Metrics'!B:B,"Jan",'Data - Monthly Metrics'!C:C,"Majors/NRA",'Data - Monthly Metrics'!D:D,"Non-Target Members - Restaurant (#)")+SUMIFS('Data - Monthly Metrics'!E:E,'Data - Monthly Metrics'!A:A,$B$4,'Data - Monthly Metrics'!B:B,"Jan",'Data - Monthly Metrics'!C:C,"Majors/NRA",'Data - Monthly Metrics'!D:D,"Non-Target Members - Lodging (#)"))/(SUMIFS('Data - Monthly Metrics'!E:E,'Data - Monthly Metrics'!A:A,$B$4,'Data - Monthly Metrics'!B:B,"Jan",'Data - Monthly Metrics'!C:C,"Majors/NRA",'Data - Monthly Metrics'!D:D,"Total Target Locations - Restaurant (#)")+SUMIFS('Data - Monthly Metrics'!E:E,'Data - Monthly Metrics'!A:A,$B$4,'Data - Monthly Metrics'!B:B,"Jan",'Data - Monthly Metrics'!C:C,"Majors/NRA",'Data - Monthly Metrics'!D:D,"Total Target Locations - Lodging (#)")+SUMIFS('Data - Monthly Metrics'!E:E,'Data - Monthly Metrics'!A:A,$B$4,'Data - Monthly Metrics'!B:B,"Jan",'Data - Monthly Metrics'!C:C,"Majors/NRA",'Data - Monthly Metrics'!D:D,"Non-Target Locations - Restaurant (#)")+SUMIFS('Data - Monthly Metrics'!E:E,'Data - Monthly Metrics'!A:A,$B$4,'Data - Monthly Metrics'!B:B,"Jan",'Data - Monthly Metrics'!C:C,"Majors/NRA",'Data - Monthly Metrics'!D:D,"Non-Target Locations - Lodging (#)")))</f>
        <v/>
      </c>
      <c r="G31" s="115">
        <f>IF((SUMIFS('Data - Monthly Metrics'!E:E,'Data - Monthly Metrics'!A:A,$B$4,'Data - Monthly Metrics'!B:B,"Feb",'Data - Monthly Metrics'!C:C,"Majors/NRA",'Data - Monthly Metrics'!D:D,"Total Target Locations - Restaurant (#)")+SUMIFS('Data - Monthly Metrics'!E:E,'Data - Monthly Metrics'!A:A,$B$4,'Data - Monthly Metrics'!B:B,"Feb",'Data - Monthly Metrics'!C:C,"Majors/NRA",'Data - Monthly Metrics'!D:D,"Total Target Locations - Lodging (#)")+SUMIFS('Data - Monthly Metrics'!E:E,'Data - Monthly Metrics'!A:A,$B$4,'Data - Monthly Metrics'!B:B,"Feb",'Data - Monthly Metrics'!C:C,"Majors/NRA",'Data - Monthly Metrics'!D:D,"Non-Target Locations - Restaurant (#)")+SUMIFS('Data - Monthly Metrics'!E:E,'Data - Monthly Metrics'!A:A,$B$4,'Data - Monthly Metrics'!B:B,"Feb",'Data - Monthly Metrics'!C:C,"Majors/NRA",'Data - Monthly Metrics'!D:D,"Non-Target Locations - Lodging (#)"))=0,"-",(SUMIFS('Data - Monthly Metrics'!E:E,'Data - Monthly Metrics'!A:A,$B$4,'Data - Monthly Metrics'!B:B,"Feb",'Data - Monthly Metrics'!C:C,"Majors/NRA",'Data - Monthly Metrics'!D:D,"Target Members - Restaurant (#)")+SUMIFS('Data - Monthly Metrics'!E:E,'Data - Monthly Metrics'!A:A,$B$4,'Data - Monthly Metrics'!B:B,"Feb",'Data - Monthly Metrics'!C:C,"Majors/NRA",'Data - Monthly Metrics'!D:D,"Target Members - Lodging (#)")+SUMIFS('Data - Monthly Metrics'!E:E,'Data - Monthly Metrics'!A:A,$B$4,'Data - Monthly Metrics'!B:B,"Feb",'Data - Monthly Metrics'!C:C,"Majors/NRA",'Data - Monthly Metrics'!D:D,"Non-Target Members - Restaurant (#)")+SUMIFS('Data - Monthly Metrics'!E:E,'Data - Monthly Metrics'!A:A,$B$4,'Data - Monthly Metrics'!B:B,"Feb",'Data - Monthly Metrics'!C:C,"Majors/NRA",'Data - Monthly Metrics'!D:D,"Non-Target Members - Lodging (#)"))/(SUMIFS('Data - Monthly Metrics'!E:E,'Data - Monthly Metrics'!A:A,$B$4,'Data - Monthly Metrics'!B:B,"Feb",'Data - Monthly Metrics'!C:C,"Majors/NRA",'Data - Monthly Metrics'!D:D,"Total Target Locations - Restaurant (#)")+SUMIFS('Data - Monthly Metrics'!E:E,'Data - Monthly Metrics'!A:A,$B$4,'Data - Monthly Metrics'!B:B,"Feb",'Data - Monthly Metrics'!C:C,"Majors/NRA",'Data - Monthly Metrics'!D:D,"Total Target Locations - Lodging (#)")+SUMIFS('Data - Monthly Metrics'!E:E,'Data - Monthly Metrics'!A:A,$B$4,'Data - Monthly Metrics'!B:B,"Feb",'Data - Monthly Metrics'!C:C,"Majors/NRA",'Data - Monthly Metrics'!D:D,"Non-Target Locations - Restaurant (#)")+SUMIFS('Data - Monthly Metrics'!E:E,'Data - Monthly Metrics'!A:A,$B$4,'Data - Monthly Metrics'!B:B,"Feb",'Data - Monthly Metrics'!C:C,"Majors/NRA",'Data - Monthly Metrics'!D:D,"Non-Target Locations - Lodging (#)")))</f>
        <v/>
      </c>
      <c r="H31" s="115">
        <f>IF((SUMIFS('Data - Monthly Metrics'!E:E,'Data - Monthly Metrics'!A:A,$B$4,'Data - Monthly Metrics'!B:B,"Mar",'Data - Monthly Metrics'!C:C,"Majors/NRA",'Data - Monthly Metrics'!D:D,"Total Target Locations - Restaurant (#)")+SUMIFS('Data - Monthly Metrics'!E:E,'Data - Monthly Metrics'!A:A,$B$4,'Data - Monthly Metrics'!B:B,"Mar",'Data - Monthly Metrics'!C:C,"Majors/NRA",'Data - Monthly Metrics'!D:D,"Total Target Locations - Lodging (#)")+SUMIFS('Data - Monthly Metrics'!E:E,'Data - Monthly Metrics'!A:A,$B$4,'Data - Monthly Metrics'!B:B,"Mar",'Data - Monthly Metrics'!C:C,"Majors/NRA",'Data - Monthly Metrics'!D:D,"Non-Target Locations - Restaurant (#)")+SUMIFS('Data - Monthly Metrics'!E:E,'Data - Monthly Metrics'!A:A,$B$4,'Data - Monthly Metrics'!B:B,"Mar",'Data - Monthly Metrics'!C:C,"Majors/NRA",'Data - Monthly Metrics'!D:D,"Non-Target Locations - Lodging (#)"))=0,"-",(SUMIFS('Data - Monthly Metrics'!E:E,'Data - Monthly Metrics'!A:A,$B$4,'Data - Monthly Metrics'!B:B,"Mar",'Data - Monthly Metrics'!C:C,"Majors/NRA",'Data - Monthly Metrics'!D:D,"Target Members - Restaurant (#)")+SUMIFS('Data - Monthly Metrics'!E:E,'Data - Monthly Metrics'!A:A,$B$4,'Data - Monthly Metrics'!B:B,"Mar",'Data - Monthly Metrics'!C:C,"Majors/NRA",'Data - Monthly Metrics'!D:D,"Target Members - Lodging (#)")+SUMIFS('Data - Monthly Metrics'!E:E,'Data - Monthly Metrics'!A:A,$B$4,'Data - Monthly Metrics'!B:B,"Mar",'Data - Monthly Metrics'!C:C,"Majors/NRA",'Data - Monthly Metrics'!D:D,"Non-Target Members - Restaurant (#)")+SUMIFS('Data - Monthly Metrics'!E:E,'Data - Monthly Metrics'!A:A,$B$4,'Data - Monthly Metrics'!B:B,"Mar",'Data - Monthly Metrics'!C:C,"Majors/NRA",'Data - Monthly Metrics'!D:D,"Non-Target Members - Lodging (#)"))/(SUMIFS('Data - Monthly Metrics'!E:E,'Data - Monthly Metrics'!A:A,$B$4,'Data - Monthly Metrics'!B:B,"Mar",'Data - Monthly Metrics'!C:C,"Majors/NRA",'Data - Monthly Metrics'!D:D,"Total Target Locations - Restaurant (#)")+SUMIFS('Data - Monthly Metrics'!E:E,'Data - Monthly Metrics'!A:A,$B$4,'Data - Monthly Metrics'!B:B,"Mar",'Data - Monthly Metrics'!C:C,"Majors/NRA",'Data - Monthly Metrics'!D:D,"Total Target Locations - Lodging (#)")+SUMIFS('Data - Monthly Metrics'!E:E,'Data - Monthly Metrics'!A:A,$B$4,'Data - Monthly Metrics'!B:B,"Mar",'Data - Monthly Metrics'!C:C,"Majors/NRA",'Data - Monthly Metrics'!D:D,"Non-Target Locations - Restaurant (#)")+SUMIFS('Data - Monthly Metrics'!E:E,'Data - Monthly Metrics'!A:A,$B$4,'Data - Monthly Metrics'!B:B,"Mar",'Data - Monthly Metrics'!C:C,"Majors/NRA",'Data - Monthly Metrics'!D:D,"Non-Target Locations - Lodging (#)")))</f>
        <v/>
      </c>
      <c r="I31" s="116">
        <f>IF(ISNUMBER(H31),H31,IF(ISNUMBER(G31),G31,IF(ISNUMBER(F31),F31,"-")))</f>
        <v/>
      </c>
      <c r="J31" s="115">
        <f>IF((SUMIFS('Data - Monthly Metrics'!E:E,'Data - Monthly Metrics'!A:A,$B$4,'Data - Monthly Metrics'!B:B,"Apr",'Data - Monthly Metrics'!C:C,"Majors/NRA",'Data - Monthly Metrics'!D:D,"Total Target Locations - Restaurant (#)")+SUMIFS('Data - Monthly Metrics'!E:E,'Data - Monthly Metrics'!A:A,$B$4,'Data - Monthly Metrics'!B:B,"Apr",'Data - Monthly Metrics'!C:C,"Majors/NRA",'Data - Monthly Metrics'!D:D,"Total Target Locations - Lodging (#)")+SUMIFS('Data - Monthly Metrics'!E:E,'Data - Monthly Metrics'!A:A,$B$4,'Data - Monthly Metrics'!B:B,"Apr",'Data - Monthly Metrics'!C:C,"Majors/NRA",'Data - Monthly Metrics'!D:D,"Non-Target Locations - Restaurant (#)")+SUMIFS('Data - Monthly Metrics'!E:E,'Data - Monthly Metrics'!A:A,$B$4,'Data - Monthly Metrics'!B:B,"Apr",'Data - Monthly Metrics'!C:C,"Majors/NRA",'Data - Monthly Metrics'!D:D,"Non-Target Locations - Lodging (#)"))=0,"-",(SUMIFS('Data - Monthly Metrics'!E:E,'Data - Monthly Metrics'!A:A,$B$4,'Data - Monthly Metrics'!B:B,"Apr",'Data - Monthly Metrics'!C:C,"Majors/NRA",'Data - Monthly Metrics'!D:D,"Target Members - Restaurant (#)")+SUMIFS('Data - Monthly Metrics'!E:E,'Data - Monthly Metrics'!A:A,$B$4,'Data - Monthly Metrics'!B:B,"Apr",'Data - Monthly Metrics'!C:C,"Majors/NRA",'Data - Monthly Metrics'!D:D,"Target Members - Lodging (#)")+SUMIFS('Data - Monthly Metrics'!E:E,'Data - Monthly Metrics'!A:A,$B$4,'Data - Monthly Metrics'!B:B,"Apr",'Data - Monthly Metrics'!C:C,"Majors/NRA",'Data - Monthly Metrics'!D:D,"Non-Target Members - Restaurant (#)")+SUMIFS('Data - Monthly Metrics'!E:E,'Data - Monthly Metrics'!A:A,$B$4,'Data - Monthly Metrics'!B:B,"Apr",'Data - Monthly Metrics'!C:C,"Majors/NRA",'Data - Monthly Metrics'!D:D,"Non-Target Members - Lodging (#)"))/(SUMIFS('Data - Monthly Metrics'!E:E,'Data - Monthly Metrics'!A:A,$B$4,'Data - Monthly Metrics'!B:B,"Apr",'Data - Monthly Metrics'!C:C,"Majors/NRA",'Data - Monthly Metrics'!D:D,"Total Target Locations - Restaurant (#)")+SUMIFS('Data - Monthly Metrics'!E:E,'Data - Monthly Metrics'!A:A,$B$4,'Data - Monthly Metrics'!B:B,"Apr",'Data - Monthly Metrics'!C:C,"Majors/NRA",'Data - Monthly Metrics'!D:D,"Total Target Locations - Lodging (#)")+SUMIFS('Data - Monthly Metrics'!E:E,'Data - Monthly Metrics'!A:A,$B$4,'Data - Monthly Metrics'!B:B,"Apr",'Data - Monthly Metrics'!C:C,"Majors/NRA",'Data - Monthly Metrics'!D:D,"Non-Target Locations - Restaurant (#)")+SUMIFS('Data - Monthly Metrics'!E:E,'Data - Monthly Metrics'!A:A,$B$4,'Data - Monthly Metrics'!B:B,"Apr",'Data - Monthly Metrics'!C:C,"Majors/NRA",'Data - Monthly Metrics'!D:D,"Non-Target Locations - Lodging (#)")))</f>
        <v/>
      </c>
      <c r="K31" s="115">
        <f>IF((SUMIFS('Data - Monthly Metrics'!E:E,'Data - Monthly Metrics'!A:A,$B$4,'Data - Monthly Metrics'!B:B,"May",'Data - Monthly Metrics'!C:C,"Majors/NRA",'Data - Monthly Metrics'!D:D,"Total Target Locations - Restaurant (#)")+SUMIFS('Data - Monthly Metrics'!E:E,'Data - Monthly Metrics'!A:A,$B$4,'Data - Monthly Metrics'!B:B,"May",'Data - Monthly Metrics'!C:C,"Majors/NRA",'Data - Monthly Metrics'!D:D,"Total Target Locations - Lodging (#)")+SUMIFS('Data - Monthly Metrics'!E:E,'Data - Monthly Metrics'!A:A,$B$4,'Data - Monthly Metrics'!B:B,"May",'Data - Monthly Metrics'!C:C,"Majors/NRA",'Data - Monthly Metrics'!D:D,"Non-Target Locations - Restaurant (#)")+SUMIFS('Data - Monthly Metrics'!E:E,'Data - Monthly Metrics'!A:A,$B$4,'Data - Monthly Metrics'!B:B,"May",'Data - Monthly Metrics'!C:C,"Majors/NRA",'Data - Monthly Metrics'!D:D,"Non-Target Locations - Lodging (#)"))=0,"-",(SUMIFS('Data - Monthly Metrics'!E:E,'Data - Monthly Metrics'!A:A,$B$4,'Data - Monthly Metrics'!B:B,"May",'Data - Monthly Metrics'!C:C,"Majors/NRA",'Data - Monthly Metrics'!D:D,"Target Members - Restaurant (#)")+SUMIFS('Data - Monthly Metrics'!E:E,'Data - Monthly Metrics'!A:A,$B$4,'Data - Monthly Metrics'!B:B,"May",'Data - Monthly Metrics'!C:C,"Majors/NRA",'Data - Monthly Metrics'!D:D,"Target Members - Lodging (#)")+SUMIFS('Data - Monthly Metrics'!E:E,'Data - Monthly Metrics'!A:A,$B$4,'Data - Monthly Metrics'!B:B,"May",'Data - Monthly Metrics'!C:C,"Majors/NRA",'Data - Monthly Metrics'!D:D,"Non-Target Members - Restaurant (#)")+SUMIFS('Data - Monthly Metrics'!E:E,'Data - Monthly Metrics'!A:A,$B$4,'Data - Monthly Metrics'!B:B,"May",'Data - Monthly Metrics'!C:C,"Majors/NRA",'Data - Monthly Metrics'!D:D,"Non-Target Members - Lodging (#)"))/(SUMIFS('Data - Monthly Metrics'!E:E,'Data - Monthly Metrics'!A:A,$B$4,'Data - Monthly Metrics'!B:B,"May",'Data - Monthly Metrics'!C:C,"Majors/NRA",'Data - Monthly Metrics'!D:D,"Total Target Locations - Restaurant (#)")+SUMIFS('Data - Monthly Metrics'!E:E,'Data - Monthly Metrics'!A:A,$B$4,'Data - Monthly Metrics'!B:B,"May",'Data - Monthly Metrics'!C:C,"Majors/NRA",'Data - Monthly Metrics'!D:D,"Total Target Locations - Lodging (#)")+SUMIFS('Data - Monthly Metrics'!E:E,'Data - Monthly Metrics'!A:A,$B$4,'Data - Monthly Metrics'!B:B,"May",'Data - Monthly Metrics'!C:C,"Majors/NRA",'Data - Monthly Metrics'!D:D,"Non-Target Locations - Restaurant (#)")+SUMIFS('Data - Monthly Metrics'!E:E,'Data - Monthly Metrics'!A:A,$B$4,'Data - Monthly Metrics'!B:B,"May",'Data - Monthly Metrics'!C:C,"Majors/NRA",'Data - Monthly Metrics'!D:D,"Non-Target Locations - Lodging (#)")))</f>
        <v/>
      </c>
      <c r="L31" s="115">
        <f>IF((SUMIFS('Data - Monthly Metrics'!E:E,'Data - Monthly Metrics'!A:A,$B$4,'Data - Monthly Metrics'!B:B,"Jun",'Data - Monthly Metrics'!C:C,"Majors/NRA",'Data - Monthly Metrics'!D:D,"Total Target Locations - Restaurant (#)")+SUMIFS('Data - Monthly Metrics'!E:E,'Data - Monthly Metrics'!A:A,$B$4,'Data - Monthly Metrics'!B:B,"Jun",'Data - Monthly Metrics'!C:C,"Majors/NRA",'Data - Monthly Metrics'!D:D,"Total Target Locations - Lodging (#)")+SUMIFS('Data - Monthly Metrics'!E:E,'Data - Monthly Metrics'!A:A,$B$4,'Data - Monthly Metrics'!B:B,"Jun",'Data - Monthly Metrics'!C:C,"Majors/NRA",'Data - Monthly Metrics'!D:D,"Non-Target Locations - Restaurant (#)")+SUMIFS('Data - Monthly Metrics'!E:E,'Data - Monthly Metrics'!A:A,$B$4,'Data - Monthly Metrics'!B:B,"Jun",'Data - Monthly Metrics'!C:C,"Majors/NRA",'Data - Monthly Metrics'!D:D,"Non-Target Locations - Lodging (#)"))=0,"-",(SUMIFS('Data - Monthly Metrics'!E:E,'Data - Monthly Metrics'!A:A,$B$4,'Data - Monthly Metrics'!B:B,"Jun",'Data - Monthly Metrics'!C:C,"Majors/NRA",'Data - Monthly Metrics'!D:D,"Target Members - Restaurant (#)")+SUMIFS('Data - Monthly Metrics'!E:E,'Data - Monthly Metrics'!A:A,$B$4,'Data - Monthly Metrics'!B:B,"Jun",'Data - Monthly Metrics'!C:C,"Majors/NRA",'Data - Monthly Metrics'!D:D,"Target Members - Lodging (#)")+SUMIFS('Data - Monthly Metrics'!E:E,'Data - Monthly Metrics'!A:A,$B$4,'Data - Monthly Metrics'!B:B,"Jun",'Data - Monthly Metrics'!C:C,"Majors/NRA",'Data - Monthly Metrics'!D:D,"Non-Target Members - Restaurant (#)")+SUMIFS('Data - Monthly Metrics'!E:E,'Data - Monthly Metrics'!A:A,$B$4,'Data - Monthly Metrics'!B:B,"Jun",'Data - Monthly Metrics'!C:C,"Majors/NRA",'Data - Monthly Metrics'!D:D,"Non-Target Members - Lodging (#)"))/(SUMIFS('Data - Monthly Metrics'!E:E,'Data - Monthly Metrics'!A:A,$B$4,'Data - Monthly Metrics'!B:B,"Jun",'Data - Monthly Metrics'!C:C,"Majors/NRA",'Data - Monthly Metrics'!D:D,"Total Target Locations - Restaurant (#)")+SUMIFS('Data - Monthly Metrics'!E:E,'Data - Monthly Metrics'!A:A,$B$4,'Data - Monthly Metrics'!B:B,"Jun",'Data - Monthly Metrics'!C:C,"Majors/NRA",'Data - Monthly Metrics'!D:D,"Total Target Locations - Lodging (#)")+SUMIFS('Data - Monthly Metrics'!E:E,'Data - Monthly Metrics'!A:A,$B$4,'Data - Monthly Metrics'!B:B,"Jun",'Data - Monthly Metrics'!C:C,"Majors/NRA",'Data - Monthly Metrics'!D:D,"Non-Target Locations - Restaurant (#)")+SUMIFS('Data - Monthly Metrics'!E:E,'Data - Monthly Metrics'!A:A,$B$4,'Data - Monthly Metrics'!B:B,"Jun",'Data - Monthly Metrics'!C:C,"Majors/NRA",'Data - Monthly Metrics'!D:D,"Non-Target Locations - Lodging (#)")))</f>
        <v/>
      </c>
      <c r="M31" s="116">
        <f>IF(ISNUMBER(L31),L31,IF(ISNUMBER(K31),K31,IF(ISNUMBER(J31),J31,"-")))</f>
        <v/>
      </c>
      <c r="N31" s="115">
        <f>IF((SUMIFS('Data - Monthly Metrics'!E:E,'Data - Monthly Metrics'!A:A,$B$4,'Data - Monthly Metrics'!B:B,"Jul",'Data - Monthly Metrics'!C:C,"Majors/NRA",'Data - Monthly Metrics'!D:D,"Total Target Locations - Restaurant (#)")+SUMIFS('Data - Monthly Metrics'!E:E,'Data - Monthly Metrics'!A:A,$B$4,'Data - Monthly Metrics'!B:B,"Jul",'Data - Monthly Metrics'!C:C,"Majors/NRA",'Data - Monthly Metrics'!D:D,"Total Target Locations - Lodging (#)")+SUMIFS('Data - Monthly Metrics'!E:E,'Data - Monthly Metrics'!A:A,$B$4,'Data - Monthly Metrics'!B:B,"Jul",'Data - Monthly Metrics'!C:C,"Majors/NRA",'Data - Monthly Metrics'!D:D,"Non-Target Locations - Restaurant (#)")+SUMIFS('Data - Monthly Metrics'!E:E,'Data - Monthly Metrics'!A:A,$B$4,'Data - Monthly Metrics'!B:B,"Jul",'Data - Monthly Metrics'!C:C,"Majors/NRA",'Data - Monthly Metrics'!D:D,"Non-Target Locations - Lodging (#)"))=0,"-",(SUMIFS('Data - Monthly Metrics'!E:E,'Data - Monthly Metrics'!A:A,$B$4,'Data - Monthly Metrics'!B:B,"Jul",'Data - Monthly Metrics'!C:C,"Majors/NRA",'Data - Monthly Metrics'!D:D,"Target Members - Restaurant (#)")+SUMIFS('Data - Monthly Metrics'!E:E,'Data - Monthly Metrics'!A:A,$B$4,'Data - Monthly Metrics'!B:B,"Jul",'Data - Monthly Metrics'!C:C,"Majors/NRA",'Data - Monthly Metrics'!D:D,"Target Members - Lodging (#)")+SUMIFS('Data - Monthly Metrics'!E:E,'Data - Monthly Metrics'!A:A,$B$4,'Data - Monthly Metrics'!B:B,"Jul",'Data - Monthly Metrics'!C:C,"Majors/NRA",'Data - Monthly Metrics'!D:D,"Non-Target Members - Restaurant (#)")+SUMIFS('Data - Monthly Metrics'!E:E,'Data - Monthly Metrics'!A:A,$B$4,'Data - Monthly Metrics'!B:B,"Jul",'Data - Monthly Metrics'!C:C,"Majors/NRA",'Data - Monthly Metrics'!D:D,"Non-Target Members - Lodging (#)"))/(SUMIFS('Data - Monthly Metrics'!E:E,'Data - Monthly Metrics'!A:A,$B$4,'Data - Monthly Metrics'!B:B,"Jul",'Data - Monthly Metrics'!C:C,"Majors/NRA",'Data - Monthly Metrics'!D:D,"Total Target Locations - Restaurant (#)")+SUMIFS('Data - Monthly Metrics'!E:E,'Data - Monthly Metrics'!A:A,$B$4,'Data - Monthly Metrics'!B:B,"Jul",'Data - Monthly Metrics'!C:C,"Majors/NRA",'Data - Monthly Metrics'!D:D,"Total Target Locations - Lodging (#)")+SUMIFS('Data - Monthly Metrics'!E:E,'Data - Monthly Metrics'!A:A,$B$4,'Data - Monthly Metrics'!B:B,"Jul",'Data - Monthly Metrics'!C:C,"Majors/NRA",'Data - Monthly Metrics'!D:D,"Non-Target Locations - Restaurant (#)")+SUMIFS('Data - Monthly Metrics'!E:E,'Data - Monthly Metrics'!A:A,$B$4,'Data - Monthly Metrics'!B:B,"Jul",'Data - Monthly Metrics'!C:C,"Majors/NRA",'Data - Monthly Metrics'!D:D,"Non-Target Locations - Lodging (#)")))</f>
        <v/>
      </c>
      <c r="O31" s="115">
        <f>IF((SUMIFS('Data - Monthly Metrics'!E:E,'Data - Monthly Metrics'!A:A,$B$4,'Data - Monthly Metrics'!B:B,"Aug",'Data - Monthly Metrics'!C:C,"Majors/NRA",'Data - Monthly Metrics'!D:D,"Total Target Locations - Restaurant (#)")+SUMIFS('Data - Monthly Metrics'!E:E,'Data - Monthly Metrics'!A:A,$B$4,'Data - Monthly Metrics'!B:B,"Aug",'Data - Monthly Metrics'!C:C,"Majors/NRA",'Data - Monthly Metrics'!D:D,"Total Target Locations - Lodging (#)")+SUMIFS('Data - Monthly Metrics'!E:E,'Data - Monthly Metrics'!A:A,$B$4,'Data - Monthly Metrics'!B:B,"Aug",'Data - Monthly Metrics'!C:C,"Majors/NRA",'Data - Monthly Metrics'!D:D,"Non-Target Locations - Restaurant (#)")+SUMIFS('Data - Monthly Metrics'!E:E,'Data - Monthly Metrics'!A:A,$B$4,'Data - Monthly Metrics'!B:B,"Aug",'Data - Monthly Metrics'!C:C,"Majors/NRA",'Data - Monthly Metrics'!D:D,"Non-Target Locations - Lodging (#)"))=0,"-",(SUMIFS('Data - Monthly Metrics'!E:E,'Data - Monthly Metrics'!A:A,$B$4,'Data - Monthly Metrics'!B:B,"Aug",'Data - Monthly Metrics'!C:C,"Majors/NRA",'Data - Monthly Metrics'!D:D,"Target Members - Restaurant (#)")+SUMIFS('Data - Monthly Metrics'!E:E,'Data - Monthly Metrics'!A:A,$B$4,'Data - Monthly Metrics'!B:B,"Aug",'Data - Monthly Metrics'!C:C,"Majors/NRA",'Data - Monthly Metrics'!D:D,"Target Members - Lodging (#)")+SUMIFS('Data - Monthly Metrics'!E:E,'Data - Monthly Metrics'!A:A,$B$4,'Data - Monthly Metrics'!B:B,"Aug",'Data - Monthly Metrics'!C:C,"Majors/NRA",'Data - Monthly Metrics'!D:D,"Non-Target Members - Restaurant (#)")+SUMIFS('Data - Monthly Metrics'!E:E,'Data - Monthly Metrics'!A:A,$B$4,'Data - Monthly Metrics'!B:B,"Aug",'Data - Monthly Metrics'!C:C,"Majors/NRA",'Data - Monthly Metrics'!D:D,"Non-Target Members - Lodging (#)"))/(SUMIFS('Data - Monthly Metrics'!E:E,'Data - Monthly Metrics'!A:A,$B$4,'Data - Monthly Metrics'!B:B,"Aug",'Data - Monthly Metrics'!C:C,"Majors/NRA",'Data - Monthly Metrics'!D:D,"Total Target Locations - Restaurant (#)")+SUMIFS('Data - Monthly Metrics'!E:E,'Data - Monthly Metrics'!A:A,$B$4,'Data - Monthly Metrics'!B:B,"Aug",'Data - Monthly Metrics'!C:C,"Majors/NRA",'Data - Monthly Metrics'!D:D,"Total Target Locations - Lodging (#)")+SUMIFS('Data - Monthly Metrics'!E:E,'Data - Monthly Metrics'!A:A,$B$4,'Data - Monthly Metrics'!B:B,"Aug",'Data - Monthly Metrics'!C:C,"Majors/NRA",'Data - Monthly Metrics'!D:D,"Non-Target Locations - Restaurant (#)")+SUMIFS('Data - Monthly Metrics'!E:E,'Data - Monthly Metrics'!A:A,$B$4,'Data - Monthly Metrics'!B:B,"Aug",'Data - Monthly Metrics'!C:C,"Majors/NRA",'Data - Monthly Metrics'!D:D,"Non-Target Locations - Lodging (#)")))</f>
        <v/>
      </c>
      <c r="P31" s="115">
        <f>IF((SUMIFS('Data - Monthly Metrics'!E:E,'Data - Monthly Metrics'!A:A,$B$4,'Data - Monthly Metrics'!B:B,"Sep",'Data - Monthly Metrics'!C:C,"Majors/NRA",'Data - Monthly Metrics'!D:D,"Total Target Locations - Restaurant (#)")+SUMIFS('Data - Monthly Metrics'!E:E,'Data - Monthly Metrics'!A:A,$B$4,'Data - Monthly Metrics'!B:B,"Sep",'Data - Monthly Metrics'!C:C,"Majors/NRA",'Data - Monthly Metrics'!D:D,"Total Target Locations - Lodging (#)")+SUMIFS('Data - Monthly Metrics'!E:E,'Data - Monthly Metrics'!A:A,$B$4,'Data - Monthly Metrics'!B:B,"Sep",'Data - Monthly Metrics'!C:C,"Majors/NRA",'Data - Monthly Metrics'!D:D,"Non-Target Locations - Restaurant (#)")+SUMIFS('Data - Monthly Metrics'!E:E,'Data - Monthly Metrics'!A:A,$B$4,'Data - Monthly Metrics'!B:B,"Sep",'Data - Monthly Metrics'!C:C,"Majors/NRA",'Data - Monthly Metrics'!D:D,"Non-Target Locations - Lodging (#)"))=0,"-",(SUMIFS('Data - Monthly Metrics'!E:E,'Data - Monthly Metrics'!A:A,$B$4,'Data - Monthly Metrics'!B:B,"Sep",'Data - Monthly Metrics'!C:C,"Majors/NRA",'Data - Monthly Metrics'!D:D,"Target Members - Restaurant (#)")+SUMIFS('Data - Monthly Metrics'!E:E,'Data - Monthly Metrics'!A:A,$B$4,'Data - Monthly Metrics'!B:B,"Sep",'Data - Monthly Metrics'!C:C,"Majors/NRA",'Data - Monthly Metrics'!D:D,"Target Members - Lodging (#)")+SUMIFS('Data - Monthly Metrics'!E:E,'Data - Monthly Metrics'!A:A,$B$4,'Data - Monthly Metrics'!B:B,"Sep",'Data - Monthly Metrics'!C:C,"Majors/NRA",'Data - Monthly Metrics'!D:D,"Non-Target Members - Restaurant (#)")+SUMIFS('Data - Monthly Metrics'!E:E,'Data - Monthly Metrics'!A:A,$B$4,'Data - Monthly Metrics'!B:B,"Sep",'Data - Monthly Metrics'!C:C,"Majors/NRA",'Data - Monthly Metrics'!D:D,"Non-Target Members - Lodging (#)"))/(SUMIFS('Data - Monthly Metrics'!E:E,'Data - Monthly Metrics'!A:A,$B$4,'Data - Monthly Metrics'!B:B,"Sep",'Data - Monthly Metrics'!C:C,"Majors/NRA",'Data - Monthly Metrics'!D:D,"Total Target Locations - Restaurant (#)")+SUMIFS('Data - Monthly Metrics'!E:E,'Data - Monthly Metrics'!A:A,$B$4,'Data - Monthly Metrics'!B:B,"Sep",'Data - Monthly Metrics'!C:C,"Majors/NRA",'Data - Monthly Metrics'!D:D,"Total Target Locations - Lodging (#)")+SUMIFS('Data - Monthly Metrics'!E:E,'Data - Monthly Metrics'!A:A,$B$4,'Data - Monthly Metrics'!B:B,"Sep",'Data - Monthly Metrics'!C:C,"Majors/NRA",'Data - Monthly Metrics'!D:D,"Non-Target Locations - Restaurant (#)")+SUMIFS('Data - Monthly Metrics'!E:E,'Data - Monthly Metrics'!A:A,$B$4,'Data - Monthly Metrics'!B:B,"Sep",'Data - Monthly Metrics'!C:C,"Majors/NRA",'Data - Monthly Metrics'!D:D,"Non-Target Locations - Lodging (#)")))</f>
        <v/>
      </c>
      <c r="Q31" s="116">
        <f>IF(ISNUMBER(P31),P31,IF(ISNUMBER(O31),O31,IF(ISNUMBER(N31),N31,"-")))</f>
        <v/>
      </c>
      <c r="R31" s="116">
        <f>IF(ISNUMBER(Q31),Q31,IF(ISNUMBER(M31),M31,IF(ISNUMBER(I31),I31,IF(ISNUMBER(E31),E31,"-"))))</f>
        <v/>
      </c>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row>
    <row r="32"/>
    <row r="33" ht="25.5" customHeight="1" s="82">
      <c r="A33" s="119" t="inlineStr">
        <is>
          <t>▼  TARGET MEMBERS  ▼</t>
        </is>
      </c>
    </row>
    <row r="34"/>
    <row r="35" ht="21.75" customHeight="1" s="82">
      <c r="A35" s="87" t="inlineStr">
        <is>
          <t xml:space="preserve">  ▶   T1.  GOALS vs ACTUAL — Target</t>
        </is>
      </c>
    </row>
    <row r="36" ht="14.25" customHeight="1" s="82">
      <c r="A36" s="88" t="inlineStr">
        <is>
          <t>Metric</t>
        </is>
      </c>
      <c r="B36" s="88" t="inlineStr">
        <is>
          <t>Oct</t>
        </is>
      </c>
      <c r="C36" s="88" t="inlineStr">
        <is>
          <t>Nov</t>
        </is>
      </c>
      <c r="D36" s="88" t="inlineStr">
        <is>
          <t>Dec</t>
        </is>
      </c>
      <c r="E36" s="88" t="inlineStr">
        <is>
          <t>Q1</t>
        </is>
      </c>
      <c r="F36" s="88" t="inlineStr">
        <is>
          <t>Jan</t>
        </is>
      </c>
      <c r="G36" s="88" t="inlineStr">
        <is>
          <t>Feb</t>
        </is>
      </c>
      <c r="H36" s="88" t="inlineStr">
        <is>
          <t>Mar</t>
        </is>
      </c>
      <c r="I36" s="88" t="inlineStr">
        <is>
          <t>Q2</t>
        </is>
      </c>
      <c r="J36" s="88" t="inlineStr">
        <is>
          <t>Apr</t>
        </is>
      </c>
      <c r="K36" s="88" t="inlineStr">
        <is>
          <t>May</t>
        </is>
      </c>
      <c r="L36" s="88" t="inlineStr">
        <is>
          <t>Jun</t>
        </is>
      </c>
      <c r="M36" s="88" t="inlineStr">
        <is>
          <t>Q3</t>
        </is>
      </c>
      <c r="N36" s="88" t="inlineStr">
        <is>
          <t>Jul</t>
        </is>
      </c>
      <c r="O36" s="88" t="inlineStr">
        <is>
          <t>Aug</t>
        </is>
      </c>
      <c r="P36" s="88" t="inlineStr">
        <is>
          <t>Sep</t>
        </is>
      </c>
      <c r="Q36" s="88" t="inlineStr">
        <is>
          <t>Q4</t>
        </is>
      </c>
      <c r="R36" s="88" t="inlineStr">
        <is>
          <t>YTD</t>
        </is>
      </c>
    </row>
    <row r="37" ht="14.25" customHeight="1" s="82">
      <c r="A37" s="89" t="inlineStr">
        <is>
          <t>Goal - Revenue ($)</t>
        </is>
      </c>
      <c r="B37" s="91">
        <f>IF(COUNTIFS('Data - Monthly Metrics'!A:A,$B$4-1,'Data - Monthly Metrics'!B:B,"Oct",'Data - Monthly Metrics'!C:C,"Majors/NRA",'Data - Monthly Metrics'!D:D,"Goal - New Sales Revenue ($)")=0,"-",SUMIFS('Data - Monthly Metrics'!E:E,'Data - Monthly Metrics'!A:A,$B$4-1,'Data - Monthly Metrics'!B:B,"Oct",'Data - Monthly Metrics'!C:C,"Majors/NRA",'Data - Monthly Metrics'!D:D,"Goal - New Sales Revenue ($)"))</f>
        <v/>
      </c>
      <c r="C37" s="91">
        <f>IF(COUNTIFS('Data - Monthly Metrics'!A:A,$B$4-1,'Data - Monthly Metrics'!B:B,"Nov",'Data - Monthly Metrics'!C:C,"Majors/NRA",'Data - Monthly Metrics'!D:D,"Goal - New Sales Revenue ($)")=0,"-",SUMIFS('Data - Monthly Metrics'!E:E,'Data - Monthly Metrics'!A:A,$B$4-1,'Data - Monthly Metrics'!B:B,"Nov",'Data - Monthly Metrics'!C:C,"Majors/NRA",'Data - Monthly Metrics'!D:D,"Goal - New Sales Revenue ($)"))</f>
        <v/>
      </c>
      <c r="D37" s="91">
        <f>IF(COUNTIFS('Data - Monthly Metrics'!A:A,$B$4-1,'Data - Monthly Metrics'!B:B,"Dec",'Data - Monthly Metrics'!C:C,"Majors/NRA",'Data - Monthly Metrics'!D:D,"Goal - New Sales Revenue ($)")=0,"-",SUMIFS('Data - Monthly Metrics'!E:E,'Data - Monthly Metrics'!A:A,$B$4-1,'Data - Monthly Metrics'!B:B,"Dec",'Data - Monthly Metrics'!C:C,"Majors/NRA",'Data - Monthly Metrics'!D:D,"Goal - New Sales Revenue ($)"))</f>
        <v/>
      </c>
      <c r="E37" s="101">
        <f>SUM(B37,C37,D37)</f>
        <v/>
      </c>
      <c r="F37" s="91">
        <f>IF(COUNTIFS('Data - Monthly Metrics'!A:A,$B$4,'Data - Monthly Metrics'!B:B,"Jan",'Data - Monthly Metrics'!C:C,"Majors/NRA",'Data - Monthly Metrics'!D:D,"Goal - New Sales Revenue ($)")=0,"-",SUMIFS('Data - Monthly Metrics'!E:E,'Data - Monthly Metrics'!A:A,$B$4,'Data - Monthly Metrics'!B:B,"Jan",'Data - Monthly Metrics'!C:C,"Majors/NRA",'Data - Monthly Metrics'!D:D,"Goal - New Sales Revenue ($)"))</f>
        <v/>
      </c>
      <c r="G37" s="91">
        <f>IF(COUNTIFS('Data - Monthly Metrics'!A:A,$B$4,'Data - Monthly Metrics'!B:B,"Feb",'Data - Monthly Metrics'!C:C,"Majors/NRA",'Data - Monthly Metrics'!D:D,"Goal - New Sales Revenue ($)")=0,"-",SUMIFS('Data - Monthly Metrics'!E:E,'Data - Monthly Metrics'!A:A,$B$4,'Data - Monthly Metrics'!B:B,"Feb",'Data - Monthly Metrics'!C:C,"Majors/NRA",'Data - Monthly Metrics'!D:D,"Goal - New Sales Revenue ($)"))</f>
        <v/>
      </c>
      <c r="H37" s="91">
        <f>IF(COUNTIFS('Data - Monthly Metrics'!A:A,$B$4,'Data - Monthly Metrics'!B:B,"Mar",'Data - Monthly Metrics'!C:C,"Majors/NRA",'Data - Monthly Metrics'!D:D,"Goal - New Sales Revenue ($)")=0,"-",SUMIFS('Data - Monthly Metrics'!E:E,'Data - Monthly Metrics'!A:A,$B$4,'Data - Monthly Metrics'!B:B,"Mar",'Data - Monthly Metrics'!C:C,"Majors/NRA",'Data - Monthly Metrics'!D:D,"Goal - New Sales Revenue ($)"))</f>
        <v/>
      </c>
      <c r="I37" s="101">
        <f>SUM(F37,G37,H37)</f>
        <v/>
      </c>
      <c r="J37" s="91">
        <f>IF(COUNTIFS('Data - Monthly Metrics'!A:A,$B$4,'Data - Monthly Metrics'!B:B,"Apr",'Data - Monthly Metrics'!C:C,"Majors/NRA",'Data - Monthly Metrics'!D:D,"Goal - New Sales Revenue ($)")=0,"-",SUMIFS('Data - Monthly Metrics'!E:E,'Data - Monthly Metrics'!A:A,$B$4,'Data - Monthly Metrics'!B:B,"Apr",'Data - Monthly Metrics'!C:C,"Majors/NRA",'Data - Monthly Metrics'!D:D,"Goal - New Sales Revenue ($)"))</f>
        <v/>
      </c>
      <c r="K37" s="91">
        <f>IF(COUNTIFS('Data - Monthly Metrics'!A:A,$B$4,'Data - Monthly Metrics'!B:B,"May",'Data - Monthly Metrics'!C:C,"Majors/NRA",'Data - Monthly Metrics'!D:D,"Goal - New Sales Revenue ($)")=0,"-",SUMIFS('Data - Monthly Metrics'!E:E,'Data - Monthly Metrics'!A:A,$B$4,'Data - Monthly Metrics'!B:B,"May",'Data - Monthly Metrics'!C:C,"Majors/NRA",'Data - Monthly Metrics'!D:D,"Goal - New Sales Revenue ($)"))</f>
        <v/>
      </c>
      <c r="L37" s="91">
        <f>IF(COUNTIFS('Data - Monthly Metrics'!A:A,$B$4,'Data - Monthly Metrics'!B:B,"Jun",'Data - Monthly Metrics'!C:C,"Majors/NRA",'Data - Monthly Metrics'!D:D,"Goal - New Sales Revenue ($)")=0,"-",SUMIFS('Data - Monthly Metrics'!E:E,'Data - Monthly Metrics'!A:A,$B$4,'Data - Monthly Metrics'!B:B,"Jun",'Data - Monthly Metrics'!C:C,"Majors/NRA",'Data - Monthly Metrics'!D:D,"Goal - New Sales Revenue ($)"))</f>
        <v/>
      </c>
      <c r="M37" s="101">
        <f>SUM(J37,K37,L37)</f>
        <v/>
      </c>
      <c r="N37" s="91">
        <f>IF(COUNTIFS('Data - Monthly Metrics'!A:A,$B$4,'Data - Monthly Metrics'!B:B,"Jul",'Data - Monthly Metrics'!C:C,"Majors/NRA",'Data - Monthly Metrics'!D:D,"Goal - New Sales Revenue ($)")=0,"-",SUMIFS('Data - Monthly Metrics'!E:E,'Data - Monthly Metrics'!A:A,$B$4,'Data - Monthly Metrics'!B:B,"Jul",'Data - Monthly Metrics'!C:C,"Majors/NRA",'Data - Monthly Metrics'!D:D,"Goal - New Sales Revenue ($)"))</f>
        <v/>
      </c>
      <c r="O37" s="91">
        <f>IF(COUNTIFS('Data - Monthly Metrics'!A:A,$B$4,'Data - Monthly Metrics'!B:B,"Aug",'Data - Monthly Metrics'!C:C,"Majors/NRA",'Data - Monthly Metrics'!D:D,"Goal - New Sales Revenue ($)")=0,"-",SUMIFS('Data - Monthly Metrics'!E:E,'Data - Monthly Metrics'!A:A,$B$4,'Data - Monthly Metrics'!B:B,"Aug",'Data - Monthly Metrics'!C:C,"Majors/NRA",'Data - Monthly Metrics'!D:D,"Goal - New Sales Revenue ($)"))</f>
        <v/>
      </c>
      <c r="P37" s="91">
        <f>IF(COUNTIFS('Data - Monthly Metrics'!A:A,$B$4,'Data - Monthly Metrics'!B:B,"Sep",'Data - Monthly Metrics'!C:C,"Majors/NRA",'Data - Monthly Metrics'!D:D,"Goal - New Sales Revenue ($)")=0,"-",SUMIFS('Data - Monthly Metrics'!E:E,'Data - Monthly Metrics'!A:A,$B$4,'Data - Monthly Metrics'!B:B,"Sep",'Data - Monthly Metrics'!C:C,"Majors/NRA",'Data - Monthly Metrics'!D:D,"Goal - New Sales Revenue ($)"))</f>
        <v/>
      </c>
      <c r="Q37" s="101">
        <f>SUM(N37,O37,P37)</f>
        <v/>
      </c>
      <c r="R37" s="101">
        <f>E37+I37+M37+Q37</f>
        <v/>
      </c>
    </row>
    <row r="38" ht="14.25" customHeight="1" s="82">
      <c r="A38" s="94" t="inlineStr">
        <is>
          <t>Actual Revenue - Target ($)</t>
        </is>
      </c>
      <c r="B38" s="96">
        <f>IF(COUNTIFS('Data - Monthly Metrics'!A:A,$B$4-1,'Data - Monthly Metrics'!B:B,"Oct",'Data - Monthly Metrics'!C:C,"Majors/NRA",'Data - Monthly Metrics'!D:D,"New Sales Revenue - Target ($)")=0,"-",SUMIFS('Data - Monthly Metrics'!E:E,'Data - Monthly Metrics'!A:A,$B$4-1,'Data - Monthly Metrics'!B:B,"Oct",'Data - Monthly Metrics'!C:C,"Majors/NRA",'Data - Monthly Metrics'!D:D,"New Sales Revenue - Target ($)"))</f>
        <v/>
      </c>
      <c r="C38" s="96">
        <f>IF(COUNTIFS('Data - Monthly Metrics'!A:A,$B$4-1,'Data - Monthly Metrics'!B:B,"Nov",'Data - Monthly Metrics'!C:C,"Majors/NRA",'Data - Monthly Metrics'!D:D,"New Sales Revenue - Target ($)")=0,"-",SUMIFS('Data - Monthly Metrics'!E:E,'Data - Monthly Metrics'!A:A,$B$4-1,'Data - Monthly Metrics'!B:B,"Nov",'Data - Monthly Metrics'!C:C,"Majors/NRA",'Data - Monthly Metrics'!D:D,"New Sales Revenue - Target ($)"))</f>
        <v/>
      </c>
      <c r="D38" s="96">
        <f>IF(COUNTIFS('Data - Monthly Metrics'!A:A,$B$4-1,'Data - Monthly Metrics'!B:B,"Dec",'Data - Monthly Metrics'!C:C,"Majors/NRA",'Data - Monthly Metrics'!D:D,"New Sales Revenue - Target ($)")=0,"-",SUMIFS('Data - Monthly Metrics'!E:E,'Data - Monthly Metrics'!A:A,$B$4-1,'Data - Monthly Metrics'!B:B,"Dec",'Data - Monthly Metrics'!C:C,"Majors/NRA",'Data - Monthly Metrics'!D:D,"New Sales Revenue - Target ($)"))</f>
        <v/>
      </c>
      <c r="E38" s="101">
        <f>SUM(B38,C38,D38)</f>
        <v/>
      </c>
      <c r="F38" s="96">
        <f>IF(COUNTIFS('Data - Monthly Metrics'!A:A,$B$4,'Data - Monthly Metrics'!B:B,"Jan",'Data - Monthly Metrics'!C:C,"Majors/NRA",'Data - Monthly Metrics'!D:D,"New Sales Revenue - Target ($)")=0,"-",SUMIFS('Data - Monthly Metrics'!E:E,'Data - Monthly Metrics'!A:A,$B$4,'Data - Monthly Metrics'!B:B,"Jan",'Data - Monthly Metrics'!C:C,"Majors/NRA",'Data - Monthly Metrics'!D:D,"New Sales Revenue - Target ($)"))</f>
        <v/>
      </c>
      <c r="G38" s="96">
        <f>IF(COUNTIFS('Data - Monthly Metrics'!A:A,$B$4,'Data - Monthly Metrics'!B:B,"Feb",'Data - Monthly Metrics'!C:C,"Majors/NRA",'Data - Monthly Metrics'!D:D,"New Sales Revenue - Target ($)")=0,"-",SUMIFS('Data - Monthly Metrics'!E:E,'Data - Monthly Metrics'!A:A,$B$4,'Data - Monthly Metrics'!B:B,"Feb",'Data - Monthly Metrics'!C:C,"Majors/NRA",'Data - Monthly Metrics'!D:D,"New Sales Revenue - Target ($)"))</f>
        <v/>
      </c>
      <c r="H38" s="96">
        <f>IF(COUNTIFS('Data - Monthly Metrics'!A:A,$B$4,'Data - Monthly Metrics'!B:B,"Mar",'Data - Monthly Metrics'!C:C,"Majors/NRA",'Data - Monthly Metrics'!D:D,"New Sales Revenue - Target ($)")=0,"-",SUMIFS('Data - Monthly Metrics'!E:E,'Data - Monthly Metrics'!A:A,$B$4,'Data - Monthly Metrics'!B:B,"Mar",'Data - Monthly Metrics'!C:C,"Majors/NRA",'Data - Monthly Metrics'!D:D,"New Sales Revenue - Target ($)"))</f>
        <v/>
      </c>
      <c r="I38" s="101">
        <f>SUM(F38,G38,H38)</f>
        <v/>
      </c>
      <c r="J38" s="96">
        <f>IF(COUNTIFS('Data - Monthly Metrics'!A:A,$B$4,'Data - Monthly Metrics'!B:B,"Apr",'Data - Monthly Metrics'!C:C,"Majors/NRA",'Data - Monthly Metrics'!D:D,"New Sales Revenue - Target ($)")=0,"-",SUMIFS('Data - Monthly Metrics'!E:E,'Data - Monthly Metrics'!A:A,$B$4,'Data - Monthly Metrics'!B:B,"Apr",'Data - Monthly Metrics'!C:C,"Majors/NRA",'Data - Monthly Metrics'!D:D,"New Sales Revenue - Target ($)"))</f>
        <v/>
      </c>
      <c r="K38" s="96">
        <f>IF(COUNTIFS('Data - Monthly Metrics'!A:A,$B$4,'Data - Monthly Metrics'!B:B,"May",'Data - Monthly Metrics'!C:C,"Majors/NRA",'Data - Monthly Metrics'!D:D,"New Sales Revenue - Target ($)")=0,"-",SUMIFS('Data - Monthly Metrics'!E:E,'Data - Monthly Metrics'!A:A,$B$4,'Data - Monthly Metrics'!B:B,"May",'Data - Monthly Metrics'!C:C,"Majors/NRA",'Data - Monthly Metrics'!D:D,"New Sales Revenue - Target ($)"))</f>
        <v/>
      </c>
      <c r="L38" s="96">
        <f>IF(COUNTIFS('Data - Monthly Metrics'!A:A,$B$4,'Data - Monthly Metrics'!B:B,"Jun",'Data - Monthly Metrics'!C:C,"Majors/NRA",'Data - Monthly Metrics'!D:D,"New Sales Revenue - Target ($)")=0,"-",SUMIFS('Data - Monthly Metrics'!E:E,'Data - Monthly Metrics'!A:A,$B$4,'Data - Monthly Metrics'!B:B,"Jun",'Data - Monthly Metrics'!C:C,"Majors/NRA",'Data - Monthly Metrics'!D:D,"New Sales Revenue - Target ($)"))</f>
        <v/>
      </c>
      <c r="M38" s="101">
        <f>SUM(J38,K38,L38)</f>
        <v/>
      </c>
      <c r="N38" s="96">
        <f>IF(COUNTIFS('Data - Monthly Metrics'!A:A,$B$4,'Data - Monthly Metrics'!B:B,"Jul",'Data - Monthly Metrics'!C:C,"Majors/NRA",'Data - Monthly Metrics'!D:D,"New Sales Revenue - Target ($)")=0,"-",SUMIFS('Data - Monthly Metrics'!E:E,'Data - Monthly Metrics'!A:A,$B$4,'Data - Monthly Metrics'!B:B,"Jul",'Data - Monthly Metrics'!C:C,"Majors/NRA",'Data - Monthly Metrics'!D:D,"New Sales Revenue - Target ($)"))</f>
        <v/>
      </c>
      <c r="O38" s="96">
        <f>IF(COUNTIFS('Data - Monthly Metrics'!A:A,$B$4,'Data - Monthly Metrics'!B:B,"Aug",'Data - Monthly Metrics'!C:C,"Majors/NRA",'Data - Monthly Metrics'!D:D,"New Sales Revenue - Target ($)")=0,"-",SUMIFS('Data - Monthly Metrics'!E:E,'Data - Monthly Metrics'!A:A,$B$4,'Data - Monthly Metrics'!B:B,"Aug",'Data - Monthly Metrics'!C:C,"Majors/NRA",'Data - Monthly Metrics'!D:D,"New Sales Revenue - Target ($)"))</f>
        <v/>
      </c>
      <c r="P38" s="96">
        <f>IF(COUNTIFS('Data - Monthly Metrics'!A:A,$B$4,'Data - Monthly Metrics'!B:B,"Sep",'Data - Monthly Metrics'!C:C,"Majors/NRA",'Data - Monthly Metrics'!D:D,"New Sales Revenue - Target ($)")=0,"-",SUMIFS('Data - Monthly Metrics'!E:E,'Data - Monthly Metrics'!A:A,$B$4,'Data - Monthly Metrics'!B:B,"Sep",'Data - Monthly Metrics'!C:C,"Majors/NRA",'Data - Monthly Metrics'!D:D,"New Sales Revenue - Target ($)"))</f>
        <v/>
      </c>
      <c r="Q38" s="101">
        <f>SUM(N38,O38,P38)</f>
        <v/>
      </c>
      <c r="R38" s="101">
        <f>E38+I38+M38+Q38</f>
        <v/>
      </c>
    </row>
    <row r="39" ht="14.25" customHeight="1" s="82">
      <c r="A39" s="89" t="inlineStr">
        <is>
          <t>% to Revenue Goal</t>
        </is>
      </c>
      <c r="B39" s="92">
        <f>IF(OR(NOT(ISNUMBER(B37)),B37=0),"-",B38/B37)</f>
        <v/>
      </c>
      <c r="C39" s="92">
        <f>IF(OR(NOT(ISNUMBER(C37)),C37=0),"-",C38/C37)</f>
        <v/>
      </c>
      <c r="D39" s="92">
        <f>IF(OR(NOT(ISNUMBER(D37)),D37=0),"-",D38/D37)</f>
        <v/>
      </c>
      <c r="E39" s="102">
        <f>IF(OR(NOT(ISNUMBER(E37)),E37=0),"-",E38/E37)</f>
        <v/>
      </c>
      <c r="F39" s="92">
        <f>IF(OR(NOT(ISNUMBER(F37)),F37=0),"-",F38/F37)</f>
        <v/>
      </c>
      <c r="G39" s="92">
        <f>IF(OR(NOT(ISNUMBER(G37)),G37=0),"-",G38/G37)</f>
        <v/>
      </c>
      <c r="H39" s="92">
        <f>IF(OR(NOT(ISNUMBER(H37)),H37=0),"-",H38/H37)</f>
        <v/>
      </c>
      <c r="I39" s="102">
        <f>IF(OR(NOT(ISNUMBER(I37)),I37=0),"-",I38/I37)</f>
        <v/>
      </c>
      <c r="J39" s="92">
        <f>IF(OR(NOT(ISNUMBER(J37)),J37=0),"-",J38/J37)</f>
        <v/>
      </c>
      <c r="K39" s="92">
        <f>IF(OR(NOT(ISNUMBER(K37)),K37=0),"-",K38/K37)</f>
        <v/>
      </c>
      <c r="L39" s="92">
        <f>IF(OR(NOT(ISNUMBER(L37)),L37=0),"-",L38/L37)</f>
        <v/>
      </c>
      <c r="M39" s="102">
        <f>IF(OR(NOT(ISNUMBER(M37)),M37=0),"-",M38/M37)</f>
        <v/>
      </c>
      <c r="N39" s="92">
        <f>IF(OR(NOT(ISNUMBER(N37)),N37=0),"-",N38/N37)</f>
        <v/>
      </c>
      <c r="O39" s="92">
        <f>IF(OR(NOT(ISNUMBER(O37)),O37=0),"-",O38/O37)</f>
        <v/>
      </c>
      <c r="P39" s="92">
        <f>IF(OR(NOT(ISNUMBER(P37)),P37=0),"-",P38/P37)</f>
        <v/>
      </c>
      <c r="Q39" s="102">
        <f>IF(OR(NOT(ISNUMBER(Q37)),Q37=0),"-",Q38/Q37)</f>
        <v/>
      </c>
      <c r="R39" s="102">
        <f>IF(OR(NOT(ISNUMBER(R37)),R37=0),"-",R38/R37)</f>
        <v/>
      </c>
    </row>
    <row r="40" ht="14.25" customHeight="1" s="82">
      <c r="A40" s="94" t="inlineStr">
        <is>
          <t>Status</t>
        </is>
      </c>
      <c r="B40" s="120">
        <f>IF(NOT(ISNUMBER(B39)),"—",IF(B39=0,"—",IF(B39&gt;=1,"On Track",IF(B39&gt;=0.8,"Close","Behind"))))</f>
        <v/>
      </c>
      <c r="C40" s="120">
        <f>IF(NOT(ISNUMBER(C39)),"—",IF(C39=0,"—",IF(C39&gt;=1,"On Track",IF(C39&gt;=0.8,"Close","Behind"))))</f>
        <v/>
      </c>
      <c r="D40" s="120">
        <f>IF(NOT(ISNUMBER(D39)),"—",IF(D39=0,"—",IF(D39&gt;=1,"On Track",IF(D39&gt;=0.8,"Close","Behind"))))</f>
        <v/>
      </c>
      <c r="E40" s="121">
        <f>IF(NOT(ISNUMBER(E39)),"—",IF(E39=0,"—",IF(E39&gt;=1,"On Track",IF(E39&gt;=0.8,"Close","Behind"))))</f>
        <v/>
      </c>
      <c r="F40" s="120">
        <f>IF(NOT(ISNUMBER(F39)),"—",IF(F39=0,"—",IF(F39&gt;=1,"On Track",IF(F39&gt;=0.8,"Close","Behind"))))</f>
        <v/>
      </c>
      <c r="G40" s="120">
        <f>IF(NOT(ISNUMBER(G39)),"—",IF(G39=0,"—",IF(G39&gt;=1,"On Track",IF(G39&gt;=0.8,"Close","Behind"))))</f>
        <v/>
      </c>
      <c r="H40" s="120">
        <f>IF(NOT(ISNUMBER(H39)),"—",IF(H39=0,"—",IF(H39&gt;=1,"On Track",IF(H39&gt;=0.8,"Close","Behind"))))</f>
        <v/>
      </c>
      <c r="I40" s="121">
        <f>IF(NOT(ISNUMBER(I39)),"—",IF(I39=0,"—",IF(I39&gt;=1,"On Track",IF(I39&gt;=0.8,"Close","Behind"))))</f>
        <v/>
      </c>
      <c r="J40" s="120">
        <f>IF(NOT(ISNUMBER(J39)),"—",IF(J39=0,"—",IF(J39&gt;=1,"On Track",IF(J39&gt;=0.8,"Close","Behind"))))</f>
        <v/>
      </c>
      <c r="K40" s="120">
        <f>IF(NOT(ISNUMBER(K39)),"—",IF(K39=0,"—",IF(K39&gt;=1,"On Track",IF(K39&gt;=0.8,"Close","Behind"))))</f>
        <v/>
      </c>
      <c r="L40" s="120">
        <f>IF(NOT(ISNUMBER(L39)),"—",IF(L39=0,"—",IF(L39&gt;=1,"On Track",IF(L39&gt;=0.8,"Close","Behind"))))</f>
        <v/>
      </c>
      <c r="M40" s="121">
        <f>IF(NOT(ISNUMBER(M39)),"—",IF(M39=0,"—",IF(M39&gt;=1,"On Track",IF(M39&gt;=0.8,"Close","Behind"))))</f>
        <v/>
      </c>
      <c r="N40" s="120">
        <f>IF(NOT(ISNUMBER(N39)),"—",IF(N39=0,"—",IF(N39&gt;=1,"On Track",IF(N39&gt;=0.8,"Close","Behind"))))</f>
        <v/>
      </c>
      <c r="O40" s="120">
        <f>IF(NOT(ISNUMBER(O39)),"—",IF(O39=0,"—",IF(O39&gt;=1,"On Track",IF(O39&gt;=0.8,"Close","Behind"))))</f>
        <v/>
      </c>
      <c r="P40" s="120">
        <f>IF(NOT(ISNUMBER(P39)),"—",IF(P39=0,"—",IF(P39&gt;=1,"On Track",IF(P39&gt;=0.8,"Close","Behind"))))</f>
        <v/>
      </c>
      <c r="Q40" s="121">
        <f>IF(NOT(ISNUMBER(Q39)),"—",IF(Q39=0,"—",IF(Q39&gt;=1,"On Track",IF(Q39&gt;=0.8,"Close","Behind"))))</f>
        <v/>
      </c>
      <c r="R40" s="121">
        <f>IF(NOT(ISNUMBER(R39)),"—",IF(R39=0,"—",IF(R39&gt;=1,"On Track",IF(R39&gt;=0.8,"Close","Behind"))))</f>
        <v/>
      </c>
    </row>
    <row r="41" ht="14.25" customHeight="1" s="82">
      <c r="A41" s="89" t="inlineStr">
        <is>
          <t>Goal - New Members (#)</t>
        </is>
      </c>
      <c r="B41" s="93">
        <f>IF(COUNTIFS('Data - Monthly Metrics'!A:A,$B$4-1,'Data - Monthly Metrics'!B:B,"Oct",'Data - Monthly Metrics'!C:C,"Majors/NRA",'Data - Monthly Metrics'!D:D,"Goal - New Members (#)")=0,"-",SUMIFS('Data - Monthly Metrics'!E:E,'Data - Monthly Metrics'!A:A,$B$4-1,'Data - Monthly Metrics'!B:B,"Oct",'Data - Monthly Metrics'!C:C,"Majors/NRA",'Data - Monthly Metrics'!D:D,"Goal - New Members (#)"))</f>
        <v/>
      </c>
      <c r="C41" s="93">
        <f>IF(COUNTIFS('Data - Monthly Metrics'!A:A,$B$4-1,'Data - Monthly Metrics'!B:B,"Nov",'Data - Monthly Metrics'!C:C,"Majors/NRA",'Data - Monthly Metrics'!D:D,"Goal - New Members (#)")=0,"-",SUMIFS('Data - Monthly Metrics'!E:E,'Data - Monthly Metrics'!A:A,$B$4-1,'Data - Monthly Metrics'!B:B,"Nov",'Data - Monthly Metrics'!C:C,"Majors/NRA",'Data - Monthly Metrics'!D:D,"Goal - New Members (#)"))</f>
        <v/>
      </c>
      <c r="D41" s="93">
        <f>IF(COUNTIFS('Data - Monthly Metrics'!A:A,$B$4-1,'Data - Monthly Metrics'!B:B,"Dec",'Data - Monthly Metrics'!C:C,"Majors/NRA",'Data - Monthly Metrics'!D:D,"Goal - New Members (#)")=0,"-",SUMIFS('Data - Monthly Metrics'!E:E,'Data - Monthly Metrics'!A:A,$B$4-1,'Data - Monthly Metrics'!B:B,"Dec",'Data - Monthly Metrics'!C:C,"Majors/NRA",'Data - Monthly Metrics'!D:D,"Goal - New Members (#)"))</f>
        <v/>
      </c>
      <c r="E41" s="103">
        <f>SUM(B41,C41,D41)</f>
        <v/>
      </c>
      <c r="F41" s="93">
        <f>IF(COUNTIFS('Data - Monthly Metrics'!A:A,$B$4,'Data - Monthly Metrics'!B:B,"Jan",'Data - Monthly Metrics'!C:C,"Majors/NRA",'Data - Monthly Metrics'!D:D,"Goal - New Members (#)")=0,"-",SUMIFS('Data - Monthly Metrics'!E:E,'Data - Monthly Metrics'!A:A,$B$4,'Data - Monthly Metrics'!B:B,"Jan",'Data - Monthly Metrics'!C:C,"Majors/NRA",'Data - Monthly Metrics'!D:D,"Goal - New Members (#)"))</f>
        <v/>
      </c>
      <c r="G41" s="93">
        <f>IF(COUNTIFS('Data - Monthly Metrics'!A:A,$B$4,'Data - Monthly Metrics'!B:B,"Feb",'Data - Monthly Metrics'!C:C,"Majors/NRA",'Data - Monthly Metrics'!D:D,"Goal - New Members (#)")=0,"-",SUMIFS('Data - Monthly Metrics'!E:E,'Data - Monthly Metrics'!A:A,$B$4,'Data - Monthly Metrics'!B:B,"Feb",'Data - Monthly Metrics'!C:C,"Majors/NRA",'Data - Monthly Metrics'!D:D,"Goal - New Members (#)"))</f>
        <v/>
      </c>
      <c r="H41" s="93">
        <f>IF(COUNTIFS('Data - Monthly Metrics'!A:A,$B$4,'Data - Monthly Metrics'!B:B,"Mar",'Data - Monthly Metrics'!C:C,"Majors/NRA",'Data - Monthly Metrics'!D:D,"Goal - New Members (#)")=0,"-",SUMIFS('Data - Monthly Metrics'!E:E,'Data - Monthly Metrics'!A:A,$B$4,'Data - Monthly Metrics'!B:B,"Mar",'Data - Monthly Metrics'!C:C,"Majors/NRA",'Data - Monthly Metrics'!D:D,"Goal - New Members (#)"))</f>
        <v/>
      </c>
      <c r="I41" s="103">
        <f>SUM(F41,G41,H41)</f>
        <v/>
      </c>
      <c r="J41" s="93">
        <f>IF(COUNTIFS('Data - Monthly Metrics'!A:A,$B$4,'Data - Monthly Metrics'!B:B,"Apr",'Data - Monthly Metrics'!C:C,"Majors/NRA",'Data - Monthly Metrics'!D:D,"Goal - New Members (#)")=0,"-",SUMIFS('Data - Monthly Metrics'!E:E,'Data - Monthly Metrics'!A:A,$B$4,'Data - Monthly Metrics'!B:B,"Apr",'Data - Monthly Metrics'!C:C,"Majors/NRA",'Data - Monthly Metrics'!D:D,"Goal - New Members (#)"))</f>
        <v/>
      </c>
      <c r="K41" s="93">
        <f>IF(COUNTIFS('Data - Monthly Metrics'!A:A,$B$4,'Data - Monthly Metrics'!B:B,"May",'Data - Monthly Metrics'!C:C,"Majors/NRA",'Data - Monthly Metrics'!D:D,"Goal - New Members (#)")=0,"-",SUMIFS('Data - Monthly Metrics'!E:E,'Data - Monthly Metrics'!A:A,$B$4,'Data - Monthly Metrics'!B:B,"May",'Data - Monthly Metrics'!C:C,"Majors/NRA",'Data - Monthly Metrics'!D:D,"Goal - New Members (#)"))</f>
        <v/>
      </c>
      <c r="L41" s="93">
        <f>IF(COUNTIFS('Data - Monthly Metrics'!A:A,$B$4,'Data - Monthly Metrics'!B:B,"Jun",'Data - Monthly Metrics'!C:C,"Majors/NRA",'Data - Monthly Metrics'!D:D,"Goal - New Members (#)")=0,"-",SUMIFS('Data - Monthly Metrics'!E:E,'Data - Monthly Metrics'!A:A,$B$4,'Data - Monthly Metrics'!B:B,"Jun",'Data - Monthly Metrics'!C:C,"Majors/NRA",'Data - Monthly Metrics'!D:D,"Goal - New Members (#)"))</f>
        <v/>
      </c>
      <c r="M41" s="103">
        <f>SUM(J41,K41,L41)</f>
        <v/>
      </c>
      <c r="N41" s="93">
        <f>IF(COUNTIFS('Data - Monthly Metrics'!A:A,$B$4,'Data - Monthly Metrics'!B:B,"Jul",'Data - Monthly Metrics'!C:C,"Majors/NRA",'Data - Monthly Metrics'!D:D,"Goal - New Members (#)")=0,"-",SUMIFS('Data - Monthly Metrics'!E:E,'Data - Monthly Metrics'!A:A,$B$4,'Data - Monthly Metrics'!B:B,"Jul",'Data - Monthly Metrics'!C:C,"Majors/NRA",'Data - Monthly Metrics'!D:D,"Goal - New Members (#)"))</f>
        <v/>
      </c>
      <c r="O41" s="93">
        <f>IF(COUNTIFS('Data - Monthly Metrics'!A:A,$B$4,'Data - Monthly Metrics'!B:B,"Aug",'Data - Monthly Metrics'!C:C,"Majors/NRA",'Data - Monthly Metrics'!D:D,"Goal - New Members (#)")=0,"-",SUMIFS('Data - Monthly Metrics'!E:E,'Data - Monthly Metrics'!A:A,$B$4,'Data - Monthly Metrics'!B:B,"Aug",'Data - Monthly Metrics'!C:C,"Majors/NRA",'Data - Monthly Metrics'!D:D,"Goal - New Members (#)"))</f>
        <v/>
      </c>
      <c r="P41" s="93">
        <f>IF(COUNTIFS('Data - Monthly Metrics'!A:A,$B$4,'Data - Monthly Metrics'!B:B,"Sep",'Data - Monthly Metrics'!C:C,"Majors/NRA",'Data - Monthly Metrics'!D:D,"Goal - New Members (#)")=0,"-",SUMIFS('Data - Monthly Metrics'!E:E,'Data - Monthly Metrics'!A:A,$B$4,'Data - Monthly Metrics'!B:B,"Sep",'Data - Monthly Metrics'!C:C,"Majors/NRA",'Data - Monthly Metrics'!D:D,"Goal - New Members (#)"))</f>
        <v/>
      </c>
      <c r="Q41" s="103">
        <f>SUM(N41,O41,P41)</f>
        <v/>
      </c>
      <c r="R41" s="103">
        <f>E41+I41+M41+Q41</f>
        <v/>
      </c>
    </row>
    <row r="42" ht="14.25" customHeight="1" s="82">
      <c r="A42" s="94" t="inlineStr">
        <is>
          <t>New Members - Target (#)</t>
        </is>
      </c>
      <c r="B42" s="98">
        <f>IF(COUNTIFS('Data - Monthly Metrics'!A:A,$B$4-1,'Data - Monthly Metrics'!B:B,"Oct",'Data - Monthly Metrics'!C:C,"Majors/NRA",'Data - Monthly Metrics'!D:D,"New Members - Target (#)")=0,"-",SUMIFS('Data - Monthly Metrics'!E:E,'Data - Monthly Metrics'!A:A,$B$4-1,'Data - Monthly Metrics'!B:B,"Oct",'Data - Monthly Metrics'!C:C,"Majors/NRA",'Data - Monthly Metrics'!D:D,"New Members - Target (#)"))</f>
        <v/>
      </c>
      <c r="C42" s="98">
        <f>IF(COUNTIFS('Data - Monthly Metrics'!A:A,$B$4-1,'Data - Monthly Metrics'!B:B,"Nov",'Data - Monthly Metrics'!C:C,"Majors/NRA",'Data - Monthly Metrics'!D:D,"New Members - Target (#)")=0,"-",SUMIFS('Data - Monthly Metrics'!E:E,'Data - Monthly Metrics'!A:A,$B$4-1,'Data - Monthly Metrics'!B:B,"Nov",'Data - Monthly Metrics'!C:C,"Majors/NRA",'Data - Monthly Metrics'!D:D,"New Members - Target (#)"))</f>
        <v/>
      </c>
      <c r="D42" s="98">
        <f>IF(COUNTIFS('Data - Monthly Metrics'!A:A,$B$4-1,'Data - Monthly Metrics'!B:B,"Dec",'Data - Monthly Metrics'!C:C,"Majors/NRA",'Data - Monthly Metrics'!D:D,"New Members - Target (#)")=0,"-",SUMIFS('Data - Monthly Metrics'!E:E,'Data - Monthly Metrics'!A:A,$B$4-1,'Data - Monthly Metrics'!B:B,"Dec",'Data - Monthly Metrics'!C:C,"Majors/NRA",'Data - Monthly Metrics'!D:D,"New Members - Target (#)"))</f>
        <v/>
      </c>
      <c r="E42" s="103">
        <f>SUM(B42,C42,D42)</f>
        <v/>
      </c>
      <c r="F42" s="98">
        <f>IF(COUNTIFS('Data - Monthly Metrics'!A:A,$B$4,'Data - Monthly Metrics'!B:B,"Jan",'Data - Monthly Metrics'!C:C,"Majors/NRA",'Data - Monthly Metrics'!D:D,"New Members - Target (#)")=0,"-",SUMIFS('Data - Monthly Metrics'!E:E,'Data - Monthly Metrics'!A:A,$B$4,'Data - Monthly Metrics'!B:B,"Jan",'Data - Monthly Metrics'!C:C,"Majors/NRA",'Data - Monthly Metrics'!D:D,"New Members - Target (#)"))</f>
        <v/>
      </c>
      <c r="G42" s="98">
        <f>IF(COUNTIFS('Data - Monthly Metrics'!A:A,$B$4,'Data - Monthly Metrics'!B:B,"Feb",'Data - Monthly Metrics'!C:C,"Majors/NRA",'Data - Monthly Metrics'!D:D,"New Members - Target (#)")=0,"-",SUMIFS('Data - Monthly Metrics'!E:E,'Data - Monthly Metrics'!A:A,$B$4,'Data - Monthly Metrics'!B:B,"Feb",'Data - Monthly Metrics'!C:C,"Majors/NRA",'Data - Monthly Metrics'!D:D,"New Members - Target (#)"))</f>
        <v/>
      </c>
      <c r="H42" s="98">
        <f>IF(COUNTIFS('Data - Monthly Metrics'!A:A,$B$4,'Data - Monthly Metrics'!B:B,"Mar",'Data - Monthly Metrics'!C:C,"Majors/NRA",'Data - Monthly Metrics'!D:D,"New Members - Target (#)")=0,"-",SUMIFS('Data - Monthly Metrics'!E:E,'Data - Monthly Metrics'!A:A,$B$4,'Data - Monthly Metrics'!B:B,"Mar",'Data - Monthly Metrics'!C:C,"Majors/NRA",'Data - Monthly Metrics'!D:D,"New Members - Target (#)"))</f>
        <v/>
      </c>
      <c r="I42" s="103">
        <f>SUM(F42,G42,H42)</f>
        <v/>
      </c>
      <c r="J42" s="98">
        <f>IF(COUNTIFS('Data - Monthly Metrics'!A:A,$B$4,'Data - Monthly Metrics'!B:B,"Apr",'Data - Monthly Metrics'!C:C,"Majors/NRA",'Data - Monthly Metrics'!D:D,"New Members - Target (#)")=0,"-",SUMIFS('Data - Monthly Metrics'!E:E,'Data - Monthly Metrics'!A:A,$B$4,'Data - Monthly Metrics'!B:B,"Apr",'Data - Monthly Metrics'!C:C,"Majors/NRA",'Data - Monthly Metrics'!D:D,"New Members - Target (#)"))</f>
        <v/>
      </c>
      <c r="K42" s="98">
        <f>IF(COUNTIFS('Data - Monthly Metrics'!A:A,$B$4,'Data - Monthly Metrics'!B:B,"May",'Data - Monthly Metrics'!C:C,"Majors/NRA",'Data - Monthly Metrics'!D:D,"New Members - Target (#)")=0,"-",SUMIFS('Data - Monthly Metrics'!E:E,'Data - Monthly Metrics'!A:A,$B$4,'Data - Monthly Metrics'!B:B,"May",'Data - Monthly Metrics'!C:C,"Majors/NRA",'Data - Monthly Metrics'!D:D,"New Members - Target (#)"))</f>
        <v/>
      </c>
      <c r="L42" s="98">
        <f>IF(COUNTIFS('Data - Monthly Metrics'!A:A,$B$4,'Data - Monthly Metrics'!B:B,"Jun",'Data - Monthly Metrics'!C:C,"Majors/NRA",'Data - Monthly Metrics'!D:D,"New Members - Target (#)")=0,"-",SUMIFS('Data - Monthly Metrics'!E:E,'Data - Monthly Metrics'!A:A,$B$4,'Data - Monthly Metrics'!B:B,"Jun",'Data - Monthly Metrics'!C:C,"Majors/NRA",'Data - Monthly Metrics'!D:D,"New Members - Target (#)"))</f>
        <v/>
      </c>
      <c r="M42" s="103">
        <f>SUM(J42,K42,L42)</f>
        <v/>
      </c>
      <c r="N42" s="98">
        <f>IF(COUNTIFS('Data - Monthly Metrics'!A:A,$B$4,'Data - Monthly Metrics'!B:B,"Jul",'Data - Monthly Metrics'!C:C,"Majors/NRA",'Data - Monthly Metrics'!D:D,"New Members - Target (#)")=0,"-",SUMIFS('Data - Monthly Metrics'!E:E,'Data - Monthly Metrics'!A:A,$B$4,'Data - Monthly Metrics'!B:B,"Jul",'Data - Monthly Metrics'!C:C,"Majors/NRA",'Data - Monthly Metrics'!D:D,"New Members - Target (#)"))</f>
        <v/>
      </c>
      <c r="O42" s="98">
        <f>IF(COUNTIFS('Data - Monthly Metrics'!A:A,$B$4,'Data - Monthly Metrics'!B:B,"Aug",'Data - Monthly Metrics'!C:C,"Majors/NRA",'Data - Monthly Metrics'!D:D,"New Members - Target (#)")=0,"-",SUMIFS('Data - Monthly Metrics'!E:E,'Data - Monthly Metrics'!A:A,$B$4,'Data - Monthly Metrics'!B:B,"Aug",'Data - Monthly Metrics'!C:C,"Majors/NRA",'Data - Monthly Metrics'!D:D,"New Members - Target (#)"))</f>
        <v/>
      </c>
      <c r="P42" s="98">
        <f>IF(COUNTIFS('Data - Monthly Metrics'!A:A,$B$4,'Data - Monthly Metrics'!B:B,"Sep",'Data - Monthly Metrics'!C:C,"Majors/NRA",'Data - Monthly Metrics'!D:D,"New Members - Target (#)")=0,"-",SUMIFS('Data - Monthly Metrics'!E:E,'Data - Monthly Metrics'!A:A,$B$4,'Data - Monthly Metrics'!B:B,"Sep",'Data - Monthly Metrics'!C:C,"Majors/NRA",'Data - Monthly Metrics'!D:D,"New Members - Target (#)"))</f>
        <v/>
      </c>
      <c r="Q42" s="103">
        <f>SUM(N42,O42,P42)</f>
        <v/>
      </c>
      <c r="R42" s="103">
        <f>E42+I42+M42+Q42</f>
        <v/>
      </c>
    </row>
    <row r="43" ht="14.25" customHeight="1" s="82">
      <c r="A43" s="125" t="inlineStr">
        <is>
          <t>% to Member Goal</t>
        </is>
      </c>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c r="AO43" s="81" t="n"/>
      <c r="AP43" s="81" t="n"/>
      <c r="AQ43" s="81" t="n"/>
      <c r="AR43" s="81" t="n"/>
    </row>
    <row r="44" ht="21.75" customHeight="1" s="82">
      <c r="A44" s="87" t="inlineStr">
        <is>
          <t xml:space="preserve">  ▶   T2.  BILLABLES — Target</t>
        </is>
      </c>
    </row>
    <row r="45" ht="14.25" customHeight="1" s="82">
      <c r="A45" s="88" t="inlineStr">
        <is>
          <t>Metric</t>
        </is>
      </c>
      <c r="B45" s="88" t="inlineStr">
        <is>
          <t>Oct</t>
        </is>
      </c>
      <c r="C45" s="88" t="inlineStr">
        <is>
          <t>Nov</t>
        </is>
      </c>
      <c r="D45" s="88" t="inlineStr">
        <is>
          <t>Dec</t>
        </is>
      </c>
      <c r="E45" s="88" t="inlineStr">
        <is>
          <t>Q1</t>
        </is>
      </c>
      <c r="F45" s="88" t="inlineStr">
        <is>
          <t>Jan</t>
        </is>
      </c>
      <c r="G45" s="88" t="inlineStr">
        <is>
          <t>Feb</t>
        </is>
      </c>
      <c r="H45" s="88" t="inlineStr">
        <is>
          <t>Mar</t>
        </is>
      </c>
      <c r="I45" s="88" t="inlineStr">
        <is>
          <t>Q2</t>
        </is>
      </c>
      <c r="J45" s="88" t="inlineStr">
        <is>
          <t>Apr</t>
        </is>
      </c>
      <c r="K45" s="88" t="inlineStr">
        <is>
          <t>May</t>
        </is>
      </c>
      <c r="L45" s="88" t="inlineStr">
        <is>
          <t>Jun</t>
        </is>
      </c>
      <c r="M45" s="88" t="inlineStr">
        <is>
          <t>Q3</t>
        </is>
      </c>
      <c r="N45" s="88" t="inlineStr">
        <is>
          <t>Jul</t>
        </is>
      </c>
      <c r="O45" s="88" t="inlineStr">
        <is>
          <t>Aug</t>
        </is>
      </c>
      <c r="P45" s="88" t="inlineStr">
        <is>
          <t>Sep</t>
        </is>
      </c>
      <c r="Q45" s="88" t="inlineStr">
        <is>
          <t>Q4</t>
        </is>
      </c>
      <c r="R45" s="88" t="inlineStr">
        <is>
          <t>Avg</t>
        </is>
      </c>
    </row>
    <row r="46" ht="14.25" customHeight="1" s="82">
      <c r="A46" s="89" t="inlineStr">
        <is>
          <t>Target (#)</t>
        </is>
      </c>
      <c r="B46" s="93">
        <f>IF(COUNTIFS('Data - Monthly Metrics'!A:A,$B$4-1,'Data - Monthly Metrics'!B:B,"Oct",'Data - Monthly Metrics'!C:C,"Majors/NRA",'Data - Monthly Metrics'!D:D,"Billables - Hospitality Target (#)")=0,"-",SUMIFS('Data - Monthly Metrics'!E:E,'Data - Monthly Metrics'!A:A,$B$4-1,'Data - Monthly Metrics'!B:B,"Oct",'Data - Monthly Metrics'!C:C,"Majors/NRA",'Data - Monthly Metrics'!D:D,"Billables - Hospitality Target (#)"))</f>
        <v/>
      </c>
      <c r="C46" s="93">
        <f>IF(COUNTIFS('Data - Monthly Metrics'!A:A,$B$4-1,'Data - Monthly Metrics'!B:B,"Nov",'Data - Monthly Metrics'!C:C,"Majors/NRA",'Data - Monthly Metrics'!D:D,"Billables - Hospitality Target (#)")=0,"-",SUMIFS('Data - Monthly Metrics'!E:E,'Data - Monthly Metrics'!A:A,$B$4-1,'Data - Monthly Metrics'!B:B,"Nov",'Data - Monthly Metrics'!C:C,"Majors/NRA",'Data - Monthly Metrics'!D:D,"Billables - Hospitality Target (#)"))</f>
        <v/>
      </c>
      <c r="D46" s="93">
        <f>IF(COUNTIFS('Data - Monthly Metrics'!A:A,$B$4-1,'Data - Monthly Metrics'!B:B,"Dec",'Data - Monthly Metrics'!C:C,"Majors/NRA",'Data - Monthly Metrics'!D:D,"Billables - Hospitality Target (#)")=0,"-",SUMIFS('Data - Monthly Metrics'!E:E,'Data - Monthly Metrics'!A:A,$B$4-1,'Data - Monthly Metrics'!B:B,"Dec",'Data - Monthly Metrics'!C:C,"Majors/NRA",'Data - Monthly Metrics'!D:D,"Billables - Hospitality Target (#)"))</f>
        <v/>
      </c>
      <c r="E46" s="103">
        <f>IF(ISNUMBER(D46),D46,IF(ISNUMBER(C46),C46,IF(ISNUMBER(B46),B46,"-")))</f>
        <v/>
      </c>
      <c r="F46" s="93">
        <f>IF(COUNTIFS('Data - Monthly Metrics'!A:A,$B$4,'Data - Monthly Metrics'!B:B,"Jan",'Data - Monthly Metrics'!C:C,"Majors/NRA",'Data - Monthly Metrics'!D:D,"Billables - Hospitality Target (#)")=0,"-",SUMIFS('Data - Monthly Metrics'!E:E,'Data - Monthly Metrics'!A:A,$B$4,'Data - Monthly Metrics'!B:B,"Jan",'Data - Monthly Metrics'!C:C,"Majors/NRA",'Data - Monthly Metrics'!D:D,"Billables - Hospitality Target (#)"))</f>
        <v/>
      </c>
      <c r="G46" s="93">
        <f>IF(COUNTIFS('Data - Monthly Metrics'!A:A,$B$4,'Data - Monthly Metrics'!B:B,"Feb",'Data - Monthly Metrics'!C:C,"Majors/NRA",'Data - Monthly Metrics'!D:D,"Billables - Hospitality Target (#)")=0,"-",SUMIFS('Data - Monthly Metrics'!E:E,'Data - Monthly Metrics'!A:A,$B$4,'Data - Monthly Metrics'!B:B,"Feb",'Data - Monthly Metrics'!C:C,"Majors/NRA",'Data - Monthly Metrics'!D:D,"Billables - Hospitality Target (#)"))</f>
        <v/>
      </c>
      <c r="H46" s="93">
        <f>IF(COUNTIFS('Data - Monthly Metrics'!A:A,$B$4,'Data - Monthly Metrics'!B:B,"Mar",'Data - Monthly Metrics'!C:C,"Majors/NRA",'Data - Monthly Metrics'!D:D,"Billables - Hospitality Target (#)")=0,"-",SUMIFS('Data - Monthly Metrics'!E:E,'Data - Monthly Metrics'!A:A,$B$4,'Data - Monthly Metrics'!B:B,"Mar",'Data - Monthly Metrics'!C:C,"Majors/NRA",'Data - Monthly Metrics'!D:D,"Billables - Hospitality Target (#)"))</f>
        <v/>
      </c>
      <c r="I46" s="103">
        <f>IF(ISNUMBER(H46),H46,IF(ISNUMBER(G46),G46,IF(ISNUMBER(F46),F46,"-")))</f>
        <v/>
      </c>
      <c r="J46" s="93">
        <f>IF(COUNTIFS('Data - Monthly Metrics'!A:A,$B$4,'Data - Monthly Metrics'!B:B,"Apr",'Data - Monthly Metrics'!C:C,"Majors/NRA",'Data - Monthly Metrics'!D:D,"Billables - Hospitality Target (#)")=0,"-",SUMIFS('Data - Monthly Metrics'!E:E,'Data - Monthly Metrics'!A:A,$B$4,'Data - Monthly Metrics'!B:B,"Apr",'Data - Monthly Metrics'!C:C,"Majors/NRA",'Data - Monthly Metrics'!D:D,"Billables - Hospitality Target (#)"))</f>
        <v/>
      </c>
      <c r="K46" s="93">
        <f>IF(COUNTIFS('Data - Monthly Metrics'!A:A,$B$4,'Data - Monthly Metrics'!B:B,"May",'Data - Monthly Metrics'!C:C,"Majors/NRA",'Data - Monthly Metrics'!D:D,"Billables - Hospitality Target (#)")=0,"-",SUMIFS('Data - Monthly Metrics'!E:E,'Data - Monthly Metrics'!A:A,$B$4,'Data - Monthly Metrics'!B:B,"May",'Data - Monthly Metrics'!C:C,"Majors/NRA",'Data - Monthly Metrics'!D:D,"Billables - Hospitality Target (#)"))</f>
        <v/>
      </c>
      <c r="L46" s="93">
        <f>IF(COUNTIFS('Data - Monthly Metrics'!A:A,$B$4,'Data - Monthly Metrics'!B:B,"Jun",'Data - Monthly Metrics'!C:C,"Majors/NRA",'Data - Monthly Metrics'!D:D,"Billables - Hospitality Target (#)")=0,"-",SUMIFS('Data - Monthly Metrics'!E:E,'Data - Monthly Metrics'!A:A,$B$4,'Data - Monthly Metrics'!B:B,"Jun",'Data - Monthly Metrics'!C:C,"Majors/NRA",'Data - Monthly Metrics'!D:D,"Billables - Hospitality Target (#)"))</f>
        <v/>
      </c>
      <c r="M46" s="103">
        <f>IF(ISNUMBER(L46),L46,IF(ISNUMBER(K46),K46,IF(ISNUMBER(J46),J46,"-")))</f>
        <v/>
      </c>
      <c r="N46" s="93">
        <f>IF(COUNTIFS('Data - Monthly Metrics'!A:A,$B$4,'Data - Monthly Metrics'!B:B,"Jul",'Data - Monthly Metrics'!C:C,"Majors/NRA",'Data - Monthly Metrics'!D:D,"Billables - Hospitality Target (#)")=0,"-",SUMIFS('Data - Monthly Metrics'!E:E,'Data - Monthly Metrics'!A:A,$B$4,'Data - Monthly Metrics'!B:B,"Jul",'Data - Monthly Metrics'!C:C,"Majors/NRA",'Data - Monthly Metrics'!D:D,"Billables - Hospitality Target (#)"))</f>
        <v/>
      </c>
      <c r="O46" s="93">
        <f>IF(COUNTIFS('Data - Monthly Metrics'!A:A,$B$4,'Data - Monthly Metrics'!B:B,"Aug",'Data - Monthly Metrics'!C:C,"Majors/NRA",'Data - Monthly Metrics'!D:D,"Billables - Hospitality Target (#)")=0,"-",SUMIFS('Data - Monthly Metrics'!E:E,'Data - Monthly Metrics'!A:A,$B$4,'Data - Monthly Metrics'!B:B,"Aug",'Data - Monthly Metrics'!C:C,"Majors/NRA",'Data - Monthly Metrics'!D:D,"Billables - Hospitality Target (#)"))</f>
        <v/>
      </c>
      <c r="P46" s="93">
        <f>IF(COUNTIFS('Data - Monthly Metrics'!A:A,$B$4,'Data - Monthly Metrics'!B:B,"Sep",'Data - Monthly Metrics'!C:C,"Majors/NRA",'Data - Monthly Metrics'!D:D,"Billables - Hospitality Target (#)")=0,"-",SUMIFS('Data - Monthly Metrics'!E:E,'Data - Monthly Metrics'!A:A,$B$4,'Data - Monthly Metrics'!B:B,"Sep",'Data - Monthly Metrics'!C:C,"Majors/NRA",'Data - Monthly Metrics'!D:D,"Billables - Hospitality Target (#)"))</f>
        <v/>
      </c>
      <c r="Q46" s="103">
        <f>IF(ISNUMBER(P46),P46,IF(ISNUMBER(O46),O46,IF(ISNUMBER(N46),N46,"-")))</f>
        <v/>
      </c>
      <c r="R46" s="103">
        <f>IF(ISNUMBER(Q46),Q46,IF(ISNUMBER(M46),M46,IF(ISNUMBER(I46),I46,IF(ISNUMBER(E46),E46,"-"))))</f>
        <v/>
      </c>
    </row>
    <row r="47" ht="14.25" customHeight="1" s="82">
      <c r="A47" s="89" t="inlineStr">
        <is>
          <t>Member Locations (#)</t>
        </is>
      </c>
      <c r="B47" s="93">
        <f>IF(COUNTIFS('Data - Monthly Metrics'!A:A,$B$4-1,'Data - Monthly Metrics'!B:B,"Oct",'Data - Monthly Metrics'!C:C,"Majors/NRA",'Data - Monthly Metrics'!D:D,"Member Locations - Target (#)")=0,"-",SUMIFS('Data - Monthly Metrics'!E:E,'Data - Monthly Metrics'!A:A,$B$4-1,'Data - Monthly Metrics'!B:B,"Oct",'Data - Monthly Metrics'!C:C,"Majors/NRA",'Data - Monthly Metrics'!D:D,"Member Locations - Target (#)"))</f>
        <v/>
      </c>
      <c r="C47" s="93">
        <f>IF(COUNTIFS('Data - Monthly Metrics'!A:A,$B$4-1,'Data - Monthly Metrics'!B:B,"Nov",'Data - Monthly Metrics'!C:C,"Majors/NRA",'Data - Monthly Metrics'!D:D,"Member Locations - Target (#)")=0,"-",SUMIFS('Data - Monthly Metrics'!E:E,'Data - Monthly Metrics'!A:A,$B$4-1,'Data - Monthly Metrics'!B:B,"Nov",'Data - Monthly Metrics'!C:C,"Majors/NRA",'Data - Monthly Metrics'!D:D,"Member Locations - Target (#)"))</f>
        <v/>
      </c>
      <c r="D47" s="93">
        <f>IF(COUNTIFS('Data - Monthly Metrics'!A:A,$B$4-1,'Data - Monthly Metrics'!B:B,"Dec",'Data - Monthly Metrics'!C:C,"Majors/NRA",'Data - Monthly Metrics'!D:D,"Member Locations - Target (#)")=0,"-",SUMIFS('Data - Monthly Metrics'!E:E,'Data - Monthly Metrics'!A:A,$B$4-1,'Data - Monthly Metrics'!B:B,"Dec",'Data - Monthly Metrics'!C:C,"Majors/NRA",'Data - Monthly Metrics'!D:D,"Member Locations - Target (#)"))</f>
        <v/>
      </c>
      <c r="E47" s="103">
        <f>IF(ISNUMBER(D47),D47,IF(ISNUMBER(C47),C47,IF(ISNUMBER(B47),B47,"-")))</f>
        <v/>
      </c>
      <c r="F47" s="93">
        <f>IF(COUNTIFS('Data - Monthly Metrics'!A:A,$B$4,'Data - Monthly Metrics'!B:B,"Jan",'Data - Monthly Metrics'!C:C,"Majors/NRA",'Data - Monthly Metrics'!D:D,"Member Locations - Target (#)")=0,"-",SUMIFS('Data - Monthly Metrics'!E:E,'Data - Monthly Metrics'!A:A,$B$4,'Data - Monthly Metrics'!B:B,"Jan",'Data - Monthly Metrics'!C:C,"Majors/NRA",'Data - Monthly Metrics'!D:D,"Member Locations - Target (#)"))</f>
        <v/>
      </c>
      <c r="G47" s="93">
        <f>IF(COUNTIFS('Data - Monthly Metrics'!A:A,$B$4,'Data - Monthly Metrics'!B:B,"Feb",'Data - Monthly Metrics'!C:C,"Majors/NRA",'Data - Monthly Metrics'!D:D,"Member Locations - Target (#)")=0,"-",SUMIFS('Data - Monthly Metrics'!E:E,'Data - Monthly Metrics'!A:A,$B$4,'Data - Monthly Metrics'!B:B,"Feb",'Data - Monthly Metrics'!C:C,"Majors/NRA",'Data - Monthly Metrics'!D:D,"Member Locations - Target (#)"))</f>
        <v/>
      </c>
      <c r="H47" s="93">
        <f>IF(COUNTIFS('Data - Monthly Metrics'!A:A,$B$4,'Data - Monthly Metrics'!B:B,"Mar",'Data - Monthly Metrics'!C:C,"Majors/NRA",'Data - Monthly Metrics'!D:D,"Member Locations - Target (#)")=0,"-",SUMIFS('Data - Monthly Metrics'!E:E,'Data - Monthly Metrics'!A:A,$B$4,'Data - Monthly Metrics'!B:B,"Mar",'Data - Monthly Metrics'!C:C,"Majors/NRA",'Data - Monthly Metrics'!D:D,"Member Locations - Target (#)"))</f>
        <v/>
      </c>
      <c r="I47" s="103">
        <f>IF(ISNUMBER(H47),H47,IF(ISNUMBER(G47),G47,IF(ISNUMBER(F47),F47,"-")))</f>
        <v/>
      </c>
      <c r="J47" s="93">
        <f>IF(COUNTIFS('Data - Monthly Metrics'!A:A,$B$4,'Data - Monthly Metrics'!B:B,"Apr",'Data - Monthly Metrics'!C:C,"Majors/NRA",'Data - Monthly Metrics'!D:D,"Member Locations - Target (#)")=0,"-",SUMIFS('Data - Monthly Metrics'!E:E,'Data - Monthly Metrics'!A:A,$B$4,'Data - Monthly Metrics'!B:B,"Apr",'Data - Monthly Metrics'!C:C,"Majors/NRA",'Data - Monthly Metrics'!D:D,"Member Locations - Target (#)"))</f>
        <v/>
      </c>
      <c r="K47" s="93">
        <f>IF(COUNTIFS('Data - Monthly Metrics'!A:A,$B$4,'Data - Monthly Metrics'!B:B,"May",'Data - Monthly Metrics'!C:C,"Majors/NRA",'Data - Monthly Metrics'!D:D,"Member Locations - Target (#)")=0,"-",SUMIFS('Data - Monthly Metrics'!E:E,'Data - Monthly Metrics'!A:A,$B$4,'Data - Monthly Metrics'!B:B,"May",'Data - Monthly Metrics'!C:C,"Majors/NRA",'Data - Monthly Metrics'!D:D,"Member Locations - Target (#)"))</f>
        <v/>
      </c>
      <c r="L47" s="93">
        <f>IF(COUNTIFS('Data - Monthly Metrics'!A:A,$B$4,'Data - Monthly Metrics'!B:B,"Jun",'Data - Monthly Metrics'!C:C,"Majors/NRA",'Data - Monthly Metrics'!D:D,"Member Locations - Target (#)")=0,"-",SUMIFS('Data - Monthly Metrics'!E:E,'Data - Monthly Metrics'!A:A,$B$4,'Data - Monthly Metrics'!B:B,"Jun",'Data - Monthly Metrics'!C:C,"Majors/NRA",'Data - Monthly Metrics'!D:D,"Member Locations - Target (#)"))</f>
        <v/>
      </c>
      <c r="M47" s="103">
        <f>IF(ISNUMBER(L47),L47,IF(ISNUMBER(K47),K47,IF(ISNUMBER(J47),J47,"-")))</f>
        <v/>
      </c>
      <c r="N47" s="93">
        <f>IF(COUNTIFS('Data - Monthly Metrics'!A:A,$B$4,'Data - Monthly Metrics'!B:B,"Jul",'Data - Monthly Metrics'!C:C,"Majors/NRA",'Data - Monthly Metrics'!D:D,"Member Locations - Target (#)")=0,"-",SUMIFS('Data - Monthly Metrics'!E:E,'Data - Monthly Metrics'!A:A,$B$4,'Data - Monthly Metrics'!B:B,"Jul",'Data - Monthly Metrics'!C:C,"Majors/NRA",'Data - Monthly Metrics'!D:D,"Member Locations - Target (#)"))</f>
        <v/>
      </c>
      <c r="O47" s="93">
        <f>IF(COUNTIFS('Data - Monthly Metrics'!A:A,$B$4,'Data - Monthly Metrics'!B:B,"Aug",'Data - Monthly Metrics'!C:C,"Majors/NRA",'Data - Monthly Metrics'!D:D,"Member Locations - Target (#)")=0,"-",SUMIFS('Data - Monthly Metrics'!E:E,'Data - Monthly Metrics'!A:A,$B$4,'Data - Monthly Metrics'!B:B,"Aug",'Data - Monthly Metrics'!C:C,"Majors/NRA",'Data - Monthly Metrics'!D:D,"Member Locations - Target (#)"))</f>
        <v/>
      </c>
      <c r="P47" s="93">
        <f>IF(COUNTIFS('Data - Monthly Metrics'!A:A,$B$4,'Data - Monthly Metrics'!B:B,"Sep",'Data - Monthly Metrics'!C:C,"Majors/NRA",'Data - Monthly Metrics'!D:D,"Member Locations - Target (#)")=0,"-",SUMIFS('Data - Monthly Metrics'!E:E,'Data - Monthly Metrics'!A:A,$B$4,'Data - Monthly Metrics'!B:B,"Sep",'Data - Monthly Metrics'!C:C,"Majors/NRA",'Data - Monthly Metrics'!D:D,"Member Locations - Target (#)"))</f>
        <v/>
      </c>
      <c r="Q47" s="103">
        <f>IF(ISNUMBER(P47),P47,IF(ISNUMBER(O47),O47,IF(ISNUMBER(N47),N47,"-")))</f>
        <v/>
      </c>
      <c r="R47" s="103">
        <f>IF(ISNUMBER(Q47),Q47,IF(ISNUMBER(M47),M47,IF(ISNUMBER(I47),I47,IF(ISNUMBER(E47),E47,"-"))))</f>
        <v/>
      </c>
    </row>
    <row r="48"/>
    <row r="49" ht="21.75" customHeight="1" s="82">
      <c r="A49" s="87" t="inlineStr">
        <is>
          <t xml:space="preserve">  ▶   T3.  RETENTION — Target</t>
        </is>
      </c>
    </row>
    <row r="50" ht="14.25" customHeight="1" s="82">
      <c r="A50" s="88" t="inlineStr">
        <is>
          <t>Metric</t>
        </is>
      </c>
      <c r="B50" s="88" t="inlineStr">
        <is>
          <t>Oct</t>
        </is>
      </c>
      <c r="C50" s="88" t="inlineStr">
        <is>
          <t>Nov</t>
        </is>
      </c>
      <c r="D50" s="88" t="inlineStr">
        <is>
          <t>Dec</t>
        </is>
      </c>
      <c r="E50" s="88" t="inlineStr">
        <is>
          <t>Q1</t>
        </is>
      </c>
      <c r="F50" s="88" t="inlineStr">
        <is>
          <t>Jan</t>
        </is>
      </c>
      <c r="G50" s="88" t="inlineStr">
        <is>
          <t>Feb</t>
        </is>
      </c>
      <c r="H50" s="88" t="inlineStr">
        <is>
          <t>Mar</t>
        </is>
      </c>
      <c r="I50" s="88" t="inlineStr">
        <is>
          <t>Q2</t>
        </is>
      </c>
      <c r="J50" s="88" t="inlineStr">
        <is>
          <t>Apr</t>
        </is>
      </c>
      <c r="K50" s="88" t="inlineStr">
        <is>
          <t>May</t>
        </is>
      </c>
      <c r="L50" s="88" t="inlineStr">
        <is>
          <t>Jun</t>
        </is>
      </c>
      <c r="M50" s="88" t="inlineStr">
        <is>
          <t>Q3</t>
        </is>
      </c>
      <c r="N50" s="88" t="inlineStr">
        <is>
          <t>Jul</t>
        </is>
      </c>
      <c r="O50" s="88" t="inlineStr">
        <is>
          <t>Aug</t>
        </is>
      </c>
      <c r="P50" s="88" t="inlineStr">
        <is>
          <t>Sep</t>
        </is>
      </c>
      <c r="Q50" s="88" t="inlineStr">
        <is>
          <t>Q4</t>
        </is>
      </c>
      <c r="R50" s="88" t="inlineStr">
        <is>
          <t>YTD</t>
        </is>
      </c>
    </row>
    <row r="51" ht="14.25" customHeight="1" s="82">
      <c r="A51" s="89" t="inlineStr">
        <is>
          <t>Up for Renewal - Target (#)</t>
        </is>
      </c>
      <c r="B51" s="93">
        <f>IF(COUNTIFS('Data - Monthly Metrics'!A:A,$B$4-1,'Data - Monthly Metrics'!B:B,"Oct",'Data - Monthly Metrics'!C:C,"Majors/NRA",'Data - Monthly Metrics'!D:D,"Members Up for Renewal - Target (#)")=0,"-",SUMIFS('Data - Monthly Metrics'!E:E,'Data - Monthly Metrics'!A:A,$B$4-1,'Data - Monthly Metrics'!B:B,"Oct",'Data - Monthly Metrics'!C:C,"Majors/NRA",'Data - Monthly Metrics'!D:D,"Members Up for Renewal - Target (#)"))</f>
        <v/>
      </c>
      <c r="C51" s="93">
        <f>IF(COUNTIFS('Data - Monthly Metrics'!A:A,$B$4-1,'Data - Monthly Metrics'!B:B,"Nov",'Data - Monthly Metrics'!C:C,"Majors/NRA",'Data - Monthly Metrics'!D:D,"Members Up for Renewal - Target (#)")=0,"-",SUMIFS('Data - Monthly Metrics'!E:E,'Data - Monthly Metrics'!A:A,$B$4-1,'Data - Monthly Metrics'!B:B,"Nov",'Data - Monthly Metrics'!C:C,"Majors/NRA",'Data - Monthly Metrics'!D:D,"Members Up for Renewal - Target (#)"))</f>
        <v/>
      </c>
      <c r="D51" s="93">
        <f>IF(COUNTIFS('Data - Monthly Metrics'!A:A,$B$4-1,'Data - Monthly Metrics'!B:B,"Dec",'Data - Monthly Metrics'!C:C,"Majors/NRA",'Data - Monthly Metrics'!D:D,"Members Up for Renewal - Target (#)")=0,"-",SUMIFS('Data - Monthly Metrics'!E:E,'Data - Monthly Metrics'!A:A,$B$4-1,'Data - Monthly Metrics'!B:B,"Dec",'Data - Monthly Metrics'!C:C,"Majors/NRA",'Data - Monthly Metrics'!D:D,"Members Up for Renewal - Target (#)"))</f>
        <v/>
      </c>
      <c r="E51" s="103">
        <f>SUM(B51,C51,D51)</f>
        <v/>
      </c>
      <c r="F51" s="93">
        <f>IF(COUNTIFS('Data - Monthly Metrics'!A:A,$B$4,'Data - Monthly Metrics'!B:B,"Jan",'Data - Monthly Metrics'!C:C,"Majors/NRA",'Data - Monthly Metrics'!D:D,"Members Up for Renewal - Target (#)")=0,"-",SUMIFS('Data - Monthly Metrics'!E:E,'Data - Monthly Metrics'!A:A,$B$4,'Data - Monthly Metrics'!B:B,"Jan",'Data - Monthly Metrics'!C:C,"Majors/NRA",'Data - Monthly Metrics'!D:D,"Members Up for Renewal - Target (#)"))</f>
        <v/>
      </c>
      <c r="G51" s="93">
        <f>IF(COUNTIFS('Data - Monthly Metrics'!A:A,$B$4,'Data - Monthly Metrics'!B:B,"Feb",'Data - Monthly Metrics'!C:C,"Majors/NRA",'Data - Monthly Metrics'!D:D,"Members Up for Renewal - Target (#)")=0,"-",SUMIFS('Data - Monthly Metrics'!E:E,'Data - Monthly Metrics'!A:A,$B$4,'Data - Monthly Metrics'!B:B,"Feb",'Data - Monthly Metrics'!C:C,"Majors/NRA",'Data - Monthly Metrics'!D:D,"Members Up for Renewal - Target (#)"))</f>
        <v/>
      </c>
      <c r="H51" s="93">
        <f>IF(COUNTIFS('Data - Monthly Metrics'!A:A,$B$4,'Data - Monthly Metrics'!B:B,"Mar",'Data - Monthly Metrics'!C:C,"Majors/NRA",'Data - Monthly Metrics'!D:D,"Members Up for Renewal - Target (#)")=0,"-",SUMIFS('Data - Monthly Metrics'!E:E,'Data - Monthly Metrics'!A:A,$B$4,'Data - Monthly Metrics'!B:B,"Mar",'Data - Monthly Metrics'!C:C,"Majors/NRA",'Data - Monthly Metrics'!D:D,"Members Up for Renewal - Target (#)"))</f>
        <v/>
      </c>
      <c r="I51" s="103">
        <f>SUM(F51,G51,H51)</f>
        <v/>
      </c>
      <c r="J51" s="93">
        <f>IF(COUNTIFS('Data - Monthly Metrics'!A:A,$B$4,'Data - Monthly Metrics'!B:B,"Apr",'Data - Monthly Metrics'!C:C,"Majors/NRA",'Data - Monthly Metrics'!D:D,"Members Up for Renewal - Target (#)")=0,"-",SUMIFS('Data - Monthly Metrics'!E:E,'Data - Monthly Metrics'!A:A,$B$4,'Data - Monthly Metrics'!B:B,"Apr",'Data - Monthly Metrics'!C:C,"Majors/NRA",'Data - Monthly Metrics'!D:D,"Members Up for Renewal - Target (#)"))</f>
        <v/>
      </c>
      <c r="K51" s="93">
        <f>IF(COUNTIFS('Data - Monthly Metrics'!A:A,$B$4,'Data - Monthly Metrics'!B:B,"May",'Data - Monthly Metrics'!C:C,"Majors/NRA",'Data - Monthly Metrics'!D:D,"Members Up for Renewal - Target (#)")=0,"-",SUMIFS('Data - Monthly Metrics'!E:E,'Data - Monthly Metrics'!A:A,$B$4,'Data - Monthly Metrics'!B:B,"May",'Data - Monthly Metrics'!C:C,"Majors/NRA",'Data - Monthly Metrics'!D:D,"Members Up for Renewal - Target (#)"))</f>
        <v/>
      </c>
      <c r="L51" s="93">
        <f>IF(COUNTIFS('Data - Monthly Metrics'!A:A,$B$4,'Data - Monthly Metrics'!B:B,"Jun",'Data - Monthly Metrics'!C:C,"Majors/NRA",'Data - Monthly Metrics'!D:D,"Members Up for Renewal - Target (#)")=0,"-",SUMIFS('Data - Monthly Metrics'!E:E,'Data - Monthly Metrics'!A:A,$B$4,'Data - Monthly Metrics'!B:B,"Jun",'Data - Monthly Metrics'!C:C,"Majors/NRA",'Data - Monthly Metrics'!D:D,"Members Up for Renewal - Target (#)"))</f>
        <v/>
      </c>
      <c r="M51" s="103">
        <f>SUM(J51,K51,L51)</f>
        <v/>
      </c>
      <c r="N51" s="93">
        <f>IF(COUNTIFS('Data - Monthly Metrics'!A:A,$B$4,'Data - Monthly Metrics'!B:B,"Jul",'Data - Monthly Metrics'!C:C,"Majors/NRA",'Data - Monthly Metrics'!D:D,"Members Up for Renewal - Target (#)")=0,"-",SUMIFS('Data - Monthly Metrics'!E:E,'Data - Monthly Metrics'!A:A,$B$4,'Data - Monthly Metrics'!B:B,"Jul",'Data - Monthly Metrics'!C:C,"Majors/NRA",'Data - Monthly Metrics'!D:D,"Members Up for Renewal - Target (#)"))</f>
        <v/>
      </c>
      <c r="O51" s="93">
        <f>IF(COUNTIFS('Data - Monthly Metrics'!A:A,$B$4,'Data - Monthly Metrics'!B:B,"Aug",'Data - Monthly Metrics'!C:C,"Majors/NRA",'Data - Monthly Metrics'!D:D,"Members Up for Renewal - Target (#)")=0,"-",SUMIFS('Data - Monthly Metrics'!E:E,'Data - Monthly Metrics'!A:A,$B$4,'Data - Monthly Metrics'!B:B,"Aug",'Data - Monthly Metrics'!C:C,"Majors/NRA",'Data - Monthly Metrics'!D:D,"Members Up for Renewal - Target (#)"))</f>
        <v/>
      </c>
      <c r="P51" s="93">
        <f>IF(COUNTIFS('Data - Monthly Metrics'!A:A,$B$4,'Data - Monthly Metrics'!B:B,"Sep",'Data - Monthly Metrics'!C:C,"Majors/NRA",'Data - Monthly Metrics'!D:D,"Members Up for Renewal - Target (#)")=0,"-",SUMIFS('Data - Monthly Metrics'!E:E,'Data - Monthly Metrics'!A:A,$B$4,'Data - Monthly Metrics'!B:B,"Sep",'Data - Monthly Metrics'!C:C,"Majors/NRA",'Data - Monthly Metrics'!D:D,"Members Up for Renewal - Target (#)"))</f>
        <v/>
      </c>
      <c r="Q51" s="103">
        <f>SUM(N51,O51,P51)</f>
        <v/>
      </c>
      <c r="R51" s="103">
        <f>E51+I51+M51+Q51</f>
        <v/>
      </c>
    </row>
    <row r="52" ht="14.25" customHeight="1" s="82">
      <c r="A52" s="94" t="inlineStr">
        <is>
          <t>Retained - Target (#)</t>
        </is>
      </c>
      <c r="B52" s="98">
        <f>IF(COUNTIFS('Data - Monthly Metrics'!A:A,$B$4-1,'Data - Monthly Metrics'!B:B,"Oct",'Data - Monthly Metrics'!C:C,"Majors/NRA",'Data - Monthly Metrics'!D:D,"Members Retained - Target (#)")=0,"-",SUMIFS('Data - Monthly Metrics'!E:E,'Data - Monthly Metrics'!A:A,$B$4-1,'Data - Monthly Metrics'!B:B,"Oct",'Data - Monthly Metrics'!C:C,"Majors/NRA",'Data - Monthly Metrics'!D:D,"Members Retained - Target (#)"))</f>
        <v/>
      </c>
      <c r="C52" s="98">
        <f>IF(COUNTIFS('Data - Monthly Metrics'!A:A,$B$4-1,'Data - Monthly Metrics'!B:B,"Nov",'Data - Monthly Metrics'!C:C,"Majors/NRA",'Data - Monthly Metrics'!D:D,"Members Retained - Target (#)")=0,"-",SUMIFS('Data - Monthly Metrics'!E:E,'Data - Monthly Metrics'!A:A,$B$4-1,'Data - Monthly Metrics'!B:B,"Nov",'Data - Monthly Metrics'!C:C,"Majors/NRA",'Data - Monthly Metrics'!D:D,"Members Retained - Target (#)"))</f>
        <v/>
      </c>
      <c r="D52" s="98">
        <f>IF(COUNTIFS('Data - Monthly Metrics'!A:A,$B$4-1,'Data - Monthly Metrics'!B:B,"Dec",'Data - Monthly Metrics'!C:C,"Majors/NRA",'Data - Monthly Metrics'!D:D,"Members Retained - Target (#)")=0,"-",SUMIFS('Data - Monthly Metrics'!E:E,'Data - Monthly Metrics'!A:A,$B$4-1,'Data - Monthly Metrics'!B:B,"Dec",'Data - Monthly Metrics'!C:C,"Majors/NRA",'Data - Monthly Metrics'!D:D,"Members Retained - Target (#)"))</f>
        <v/>
      </c>
      <c r="E52" s="103">
        <f>SUM(B52,C52,D52)</f>
        <v/>
      </c>
      <c r="F52" s="98">
        <f>IF(COUNTIFS('Data - Monthly Metrics'!A:A,$B$4,'Data - Monthly Metrics'!B:B,"Jan",'Data - Monthly Metrics'!C:C,"Majors/NRA",'Data - Monthly Metrics'!D:D,"Members Retained - Target (#)")=0,"-",SUMIFS('Data - Monthly Metrics'!E:E,'Data - Monthly Metrics'!A:A,$B$4,'Data - Monthly Metrics'!B:B,"Jan",'Data - Monthly Metrics'!C:C,"Majors/NRA",'Data - Monthly Metrics'!D:D,"Members Retained - Target (#)"))</f>
        <v/>
      </c>
      <c r="G52" s="98">
        <f>IF(COUNTIFS('Data - Monthly Metrics'!A:A,$B$4,'Data - Monthly Metrics'!B:B,"Feb",'Data - Monthly Metrics'!C:C,"Majors/NRA",'Data - Monthly Metrics'!D:D,"Members Retained - Target (#)")=0,"-",SUMIFS('Data - Monthly Metrics'!E:E,'Data - Monthly Metrics'!A:A,$B$4,'Data - Monthly Metrics'!B:B,"Feb",'Data - Monthly Metrics'!C:C,"Majors/NRA",'Data - Monthly Metrics'!D:D,"Members Retained - Target (#)"))</f>
        <v/>
      </c>
      <c r="H52" s="98">
        <f>IF(COUNTIFS('Data - Monthly Metrics'!A:A,$B$4,'Data - Monthly Metrics'!B:B,"Mar",'Data - Monthly Metrics'!C:C,"Majors/NRA",'Data - Monthly Metrics'!D:D,"Members Retained - Target (#)")=0,"-",SUMIFS('Data - Monthly Metrics'!E:E,'Data - Monthly Metrics'!A:A,$B$4,'Data - Monthly Metrics'!B:B,"Mar",'Data - Monthly Metrics'!C:C,"Majors/NRA",'Data - Monthly Metrics'!D:D,"Members Retained - Target (#)"))</f>
        <v/>
      </c>
      <c r="I52" s="103">
        <f>SUM(F52,G52,H52)</f>
        <v/>
      </c>
      <c r="J52" s="98">
        <f>IF(COUNTIFS('Data - Monthly Metrics'!A:A,$B$4,'Data - Monthly Metrics'!B:B,"Apr",'Data - Monthly Metrics'!C:C,"Majors/NRA",'Data - Monthly Metrics'!D:D,"Members Retained - Target (#)")=0,"-",SUMIFS('Data - Monthly Metrics'!E:E,'Data - Monthly Metrics'!A:A,$B$4,'Data - Monthly Metrics'!B:B,"Apr",'Data - Monthly Metrics'!C:C,"Majors/NRA",'Data - Monthly Metrics'!D:D,"Members Retained - Target (#)"))</f>
        <v/>
      </c>
      <c r="K52" s="98">
        <f>IF(COUNTIFS('Data - Monthly Metrics'!A:A,$B$4,'Data - Monthly Metrics'!B:B,"May",'Data - Monthly Metrics'!C:C,"Majors/NRA",'Data - Monthly Metrics'!D:D,"Members Retained - Target (#)")=0,"-",SUMIFS('Data - Monthly Metrics'!E:E,'Data - Monthly Metrics'!A:A,$B$4,'Data - Monthly Metrics'!B:B,"May",'Data - Monthly Metrics'!C:C,"Majors/NRA",'Data - Monthly Metrics'!D:D,"Members Retained - Target (#)"))</f>
        <v/>
      </c>
      <c r="L52" s="98">
        <f>IF(COUNTIFS('Data - Monthly Metrics'!A:A,$B$4,'Data - Monthly Metrics'!B:B,"Jun",'Data - Monthly Metrics'!C:C,"Majors/NRA",'Data - Monthly Metrics'!D:D,"Members Retained - Target (#)")=0,"-",SUMIFS('Data - Monthly Metrics'!E:E,'Data - Monthly Metrics'!A:A,$B$4,'Data - Monthly Metrics'!B:B,"Jun",'Data - Monthly Metrics'!C:C,"Majors/NRA",'Data - Monthly Metrics'!D:D,"Members Retained - Target (#)"))</f>
        <v/>
      </c>
      <c r="M52" s="103">
        <f>SUM(J52,K52,L52)</f>
        <v/>
      </c>
      <c r="N52" s="98">
        <f>IF(COUNTIFS('Data - Monthly Metrics'!A:A,$B$4,'Data - Monthly Metrics'!B:B,"Jul",'Data - Monthly Metrics'!C:C,"Majors/NRA",'Data - Monthly Metrics'!D:D,"Members Retained - Target (#)")=0,"-",SUMIFS('Data - Monthly Metrics'!E:E,'Data - Monthly Metrics'!A:A,$B$4,'Data - Monthly Metrics'!B:B,"Jul",'Data - Monthly Metrics'!C:C,"Majors/NRA",'Data - Monthly Metrics'!D:D,"Members Retained - Target (#)"))</f>
        <v/>
      </c>
      <c r="O52" s="98">
        <f>IF(COUNTIFS('Data - Monthly Metrics'!A:A,$B$4,'Data - Monthly Metrics'!B:B,"Aug",'Data - Monthly Metrics'!C:C,"Majors/NRA",'Data - Monthly Metrics'!D:D,"Members Retained - Target (#)")=0,"-",SUMIFS('Data - Monthly Metrics'!E:E,'Data - Monthly Metrics'!A:A,$B$4,'Data - Monthly Metrics'!B:B,"Aug",'Data - Monthly Metrics'!C:C,"Majors/NRA",'Data - Monthly Metrics'!D:D,"Members Retained - Target (#)"))</f>
        <v/>
      </c>
      <c r="P52" s="98">
        <f>IF(COUNTIFS('Data - Monthly Metrics'!A:A,$B$4,'Data - Monthly Metrics'!B:B,"Sep",'Data - Monthly Metrics'!C:C,"Majors/NRA",'Data - Monthly Metrics'!D:D,"Members Retained - Target (#)")=0,"-",SUMIFS('Data - Monthly Metrics'!E:E,'Data - Monthly Metrics'!A:A,$B$4,'Data - Monthly Metrics'!B:B,"Sep",'Data - Monthly Metrics'!C:C,"Majors/NRA",'Data - Monthly Metrics'!D:D,"Members Retained - Target (#)"))</f>
        <v/>
      </c>
      <c r="Q52" s="103">
        <f>SUM(N52,O52,P52)</f>
        <v/>
      </c>
      <c r="R52" s="103">
        <f>E52+I52+M52+Q52</f>
        <v/>
      </c>
    </row>
    <row r="53" ht="14.25" customHeight="1" s="82">
      <c r="A53" s="89" t="inlineStr">
        <is>
          <t>Account Retention % - Target</t>
        </is>
      </c>
      <c r="B53" s="92">
        <f>IF(B51=0,0,B52/B51)</f>
        <v/>
      </c>
      <c r="C53" s="92">
        <f>IF(C51=0,0,C52/C51)</f>
        <v/>
      </c>
      <c r="D53" s="92">
        <f>IF(D51=0,0,D52/D51)</f>
        <v/>
      </c>
      <c r="E53" s="102">
        <f>IF(E51=0,0,E52/E51)</f>
        <v/>
      </c>
      <c r="F53" s="92">
        <f>IF(F51=0,0,F52/F51)</f>
        <v/>
      </c>
      <c r="G53" s="92">
        <f>IF(G51=0,0,G52/G51)</f>
        <v/>
      </c>
      <c r="H53" s="92">
        <f>IF(H51=0,0,H52/H51)</f>
        <v/>
      </c>
      <c r="I53" s="102">
        <f>IF(I51=0,0,I52/I51)</f>
        <v/>
      </c>
      <c r="J53" s="92">
        <f>IF(J51=0,0,J52/J51)</f>
        <v/>
      </c>
      <c r="K53" s="92">
        <f>IF(K51=0,0,K52/K51)</f>
        <v/>
      </c>
      <c r="L53" s="92">
        <f>IF(L51=0,0,L52/L51)</f>
        <v/>
      </c>
      <c r="M53" s="102">
        <f>IF(M51=0,0,M52/M51)</f>
        <v/>
      </c>
      <c r="N53" s="92">
        <f>IF(N51=0,0,N52/N51)</f>
        <v/>
      </c>
      <c r="O53" s="92">
        <f>IF(O51=0,0,O52/O51)</f>
        <v/>
      </c>
      <c r="P53" s="92">
        <f>IF(P51=0,0,P52/P51)</f>
        <v/>
      </c>
      <c r="Q53" s="102">
        <f>IF(Q51=0,0,Q52/Q51)</f>
        <v/>
      </c>
      <c r="R53" s="102">
        <f>IF(R51=0,0,R52/R51)</f>
        <v/>
      </c>
    </row>
    <row r="54" ht="14.25" customHeight="1" s="82">
      <c r="A54" s="94" t="inlineStr">
        <is>
          <t>Status</t>
        </is>
      </c>
      <c r="B54" s="120">
        <f>IF(OR(NOT(ISNUMBER(B53)),B53=0,COUNTIFS('Data - Monthly Metrics'!$A:$A,$B$4-1,'Data - Monthly Metrics'!$B:$B,B$8,'Data - Monthly Metrics'!$C:$C,"Majors/NRA",'Data - Monthly Metrics'!$D:$D,"Goal - Retention %")=0),"—",IF(B53&gt;=SUMIFS('Data - Monthly Metrics'!$E:$E,'Data - Monthly Metrics'!$A:$A,$B$4-1,'Data - Monthly Metrics'!$B:$B,B$8,'Data - Monthly Metrics'!$C:$C,"Majors/NRA",'Data - Monthly Metrics'!$D:$D,"Goal - Retention %"),"On Track",IF(B53&gt;=SUMIFS('Data - Monthly Metrics'!$E:$E,'Data - Monthly Metrics'!$A:$A,$B$4-1,'Data - Monthly Metrics'!$B:$B,B$8,'Data - Monthly Metrics'!$C:$C,"Majors/NRA",'Data - Monthly Metrics'!$D:$D,"Goal - Retention %")-0.05,"Watch","At Risk")))</f>
        <v/>
      </c>
      <c r="C54" s="120">
        <f>IF(OR(NOT(ISNUMBER(C53)),C53=0,COUNTIFS('Data - Monthly Metrics'!$A:$A,$B$4-1,'Data - Monthly Metrics'!$B:$B,C$8,'Data - Monthly Metrics'!$C:$C,"Majors/NRA",'Data - Monthly Metrics'!$D:$D,"Goal - Retention %")=0),"—",IF(C53&gt;=SUMIFS('Data - Monthly Metrics'!$E:$E,'Data - Monthly Metrics'!$A:$A,$B$4-1,'Data - Monthly Metrics'!$B:$B,C$8,'Data - Monthly Metrics'!$C:$C,"Majors/NRA",'Data - Monthly Metrics'!$D:$D,"Goal - Retention %"),"On Track",IF(C53&gt;=SUMIFS('Data - Monthly Metrics'!$E:$E,'Data - Monthly Metrics'!$A:$A,$B$4-1,'Data - Monthly Metrics'!$B:$B,C$8,'Data - Monthly Metrics'!$C:$C,"Majors/NRA",'Data - Monthly Metrics'!$D:$D,"Goal - Retention %")-0.05,"Watch","At Risk")))</f>
        <v/>
      </c>
      <c r="D54" s="120">
        <f>IF(OR(NOT(ISNUMBER(D53)),D53=0,COUNTIFS('Data - Monthly Metrics'!$A:$A,$B$4-1,'Data - Monthly Metrics'!$B:$B,D$8,'Data - Monthly Metrics'!$C:$C,"Majors/NRA",'Data - Monthly Metrics'!$D:$D,"Goal - Retention %")=0),"—",IF(D53&gt;=SUMIFS('Data - Monthly Metrics'!$E:$E,'Data - Monthly Metrics'!$A:$A,$B$4-1,'Data - Monthly Metrics'!$B:$B,D$8,'Data - Monthly Metrics'!$C:$C,"Majors/NRA",'Data - Monthly Metrics'!$D:$D,"Goal - Retention %"),"On Track",IF(D53&gt;=SUMIFS('Data - Monthly Metrics'!$E:$E,'Data - Monthly Metrics'!$A:$A,$B$4-1,'Data - Monthly Metrics'!$B:$B,D$8,'Data - Monthly Metrics'!$C:$C,"Majors/NRA",'Data - Monthly Metrics'!$D:$D,"Goal - Retention %")-0.05,"Watch","At Risk")))</f>
        <v/>
      </c>
      <c r="E54" s="121">
        <f>"—"</f>
        <v/>
      </c>
      <c r="F54" s="120">
        <f>IF(OR(NOT(ISNUMBER(F53)),F53=0,COUNTIFS('Data - Monthly Metrics'!$A:$A,$B$4,'Data - Monthly Metrics'!$B:$B,F$8,'Data - Monthly Metrics'!$C:$C,"Majors/NRA",'Data - Monthly Metrics'!$D:$D,"Goal - Retention %")=0),"—",IF(F53&gt;=SUMIFS('Data - Monthly Metrics'!$E:$E,'Data - Monthly Metrics'!$A:$A,$B$4,'Data - Monthly Metrics'!$B:$B,F$8,'Data - Monthly Metrics'!$C:$C,"Majors/NRA",'Data - Monthly Metrics'!$D:$D,"Goal - Retention %"),"On Track",IF(F53&gt;=SUMIFS('Data - Monthly Metrics'!$E:$E,'Data - Monthly Metrics'!$A:$A,$B$4,'Data - Monthly Metrics'!$B:$B,F$8,'Data - Monthly Metrics'!$C:$C,"Majors/NRA",'Data - Monthly Metrics'!$D:$D,"Goal - Retention %")-0.05,"Watch","At Risk")))</f>
        <v/>
      </c>
      <c r="G54" s="120">
        <f>IF(OR(NOT(ISNUMBER(G53)),G53=0,COUNTIFS('Data - Monthly Metrics'!$A:$A,$B$4,'Data - Monthly Metrics'!$B:$B,G$8,'Data - Monthly Metrics'!$C:$C,"Majors/NRA",'Data - Monthly Metrics'!$D:$D,"Goal - Retention %")=0),"—",IF(G53&gt;=SUMIFS('Data - Monthly Metrics'!$E:$E,'Data - Monthly Metrics'!$A:$A,$B$4,'Data - Monthly Metrics'!$B:$B,G$8,'Data - Monthly Metrics'!$C:$C,"Majors/NRA",'Data - Monthly Metrics'!$D:$D,"Goal - Retention %"),"On Track",IF(G53&gt;=SUMIFS('Data - Monthly Metrics'!$E:$E,'Data - Monthly Metrics'!$A:$A,$B$4,'Data - Monthly Metrics'!$B:$B,G$8,'Data - Monthly Metrics'!$C:$C,"Majors/NRA",'Data - Monthly Metrics'!$D:$D,"Goal - Retention %")-0.05,"Watch","At Risk")))</f>
        <v/>
      </c>
      <c r="H54" s="120">
        <f>IF(OR(NOT(ISNUMBER(H53)),H53=0,COUNTIFS('Data - Monthly Metrics'!$A:$A,$B$4,'Data - Monthly Metrics'!$B:$B,H$8,'Data - Monthly Metrics'!$C:$C,"Majors/NRA",'Data - Monthly Metrics'!$D:$D,"Goal - Retention %")=0),"—",IF(H53&gt;=SUMIFS('Data - Monthly Metrics'!$E:$E,'Data - Monthly Metrics'!$A:$A,$B$4,'Data - Monthly Metrics'!$B:$B,H$8,'Data - Monthly Metrics'!$C:$C,"Majors/NRA",'Data - Monthly Metrics'!$D:$D,"Goal - Retention %"),"On Track",IF(H53&gt;=SUMIFS('Data - Monthly Metrics'!$E:$E,'Data - Monthly Metrics'!$A:$A,$B$4,'Data - Monthly Metrics'!$B:$B,H$8,'Data - Monthly Metrics'!$C:$C,"Majors/NRA",'Data - Monthly Metrics'!$D:$D,"Goal - Retention %")-0.05,"Watch","At Risk")))</f>
        <v/>
      </c>
      <c r="I54" s="121">
        <f>"—"</f>
        <v/>
      </c>
      <c r="J54" s="120">
        <f>IF(OR(NOT(ISNUMBER(J53)),J53=0,COUNTIFS('Data - Monthly Metrics'!$A:$A,$B$4,'Data - Monthly Metrics'!$B:$B,J$8,'Data - Monthly Metrics'!$C:$C,"Majors/NRA",'Data - Monthly Metrics'!$D:$D,"Goal - Retention %")=0),"—",IF(J53&gt;=SUMIFS('Data - Monthly Metrics'!$E:$E,'Data - Monthly Metrics'!$A:$A,$B$4,'Data - Monthly Metrics'!$B:$B,J$8,'Data - Monthly Metrics'!$C:$C,"Majors/NRA",'Data - Monthly Metrics'!$D:$D,"Goal - Retention %"),"On Track",IF(J53&gt;=SUMIFS('Data - Monthly Metrics'!$E:$E,'Data - Monthly Metrics'!$A:$A,$B$4,'Data - Monthly Metrics'!$B:$B,J$8,'Data - Monthly Metrics'!$C:$C,"Majors/NRA",'Data - Monthly Metrics'!$D:$D,"Goal - Retention %")-0.05,"Watch","At Risk")))</f>
        <v/>
      </c>
      <c r="K54" s="120">
        <f>IF(OR(NOT(ISNUMBER(K53)),K53=0,COUNTIFS('Data - Monthly Metrics'!$A:$A,$B$4,'Data - Monthly Metrics'!$B:$B,K$8,'Data - Monthly Metrics'!$C:$C,"Majors/NRA",'Data - Monthly Metrics'!$D:$D,"Goal - Retention %")=0),"—",IF(K53&gt;=SUMIFS('Data - Monthly Metrics'!$E:$E,'Data - Monthly Metrics'!$A:$A,$B$4,'Data - Monthly Metrics'!$B:$B,K$8,'Data - Monthly Metrics'!$C:$C,"Majors/NRA",'Data - Monthly Metrics'!$D:$D,"Goal - Retention %"),"On Track",IF(K53&gt;=SUMIFS('Data - Monthly Metrics'!$E:$E,'Data - Monthly Metrics'!$A:$A,$B$4,'Data - Monthly Metrics'!$B:$B,K$8,'Data - Monthly Metrics'!$C:$C,"Majors/NRA",'Data - Monthly Metrics'!$D:$D,"Goal - Retention %")-0.05,"Watch","At Risk")))</f>
        <v/>
      </c>
      <c r="L54" s="120">
        <f>IF(OR(NOT(ISNUMBER(L53)),L53=0,COUNTIFS('Data - Monthly Metrics'!$A:$A,$B$4,'Data - Monthly Metrics'!$B:$B,L$8,'Data - Monthly Metrics'!$C:$C,"Majors/NRA",'Data - Monthly Metrics'!$D:$D,"Goal - Retention %")=0),"—",IF(L53&gt;=SUMIFS('Data - Monthly Metrics'!$E:$E,'Data - Monthly Metrics'!$A:$A,$B$4,'Data - Monthly Metrics'!$B:$B,L$8,'Data - Monthly Metrics'!$C:$C,"Majors/NRA",'Data - Monthly Metrics'!$D:$D,"Goal - Retention %"),"On Track",IF(L53&gt;=SUMIFS('Data - Monthly Metrics'!$E:$E,'Data - Monthly Metrics'!$A:$A,$B$4,'Data - Monthly Metrics'!$B:$B,L$8,'Data - Monthly Metrics'!$C:$C,"Majors/NRA",'Data - Monthly Metrics'!$D:$D,"Goal - Retention %")-0.05,"Watch","At Risk")))</f>
        <v/>
      </c>
      <c r="M54" s="121">
        <f>"—"</f>
        <v/>
      </c>
      <c r="N54" s="120">
        <f>IF(OR(NOT(ISNUMBER(N53)),N53=0,COUNTIFS('Data - Monthly Metrics'!$A:$A,$B$4,'Data - Monthly Metrics'!$B:$B,N$8,'Data - Monthly Metrics'!$C:$C,"Majors/NRA",'Data - Monthly Metrics'!$D:$D,"Goal - Retention %")=0),"—",IF(N53&gt;=SUMIFS('Data - Monthly Metrics'!$E:$E,'Data - Monthly Metrics'!$A:$A,$B$4,'Data - Monthly Metrics'!$B:$B,N$8,'Data - Monthly Metrics'!$C:$C,"Majors/NRA",'Data - Monthly Metrics'!$D:$D,"Goal - Retention %"),"On Track",IF(N53&gt;=SUMIFS('Data - Monthly Metrics'!$E:$E,'Data - Monthly Metrics'!$A:$A,$B$4,'Data - Monthly Metrics'!$B:$B,N$8,'Data - Monthly Metrics'!$C:$C,"Majors/NRA",'Data - Monthly Metrics'!$D:$D,"Goal - Retention %")-0.05,"Watch","At Risk")))</f>
        <v/>
      </c>
      <c r="O54" s="120">
        <f>IF(OR(NOT(ISNUMBER(O53)),O53=0,COUNTIFS('Data - Monthly Metrics'!$A:$A,$B$4,'Data - Monthly Metrics'!$B:$B,O$8,'Data - Monthly Metrics'!$C:$C,"Majors/NRA",'Data - Monthly Metrics'!$D:$D,"Goal - Retention %")=0),"—",IF(O53&gt;=SUMIFS('Data - Monthly Metrics'!$E:$E,'Data - Monthly Metrics'!$A:$A,$B$4,'Data - Monthly Metrics'!$B:$B,O$8,'Data - Monthly Metrics'!$C:$C,"Majors/NRA",'Data - Monthly Metrics'!$D:$D,"Goal - Retention %"),"On Track",IF(O53&gt;=SUMIFS('Data - Monthly Metrics'!$E:$E,'Data - Monthly Metrics'!$A:$A,$B$4,'Data - Monthly Metrics'!$B:$B,O$8,'Data - Monthly Metrics'!$C:$C,"Majors/NRA",'Data - Monthly Metrics'!$D:$D,"Goal - Retention %")-0.05,"Watch","At Risk")))</f>
        <v/>
      </c>
      <c r="P54" s="120">
        <f>IF(OR(NOT(ISNUMBER(P53)),P53=0,COUNTIFS('Data - Monthly Metrics'!$A:$A,$B$4,'Data - Monthly Metrics'!$B:$B,P$8,'Data - Monthly Metrics'!$C:$C,"Majors/NRA",'Data - Monthly Metrics'!$D:$D,"Goal - Retention %")=0),"—",IF(P53&gt;=SUMIFS('Data - Monthly Metrics'!$E:$E,'Data - Monthly Metrics'!$A:$A,$B$4,'Data - Monthly Metrics'!$B:$B,P$8,'Data - Monthly Metrics'!$C:$C,"Majors/NRA",'Data - Monthly Metrics'!$D:$D,"Goal - Retention %"),"On Track",IF(P53&gt;=SUMIFS('Data - Monthly Metrics'!$E:$E,'Data - Monthly Metrics'!$A:$A,$B$4,'Data - Monthly Metrics'!$B:$B,P$8,'Data - Monthly Metrics'!$C:$C,"Majors/NRA",'Data - Monthly Metrics'!$D:$D,"Goal - Retention %")-0.05,"Watch","At Risk")))</f>
        <v/>
      </c>
      <c r="Q54" s="121">
        <f>"—"</f>
        <v/>
      </c>
      <c r="R54" s="121">
        <f>"—"</f>
        <v/>
      </c>
    </row>
    <row r="55" ht="14.25" customHeight="1" s="82">
      <c r="A55" s="89" t="inlineStr">
        <is>
          <t>Revenue Up for Renewal - Target ($)</t>
        </is>
      </c>
      <c r="B55" s="91">
        <f>IF(COUNTIFS('Data - Monthly Metrics'!A:A,$B$4-1,'Data - Monthly Metrics'!B:B,"Oct",'Data - Monthly Metrics'!C:C,"Majors/NRA",'Data - Monthly Metrics'!D:D,"Revenue Up for Renewal - Target ($)")=0,"-",SUMIFS('Data - Monthly Metrics'!E:E,'Data - Monthly Metrics'!A:A,$B$4-1,'Data - Monthly Metrics'!B:B,"Oct",'Data - Monthly Metrics'!C:C,"Majors/NRA",'Data - Monthly Metrics'!D:D,"Revenue Up for Renewal - Target ($)"))</f>
        <v/>
      </c>
      <c r="C55" s="91">
        <f>IF(COUNTIFS('Data - Monthly Metrics'!A:A,$B$4-1,'Data - Monthly Metrics'!B:B,"Nov",'Data - Monthly Metrics'!C:C,"Majors/NRA",'Data - Monthly Metrics'!D:D,"Revenue Up for Renewal - Target ($)")=0,"-",SUMIFS('Data - Monthly Metrics'!E:E,'Data - Monthly Metrics'!A:A,$B$4-1,'Data - Monthly Metrics'!B:B,"Nov",'Data - Monthly Metrics'!C:C,"Majors/NRA",'Data - Monthly Metrics'!D:D,"Revenue Up for Renewal - Target ($)"))</f>
        <v/>
      </c>
      <c r="D55" s="91">
        <f>IF(COUNTIFS('Data - Monthly Metrics'!A:A,$B$4-1,'Data - Monthly Metrics'!B:B,"Dec",'Data - Monthly Metrics'!C:C,"Majors/NRA",'Data - Monthly Metrics'!D:D,"Revenue Up for Renewal - Target ($)")=0,"-",SUMIFS('Data - Monthly Metrics'!E:E,'Data - Monthly Metrics'!A:A,$B$4-1,'Data - Monthly Metrics'!B:B,"Dec",'Data - Monthly Metrics'!C:C,"Majors/NRA",'Data - Monthly Metrics'!D:D,"Revenue Up for Renewal - Target ($)"))</f>
        <v/>
      </c>
      <c r="E55" s="101">
        <f>SUM(B55,C55,D55)</f>
        <v/>
      </c>
      <c r="F55" s="91">
        <f>IF(COUNTIFS('Data - Monthly Metrics'!A:A,$B$4,'Data - Monthly Metrics'!B:B,"Jan",'Data - Monthly Metrics'!C:C,"Majors/NRA",'Data - Monthly Metrics'!D:D,"Revenue Up for Renewal - Target ($)")=0,"-",SUMIFS('Data - Monthly Metrics'!E:E,'Data - Monthly Metrics'!A:A,$B$4,'Data - Monthly Metrics'!B:B,"Jan",'Data - Monthly Metrics'!C:C,"Majors/NRA",'Data - Monthly Metrics'!D:D,"Revenue Up for Renewal - Target ($)"))</f>
        <v/>
      </c>
      <c r="G55" s="91">
        <f>IF(COUNTIFS('Data - Monthly Metrics'!A:A,$B$4,'Data - Monthly Metrics'!B:B,"Feb",'Data - Monthly Metrics'!C:C,"Majors/NRA",'Data - Monthly Metrics'!D:D,"Revenue Up for Renewal - Target ($)")=0,"-",SUMIFS('Data - Monthly Metrics'!E:E,'Data - Monthly Metrics'!A:A,$B$4,'Data - Monthly Metrics'!B:B,"Feb",'Data - Monthly Metrics'!C:C,"Majors/NRA",'Data - Monthly Metrics'!D:D,"Revenue Up for Renewal - Target ($)"))</f>
        <v/>
      </c>
      <c r="H55" s="91">
        <f>IF(COUNTIFS('Data - Monthly Metrics'!A:A,$B$4,'Data - Monthly Metrics'!B:B,"Mar",'Data - Monthly Metrics'!C:C,"Majors/NRA",'Data - Monthly Metrics'!D:D,"Revenue Up for Renewal - Target ($)")=0,"-",SUMIFS('Data - Monthly Metrics'!E:E,'Data - Monthly Metrics'!A:A,$B$4,'Data - Monthly Metrics'!B:B,"Mar",'Data - Monthly Metrics'!C:C,"Majors/NRA",'Data - Monthly Metrics'!D:D,"Revenue Up for Renewal - Target ($)"))</f>
        <v/>
      </c>
      <c r="I55" s="101">
        <f>SUM(F55,G55,H55)</f>
        <v/>
      </c>
      <c r="J55" s="91">
        <f>IF(COUNTIFS('Data - Monthly Metrics'!A:A,$B$4,'Data - Monthly Metrics'!B:B,"Apr",'Data - Monthly Metrics'!C:C,"Majors/NRA",'Data - Monthly Metrics'!D:D,"Revenue Up for Renewal - Target ($)")=0,"-",SUMIFS('Data - Monthly Metrics'!E:E,'Data - Monthly Metrics'!A:A,$B$4,'Data - Monthly Metrics'!B:B,"Apr",'Data - Monthly Metrics'!C:C,"Majors/NRA",'Data - Monthly Metrics'!D:D,"Revenue Up for Renewal - Target ($)"))</f>
        <v/>
      </c>
      <c r="K55" s="91">
        <f>IF(COUNTIFS('Data - Monthly Metrics'!A:A,$B$4,'Data - Monthly Metrics'!B:B,"May",'Data - Monthly Metrics'!C:C,"Majors/NRA",'Data - Monthly Metrics'!D:D,"Revenue Up for Renewal - Target ($)")=0,"-",SUMIFS('Data - Monthly Metrics'!E:E,'Data - Monthly Metrics'!A:A,$B$4,'Data - Monthly Metrics'!B:B,"May",'Data - Monthly Metrics'!C:C,"Majors/NRA",'Data - Monthly Metrics'!D:D,"Revenue Up for Renewal - Target ($)"))</f>
        <v/>
      </c>
      <c r="L55" s="91">
        <f>IF(COUNTIFS('Data - Monthly Metrics'!A:A,$B$4,'Data - Monthly Metrics'!B:B,"Jun",'Data - Monthly Metrics'!C:C,"Majors/NRA",'Data - Monthly Metrics'!D:D,"Revenue Up for Renewal - Target ($)")=0,"-",SUMIFS('Data - Monthly Metrics'!E:E,'Data - Monthly Metrics'!A:A,$B$4,'Data - Monthly Metrics'!B:B,"Jun",'Data - Monthly Metrics'!C:C,"Majors/NRA",'Data - Monthly Metrics'!D:D,"Revenue Up for Renewal - Target ($)"))</f>
        <v/>
      </c>
      <c r="M55" s="101">
        <f>SUM(J55,K55,L55)</f>
        <v/>
      </c>
      <c r="N55" s="91">
        <f>IF(COUNTIFS('Data - Monthly Metrics'!A:A,$B$4,'Data - Monthly Metrics'!B:B,"Jul",'Data - Monthly Metrics'!C:C,"Majors/NRA",'Data - Monthly Metrics'!D:D,"Revenue Up for Renewal - Target ($)")=0,"-",SUMIFS('Data - Monthly Metrics'!E:E,'Data - Monthly Metrics'!A:A,$B$4,'Data - Monthly Metrics'!B:B,"Jul",'Data - Monthly Metrics'!C:C,"Majors/NRA",'Data - Monthly Metrics'!D:D,"Revenue Up for Renewal - Target ($)"))</f>
        <v/>
      </c>
      <c r="O55" s="91">
        <f>IF(COUNTIFS('Data - Monthly Metrics'!A:A,$B$4,'Data - Monthly Metrics'!B:B,"Aug",'Data - Monthly Metrics'!C:C,"Majors/NRA",'Data - Monthly Metrics'!D:D,"Revenue Up for Renewal - Target ($)")=0,"-",SUMIFS('Data - Monthly Metrics'!E:E,'Data - Monthly Metrics'!A:A,$B$4,'Data - Monthly Metrics'!B:B,"Aug",'Data - Monthly Metrics'!C:C,"Majors/NRA",'Data - Monthly Metrics'!D:D,"Revenue Up for Renewal - Target ($)"))</f>
        <v/>
      </c>
      <c r="P55" s="91">
        <f>IF(COUNTIFS('Data - Monthly Metrics'!A:A,$B$4,'Data - Monthly Metrics'!B:B,"Sep",'Data - Monthly Metrics'!C:C,"Majors/NRA",'Data - Monthly Metrics'!D:D,"Revenue Up for Renewal - Target ($)")=0,"-",SUMIFS('Data - Monthly Metrics'!E:E,'Data - Monthly Metrics'!A:A,$B$4,'Data - Monthly Metrics'!B:B,"Sep",'Data - Monthly Metrics'!C:C,"Majors/NRA",'Data - Monthly Metrics'!D:D,"Revenue Up for Renewal - Target ($)"))</f>
        <v/>
      </c>
      <c r="Q55" s="101">
        <f>SUM(N55,O55,P55)</f>
        <v/>
      </c>
      <c r="R55" s="101">
        <f>E55+I55+M55+Q55</f>
        <v/>
      </c>
    </row>
    <row r="56" ht="14.25" customHeight="1" s="82">
      <c r="A56" s="94" t="inlineStr">
        <is>
          <t>Revenue Retained - Target ($)</t>
        </is>
      </c>
      <c r="B56" s="96">
        <f>IF(COUNTIFS('Data - Monthly Metrics'!A:A,$B$4-1,'Data - Monthly Metrics'!B:B,"Oct",'Data - Monthly Metrics'!C:C,"Majors/NRA",'Data - Monthly Metrics'!D:D,"Revenue Retained - Target ($)")=0,"-",SUMIFS('Data - Monthly Metrics'!E:E,'Data - Monthly Metrics'!A:A,$B$4-1,'Data - Monthly Metrics'!B:B,"Oct",'Data - Monthly Metrics'!C:C,"Majors/NRA",'Data - Monthly Metrics'!D:D,"Revenue Retained - Target ($)"))</f>
        <v/>
      </c>
      <c r="C56" s="96">
        <f>IF(COUNTIFS('Data - Monthly Metrics'!A:A,$B$4-1,'Data - Monthly Metrics'!B:B,"Nov",'Data - Monthly Metrics'!C:C,"Majors/NRA",'Data - Monthly Metrics'!D:D,"Revenue Retained - Target ($)")=0,"-",SUMIFS('Data - Monthly Metrics'!E:E,'Data - Monthly Metrics'!A:A,$B$4-1,'Data - Monthly Metrics'!B:B,"Nov",'Data - Monthly Metrics'!C:C,"Majors/NRA",'Data - Monthly Metrics'!D:D,"Revenue Retained - Target ($)"))</f>
        <v/>
      </c>
      <c r="D56" s="96">
        <f>IF(COUNTIFS('Data - Monthly Metrics'!A:A,$B$4-1,'Data - Monthly Metrics'!B:B,"Dec",'Data - Monthly Metrics'!C:C,"Majors/NRA",'Data - Monthly Metrics'!D:D,"Revenue Retained - Target ($)")=0,"-",SUMIFS('Data - Monthly Metrics'!E:E,'Data - Monthly Metrics'!A:A,$B$4-1,'Data - Monthly Metrics'!B:B,"Dec",'Data - Monthly Metrics'!C:C,"Majors/NRA",'Data - Monthly Metrics'!D:D,"Revenue Retained - Target ($)"))</f>
        <v/>
      </c>
      <c r="E56" s="101">
        <f>SUM(B56,C56,D56)</f>
        <v/>
      </c>
      <c r="F56" s="96">
        <f>IF(COUNTIFS('Data - Monthly Metrics'!A:A,$B$4,'Data - Monthly Metrics'!B:B,"Jan",'Data - Monthly Metrics'!C:C,"Majors/NRA",'Data - Monthly Metrics'!D:D,"Revenue Retained - Target ($)")=0,"-",SUMIFS('Data - Monthly Metrics'!E:E,'Data - Monthly Metrics'!A:A,$B$4,'Data - Monthly Metrics'!B:B,"Jan",'Data - Monthly Metrics'!C:C,"Majors/NRA",'Data - Monthly Metrics'!D:D,"Revenue Retained - Target ($)"))</f>
        <v/>
      </c>
      <c r="G56" s="96">
        <f>IF(COUNTIFS('Data - Monthly Metrics'!A:A,$B$4,'Data - Monthly Metrics'!B:B,"Feb",'Data - Monthly Metrics'!C:C,"Majors/NRA",'Data - Monthly Metrics'!D:D,"Revenue Retained - Target ($)")=0,"-",SUMIFS('Data - Monthly Metrics'!E:E,'Data - Monthly Metrics'!A:A,$B$4,'Data - Monthly Metrics'!B:B,"Feb",'Data - Monthly Metrics'!C:C,"Majors/NRA",'Data - Monthly Metrics'!D:D,"Revenue Retained - Target ($)"))</f>
        <v/>
      </c>
      <c r="H56" s="96">
        <f>IF(COUNTIFS('Data - Monthly Metrics'!A:A,$B$4,'Data - Monthly Metrics'!B:B,"Mar",'Data - Monthly Metrics'!C:C,"Majors/NRA",'Data - Monthly Metrics'!D:D,"Revenue Retained - Target ($)")=0,"-",SUMIFS('Data - Monthly Metrics'!E:E,'Data - Monthly Metrics'!A:A,$B$4,'Data - Monthly Metrics'!B:B,"Mar",'Data - Monthly Metrics'!C:C,"Majors/NRA",'Data - Monthly Metrics'!D:D,"Revenue Retained - Target ($)"))</f>
        <v/>
      </c>
      <c r="I56" s="101">
        <f>SUM(F56,G56,H56)</f>
        <v/>
      </c>
      <c r="J56" s="96">
        <f>IF(COUNTIFS('Data - Monthly Metrics'!A:A,$B$4,'Data - Monthly Metrics'!B:B,"Apr",'Data - Monthly Metrics'!C:C,"Majors/NRA",'Data - Monthly Metrics'!D:D,"Revenue Retained - Target ($)")=0,"-",SUMIFS('Data - Monthly Metrics'!E:E,'Data - Monthly Metrics'!A:A,$B$4,'Data - Monthly Metrics'!B:B,"Apr",'Data - Monthly Metrics'!C:C,"Majors/NRA",'Data - Monthly Metrics'!D:D,"Revenue Retained - Target ($)"))</f>
        <v/>
      </c>
      <c r="K56" s="96">
        <f>IF(COUNTIFS('Data - Monthly Metrics'!A:A,$B$4,'Data - Monthly Metrics'!B:B,"May",'Data - Monthly Metrics'!C:C,"Majors/NRA",'Data - Monthly Metrics'!D:D,"Revenue Retained - Target ($)")=0,"-",SUMIFS('Data - Monthly Metrics'!E:E,'Data - Monthly Metrics'!A:A,$B$4,'Data - Monthly Metrics'!B:B,"May",'Data - Monthly Metrics'!C:C,"Majors/NRA",'Data - Monthly Metrics'!D:D,"Revenue Retained - Target ($)"))</f>
        <v/>
      </c>
      <c r="L56" s="96">
        <f>IF(COUNTIFS('Data - Monthly Metrics'!A:A,$B$4,'Data - Monthly Metrics'!B:B,"Jun",'Data - Monthly Metrics'!C:C,"Majors/NRA",'Data - Monthly Metrics'!D:D,"Revenue Retained - Target ($)")=0,"-",SUMIFS('Data - Monthly Metrics'!E:E,'Data - Monthly Metrics'!A:A,$B$4,'Data - Monthly Metrics'!B:B,"Jun",'Data - Monthly Metrics'!C:C,"Majors/NRA",'Data - Monthly Metrics'!D:D,"Revenue Retained - Target ($)"))</f>
        <v/>
      </c>
      <c r="M56" s="101">
        <f>SUM(J56,K56,L56)</f>
        <v/>
      </c>
      <c r="N56" s="96">
        <f>IF(COUNTIFS('Data - Monthly Metrics'!A:A,$B$4,'Data - Monthly Metrics'!B:B,"Jul",'Data - Monthly Metrics'!C:C,"Majors/NRA",'Data - Monthly Metrics'!D:D,"Revenue Retained - Target ($)")=0,"-",SUMIFS('Data - Monthly Metrics'!E:E,'Data - Monthly Metrics'!A:A,$B$4,'Data - Monthly Metrics'!B:B,"Jul",'Data - Monthly Metrics'!C:C,"Majors/NRA",'Data - Monthly Metrics'!D:D,"Revenue Retained - Target ($)"))</f>
        <v/>
      </c>
      <c r="O56" s="96">
        <f>IF(COUNTIFS('Data - Monthly Metrics'!A:A,$B$4,'Data - Monthly Metrics'!B:B,"Aug",'Data - Monthly Metrics'!C:C,"Majors/NRA",'Data - Monthly Metrics'!D:D,"Revenue Retained - Target ($)")=0,"-",SUMIFS('Data - Monthly Metrics'!E:E,'Data - Monthly Metrics'!A:A,$B$4,'Data - Monthly Metrics'!B:B,"Aug",'Data - Monthly Metrics'!C:C,"Majors/NRA",'Data - Monthly Metrics'!D:D,"Revenue Retained - Target ($)"))</f>
        <v/>
      </c>
      <c r="P56" s="96">
        <f>IF(COUNTIFS('Data - Monthly Metrics'!A:A,$B$4,'Data - Monthly Metrics'!B:B,"Sep",'Data - Monthly Metrics'!C:C,"Majors/NRA",'Data - Monthly Metrics'!D:D,"Revenue Retained - Target ($)")=0,"-",SUMIFS('Data - Monthly Metrics'!E:E,'Data - Monthly Metrics'!A:A,$B$4,'Data - Monthly Metrics'!B:B,"Sep",'Data - Monthly Metrics'!C:C,"Majors/NRA",'Data - Monthly Metrics'!D:D,"Revenue Retained - Target ($)"))</f>
        <v/>
      </c>
      <c r="Q56" s="101">
        <f>SUM(N56,O56,P56)</f>
        <v/>
      </c>
      <c r="R56" s="101">
        <f>E56+I56+M56+Q56</f>
        <v/>
      </c>
    </row>
    <row r="57" ht="14.25" customHeight="1" s="82">
      <c r="A57" s="94" t="inlineStr">
        <is>
          <t xml:space="preserve">   Comped (#)</t>
        </is>
      </c>
      <c r="B57" s="98">
        <f>IF(COUNTIFS('Data - Monthly Metrics'!A:A,$B$4-1,'Data - Monthly Metrics'!B:B,"Oct",'Data - Monthly Metrics'!C:C,"Majors/NRA",'Data - Monthly Metrics'!D:D,"Retention - Comped Target (#)")=0,"-",SUMIFS('Data - Monthly Metrics'!E:E,'Data - Monthly Metrics'!A:A,$B$4-1,'Data - Monthly Metrics'!B:B,"Oct",'Data - Monthly Metrics'!C:C,"Majors/NRA",'Data - Monthly Metrics'!D:D,"Retention - Comped Target (#)"))</f>
        <v/>
      </c>
      <c r="C57" s="98">
        <f>IF(COUNTIFS('Data - Monthly Metrics'!A:A,$B$4-1,'Data - Monthly Metrics'!B:B,"Nov",'Data - Monthly Metrics'!C:C,"Majors/NRA",'Data - Monthly Metrics'!D:D,"Retention - Comped Target (#)")=0,"-",SUMIFS('Data - Monthly Metrics'!E:E,'Data - Monthly Metrics'!A:A,$B$4-1,'Data - Monthly Metrics'!B:B,"Nov",'Data - Monthly Metrics'!C:C,"Majors/NRA",'Data - Monthly Metrics'!D:D,"Retention - Comped Target (#)"))</f>
        <v/>
      </c>
      <c r="D57" s="98">
        <f>IF(COUNTIFS('Data - Monthly Metrics'!A:A,$B$4-1,'Data - Monthly Metrics'!B:B,"Dec",'Data - Monthly Metrics'!C:C,"Majors/NRA",'Data - Monthly Metrics'!D:D,"Retention - Comped Target (#)")=0,"-",SUMIFS('Data - Monthly Metrics'!E:E,'Data - Monthly Metrics'!A:A,$B$4-1,'Data - Monthly Metrics'!B:B,"Dec",'Data - Monthly Metrics'!C:C,"Majors/NRA",'Data - Monthly Metrics'!D:D,"Retention - Comped Target (#)"))</f>
        <v/>
      </c>
      <c r="E57" s="103">
        <f>SUM(B57,C57,D57)</f>
        <v/>
      </c>
      <c r="F57" s="98">
        <f>IF(COUNTIFS('Data - Monthly Metrics'!A:A,$B$4,'Data - Monthly Metrics'!B:B,"Jan",'Data - Monthly Metrics'!C:C,"Majors/NRA",'Data - Monthly Metrics'!D:D,"Retention - Comped Target (#)")=0,"-",SUMIFS('Data - Monthly Metrics'!E:E,'Data - Monthly Metrics'!A:A,$B$4,'Data - Monthly Metrics'!B:B,"Jan",'Data - Monthly Metrics'!C:C,"Majors/NRA",'Data - Monthly Metrics'!D:D,"Retention - Comped Target (#)"))</f>
        <v/>
      </c>
      <c r="G57" s="98">
        <f>IF(COUNTIFS('Data - Monthly Metrics'!A:A,$B$4,'Data - Monthly Metrics'!B:B,"Feb",'Data - Monthly Metrics'!C:C,"Majors/NRA",'Data - Monthly Metrics'!D:D,"Retention - Comped Target (#)")=0,"-",SUMIFS('Data - Monthly Metrics'!E:E,'Data - Monthly Metrics'!A:A,$B$4,'Data - Monthly Metrics'!B:B,"Feb",'Data - Monthly Metrics'!C:C,"Majors/NRA",'Data - Monthly Metrics'!D:D,"Retention - Comped Target (#)"))</f>
        <v/>
      </c>
      <c r="H57" s="98">
        <f>IF(COUNTIFS('Data - Monthly Metrics'!A:A,$B$4,'Data - Monthly Metrics'!B:B,"Mar",'Data - Monthly Metrics'!C:C,"Majors/NRA",'Data - Monthly Metrics'!D:D,"Retention - Comped Target (#)")=0,"-",SUMIFS('Data - Monthly Metrics'!E:E,'Data - Monthly Metrics'!A:A,$B$4,'Data - Monthly Metrics'!B:B,"Mar",'Data - Monthly Metrics'!C:C,"Majors/NRA",'Data - Monthly Metrics'!D:D,"Retention - Comped Target (#)"))</f>
        <v/>
      </c>
      <c r="I57" s="103">
        <f>SUM(F57,G57,H57)</f>
        <v/>
      </c>
      <c r="J57" s="98">
        <f>IF(COUNTIFS('Data - Monthly Metrics'!A:A,$B$4,'Data - Monthly Metrics'!B:B,"Apr",'Data - Monthly Metrics'!C:C,"Majors/NRA",'Data - Monthly Metrics'!D:D,"Retention - Comped Target (#)")=0,"-",SUMIFS('Data - Monthly Metrics'!E:E,'Data - Monthly Metrics'!A:A,$B$4,'Data - Monthly Metrics'!B:B,"Apr",'Data - Monthly Metrics'!C:C,"Majors/NRA",'Data - Monthly Metrics'!D:D,"Retention - Comped Target (#)"))</f>
        <v/>
      </c>
      <c r="K57" s="98">
        <f>IF(COUNTIFS('Data - Monthly Metrics'!A:A,$B$4,'Data - Monthly Metrics'!B:B,"May",'Data - Monthly Metrics'!C:C,"Majors/NRA",'Data - Monthly Metrics'!D:D,"Retention - Comped Target (#)")=0,"-",SUMIFS('Data - Monthly Metrics'!E:E,'Data - Monthly Metrics'!A:A,$B$4,'Data - Monthly Metrics'!B:B,"May",'Data - Monthly Metrics'!C:C,"Majors/NRA",'Data - Monthly Metrics'!D:D,"Retention - Comped Target (#)"))</f>
        <v/>
      </c>
      <c r="L57" s="98">
        <f>IF(COUNTIFS('Data - Monthly Metrics'!A:A,$B$4,'Data - Monthly Metrics'!B:B,"Jun",'Data - Monthly Metrics'!C:C,"Majors/NRA",'Data - Monthly Metrics'!D:D,"Retention - Comped Target (#)")=0,"-",SUMIFS('Data - Monthly Metrics'!E:E,'Data - Monthly Metrics'!A:A,$B$4,'Data - Monthly Metrics'!B:B,"Jun",'Data - Monthly Metrics'!C:C,"Majors/NRA",'Data - Monthly Metrics'!D:D,"Retention - Comped Target (#)"))</f>
        <v/>
      </c>
      <c r="M57" s="103">
        <f>SUM(J57,K57,L57)</f>
        <v/>
      </c>
      <c r="N57" s="98">
        <f>IF(COUNTIFS('Data - Monthly Metrics'!A:A,$B$4,'Data - Monthly Metrics'!B:B,"Jul",'Data - Monthly Metrics'!C:C,"Majors/NRA",'Data - Monthly Metrics'!D:D,"Retention - Comped Target (#)")=0,"-",SUMIFS('Data - Monthly Metrics'!E:E,'Data - Monthly Metrics'!A:A,$B$4,'Data - Monthly Metrics'!B:B,"Jul",'Data - Monthly Metrics'!C:C,"Majors/NRA",'Data - Monthly Metrics'!D:D,"Retention - Comped Target (#)"))</f>
        <v/>
      </c>
      <c r="O57" s="98">
        <f>IF(COUNTIFS('Data - Monthly Metrics'!A:A,$B$4,'Data - Monthly Metrics'!B:B,"Aug",'Data - Monthly Metrics'!C:C,"Majors/NRA",'Data - Monthly Metrics'!D:D,"Retention - Comped Target (#)")=0,"-",SUMIFS('Data - Monthly Metrics'!E:E,'Data - Monthly Metrics'!A:A,$B$4,'Data - Monthly Metrics'!B:B,"Aug",'Data - Monthly Metrics'!C:C,"Majors/NRA",'Data - Monthly Metrics'!D:D,"Retention - Comped Target (#)"))</f>
        <v/>
      </c>
      <c r="P57" s="98">
        <f>IF(COUNTIFS('Data - Monthly Metrics'!A:A,$B$4,'Data - Monthly Metrics'!B:B,"Sep",'Data - Monthly Metrics'!C:C,"Majors/NRA",'Data - Monthly Metrics'!D:D,"Retention - Comped Target (#)")=0,"-",SUMIFS('Data - Monthly Metrics'!E:E,'Data - Monthly Metrics'!A:A,$B$4,'Data - Monthly Metrics'!B:B,"Sep",'Data - Monthly Metrics'!C:C,"Majors/NRA",'Data - Monthly Metrics'!D:D,"Retention - Comped Target (#)"))</f>
        <v/>
      </c>
      <c r="Q57" s="103">
        <f>SUM(N57,O57,P57)</f>
        <v/>
      </c>
      <c r="R57" s="103">
        <f>E57+I57+M57+Q57</f>
        <v/>
      </c>
    </row>
    <row r="58" ht="14.25" customHeight="1" s="82">
      <c r="A58" s="94" t="inlineStr">
        <is>
          <t xml:space="preserve">   Comped ($) — not counted in retention</t>
        </is>
      </c>
      <c r="B58" s="96">
        <f>IF(COUNTIFS('Data - Monthly Metrics'!A:A,$B$4-1,'Data - Monthly Metrics'!B:B,"Oct",'Data - Monthly Metrics'!C:C,"Majors/NRA",'Data - Monthly Metrics'!D:D,"Retention - Comped Target ($)")=0,"-",SUMIFS('Data - Monthly Metrics'!E:E,'Data - Monthly Metrics'!A:A,$B$4-1,'Data - Monthly Metrics'!B:B,"Oct",'Data - Monthly Metrics'!C:C,"Majors/NRA",'Data - Monthly Metrics'!D:D,"Retention - Comped Target ($)"))</f>
        <v/>
      </c>
      <c r="C58" s="96">
        <f>IF(COUNTIFS('Data - Monthly Metrics'!A:A,$B$4-1,'Data - Monthly Metrics'!B:B,"Nov",'Data - Monthly Metrics'!C:C,"Majors/NRA",'Data - Monthly Metrics'!D:D,"Retention - Comped Target ($)")=0,"-",SUMIFS('Data - Monthly Metrics'!E:E,'Data - Monthly Metrics'!A:A,$B$4-1,'Data - Monthly Metrics'!B:B,"Nov",'Data - Monthly Metrics'!C:C,"Majors/NRA",'Data - Monthly Metrics'!D:D,"Retention - Comped Target ($)"))</f>
        <v/>
      </c>
      <c r="D58" s="96">
        <f>IF(COUNTIFS('Data - Monthly Metrics'!A:A,$B$4-1,'Data - Monthly Metrics'!B:B,"Dec",'Data - Monthly Metrics'!C:C,"Majors/NRA",'Data - Monthly Metrics'!D:D,"Retention - Comped Target ($)")=0,"-",SUMIFS('Data - Monthly Metrics'!E:E,'Data - Monthly Metrics'!A:A,$B$4-1,'Data - Monthly Metrics'!B:B,"Dec",'Data - Monthly Metrics'!C:C,"Majors/NRA",'Data - Monthly Metrics'!D:D,"Retention - Comped Target ($)"))</f>
        <v/>
      </c>
      <c r="E58" s="101">
        <f>SUM(B58,C58,D58)</f>
        <v/>
      </c>
      <c r="F58" s="96">
        <f>IF(COUNTIFS('Data - Monthly Metrics'!A:A,$B$4,'Data - Monthly Metrics'!B:B,"Jan",'Data - Monthly Metrics'!C:C,"Majors/NRA",'Data - Monthly Metrics'!D:D,"Retention - Comped Target ($)")=0,"-",SUMIFS('Data - Monthly Metrics'!E:E,'Data - Monthly Metrics'!A:A,$B$4,'Data - Monthly Metrics'!B:B,"Jan",'Data - Monthly Metrics'!C:C,"Majors/NRA",'Data - Monthly Metrics'!D:D,"Retention - Comped Target ($)"))</f>
        <v/>
      </c>
      <c r="G58" s="96">
        <f>IF(COUNTIFS('Data - Monthly Metrics'!A:A,$B$4,'Data - Monthly Metrics'!B:B,"Feb",'Data - Monthly Metrics'!C:C,"Majors/NRA",'Data - Monthly Metrics'!D:D,"Retention - Comped Target ($)")=0,"-",SUMIFS('Data - Monthly Metrics'!E:E,'Data - Monthly Metrics'!A:A,$B$4,'Data - Monthly Metrics'!B:B,"Feb",'Data - Monthly Metrics'!C:C,"Majors/NRA",'Data - Monthly Metrics'!D:D,"Retention - Comped Target ($)"))</f>
        <v/>
      </c>
      <c r="H58" s="96">
        <f>IF(COUNTIFS('Data - Monthly Metrics'!A:A,$B$4,'Data - Monthly Metrics'!B:B,"Mar",'Data - Monthly Metrics'!C:C,"Majors/NRA",'Data - Monthly Metrics'!D:D,"Retention - Comped Target ($)")=0,"-",SUMIFS('Data - Monthly Metrics'!E:E,'Data - Monthly Metrics'!A:A,$B$4,'Data - Monthly Metrics'!B:B,"Mar",'Data - Monthly Metrics'!C:C,"Majors/NRA",'Data - Monthly Metrics'!D:D,"Retention - Comped Target ($)"))</f>
        <v/>
      </c>
      <c r="I58" s="101">
        <f>SUM(F58,G58,H58)</f>
        <v/>
      </c>
      <c r="J58" s="96">
        <f>IF(COUNTIFS('Data - Monthly Metrics'!A:A,$B$4,'Data - Monthly Metrics'!B:B,"Apr",'Data - Monthly Metrics'!C:C,"Majors/NRA",'Data - Monthly Metrics'!D:D,"Retention - Comped Target ($)")=0,"-",SUMIFS('Data - Monthly Metrics'!E:E,'Data - Monthly Metrics'!A:A,$B$4,'Data - Monthly Metrics'!B:B,"Apr",'Data - Monthly Metrics'!C:C,"Majors/NRA",'Data - Monthly Metrics'!D:D,"Retention - Comped Target ($)"))</f>
        <v/>
      </c>
      <c r="K58" s="96">
        <f>IF(COUNTIFS('Data - Monthly Metrics'!A:A,$B$4,'Data - Monthly Metrics'!B:B,"May",'Data - Monthly Metrics'!C:C,"Majors/NRA",'Data - Monthly Metrics'!D:D,"Retention - Comped Target ($)")=0,"-",SUMIFS('Data - Monthly Metrics'!E:E,'Data - Monthly Metrics'!A:A,$B$4,'Data - Monthly Metrics'!B:B,"May",'Data - Monthly Metrics'!C:C,"Majors/NRA",'Data - Monthly Metrics'!D:D,"Retention - Comped Target ($)"))</f>
        <v/>
      </c>
      <c r="L58" s="96">
        <f>IF(COUNTIFS('Data - Monthly Metrics'!A:A,$B$4,'Data - Monthly Metrics'!B:B,"Jun",'Data - Monthly Metrics'!C:C,"Majors/NRA",'Data - Monthly Metrics'!D:D,"Retention - Comped Target ($)")=0,"-",SUMIFS('Data - Monthly Metrics'!E:E,'Data - Monthly Metrics'!A:A,$B$4,'Data - Monthly Metrics'!B:B,"Jun",'Data - Monthly Metrics'!C:C,"Majors/NRA",'Data - Monthly Metrics'!D:D,"Retention - Comped Target ($)"))</f>
        <v/>
      </c>
      <c r="M58" s="101">
        <f>SUM(J58,K58,L58)</f>
        <v/>
      </c>
      <c r="N58" s="96">
        <f>IF(COUNTIFS('Data - Monthly Metrics'!A:A,$B$4,'Data - Monthly Metrics'!B:B,"Jul",'Data - Monthly Metrics'!C:C,"Majors/NRA",'Data - Monthly Metrics'!D:D,"Retention - Comped Target ($)")=0,"-",SUMIFS('Data - Monthly Metrics'!E:E,'Data - Monthly Metrics'!A:A,$B$4,'Data - Monthly Metrics'!B:B,"Jul",'Data - Monthly Metrics'!C:C,"Majors/NRA",'Data - Monthly Metrics'!D:D,"Retention - Comped Target ($)"))</f>
        <v/>
      </c>
      <c r="O58" s="96">
        <f>IF(COUNTIFS('Data - Monthly Metrics'!A:A,$B$4,'Data - Monthly Metrics'!B:B,"Aug",'Data - Monthly Metrics'!C:C,"Majors/NRA",'Data - Monthly Metrics'!D:D,"Retention - Comped Target ($)")=0,"-",SUMIFS('Data - Monthly Metrics'!E:E,'Data - Monthly Metrics'!A:A,$B$4,'Data - Monthly Metrics'!B:B,"Aug",'Data - Monthly Metrics'!C:C,"Majors/NRA",'Data - Monthly Metrics'!D:D,"Retention - Comped Target ($)"))</f>
        <v/>
      </c>
      <c r="P58" s="96">
        <f>IF(COUNTIFS('Data - Monthly Metrics'!A:A,$B$4,'Data - Monthly Metrics'!B:B,"Sep",'Data - Monthly Metrics'!C:C,"Majors/NRA",'Data - Monthly Metrics'!D:D,"Retention - Comped Target ($)")=0,"-",SUMIFS('Data - Monthly Metrics'!E:E,'Data - Monthly Metrics'!A:A,$B$4,'Data - Monthly Metrics'!B:B,"Sep",'Data - Monthly Metrics'!C:C,"Majors/NRA",'Data - Monthly Metrics'!D:D,"Retention - Comped Target ($)"))</f>
        <v/>
      </c>
      <c r="Q58" s="101">
        <f>SUM(N58,O58,P58)</f>
        <v/>
      </c>
      <c r="R58" s="101">
        <f>E58+I58+M58+Q58</f>
        <v/>
      </c>
    </row>
    <row r="59" ht="14.25" customHeight="1" s="82">
      <c r="A59" s="89" t="inlineStr">
        <is>
          <t>Revenue Retention % - Target</t>
        </is>
      </c>
      <c r="B59" s="92">
        <f>IF(B55=0,0,B56/B55)</f>
        <v/>
      </c>
      <c r="C59" s="92">
        <f>IF(C55=0,0,C56/C55)</f>
        <v/>
      </c>
      <c r="D59" s="92">
        <f>IF(D55=0,0,D56/D55)</f>
        <v/>
      </c>
      <c r="E59" s="102">
        <f>IF(E55=0,0,E56/E55)</f>
        <v/>
      </c>
      <c r="F59" s="92">
        <f>IF(F55=0,0,F56/F55)</f>
        <v/>
      </c>
      <c r="G59" s="92">
        <f>IF(G55=0,0,G56/G55)</f>
        <v/>
      </c>
      <c r="H59" s="92">
        <f>IF(H55=0,0,H56/H55)</f>
        <v/>
      </c>
      <c r="I59" s="102">
        <f>IF(I55=0,0,I56/I55)</f>
        <v/>
      </c>
      <c r="J59" s="92">
        <f>IF(J55=0,0,J56/J55)</f>
        <v/>
      </c>
      <c r="K59" s="92">
        <f>IF(K55=0,0,K56/K55)</f>
        <v/>
      </c>
      <c r="L59" s="92">
        <f>IF(L55=0,0,L56/L55)</f>
        <v/>
      </c>
      <c r="M59" s="102">
        <f>IF(M55=0,0,M56/M55)</f>
        <v/>
      </c>
      <c r="N59" s="92">
        <f>IF(N55=0,0,N56/N55)</f>
        <v/>
      </c>
      <c r="O59" s="92">
        <f>IF(O55=0,0,O56/O55)</f>
        <v/>
      </c>
      <c r="P59" s="92">
        <f>IF(P55=0,0,P56/P55)</f>
        <v/>
      </c>
      <c r="Q59" s="102">
        <f>IF(Q55=0,0,Q56/Q55)</f>
        <v/>
      </c>
      <c r="R59" s="102">
        <f>IF(R55=0,0,R56/R55)</f>
        <v/>
      </c>
    </row>
    <row r="60"/>
    <row r="61" ht="21.75" customHeight="1" s="82">
      <c r="A61" s="87" t="inlineStr">
        <is>
          <t xml:space="preserve">  ▶   T4.  DROPS — Target</t>
        </is>
      </c>
    </row>
    <row r="62" ht="14.25" customHeight="1" s="82">
      <c r="A62" s="88" t="inlineStr">
        <is>
          <t>Metric</t>
        </is>
      </c>
      <c r="B62" s="88" t="inlineStr">
        <is>
          <t>Oct</t>
        </is>
      </c>
      <c r="C62" s="88" t="inlineStr">
        <is>
          <t>Nov</t>
        </is>
      </c>
      <c r="D62" s="88" t="inlineStr">
        <is>
          <t>Dec</t>
        </is>
      </c>
      <c r="E62" s="88" t="inlineStr">
        <is>
          <t>Q1</t>
        </is>
      </c>
      <c r="F62" s="88" t="inlineStr">
        <is>
          <t>Jan</t>
        </is>
      </c>
      <c r="G62" s="88" t="inlineStr">
        <is>
          <t>Feb</t>
        </is>
      </c>
      <c r="H62" s="88" t="inlineStr">
        <is>
          <t>Mar</t>
        </is>
      </c>
      <c r="I62" s="88" t="inlineStr">
        <is>
          <t>Q2</t>
        </is>
      </c>
      <c r="J62" s="88" t="inlineStr">
        <is>
          <t>Apr</t>
        </is>
      </c>
      <c r="K62" s="88" t="inlineStr">
        <is>
          <t>May</t>
        </is>
      </c>
      <c r="L62" s="88" t="inlineStr">
        <is>
          <t>Jun</t>
        </is>
      </c>
      <c r="M62" s="88" t="inlineStr">
        <is>
          <t>Q3</t>
        </is>
      </c>
      <c r="N62" s="88" t="inlineStr">
        <is>
          <t>Jul</t>
        </is>
      </c>
      <c r="O62" s="88" t="inlineStr">
        <is>
          <t>Aug</t>
        </is>
      </c>
      <c r="P62" s="88" t="inlineStr">
        <is>
          <t>Sep</t>
        </is>
      </c>
      <c r="Q62" s="88" t="inlineStr">
        <is>
          <t>Q4</t>
        </is>
      </c>
      <c r="R62" s="88" t="inlineStr">
        <is>
          <t>YTD</t>
        </is>
      </c>
    </row>
    <row r="63" ht="14.25" customHeight="1" s="82">
      <c r="A63" s="89" t="inlineStr">
        <is>
          <t>Drops - Target (#)</t>
        </is>
      </c>
      <c r="B63" s="93">
        <f>IF(COUNTIFS('Data - Monthly Metrics'!A:A,$B$4-1,'Data - Monthly Metrics'!B:B,"Oct",'Data - Monthly Metrics'!C:C,"Majors/NRA",'Data - Monthly Metrics'!D:D,"Drops - Target (#)")=0,"-",SUMIFS('Data - Monthly Metrics'!E:E,'Data - Monthly Metrics'!A:A,$B$4-1,'Data - Monthly Metrics'!B:B,"Oct",'Data - Monthly Metrics'!C:C,"Majors/NRA",'Data - Monthly Metrics'!D:D,"Drops - Target (#)"))</f>
        <v/>
      </c>
      <c r="C63" s="93">
        <f>IF(COUNTIFS('Data - Monthly Metrics'!A:A,$B$4-1,'Data - Monthly Metrics'!B:B,"Nov",'Data - Monthly Metrics'!C:C,"Majors/NRA",'Data - Monthly Metrics'!D:D,"Drops - Target (#)")=0,"-",SUMIFS('Data - Monthly Metrics'!E:E,'Data - Monthly Metrics'!A:A,$B$4-1,'Data - Monthly Metrics'!B:B,"Nov",'Data - Monthly Metrics'!C:C,"Majors/NRA",'Data - Monthly Metrics'!D:D,"Drops - Target (#)"))</f>
        <v/>
      </c>
      <c r="D63" s="93">
        <f>IF(COUNTIFS('Data - Monthly Metrics'!A:A,$B$4-1,'Data - Monthly Metrics'!B:B,"Dec",'Data - Monthly Metrics'!C:C,"Majors/NRA",'Data - Monthly Metrics'!D:D,"Drops - Target (#)")=0,"-",SUMIFS('Data - Monthly Metrics'!E:E,'Data - Monthly Metrics'!A:A,$B$4-1,'Data - Monthly Metrics'!B:B,"Dec",'Data - Monthly Metrics'!C:C,"Majors/NRA",'Data - Monthly Metrics'!D:D,"Drops - Target (#)"))</f>
        <v/>
      </c>
      <c r="E63" s="103">
        <f>SUM(B63,C63,D63)</f>
        <v/>
      </c>
      <c r="F63" s="93">
        <f>IF(COUNTIFS('Data - Monthly Metrics'!A:A,$B$4,'Data - Monthly Metrics'!B:B,"Jan",'Data - Monthly Metrics'!C:C,"Majors/NRA",'Data - Monthly Metrics'!D:D,"Drops - Target (#)")=0,"-",SUMIFS('Data - Monthly Metrics'!E:E,'Data - Monthly Metrics'!A:A,$B$4,'Data - Monthly Metrics'!B:B,"Jan",'Data - Monthly Metrics'!C:C,"Majors/NRA",'Data - Monthly Metrics'!D:D,"Drops - Target (#)"))</f>
        <v/>
      </c>
      <c r="G63" s="93">
        <f>IF(COUNTIFS('Data - Monthly Metrics'!A:A,$B$4,'Data - Monthly Metrics'!B:B,"Feb",'Data - Monthly Metrics'!C:C,"Majors/NRA",'Data - Monthly Metrics'!D:D,"Drops - Target (#)")=0,"-",SUMIFS('Data - Monthly Metrics'!E:E,'Data - Monthly Metrics'!A:A,$B$4,'Data - Monthly Metrics'!B:B,"Feb",'Data - Monthly Metrics'!C:C,"Majors/NRA",'Data - Monthly Metrics'!D:D,"Drops - Target (#)"))</f>
        <v/>
      </c>
      <c r="H63" s="93">
        <f>IF(COUNTIFS('Data - Monthly Metrics'!A:A,$B$4,'Data - Monthly Metrics'!B:B,"Mar",'Data - Monthly Metrics'!C:C,"Majors/NRA",'Data - Monthly Metrics'!D:D,"Drops - Target (#)")=0,"-",SUMIFS('Data - Monthly Metrics'!E:E,'Data - Monthly Metrics'!A:A,$B$4,'Data - Monthly Metrics'!B:B,"Mar",'Data - Monthly Metrics'!C:C,"Majors/NRA",'Data - Monthly Metrics'!D:D,"Drops - Target (#)"))</f>
        <v/>
      </c>
      <c r="I63" s="103">
        <f>SUM(F63,G63,H63)</f>
        <v/>
      </c>
      <c r="J63" s="93">
        <f>IF(COUNTIFS('Data - Monthly Metrics'!A:A,$B$4,'Data - Monthly Metrics'!B:B,"Apr",'Data - Monthly Metrics'!C:C,"Majors/NRA",'Data - Monthly Metrics'!D:D,"Drops - Target (#)")=0,"-",SUMIFS('Data - Monthly Metrics'!E:E,'Data - Monthly Metrics'!A:A,$B$4,'Data - Monthly Metrics'!B:B,"Apr",'Data - Monthly Metrics'!C:C,"Majors/NRA",'Data - Monthly Metrics'!D:D,"Drops - Target (#)"))</f>
        <v/>
      </c>
      <c r="K63" s="93">
        <f>IF(COUNTIFS('Data - Monthly Metrics'!A:A,$B$4,'Data - Monthly Metrics'!B:B,"May",'Data - Monthly Metrics'!C:C,"Majors/NRA",'Data - Monthly Metrics'!D:D,"Drops - Target (#)")=0,"-",SUMIFS('Data - Monthly Metrics'!E:E,'Data - Monthly Metrics'!A:A,$B$4,'Data - Monthly Metrics'!B:B,"May",'Data - Monthly Metrics'!C:C,"Majors/NRA",'Data - Monthly Metrics'!D:D,"Drops - Target (#)"))</f>
        <v/>
      </c>
      <c r="L63" s="93">
        <f>IF(COUNTIFS('Data - Monthly Metrics'!A:A,$B$4,'Data - Monthly Metrics'!B:B,"Jun",'Data - Monthly Metrics'!C:C,"Majors/NRA",'Data - Monthly Metrics'!D:D,"Drops - Target (#)")=0,"-",SUMIFS('Data - Monthly Metrics'!E:E,'Data - Monthly Metrics'!A:A,$B$4,'Data - Monthly Metrics'!B:B,"Jun",'Data - Monthly Metrics'!C:C,"Majors/NRA",'Data - Monthly Metrics'!D:D,"Drops - Target (#)"))</f>
        <v/>
      </c>
      <c r="M63" s="103">
        <f>SUM(J63,K63,L63)</f>
        <v/>
      </c>
      <c r="N63" s="93">
        <f>IF(COUNTIFS('Data - Monthly Metrics'!A:A,$B$4,'Data - Monthly Metrics'!B:B,"Jul",'Data - Monthly Metrics'!C:C,"Majors/NRA",'Data - Monthly Metrics'!D:D,"Drops - Target (#)")=0,"-",SUMIFS('Data - Monthly Metrics'!E:E,'Data - Monthly Metrics'!A:A,$B$4,'Data - Monthly Metrics'!B:B,"Jul",'Data - Monthly Metrics'!C:C,"Majors/NRA",'Data - Monthly Metrics'!D:D,"Drops - Target (#)"))</f>
        <v/>
      </c>
      <c r="O63" s="93">
        <f>IF(COUNTIFS('Data - Monthly Metrics'!A:A,$B$4,'Data - Monthly Metrics'!B:B,"Aug",'Data - Monthly Metrics'!C:C,"Majors/NRA",'Data - Monthly Metrics'!D:D,"Drops - Target (#)")=0,"-",SUMIFS('Data - Monthly Metrics'!E:E,'Data - Monthly Metrics'!A:A,$B$4,'Data - Monthly Metrics'!B:B,"Aug",'Data - Monthly Metrics'!C:C,"Majors/NRA",'Data - Monthly Metrics'!D:D,"Drops - Target (#)"))</f>
        <v/>
      </c>
      <c r="P63" s="93">
        <f>IF(COUNTIFS('Data - Monthly Metrics'!A:A,$B$4,'Data - Monthly Metrics'!B:B,"Sep",'Data - Monthly Metrics'!C:C,"Majors/NRA",'Data - Monthly Metrics'!D:D,"Drops - Target (#)")=0,"-",SUMIFS('Data - Monthly Metrics'!E:E,'Data - Monthly Metrics'!A:A,$B$4,'Data - Monthly Metrics'!B:B,"Sep",'Data - Monthly Metrics'!C:C,"Majors/NRA",'Data - Monthly Metrics'!D:D,"Drops - Target (#)"))</f>
        <v/>
      </c>
      <c r="Q63" s="103">
        <f>SUM(N63,O63,P63)</f>
        <v/>
      </c>
      <c r="R63" s="103">
        <f>E63+I63+M63+Q63</f>
        <v/>
      </c>
    </row>
    <row r="64" ht="14.25" customHeight="1" s="82">
      <c r="A64" s="94" t="inlineStr">
        <is>
          <t>Dropped Revenue - Target ($)</t>
        </is>
      </c>
      <c r="B64" s="96">
        <f>IF(COUNTIFS('Data - Monthly Metrics'!A:A,$B$4-1,'Data - Monthly Metrics'!B:B,"Oct",'Data - Monthly Metrics'!C:C,"Majors/NRA",'Data - Monthly Metrics'!D:D,"Dropped Revenue - Target ($)")=0,"-",SUMIFS('Data - Monthly Metrics'!E:E,'Data - Monthly Metrics'!A:A,$B$4-1,'Data - Monthly Metrics'!B:B,"Oct",'Data - Monthly Metrics'!C:C,"Majors/NRA",'Data - Monthly Metrics'!D:D,"Dropped Revenue - Target ($)"))</f>
        <v/>
      </c>
      <c r="C64" s="96">
        <f>IF(COUNTIFS('Data - Monthly Metrics'!A:A,$B$4-1,'Data - Monthly Metrics'!B:B,"Nov",'Data - Monthly Metrics'!C:C,"Majors/NRA",'Data - Monthly Metrics'!D:D,"Dropped Revenue - Target ($)")=0,"-",SUMIFS('Data - Monthly Metrics'!E:E,'Data - Monthly Metrics'!A:A,$B$4-1,'Data - Monthly Metrics'!B:B,"Nov",'Data - Monthly Metrics'!C:C,"Majors/NRA",'Data - Monthly Metrics'!D:D,"Dropped Revenue - Target ($)"))</f>
        <v/>
      </c>
      <c r="D64" s="96">
        <f>IF(COUNTIFS('Data - Monthly Metrics'!A:A,$B$4-1,'Data - Monthly Metrics'!B:B,"Dec",'Data - Monthly Metrics'!C:C,"Majors/NRA",'Data - Monthly Metrics'!D:D,"Dropped Revenue - Target ($)")=0,"-",SUMIFS('Data - Monthly Metrics'!E:E,'Data - Monthly Metrics'!A:A,$B$4-1,'Data - Monthly Metrics'!B:B,"Dec",'Data - Monthly Metrics'!C:C,"Majors/NRA",'Data - Monthly Metrics'!D:D,"Dropped Revenue - Target ($)"))</f>
        <v/>
      </c>
      <c r="E64" s="101">
        <f>SUM(B64,C64,D64)</f>
        <v/>
      </c>
      <c r="F64" s="96">
        <f>IF(COUNTIFS('Data - Monthly Metrics'!A:A,$B$4,'Data - Monthly Metrics'!B:B,"Jan",'Data - Monthly Metrics'!C:C,"Majors/NRA",'Data - Monthly Metrics'!D:D,"Dropped Revenue - Target ($)")=0,"-",SUMIFS('Data - Monthly Metrics'!E:E,'Data - Monthly Metrics'!A:A,$B$4,'Data - Monthly Metrics'!B:B,"Jan",'Data - Monthly Metrics'!C:C,"Majors/NRA",'Data - Monthly Metrics'!D:D,"Dropped Revenue - Target ($)"))</f>
        <v/>
      </c>
      <c r="G64" s="96">
        <f>IF(COUNTIFS('Data - Monthly Metrics'!A:A,$B$4,'Data - Monthly Metrics'!B:B,"Feb",'Data - Monthly Metrics'!C:C,"Majors/NRA",'Data - Monthly Metrics'!D:D,"Dropped Revenue - Target ($)")=0,"-",SUMIFS('Data - Monthly Metrics'!E:E,'Data - Monthly Metrics'!A:A,$B$4,'Data - Monthly Metrics'!B:B,"Feb",'Data - Monthly Metrics'!C:C,"Majors/NRA",'Data - Monthly Metrics'!D:D,"Dropped Revenue - Target ($)"))</f>
        <v/>
      </c>
      <c r="H64" s="96">
        <f>IF(COUNTIFS('Data - Monthly Metrics'!A:A,$B$4,'Data - Monthly Metrics'!B:B,"Mar",'Data - Monthly Metrics'!C:C,"Majors/NRA",'Data - Monthly Metrics'!D:D,"Dropped Revenue - Target ($)")=0,"-",SUMIFS('Data - Monthly Metrics'!E:E,'Data - Monthly Metrics'!A:A,$B$4,'Data - Monthly Metrics'!B:B,"Mar",'Data - Monthly Metrics'!C:C,"Majors/NRA",'Data - Monthly Metrics'!D:D,"Dropped Revenue - Target ($)"))</f>
        <v/>
      </c>
      <c r="I64" s="101">
        <f>SUM(F64,G64,H64)</f>
        <v/>
      </c>
      <c r="J64" s="96">
        <f>IF(COUNTIFS('Data - Monthly Metrics'!A:A,$B$4,'Data - Monthly Metrics'!B:B,"Apr",'Data - Monthly Metrics'!C:C,"Majors/NRA",'Data - Monthly Metrics'!D:D,"Dropped Revenue - Target ($)")=0,"-",SUMIFS('Data - Monthly Metrics'!E:E,'Data - Monthly Metrics'!A:A,$B$4,'Data - Monthly Metrics'!B:B,"Apr",'Data - Monthly Metrics'!C:C,"Majors/NRA",'Data - Monthly Metrics'!D:D,"Dropped Revenue - Target ($)"))</f>
        <v/>
      </c>
      <c r="K64" s="96">
        <f>IF(COUNTIFS('Data - Monthly Metrics'!A:A,$B$4,'Data - Monthly Metrics'!B:B,"May",'Data - Monthly Metrics'!C:C,"Majors/NRA",'Data - Monthly Metrics'!D:D,"Dropped Revenue - Target ($)")=0,"-",SUMIFS('Data - Monthly Metrics'!E:E,'Data - Monthly Metrics'!A:A,$B$4,'Data - Monthly Metrics'!B:B,"May",'Data - Monthly Metrics'!C:C,"Majors/NRA",'Data - Monthly Metrics'!D:D,"Dropped Revenue - Target ($)"))</f>
        <v/>
      </c>
      <c r="L64" s="96">
        <f>IF(COUNTIFS('Data - Monthly Metrics'!A:A,$B$4,'Data - Monthly Metrics'!B:B,"Jun",'Data - Monthly Metrics'!C:C,"Majors/NRA",'Data - Monthly Metrics'!D:D,"Dropped Revenue - Target ($)")=0,"-",SUMIFS('Data - Monthly Metrics'!E:E,'Data - Monthly Metrics'!A:A,$B$4,'Data - Monthly Metrics'!B:B,"Jun",'Data - Monthly Metrics'!C:C,"Majors/NRA",'Data - Monthly Metrics'!D:D,"Dropped Revenue - Target ($)"))</f>
        <v/>
      </c>
      <c r="M64" s="101">
        <f>SUM(J64,K64,L64)</f>
        <v/>
      </c>
      <c r="N64" s="96">
        <f>IF(COUNTIFS('Data - Monthly Metrics'!A:A,$B$4,'Data - Monthly Metrics'!B:B,"Jul",'Data - Monthly Metrics'!C:C,"Majors/NRA",'Data - Monthly Metrics'!D:D,"Dropped Revenue - Target ($)")=0,"-",SUMIFS('Data - Monthly Metrics'!E:E,'Data - Monthly Metrics'!A:A,$B$4,'Data - Monthly Metrics'!B:B,"Jul",'Data - Monthly Metrics'!C:C,"Majors/NRA",'Data - Monthly Metrics'!D:D,"Dropped Revenue - Target ($)"))</f>
        <v/>
      </c>
      <c r="O64" s="96">
        <f>IF(COUNTIFS('Data - Monthly Metrics'!A:A,$B$4,'Data - Monthly Metrics'!B:B,"Aug",'Data - Monthly Metrics'!C:C,"Majors/NRA",'Data - Monthly Metrics'!D:D,"Dropped Revenue - Target ($)")=0,"-",SUMIFS('Data - Monthly Metrics'!E:E,'Data - Monthly Metrics'!A:A,$B$4,'Data - Monthly Metrics'!B:B,"Aug",'Data - Monthly Metrics'!C:C,"Majors/NRA",'Data - Monthly Metrics'!D:D,"Dropped Revenue - Target ($)"))</f>
        <v/>
      </c>
      <c r="P64" s="96">
        <f>IF(COUNTIFS('Data - Monthly Metrics'!A:A,$B$4,'Data - Monthly Metrics'!B:B,"Sep",'Data - Monthly Metrics'!C:C,"Majors/NRA",'Data - Monthly Metrics'!D:D,"Dropped Revenue - Target ($)")=0,"-",SUMIFS('Data - Monthly Metrics'!E:E,'Data - Monthly Metrics'!A:A,$B$4,'Data - Monthly Metrics'!B:B,"Sep",'Data - Monthly Metrics'!C:C,"Majors/NRA",'Data - Monthly Metrics'!D:D,"Dropped Revenue - Target ($)"))</f>
        <v/>
      </c>
      <c r="Q64" s="101">
        <f>SUM(N64,O64,P64)</f>
        <v/>
      </c>
      <c r="R64" s="101">
        <f>E64+I64+M64+Q64</f>
        <v/>
      </c>
    </row>
    <row r="65"/>
    <row r="66" ht="21.75" customHeight="1" s="82">
      <c r="A66" s="87" t="inlineStr">
        <is>
          <t xml:space="preserve">  ▶   T5.  PENETRATION — Restaurant / Lodging / Combined</t>
        </is>
      </c>
    </row>
    <row r="67" ht="14.25" customHeight="1" s="82">
      <c r="A67" s="88" t="inlineStr">
        <is>
          <t>Metric</t>
        </is>
      </c>
      <c r="B67" s="88" t="inlineStr">
        <is>
          <t>Oct</t>
        </is>
      </c>
      <c r="C67" s="88" t="inlineStr">
        <is>
          <t>Nov</t>
        </is>
      </c>
      <c r="D67" s="88" t="inlineStr">
        <is>
          <t>Dec</t>
        </is>
      </c>
      <c r="E67" s="88" t="inlineStr">
        <is>
          <t>Q1</t>
        </is>
      </c>
      <c r="F67" s="88" t="inlineStr">
        <is>
          <t>Jan</t>
        </is>
      </c>
      <c r="G67" s="88" t="inlineStr">
        <is>
          <t>Feb</t>
        </is>
      </c>
      <c r="H67" s="88" t="inlineStr">
        <is>
          <t>Mar</t>
        </is>
      </c>
      <c r="I67" s="88" t="inlineStr">
        <is>
          <t>Q2</t>
        </is>
      </c>
      <c r="J67" s="88" t="inlineStr">
        <is>
          <t>Apr</t>
        </is>
      </c>
      <c r="K67" s="88" t="inlineStr">
        <is>
          <t>May</t>
        </is>
      </c>
      <c r="L67" s="88" t="inlineStr">
        <is>
          <t>Jun</t>
        </is>
      </c>
      <c r="M67" s="88" t="inlineStr">
        <is>
          <t>Q3</t>
        </is>
      </c>
      <c r="N67" s="88" t="inlineStr">
        <is>
          <t>Jul</t>
        </is>
      </c>
      <c r="O67" s="88" t="inlineStr">
        <is>
          <t>Aug</t>
        </is>
      </c>
      <c r="P67" s="88" t="inlineStr">
        <is>
          <t>Sep</t>
        </is>
      </c>
      <c r="Q67" s="88" t="inlineStr">
        <is>
          <t>Q4</t>
        </is>
      </c>
      <c r="R67" s="88" t="inlineStr">
        <is>
          <t>Avg</t>
        </is>
      </c>
    </row>
    <row r="68" ht="14.25" customHeight="1" s="82">
      <c r="A68" s="89" t="inlineStr">
        <is>
          <t>Penetration - Restaurant</t>
        </is>
      </c>
      <c r="B68" s="92">
        <f>IF(COUNTIFS('Data - Monthly Metrics'!A:A,$B$4-1,'Data - Monthly Metrics'!B:B,"Oct",'Data - Monthly Metrics'!C:C,"Majors/NRA",'Data - Monthly Metrics'!D:D,"Penetration - Restaurant %")=0,"-",SUMIFS('Data - Monthly Metrics'!E:E,'Data - Monthly Metrics'!A:A,$B$4-1,'Data - Monthly Metrics'!B:B,"Oct",'Data - Monthly Metrics'!C:C,"Majors/NRA",'Data - Monthly Metrics'!D:D,"Penetration - Restaurant %"))</f>
        <v/>
      </c>
      <c r="C68" s="92">
        <f>IF(COUNTIFS('Data - Monthly Metrics'!A:A,$B$4-1,'Data - Monthly Metrics'!B:B,"Nov",'Data - Monthly Metrics'!C:C,"Majors/NRA",'Data - Monthly Metrics'!D:D,"Penetration - Restaurant %")=0,"-",SUMIFS('Data - Monthly Metrics'!E:E,'Data - Monthly Metrics'!A:A,$B$4-1,'Data - Monthly Metrics'!B:B,"Nov",'Data - Monthly Metrics'!C:C,"Majors/NRA",'Data - Monthly Metrics'!D:D,"Penetration - Restaurant %"))</f>
        <v/>
      </c>
      <c r="D68" s="92">
        <f>IF(COUNTIFS('Data - Monthly Metrics'!A:A,$B$4-1,'Data - Monthly Metrics'!B:B,"Dec",'Data - Monthly Metrics'!C:C,"Majors/NRA",'Data - Monthly Metrics'!D:D,"Penetration - Restaurant %")=0,"-",SUMIFS('Data - Monthly Metrics'!E:E,'Data - Monthly Metrics'!A:A,$B$4-1,'Data - Monthly Metrics'!B:B,"Dec",'Data - Monthly Metrics'!C:C,"Majors/NRA",'Data - Monthly Metrics'!D:D,"Penetration - Restaurant %"))</f>
        <v/>
      </c>
      <c r="E68" s="102">
        <f>IF(ISNUMBER(D68),D68,IF(ISNUMBER(C68),C68,IF(ISNUMBER(B68),B68,"-")))</f>
        <v/>
      </c>
      <c r="F68" s="92">
        <f>IF(COUNTIFS('Data - Monthly Metrics'!A:A,$B$4,'Data - Monthly Metrics'!B:B,"Jan",'Data - Monthly Metrics'!C:C,"Majors/NRA",'Data - Monthly Metrics'!D:D,"Penetration - Restaurant %")=0,"-",SUMIFS('Data - Monthly Metrics'!E:E,'Data - Monthly Metrics'!A:A,$B$4,'Data - Monthly Metrics'!B:B,"Jan",'Data - Monthly Metrics'!C:C,"Majors/NRA",'Data - Monthly Metrics'!D:D,"Penetration - Restaurant %"))</f>
        <v/>
      </c>
      <c r="G68" s="92">
        <f>IF(COUNTIFS('Data - Monthly Metrics'!A:A,$B$4,'Data - Monthly Metrics'!B:B,"Feb",'Data - Monthly Metrics'!C:C,"Majors/NRA",'Data - Monthly Metrics'!D:D,"Penetration - Restaurant %")=0,"-",SUMIFS('Data - Monthly Metrics'!E:E,'Data - Monthly Metrics'!A:A,$B$4,'Data - Monthly Metrics'!B:B,"Feb",'Data - Monthly Metrics'!C:C,"Majors/NRA",'Data - Monthly Metrics'!D:D,"Penetration - Restaurant %"))</f>
        <v/>
      </c>
      <c r="H68" s="92">
        <f>IF(COUNTIFS('Data - Monthly Metrics'!A:A,$B$4,'Data - Monthly Metrics'!B:B,"Mar",'Data - Monthly Metrics'!C:C,"Majors/NRA",'Data - Monthly Metrics'!D:D,"Penetration - Restaurant %")=0,"-",SUMIFS('Data - Monthly Metrics'!E:E,'Data - Monthly Metrics'!A:A,$B$4,'Data - Monthly Metrics'!B:B,"Mar",'Data - Monthly Metrics'!C:C,"Majors/NRA",'Data - Monthly Metrics'!D:D,"Penetration - Restaurant %"))</f>
        <v/>
      </c>
      <c r="I68" s="102">
        <f>IF(ISNUMBER(H68),H68,IF(ISNUMBER(G68),G68,IF(ISNUMBER(F68),F68,"-")))</f>
        <v/>
      </c>
      <c r="J68" s="92">
        <f>IF(COUNTIFS('Data - Monthly Metrics'!A:A,$B$4,'Data - Monthly Metrics'!B:B,"Apr",'Data - Monthly Metrics'!C:C,"Majors/NRA",'Data - Monthly Metrics'!D:D,"Penetration - Restaurant %")=0,"-",SUMIFS('Data - Monthly Metrics'!E:E,'Data - Monthly Metrics'!A:A,$B$4,'Data - Monthly Metrics'!B:B,"Apr",'Data - Monthly Metrics'!C:C,"Majors/NRA",'Data - Monthly Metrics'!D:D,"Penetration - Restaurant %"))</f>
        <v/>
      </c>
      <c r="K68" s="92">
        <f>IF(COUNTIFS('Data - Monthly Metrics'!A:A,$B$4,'Data - Monthly Metrics'!B:B,"May",'Data - Monthly Metrics'!C:C,"Majors/NRA",'Data - Monthly Metrics'!D:D,"Penetration - Restaurant %")=0,"-",SUMIFS('Data - Monthly Metrics'!E:E,'Data - Monthly Metrics'!A:A,$B$4,'Data - Monthly Metrics'!B:B,"May",'Data - Monthly Metrics'!C:C,"Majors/NRA",'Data - Monthly Metrics'!D:D,"Penetration - Restaurant %"))</f>
        <v/>
      </c>
      <c r="L68" s="92">
        <f>IF(COUNTIFS('Data - Monthly Metrics'!A:A,$B$4,'Data - Monthly Metrics'!B:B,"Jun",'Data - Monthly Metrics'!C:C,"Majors/NRA",'Data - Monthly Metrics'!D:D,"Penetration - Restaurant %")=0,"-",SUMIFS('Data - Monthly Metrics'!E:E,'Data - Monthly Metrics'!A:A,$B$4,'Data - Monthly Metrics'!B:B,"Jun",'Data - Monthly Metrics'!C:C,"Majors/NRA",'Data - Monthly Metrics'!D:D,"Penetration - Restaurant %"))</f>
        <v/>
      </c>
      <c r="M68" s="102">
        <f>IF(ISNUMBER(L68),L68,IF(ISNUMBER(K68),K68,IF(ISNUMBER(J68),J68,"-")))</f>
        <v/>
      </c>
      <c r="N68" s="92">
        <f>IF(COUNTIFS('Data - Monthly Metrics'!A:A,$B$4,'Data - Monthly Metrics'!B:B,"Jul",'Data - Monthly Metrics'!C:C,"Majors/NRA",'Data - Monthly Metrics'!D:D,"Penetration - Restaurant %")=0,"-",SUMIFS('Data - Monthly Metrics'!E:E,'Data - Monthly Metrics'!A:A,$B$4,'Data - Monthly Metrics'!B:B,"Jul",'Data - Monthly Metrics'!C:C,"Majors/NRA",'Data - Monthly Metrics'!D:D,"Penetration - Restaurant %"))</f>
        <v/>
      </c>
      <c r="O68" s="92">
        <f>IF(COUNTIFS('Data - Monthly Metrics'!A:A,$B$4,'Data - Monthly Metrics'!B:B,"Aug",'Data - Monthly Metrics'!C:C,"Majors/NRA",'Data - Monthly Metrics'!D:D,"Penetration - Restaurant %")=0,"-",SUMIFS('Data - Monthly Metrics'!E:E,'Data - Monthly Metrics'!A:A,$B$4,'Data - Monthly Metrics'!B:B,"Aug",'Data - Monthly Metrics'!C:C,"Majors/NRA",'Data - Monthly Metrics'!D:D,"Penetration - Restaurant %"))</f>
        <v/>
      </c>
      <c r="P68" s="92">
        <f>IF(COUNTIFS('Data - Monthly Metrics'!A:A,$B$4,'Data - Monthly Metrics'!B:B,"Sep",'Data - Monthly Metrics'!C:C,"Majors/NRA",'Data - Monthly Metrics'!D:D,"Penetration - Restaurant %")=0,"-",SUMIFS('Data - Monthly Metrics'!E:E,'Data - Monthly Metrics'!A:A,$B$4,'Data - Monthly Metrics'!B:B,"Sep",'Data - Monthly Metrics'!C:C,"Majors/NRA",'Data - Monthly Metrics'!D:D,"Penetration - Restaurant %"))</f>
        <v/>
      </c>
      <c r="Q68" s="102">
        <f>IF(ISNUMBER(P68),P68,IF(ISNUMBER(O68),O68,IF(ISNUMBER(N68),N68,"-")))</f>
        <v/>
      </c>
      <c r="R68" s="102">
        <f>IF(ISNUMBER(Q68),Q68,IF(ISNUMBER(M68),M68,IF(ISNUMBER(I68),I68,IF(ISNUMBER(E68),E68,"-"))))</f>
        <v/>
      </c>
    </row>
    <row r="69" ht="14.25" customHeight="1" s="82">
      <c r="A69" s="94" t="inlineStr">
        <is>
          <t>Penetration - Lodging</t>
        </is>
      </c>
      <c r="B69" s="97">
        <f>IF(COUNTIFS('Data - Monthly Metrics'!A:A,$B$4-1,'Data - Monthly Metrics'!B:B,"Oct",'Data - Monthly Metrics'!C:C,"Majors/NRA",'Data - Monthly Metrics'!D:D,"Penetration - Lodging %")=0,"-",SUMIFS('Data - Monthly Metrics'!E:E,'Data - Monthly Metrics'!A:A,$B$4-1,'Data - Monthly Metrics'!B:B,"Oct",'Data - Monthly Metrics'!C:C,"Majors/NRA",'Data - Monthly Metrics'!D:D,"Penetration - Lodging %"))</f>
        <v/>
      </c>
      <c r="C69" s="97">
        <f>IF(COUNTIFS('Data - Monthly Metrics'!A:A,$B$4-1,'Data - Monthly Metrics'!B:B,"Nov",'Data - Monthly Metrics'!C:C,"Majors/NRA",'Data - Monthly Metrics'!D:D,"Penetration - Lodging %")=0,"-",SUMIFS('Data - Monthly Metrics'!E:E,'Data - Monthly Metrics'!A:A,$B$4-1,'Data - Monthly Metrics'!B:B,"Nov",'Data - Monthly Metrics'!C:C,"Majors/NRA",'Data - Monthly Metrics'!D:D,"Penetration - Lodging %"))</f>
        <v/>
      </c>
      <c r="D69" s="97">
        <f>IF(COUNTIFS('Data - Monthly Metrics'!A:A,$B$4-1,'Data - Monthly Metrics'!B:B,"Dec",'Data - Monthly Metrics'!C:C,"Majors/NRA",'Data - Monthly Metrics'!D:D,"Penetration - Lodging %")=0,"-",SUMIFS('Data - Monthly Metrics'!E:E,'Data - Monthly Metrics'!A:A,$B$4-1,'Data - Monthly Metrics'!B:B,"Dec",'Data - Monthly Metrics'!C:C,"Majors/NRA",'Data - Monthly Metrics'!D:D,"Penetration - Lodging %"))</f>
        <v/>
      </c>
      <c r="E69" s="102">
        <f>IF(ISNUMBER(D69),D69,IF(ISNUMBER(C69),C69,IF(ISNUMBER(B69),B69,"-")))</f>
        <v/>
      </c>
      <c r="F69" s="97">
        <f>IF(COUNTIFS('Data - Monthly Metrics'!A:A,$B$4,'Data - Monthly Metrics'!B:B,"Jan",'Data - Monthly Metrics'!C:C,"Majors/NRA",'Data - Monthly Metrics'!D:D,"Penetration - Lodging %")=0,"-",SUMIFS('Data - Monthly Metrics'!E:E,'Data - Monthly Metrics'!A:A,$B$4,'Data - Monthly Metrics'!B:B,"Jan",'Data - Monthly Metrics'!C:C,"Majors/NRA",'Data - Monthly Metrics'!D:D,"Penetration - Lodging %"))</f>
        <v/>
      </c>
      <c r="G69" s="97">
        <f>IF(COUNTIFS('Data - Monthly Metrics'!A:A,$B$4,'Data - Monthly Metrics'!B:B,"Feb",'Data - Monthly Metrics'!C:C,"Majors/NRA",'Data - Monthly Metrics'!D:D,"Penetration - Lodging %")=0,"-",SUMIFS('Data - Monthly Metrics'!E:E,'Data - Monthly Metrics'!A:A,$B$4,'Data - Monthly Metrics'!B:B,"Feb",'Data - Monthly Metrics'!C:C,"Majors/NRA",'Data - Monthly Metrics'!D:D,"Penetration - Lodging %"))</f>
        <v/>
      </c>
      <c r="H69" s="97">
        <f>IF(COUNTIFS('Data - Monthly Metrics'!A:A,$B$4,'Data - Monthly Metrics'!B:B,"Mar",'Data - Monthly Metrics'!C:C,"Majors/NRA",'Data - Monthly Metrics'!D:D,"Penetration - Lodging %")=0,"-",SUMIFS('Data - Monthly Metrics'!E:E,'Data - Monthly Metrics'!A:A,$B$4,'Data - Monthly Metrics'!B:B,"Mar",'Data - Monthly Metrics'!C:C,"Majors/NRA",'Data - Monthly Metrics'!D:D,"Penetration - Lodging %"))</f>
        <v/>
      </c>
      <c r="I69" s="102">
        <f>IF(ISNUMBER(H69),H69,IF(ISNUMBER(G69),G69,IF(ISNUMBER(F69),F69,"-")))</f>
        <v/>
      </c>
      <c r="J69" s="97">
        <f>IF(COUNTIFS('Data - Monthly Metrics'!A:A,$B$4,'Data - Monthly Metrics'!B:B,"Apr",'Data - Monthly Metrics'!C:C,"Majors/NRA",'Data - Monthly Metrics'!D:D,"Penetration - Lodging %")=0,"-",SUMIFS('Data - Monthly Metrics'!E:E,'Data - Monthly Metrics'!A:A,$B$4,'Data - Monthly Metrics'!B:B,"Apr",'Data - Monthly Metrics'!C:C,"Majors/NRA",'Data - Monthly Metrics'!D:D,"Penetration - Lodging %"))</f>
        <v/>
      </c>
      <c r="K69" s="97">
        <f>IF(COUNTIFS('Data - Monthly Metrics'!A:A,$B$4,'Data - Monthly Metrics'!B:B,"May",'Data - Monthly Metrics'!C:C,"Majors/NRA",'Data - Monthly Metrics'!D:D,"Penetration - Lodging %")=0,"-",SUMIFS('Data - Monthly Metrics'!E:E,'Data - Monthly Metrics'!A:A,$B$4,'Data - Monthly Metrics'!B:B,"May",'Data - Monthly Metrics'!C:C,"Majors/NRA",'Data - Monthly Metrics'!D:D,"Penetration - Lodging %"))</f>
        <v/>
      </c>
      <c r="L69" s="97">
        <f>IF(COUNTIFS('Data - Monthly Metrics'!A:A,$B$4,'Data - Monthly Metrics'!B:B,"Jun",'Data - Monthly Metrics'!C:C,"Majors/NRA",'Data - Monthly Metrics'!D:D,"Penetration - Lodging %")=0,"-",SUMIFS('Data - Monthly Metrics'!E:E,'Data - Monthly Metrics'!A:A,$B$4,'Data - Monthly Metrics'!B:B,"Jun",'Data - Monthly Metrics'!C:C,"Majors/NRA",'Data - Monthly Metrics'!D:D,"Penetration - Lodging %"))</f>
        <v/>
      </c>
      <c r="M69" s="102">
        <f>IF(ISNUMBER(L69),L69,IF(ISNUMBER(K69),K69,IF(ISNUMBER(J69),J69,"-")))</f>
        <v/>
      </c>
      <c r="N69" s="97">
        <f>IF(COUNTIFS('Data - Monthly Metrics'!A:A,$B$4,'Data - Monthly Metrics'!B:B,"Jul",'Data - Monthly Metrics'!C:C,"Majors/NRA",'Data - Monthly Metrics'!D:D,"Penetration - Lodging %")=0,"-",SUMIFS('Data - Monthly Metrics'!E:E,'Data - Monthly Metrics'!A:A,$B$4,'Data - Monthly Metrics'!B:B,"Jul",'Data - Monthly Metrics'!C:C,"Majors/NRA",'Data - Monthly Metrics'!D:D,"Penetration - Lodging %"))</f>
        <v/>
      </c>
      <c r="O69" s="97">
        <f>IF(COUNTIFS('Data - Monthly Metrics'!A:A,$B$4,'Data - Monthly Metrics'!B:B,"Aug",'Data - Monthly Metrics'!C:C,"Majors/NRA",'Data - Monthly Metrics'!D:D,"Penetration - Lodging %")=0,"-",SUMIFS('Data - Monthly Metrics'!E:E,'Data - Monthly Metrics'!A:A,$B$4,'Data - Monthly Metrics'!B:B,"Aug",'Data - Monthly Metrics'!C:C,"Majors/NRA",'Data - Monthly Metrics'!D:D,"Penetration - Lodging %"))</f>
        <v/>
      </c>
      <c r="P69" s="97">
        <f>IF(COUNTIFS('Data - Monthly Metrics'!A:A,$B$4,'Data - Monthly Metrics'!B:B,"Sep",'Data - Monthly Metrics'!C:C,"Majors/NRA",'Data - Monthly Metrics'!D:D,"Penetration - Lodging %")=0,"-",SUMIFS('Data - Monthly Metrics'!E:E,'Data - Monthly Metrics'!A:A,$B$4,'Data - Monthly Metrics'!B:B,"Sep",'Data - Monthly Metrics'!C:C,"Majors/NRA",'Data - Monthly Metrics'!D:D,"Penetration - Lodging %"))</f>
        <v/>
      </c>
      <c r="Q69" s="102">
        <f>IF(ISNUMBER(P69),P69,IF(ISNUMBER(O69),O69,IF(ISNUMBER(N69),N69,"-")))</f>
        <v/>
      </c>
      <c r="R69" s="102">
        <f>IF(ISNUMBER(Q69),Q69,IF(ISNUMBER(M69),M69,IF(ISNUMBER(I69),I69,IF(ISNUMBER(E69),E69,"-"))))</f>
        <v/>
      </c>
    </row>
    <row r="70" ht="14.25" customHeight="1" s="82">
      <c r="A70" s="89" t="inlineStr">
        <is>
          <t>Penetration - Combined</t>
        </is>
      </c>
      <c r="B70" s="92">
        <f>IF(COUNTIFS('Data - Monthly Metrics'!A:A,$B$4-1,'Data - Monthly Metrics'!B:B,"Oct",'Data - Monthly Metrics'!C:C,"Majors/NRA",'Data - Monthly Metrics'!D:D,"Penetration - Combined %")=0,"-",SUMIFS('Data - Monthly Metrics'!E:E,'Data - Monthly Metrics'!A:A,$B$4-1,'Data - Monthly Metrics'!B:B,"Oct",'Data - Monthly Metrics'!C:C,"Majors/NRA",'Data - Monthly Metrics'!D:D,"Penetration - Combined %"))</f>
        <v/>
      </c>
      <c r="C70" s="92">
        <f>IF(COUNTIFS('Data - Monthly Metrics'!A:A,$B$4-1,'Data - Monthly Metrics'!B:B,"Nov",'Data - Monthly Metrics'!C:C,"Majors/NRA",'Data - Monthly Metrics'!D:D,"Penetration - Combined %")=0,"-",SUMIFS('Data - Monthly Metrics'!E:E,'Data - Monthly Metrics'!A:A,$B$4-1,'Data - Monthly Metrics'!B:B,"Nov",'Data - Monthly Metrics'!C:C,"Majors/NRA",'Data - Monthly Metrics'!D:D,"Penetration - Combined %"))</f>
        <v/>
      </c>
      <c r="D70" s="92">
        <f>IF(COUNTIFS('Data - Monthly Metrics'!A:A,$B$4-1,'Data - Monthly Metrics'!B:B,"Dec",'Data - Monthly Metrics'!C:C,"Majors/NRA",'Data - Monthly Metrics'!D:D,"Penetration - Combined %")=0,"-",SUMIFS('Data - Monthly Metrics'!E:E,'Data - Monthly Metrics'!A:A,$B$4-1,'Data - Monthly Metrics'!B:B,"Dec",'Data - Monthly Metrics'!C:C,"Majors/NRA",'Data - Monthly Metrics'!D:D,"Penetration - Combined %"))</f>
        <v/>
      </c>
      <c r="E70" s="102">
        <f>IF(ISNUMBER(D70),D70,IF(ISNUMBER(C70),C70,IF(ISNUMBER(B70),B70,"-")))</f>
        <v/>
      </c>
      <c r="F70" s="92">
        <f>IF(COUNTIFS('Data - Monthly Metrics'!A:A,$B$4,'Data - Monthly Metrics'!B:B,"Jan",'Data - Monthly Metrics'!C:C,"Majors/NRA",'Data - Monthly Metrics'!D:D,"Penetration - Combined %")=0,"-",SUMIFS('Data - Monthly Metrics'!E:E,'Data - Monthly Metrics'!A:A,$B$4,'Data - Monthly Metrics'!B:B,"Jan",'Data - Monthly Metrics'!C:C,"Majors/NRA",'Data - Monthly Metrics'!D:D,"Penetration - Combined %"))</f>
        <v/>
      </c>
      <c r="G70" s="92">
        <f>IF(COUNTIFS('Data - Monthly Metrics'!A:A,$B$4,'Data - Monthly Metrics'!B:B,"Feb",'Data - Monthly Metrics'!C:C,"Majors/NRA",'Data - Monthly Metrics'!D:D,"Penetration - Combined %")=0,"-",SUMIFS('Data - Monthly Metrics'!E:E,'Data - Monthly Metrics'!A:A,$B$4,'Data - Monthly Metrics'!B:B,"Feb",'Data - Monthly Metrics'!C:C,"Majors/NRA",'Data - Monthly Metrics'!D:D,"Penetration - Combined %"))</f>
        <v/>
      </c>
      <c r="H70" s="92">
        <f>IF(COUNTIFS('Data - Monthly Metrics'!A:A,$B$4,'Data - Monthly Metrics'!B:B,"Mar",'Data - Monthly Metrics'!C:C,"Majors/NRA",'Data - Monthly Metrics'!D:D,"Penetration - Combined %")=0,"-",SUMIFS('Data - Monthly Metrics'!E:E,'Data - Monthly Metrics'!A:A,$B$4,'Data - Monthly Metrics'!B:B,"Mar",'Data - Monthly Metrics'!C:C,"Majors/NRA",'Data - Monthly Metrics'!D:D,"Penetration - Combined %"))</f>
        <v/>
      </c>
      <c r="I70" s="102">
        <f>IF(ISNUMBER(H70),H70,IF(ISNUMBER(G70),G70,IF(ISNUMBER(F70),F70,"-")))</f>
        <v/>
      </c>
      <c r="J70" s="92">
        <f>IF(COUNTIFS('Data - Monthly Metrics'!A:A,$B$4,'Data - Monthly Metrics'!B:B,"Apr",'Data - Monthly Metrics'!C:C,"Majors/NRA",'Data - Monthly Metrics'!D:D,"Penetration - Combined %")=0,"-",SUMIFS('Data - Monthly Metrics'!E:E,'Data - Monthly Metrics'!A:A,$B$4,'Data - Monthly Metrics'!B:B,"Apr",'Data - Monthly Metrics'!C:C,"Majors/NRA",'Data - Monthly Metrics'!D:D,"Penetration - Combined %"))</f>
        <v/>
      </c>
      <c r="K70" s="92">
        <f>IF(COUNTIFS('Data - Monthly Metrics'!A:A,$B$4,'Data - Monthly Metrics'!B:B,"May",'Data - Monthly Metrics'!C:C,"Majors/NRA",'Data - Monthly Metrics'!D:D,"Penetration - Combined %")=0,"-",SUMIFS('Data - Monthly Metrics'!E:E,'Data - Monthly Metrics'!A:A,$B$4,'Data - Monthly Metrics'!B:B,"May",'Data - Monthly Metrics'!C:C,"Majors/NRA",'Data - Monthly Metrics'!D:D,"Penetration - Combined %"))</f>
        <v/>
      </c>
      <c r="L70" s="92">
        <f>IF(COUNTIFS('Data - Monthly Metrics'!A:A,$B$4,'Data - Monthly Metrics'!B:B,"Jun",'Data - Monthly Metrics'!C:C,"Majors/NRA",'Data - Monthly Metrics'!D:D,"Penetration - Combined %")=0,"-",SUMIFS('Data - Monthly Metrics'!E:E,'Data - Monthly Metrics'!A:A,$B$4,'Data - Monthly Metrics'!B:B,"Jun",'Data - Monthly Metrics'!C:C,"Majors/NRA",'Data - Monthly Metrics'!D:D,"Penetration - Combined %"))</f>
        <v/>
      </c>
      <c r="M70" s="102">
        <f>IF(ISNUMBER(L70),L70,IF(ISNUMBER(K70),K70,IF(ISNUMBER(J70),J70,"-")))</f>
        <v/>
      </c>
      <c r="N70" s="92">
        <f>IF(COUNTIFS('Data - Monthly Metrics'!A:A,$B$4,'Data - Monthly Metrics'!B:B,"Jul",'Data - Monthly Metrics'!C:C,"Majors/NRA",'Data - Monthly Metrics'!D:D,"Penetration - Combined %")=0,"-",SUMIFS('Data - Monthly Metrics'!E:E,'Data - Monthly Metrics'!A:A,$B$4,'Data - Monthly Metrics'!B:B,"Jul",'Data - Monthly Metrics'!C:C,"Majors/NRA",'Data - Monthly Metrics'!D:D,"Penetration - Combined %"))</f>
        <v/>
      </c>
      <c r="O70" s="92">
        <f>IF(COUNTIFS('Data - Monthly Metrics'!A:A,$B$4,'Data - Monthly Metrics'!B:B,"Aug",'Data - Monthly Metrics'!C:C,"Majors/NRA",'Data - Monthly Metrics'!D:D,"Penetration - Combined %")=0,"-",SUMIFS('Data - Monthly Metrics'!E:E,'Data - Monthly Metrics'!A:A,$B$4,'Data - Monthly Metrics'!B:B,"Aug",'Data - Monthly Metrics'!C:C,"Majors/NRA",'Data - Monthly Metrics'!D:D,"Penetration - Combined %"))</f>
        <v/>
      </c>
      <c r="P70" s="92">
        <f>IF(COUNTIFS('Data - Monthly Metrics'!A:A,$B$4,'Data - Monthly Metrics'!B:B,"Sep",'Data - Monthly Metrics'!C:C,"Majors/NRA",'Data - Monthly Metrics'!D:D,"Penetration - Combined %")=0,"-",SUMIFS('Data - Monthly Metrics'!E:E,'Data - Monthly Metrics'!A:A,$B$4,'Data - Monthly Metrics'!B:B,"Sep",'Data - Monthly Metrics'!C:C,"Majors/NRA",'Data - Monthly Metrics'!D:D,"Penetration - Combined %"))</f>
        <v/>
      </c>
      <c r="Q70" s="102">
        <f>IF(ISNUMBER(P70),P70,IF(ISNUMBER(O70),O70,IF(ISNUMBER(N70),N70,"-")))</f>
        <v/>
      </c>
      <c r="R70" s="102">
        <f>IF(ISNUMBER(Q70),Q70,IF(ISNUMBER(M70),M70,IF(ISNUMBER(I70),I70,IF(ISNUMBER(E70),E70,"-"))))</f>
        <v/>
      </c>
    </row>
    <row r="71" ht="14.25" customHeight="1" s="82">
      <c r="A71" s="94" t="inlineStr">
        <is>
          <t>Status (Combined)</t>
        </is>
      </c>
      <c r="B71" s="120">
        <f>IF(OR(NOT(ISNUMBER(B70)),B70=0,COUNTIFS('Data - Monthly Metrics'!$A:$A,$B$4-1,'Data - Monthly Metrics'!$B:$B,B$8,'Data - Monthly Metrics'!$C:$C,"Majors/NRA",'Data - Monthly Metrics'!$D:$D,"Goal - Penetration %")=0),"—",IF(B70&gt;=SUMIFS('Data - Monthly Metrics'!$E:$E,'Data - Monthly Metrics'!$A:$A,$B$4-1,'Data - Monthly Metrics'!$B:$B,B$8,'Data - Monthly Metrics'!$C:$C,"Majors/NRA",'Data - Monthly Metrics'!$D:$D,"Goal - Penetration %"),"On Track",IF(B70&gt;=SUMIFS('Data - Monthly Metrics'!$E:$E,'Data - Monthly Metrics'!$A:$A,$B$4-1,'Data - Monthly Metrics'!$B:$B,B$8,'Data - Monthly Metrics'!$C:$C,"Majors/NRA",'Data - Monthly Metrics'!$D:$D,"Goal - Penetration %")-0.05,"Watch","At Risk")))</f>
        <v/>
      </c>
      <c r="C71" s="120">
        <f>IF(OR(NOT(ISNUMBER(C70)),C70=0,COUNTIFS('Data - Monthly Metrics'!$A:$A,$B$4-1,'Data - Monthly Metrics'!$B:$B,C$8,'Data - Monthly Metrics'!$C:$C,"Majors/NRA",'Data - Monthly Metrics'!$D:$D,"Goal - Penetration %")=0),"—",IF(C70&gt;=SUMIFS('Data - Monthly Metrics'!$E:$E,'Data - Monthly Metrics'!$A:$A,$B$4-1,'Data - Monthly Metrics'!$B:$B,C$8,'Data - Monthly Metrics'!$C:$C,"Majors/NRA",'Data - Monthly Metrics'!$D:$D,"Goal - Penetration %"),"On Track",IF(C70&gt;=SUMIFS('Data - Monthly Metrics'!$E:$E,'Data - Monthly Metrics'!$A:$A,$B$4-1,'Data - Monthly Metrics'!$B:$B,C$8,'Data - Monthly Metrics'!$C:$C,"Majors/NRA",'Data - Monthly Metrics'!$D:$D,"Goal - Penetration %")-0.05,"Watch","At Risk")))</f>
        <v/>
      </c>
      <c r="D71" s="120">
        <f>IF(OR(NOT(ISNUMBER(D70)),D70=0,COUNTIFS('Data - Monthly Metrics'!$A:$A,$B$4-1,'Data - Monthly Metrics'!$B:$B,D$8,'Data - Monthly Metrics'!$C:$C,"Majors/NRA",'Data - Monthly Metrics'!$D:$D,"Goal - Penetration %")=0),"—",IF(D70&gt;=SUMIFS('Data - Monthly Metrics'!$E:$E,'Data - Monthly Metrics'!$A:$A,$B$4-1,'Data - Monthly Metrics'!$B:$B,D$8,'Data - Monthly Metrics'!$C:$C,"Majors/NRA",'Data - Monthly Metrics'!$D:$D,"Goal - Penetration %"),"On Track",IF(D70&gt;=SUMIFS('Data - Monthly Metrics'!$E:$E,'Data - Monthly Metrics'!$A:$A,$B$4-1,'Data - Monthly Metrics'!$B:$B,D$8,'Data - Monthly Metrics'!$C:$C,"Majors/NRA",'Data - Monthly Metrics'!$D:$D,"Goal - Penetration %")-0.05,"Watch","At Risk")))</f>
        <v/>
      </c>
      <c r="E71" s="121">
        <f>"—"</f>
        <v/>
      </c>
      <c r="F71" s="120">
        <f>IF(OR(NOT(ISNUMBER(F70)),F70=0,COUNTIFS('Data - Monthly Metrics'!$A:$A,$B$4,'Data - Monthly Metrics'!$B:$B,F$8,'Data - Monthly Metrics'!$C:$C,"Majors/NRA",'Data - Monthly Metrics'!$D:$D,"Goal - Penetration %")=0),"—",IF(F70&gt;=SUMIFS('Data - Monthly Metrics'!$E:$E,'Data - Monthly Metrics'!$A:$A,$B$4,'Data - Monthly Metrics'!$B:$B,F$8,'Data - Monthly Metrics'!$C:$C,"Majors/NRA",'Data - Monthly Metrics'!$D:$D,"Goal - Penetration %"),"On Track",IF(F70&gt;=SUMIFS('Data - Monthly Metrics'!$E:$E,'Data - Monthly Metrics'!$A:$A,$B$4,'Data - Monthly Metrics'!$B:$B,F$8,'Data - Monthly Metrics'!$C:$C,"Majors/NRA",'Data - Monthly Metrics'!$D:$D,"Goal - Penetration %")-0.05,"Watch","At Risk")))</f>
        <v/>
      </c>
      <c r="G71" s="120">
        <f>IF(OR(NOT(ISNUMBER(G70)),G70=0,COUNTIFS('Data - Monthly Metrics'!$A:$A,$B$4,'Data - Monthly Metrics'!$B:$B,G$8,'Data - Monthly Metrics'!$C:$C,"Majors/NRA",'Data - Monthly Metrics'!$D:$D,"Goal - Penetration %")=0),"—",IF(G70&gt;=SUMIFS('Data - Monthly Metrics'!$E:$E,'Data - Monthly Metrics'!$A:$A,$B$4,'Data - Monthly Metrics'!$B:$B,G$8,'Data - Monthly Metrics'!$C:$C,"Majors/NRA",'Data - Monthly Metrics'!$D:$D,"Goal - Penetration %"),"On Track",IF(G70&gt;=SUMIFS('Data - Monthly Metrics'!$E:$E,'Data - Monthly Metrics'!$A:$A,$B$4,'Data - Monthly Metrics'!$B:$B,G$8,'Data - Monthly Metrics'!$C:$C,"Majors/NRA",'Data - Monthly Metrics'!$D:$D,"Goal - Penetration %")-0.05,"Watch","At Risk")))</f>
        <v/>
      </c>
      <c r="H71" s="120">
        <f>IF(OR(NOT(ISNUMBER(H70)),H70=0,COUNTIFS('Data - Monthly Metrics'!$A:$A,$B$4,'Data - Monthly Metrics'!$B:$B,H$8,'Data - Monthly Metrics'!$C:$C,"Majors/NRA",'Data - Monthly Metrics'!$D:$D,"Goal - Penetration %")=0),"—",IF(H70&gt;=SUMIFS('Data - Monthly Metrics'!$E:$E,'Data - Monthly Metrics'!$A:$A,$B$4,'Data - Monthly Metrics'!$B:$B,H$8,'Data - Monthly Metrics'!$C:$C,"Majors/NRA",'Data - Monthly Metrics'!$D:$D,"Goal - Penetration %"),"On Track",IF(H70&gt;=SUMIFS('Data - Monthly Metrics'!$E:$E,'Data - Monthly Metrics'!$A:$A,$B$4,'Data - Monthly Metrics'!$B:$B,H$8,'Data - Monthly Metrics'!$C:$C,"Majors/NRA",'Data - Monthly Metrics'!$D:$D,"Goal - Penetration %")-0.05,"Watch","At Risk")))</f>
        <v/>
      </c>
      <c r="I71" s="121">
        <f>"—"</f>
        <v/>
      </c>
      <c r="J71" s="120">
        <f>IF(OR(NOT(ISNUMBER(J70)),J70=0,COUNTIFS('Data - Monthly Metrics'!$A:$A,$B$4,'Data - Monthly Metrics'!$B:$B,J$8,'Data - Monthly Metrics'!$C:$C,"Majors/NRA",'Data - Monthly Metrics'!$D:$D,"Goal - Penetration %")=0),"—",IF(J70&gt;=SUMIFS('Data - Monthly Metrics'!$E:$E,'Data - Monthly Metrics'!$A:$A,$B$4,'Data - Monthly Metrics'!$B:$B,J$8,'Data - Monthly Metrics'!$C:$C,"Majors/NRA",'Data - Monthly Metrics'!$D:$D,"Goal - Penetration %"),"On Track",IF(J70&gt;=SUMIFS('Data - Monthly Metrics'!$E:$E,'Data - Monthly Metrics'!$A:$A,$B$4,'Data - Monthly Metrics'!$B:$B,J$8,'Data - Monthly Metrics'!$C:$C,"Majors/NRA",'Data - Monthly Metrics'!$D:$D,"Goal - Penetration %")-0.05,"Watch","At Risk")))</f>
        <v/>
      </c>
      <c r="K71" s="120">
        <f>IF(OR(NOT(ISNUMBER(K70)),K70=0,COUNTIFS('Data - Monthly Metrics'!$A:$A,$B$4,'Data - Monthly Metrics'!$B:$B,K$8,'Data - Monthly Metrics'!$C:$C,"Majors/NRA",'Data - Monthly Metrics'!$D:$D,"Goal - Penetration %")=0),"—",IF(K70&gt;=SUMIFS('Data - Monthly Metrics'!$E:$E,'Data - Monthly Metrics'!$A:$A,$B$4,'Data - Monthly Metrics'!$B:$B,K$8,'Data - Monthly Metrics'!$C:$C,"Majors/NRA",'Data - Monthly Metrics'!$D:$D,"Goal - Penetration %"),"On Track",IF(K70&gt;=SUMIFS('Data - Monthly Metrics'!$E:$E,'Data - Monthly Metrics'!$A:$A,$B$4,'Data - Monthly Metrics'!$B:$B,K$8,'Data - Monthly Metrics'!$C:$C,"Majors/NRA",'Data - Monthly Metrics'!$D:$D,"Goal - Penetration %")-0.05,"Watch","At Risk")))</f>
        <v/>
      </c>
      <c r="L71" s="120">
        <f>IF(OR(NOT(ISNUMBER(L70)),L70=0,COUNTIFS('Data - Monthly Metrics'!$A:$A,$B$4,'Data - Monthly Metrics'!$B:$B,L$8,'Data - Monthly Metrics'!$C:$C,"Majors/NRA",'Data - Monthly Metrics'!$D:$D,"Goal - Penetration %")=0),"—",IF(L70&gt;=SUMIFS('Data - Monthly Metrics'!$E:$E,'Data - Monthly Metrics'!$A:$A,$B$4,'Data - Monthly Metrics'!$B:$B,L$8,'Data - Monthly Metrics'!$C:$C,"Majors/NRA",'Data - Monthly Metrics'!$D:$D,"Goal - Penetration %"),"On Track",IF(L70&gt;=SUMIFS('Data - Monthly Metrics'!$E:$E,'Data - Monthly Metrics'!$A:$A,$B$4,'Data - Monthly Metrics'!$B:$B,L$8,'Data - Monthly Metrics'!$C:$C,"Majors/NRA",'Data - Monthly Metrics'!$D:$D,"Goal - Penetration %")-0.05,"Watch","At Risk")))</f>
        <v/>
      </c>
      <c r="M71" s="121">
        <f>"—"</f>
        <v/>
      </c>
      <c r="N71" s="120">
        <f>IF(OR(NOT(ISNUMBER(N70)),N70=0,COUNTIFS('Data - Monthly Metrics'!$A:$A,$B$4,'Data - Monthly Metrics'!$B:$B,N$8,'Data - Monthly Metrics'!$C:$C,"Majors/NRA",'Data - Monthly Metrics'!$D:$D,"Goal - Penetration %")=0),"—",IF(N70&gt;=SUMIFS('Data - Monthly Metrics'!$E:$E,'Data - Monthly Metrics'!$A:$A,$B$4,'Data - Monthly Metrics'!$B:$B,N$8,'Data - Monthly Metrics'!$C:$C,"Majors/NRA",'Data - Monthly Metrics'!$D:$D,"Goal - Penetration %"),"On Track",IF(N70&gt;=SUMIFS('Data - Monthly Metrics'!$E:$E,'Data - Monthly Metrics'!$A:$A,$B$4,'Data - Monthly Metrics'!$B:$B,N$8,'Data - Monthly Metrics'!$C:$C,"Majors/NRA",'Data - Monthly Metrics'!$D:$D,"Goal - Penetration %")-0.05,"Watch","At Risk")))</f>
        <v/>
      </c>
      <c r="O71" s="120">
        <f>IF(OR(NOT(ISNUMBER(O70)),O70=0,COUNTIFS('Data - Monthly Metrics'!$A:$A,$B$4,'Data - Monthly Metrics'!$B:$B,O$8,'Data - Monthly Metrics'!$C:$C,"Majors/NRA",'Data - Monthly Metrics'!$D:$D,"Goal - Penetration %")=0),"—",IF(O70&gt;=SUMIFS('Data - Monthly Metrics'!$E:$E,'Data - Monthly Metrics'!$A:$A,$B$4,'Data - Monthly Metrics'!$B:$B,O$8,'Data - Monthly Metrics'!$C:$C,"Majors/NRA",'Data - Monthly Metrics'!$D:$D,"Goal - Penetration %"),"On Track",IF(O70&gt;=SUMIFS('Data - Monthly Metrics'!$E:$E,'Data - Monthly Metrics'!$A:$A,$B$4,'Data - Monthly Metrics'!$B:$B,O$8,'Data - Monthly Metrics'!$C:$C,"Majors/NRA",'Data - Monthly Metrics'!$D:$D,"Goal - Penetration %")-0.05,"Watch","At Risk")))</f>
        <v/>
      </c>
      <c r="P71" s="120">
        <f>IF(OR(NOT(ISNUMBER(P70)),P70=0,COUNTIFS('Data - Monthly Metrics'!$A:$A,$B$4,'Data - Monthly Metrics'!$B:$B,P$8,'Data - Monthly Metrics'!$C:$C,"Majors/NRA",'Data - Monthly Metrics'!$D:$D,"Goal - Penetration %")=0),"—",IF(P70&gt;=SUMIFS('Data - Monthly Metrics'!$E:$E,'Data - Monthly Metrics'!$A:$A,$B$4,'Data - Monthly Metrics'!$B:$B,P$8,'Data - Monthly Metrics'!$C:$C,"Majors/NRA",'Data - Monthly Metrics'!$D:$D,"Goal - Penetration %"),"On Track",IF(P70&gt;=SUMIFS('Data - Monthly Metrics'!$E:$E,'Data - Monthly Metrics'!$A:$A,$B$4,'Data - Monthly Metrics'!$B:$B,P$8,'Data - Monthly Metrics'!$C:$C,"Majors/NRA",'Data - Monthly Metrics'!$D:$D,"Goal - Penetration %")-0.05,"Watch","At Risk")))</f>
        <v/>
      </c>
      <c r="Q71" s="121">
        <f>"—"</f>
        <v/>
      </c>
      <c r="R71" s="121">
        <f>"—"</f>
        <v/>
      </c>
    </row>
    <row r="72" ht="14.25" customHeight="1" s="82">
      <c r="A72" s="151" t="inlineStr">
        <is>
          <t>Goal</t>
        </is>
      </c>
      <c r="B72" s="152">
        <f>IF(COUNTIFS('Data - Monthly Metrics'!$A:$A,$B$4-1,'Data - Monthly Metrics'!$B:$B,B$8,'Data - Monthly Metrics'!$C:$C,"Majors/NRA",'Data - Monthly Metrics'!$D:$D,"Goal - Penetration %")=0,"-",SUMIFS('Data - Monthly Metrics'!$E:$E,'Data - Monthly Metrics'!$A:$A,$B$4-1,'Data - Monthly Metrics'!$B:$B,B$8,'Data - Monthly Metrics'!$C:$C,"Majors/NRA",'Data - Monthly Metrics'!$D:$D,"Goal - Penetration %"))</f>
        <v/>
      </c>
      <c r="C72" s="152">
        <f>IF(COUNTIFS('Data - Monthly Metrics'!$A:$A,$B$4-1,'Data - Monthly Metrics'!$B:$B,C$8,'Data - Monthly Metrics'!$C:$C,"Majors/NRA",'Data - Monthly Metrics'!$D:$D,"Goal - Penetration %")=0,"-",SUMIFS('Data - Monthly Metrics'!$E:$E,'Data - Monthly Metrics'!$A:$A,$B$4-1,'Data - Monthly Metrics'!$B:$B,C$8,'Data - Monthly Metrics'!$C:$C,"Majors/NRA",'Data - Monthly Metrics'!$D:$D,"Goal - Penetration %"))</f>
        <v/>
      </c>
      <c r="D72" s="152">
        <f>IF(COUNTIFS('Data - Monthly Metrics'!$A:$A,$B$4-1,'Data - Monthly Metrics'!$B:$B,D$8,'Data - Monthly Metrics'!$C:$C,"Majors/NRA",'Data - Monthly Metrics'!$D:$D,"Goal - Penetration %")=0,"-",SUMIFS('Data - Monthly Metrics'!$E:$E,'Data - Monthly Metrics'!$A:$A,$B$4-1,'Data - Monthly Metrics'!$B:$B,D$8,'Data - Monthly Metrics'!$C:$C,"Majors/NRA",'Data - Monthly Metrics'!$D:$D,"Goal - Penetration %"))</f>
        <v/>
      </c>
      <c r="E72" s="153" t="n"/>
      <c r="F72" s="152">
        <f>IF(COUNTIFS('Data - Monthly Metrics'!$A:$A,$B$4,'Data - Monthly Metrics'!$B:$B,F$8,'Data - Monthly Metrics'!$C:$C,"Majors/NRA",'Data - Monthly Metrics'!$D:$D,"Goal - Penetration %")=0,"-",SUMIFS('Data - Monthly Metrics'!$E:$E,'Data - Monthly Metrics'!$A:$A,$B$4,'Data - Monthly Metrics'!$B:$B,F$8,'Data - Monthly Metrics'!$C:$C,"Majors/NRA",'Data - Monthly Metrics'!$D:$D,"Goal - Penetration %"))</f>
        <v/>
      </c>
      <c r="G72" s="152">
        <f>IF(COUNTIFS('Data - Monthly Metrics'!$A:$A,$B$4,'Data - Monthly Metrics'!$B:$B,G$8,'Data - Monthly Metrics'!$C:$C,"Majors/NRA",'Data - Monthly Metrics'!$D:$D,"Goal - Penetration %")=0,"-",SUMIFS('Data - Monthly Metrics'!$E:$E,'Data - Monthly Metrics'!$A:$A,$B$4,'Data - Monthly Metrics'!$B:$B,G$8,'Data - Monthly Metrics'!$C:$C,"Majors/NRA",'Data - Monthly Metrics'!$D:$D,"Goal - Penetration %"))</f>
        <v/>
      </c>
      <c r="H72" s="152">
        <f>IF(COUNTIFS('Data - Monthly Metrics'!$A:$A,$B$4,'Data - Monthly Metrics'!$B:$B,H$8,'Data - Monthly Metrics'!$C:$C,"Majors/NRA",'Data - Monthly Metrics'!$D:$D,"Goal - Penetration %")=0,"-",SUMIFS('Data - Monthly Metrics'!$E:$E,'Data - Monthly Metrics'!$A:$A,$B$4,'Data - Monthly Metrics'!$B:$B,H$8,'Data - Monthly Metrics'!$C:$C,"Majors/NRA",'Data - Monthly Metrics'!$D:$D,"Goal - Penetration %"))</f>
        <v/>
      </c>
      <c r="I72" s="153" t="n"/>
      <c r="J72" s="152">
        <f>IF(COUNTIFS('Data - Monthly Metrics'!$A:$A,$B$4,'Data - Monthly Metrics'!$B:$B,J$8,'Data - Monthly Metrics'!$C:$C,"Majors/NRA",'Data - Monthly Metrics'!$D:$D,"Goal - Penetration %")=0,"-",SUMIFS('Data - Monthly Metrics'!$E:$E,'Data - Monthly Metrics'!$A:$A,$B$4,'Data - Monthly Metrics'!$B:$B,J$8,'Data - Monthly Metrics'!$C:$C,"Majors/NRA",'Data - Monthly Metrics'!$D:$D,"Goal - Penetration %"))</f>
        <v/>
      </c>
      <c r="K72" s="152">
        <f>IF(COUNTIFS('Data - Monthly Metrics'!$A:$A,$B$4,'Data - Monthly Metrics'!$B:$B,K$8,'Data - Monthly Metrics'!$C:$C,"Majors/NRA",'Data - Monthly Metrics'!$D:$D,"Goal - Penetration %")=0,"-",SUMIFS('Data - Monthly Metrics'!$E:$E,'Data - Monthly Metrics'!$A:$A,$B$4,'Data - Monthly Metrics'!$B:$B,K$8,'Data - Monthly Metrics'!$C:$C,"Majors/NRA",'Data - Monthly Metrics'!$D:$D,"Goal - Penetration %"))</f>
        <v/>
      </c>
      <c r="L72" s="152">
        <f>IF(COUNTIFS('Data - Monthly Metrics'!$A:$A,$B$4,'Data - Monthly Metrics'!$B:$B,L$8,'Data - Monthly Metrics'!$C:$C,"Majors/NRA",'Data - Monthly Metrics'!$D:$D,"Goal - Penetration %")=0,"-",SUMIFS('Data - Monthly Metrics'!$E:$E,'Data - Monthly Metrics'!$A:$A,$B$4,'Data - Monthly Metrics'!$B:$B,L$8,'Data - Monthly Metrics'!$C:$C,"Majors/NRA",'Data - Monthly Metrics'!$D:$D,"Goal - Penetration %"))</f>
        <v/>
      </c>
      <c r="M72" s="153" t="n"/>
      <c r="N72" s="152">
        <f>IF(COUNTIFS('Data - Monthly Metrics'!$A:$A,$B$4,'Data - Monthly Metrics'!$B:$B,N$8,'Data - Monthly Metrics'!$C:$C,"Majors/NRA",'Data - Monthly Metrics'!$D:$D,"Goal - Penetration %")=0,"-",SUMIFS('Data - Monthly Metrics'!$E:$E,'Data - Monthly Metrics'!$A:$A,$B$4,'Data - Monthly Metrics'!$B:$B,N$8,'Data - Monthly Metrics'!$C:$C,"Majors/NRA",'Data - Monthly Metrics'!$D:$D,"Goal - Penetration %"))</f>
        <v/>
      </c>
      <c r="O72" s="152">
        <f>IF(COUNTIFS('Data - Monthly Metrics'!$A:$A,$B$4,'Data - Monthly Metrics'!$B:$B,O$8,'Data - Monthly Metrics'!$C:$C,"Majors/NRA",'Data - Monthly Metrics'!$D:$D,"Goal - Penetration %")=0,"-",SUMIFS('Data - Monthly Metrics'!$E:$E,'Data - Monthly Metrics'!$A:$A,$B$4,'Data - Monthly Metrics'!$B:$B,O$8,'Data - Monthly Metrics'!$C:$C,"Majors/NRA",'Data - Monthly Metrics'!$D:$D,"Goal - Penetration %"))</f>
        <v/>
      </c>
      <c r="P72" s="152">
        <f>IF(COUNTIFS('Data - Monthly Metrics'!$A:$A,$B$4,'Data - Monthly Metrics'!$B:$B,P$8,'Data - Monthly Metrics'!$C:$C,"Majors/NRA",'Data - Monthly Metrics'!$D:$D,"Goal - Penetration %")=0,"-",SUMIFS('Data - Monthly Metrics'!$E:$E,'Data - Monthly Metrics'!$A:$A,$B$4,'Data - Monthly Metrics'!$B:$B,P$8,'Data - Monthly Metrics'!$C:$C,"Majors/NRA",'Data - Monthly Metrics'!$D:$D,"Goal - Penetration %"))</f>
        <v/>
      </c>
      <c r="Q72" s="153" t="n"/>
      <c r="R72" s="153" t="n"/>
    </row>
    <row r="73" ht="14.25" customHeight="1" s="82">
      <c r="A73" s="94" t="inlineStr">
        <is>
          <t>Gap to Goal (Combined)</t>
        </is>
      </c>
      <c r="B73" s="97">
        <f>B72-B70</f>
        <v/>
      </c>
      <c r="C73" s="97">
        <f>C72-C70</f>
        <v/>
      </c>
      <c r="D73" s="97">
        <f>D72-D70</f>
        <v/>
      </c>
      <c r="E73" s="102">
        <f>E72-E70</f>
        <v/>
      </c>
      <c r="F73" s="97">
        <f>F72-F70</f>
        <v/>
      </c>
      <c r="G73" s="97">
        <f>G72-G70</f>
        <v/>
      </c>
      <c r="H73" s="97">
        <f>H72-H70</f>
        <v/>
      </c>
      <c r="I73" s="102">
        <f>I72-I70</f>
        <v/>
      </c>
      <c r="J73" s="97">
        <f>J72-J70</f>
        <v/>
      </c>
      <c r="K73" s="97">
        <f>K72-K70</f>
        <v/>
      </c>
      <c r="L73" s="97">
        <f>L72-L70</f>
        <v/>
      </c>
      <c r="M73" s="102">
        <f>M72-M70</f>
        <v/>
      </c>
      <c r="N73" s="97">
        <f>N72-N70</f>
        <v/>
      </c>
      <c r="O73" s="97">
        <f>O72-O70</f>
        <v/>
      </c>
      <c r="P73" s="97">
        <f>P72-P70</f>
        <v/>
      </c>
      <c r="Q73" s="102">
        <f>Q72-Q70</f>
        <v/>
      </c>
      <c r="R73" s="102">
        <f>R72-R70</f>
        <v/>
      </c>
    </row>
    <row r="74"/>
    <row r="75" ht="25.5" customHeight="1" s="82">
      <c r="A75" s="146" t="inlineStr">
        <is>
          <t>▼  NON-TARGET MEMBERS  ▼</t>
        </is>
      </c>
    </row>
    <row r="76"/>
    <row r="77" ht="21.75" customHeight="1" s="82">
      <c r="A77" s="87" t="inlineStr">
        <is>
          <t xml:space="preserve">  ▶   N1.  SALES — Non-Target</t>
        </is>
      </c>
    </row>
    <row r="78" ht="14.25" customHeight="1" s="82">
      <c r="A78" s="88" t="inlineStr">
        <is>
          <t>Metric</t>
        </is>
      </c>
      <c r="B78" s="88" t="inlineStr">
        <is>
          <t>Oct</t>
        </is>
      </c>
      <c r="C78" s="88" t="inlineStr">
        <is>
          <t>Nov</t>
        </is>
      </c>
      <c r="D78" s="88" t="inlineStr">
        <is>
          <t>Dec</t>
        </is>
      </c>
      <c r="E78" s="88" t="inlineStr">
        <is>
          <t>Q1</t>
        </is>
      </c>
      <c r="F78" s="88" t="inlineStr">
        <is>
          <t>Jan</t>
        </is>
      </c>
      <c r="G78" s="88" t="inlineStr">
        <is>
          <t>Feb</t>
        </is>
      </c>
      <c r="H78" s="88" t="inlineStr">
        <is>
          <t>Mar</t>
        </is>
      </c>
      <c r="I78" s="88" t="inlineStr">
        <is>
          <t>Q2</t>
        </is>
      </c>
      <c r="J78" s="88" t="inlineStr">
        <is>
          <t>Apr</t>
        </is>
      </c>
      <c r="K78" s="88" t="inlineStr">
        <is>
          <t>May</t>
        </is>
      </c>
      <c r="L78" s="88" t="inlineStr">
        <is>
          <t>Jun</t>
        </is>
      </c>
      <c r="M78" s="88" t="inlineStr">
        <is>
          <t>Q3</t>
        </is>
      </c>
      <c r="N78" s="88" t="inlineStr">
        <is>
          <t>Jul</t>
        </is>
      </c>
      <c r="O78" s="88" t="inlineStr">
        <is>
          <t>Aug</t>
        </is>
      </c>
      <c r="P78" s="88" t="inlineStr">
        <is>
          <t>Sep</t>
        </is>
      </c>
      <c r="Q78" s="88" t="inlineStr">
        <is>
          <t>Q4</t>
        </is>
      </c>
      <c r="R78" s="88" t="inlineStr">
        <is>
          <t>YTD</t>
        </is>
      </c>
    </row>
    <row r="79" ht="14.25" customHeight="1" s="82">
      <c r="A79" s="89" t="inlineStr">
        <is>
          <t>New Sales Revenue - Non-Target ($)</t>
        </is>
      </c>
      <c r="B79" s="91">
        <f>IF(COUNTIFS('Data - Monthly Metrics'!A:A,$B$4-1,'Data - Monthly Metrics'!B:B,"Oct",'Data - Monthly Metrics'!C:C,"Majors/NRA",'Data - Monthly Metrics'!D:D,"New Sales Revenue - Non-Target ($)")=0,"-",SUMIFS('Data - Monthly Metrics'!E:E,'Data - Monthly Metrics'!A:A,$B$4-1,'Data - Monthly Metrics'!B:B,"Oct",'Data - Monthly Metrics'!C:C,"Majors/NRA",'Data - Monthly Metrics'!D:D,"New Sales Revenue - Non-Target ($)"))</f>
        <v/>
      </c>
      <c r="C79" s="91">
        <f>IF(COUNTIFS('Data - Monthly Metrics'!A:A,$B$4-1,'Data - Monthly Metrics'!B:B,"Nov",'Data - Monthly Metrics'!C:C,"Majors/NRA",'Data - Monthly Metrics'!D:D,"New Sales Revenue - Non-Target ($)")=0,"-",SUMIFS('Data - Monthly Metrics'!E:E,'Data - Monthly Metrics'!A:A,$B$4-1,'Data - Monthly Metrics'!B:B,"Nov",'Data - Monthly Metrics'!C:C,"Majors/NRA",'Data - Monthly Metrics'!D:D,"New Sales Revenue - Non-Target ($)"))</f>
        <v/>
      </c>
      <c r="D79" s="91">
        <f>IF(COUNTIFS('Data - Monthly Metrics'!A:A,$B$4-1,'Data - Monthly Metrics'!B:B,"Dec",'Data - Monthly Metrics'!C:C,"Majors/NRA",'Data - Monthly Metrics'!D:D,"New Sales Revenue - Non-Target ($)")=0,"-",SUMIFS('Data - Monthly Metrics'!E:E,'Data - Monthly Metrics'!A:A,$B$4-1,'Data - Monthly Metrics'!B:B,"Dec",'Data - Monthly Metrics'!C:C,"Majors/NRA",'Data - Monthly Metrics'!D:D,"New Sales Revenue - Non-Target ($)"))</f>
        <v/>
      </c>
      <c r="E79" s="101">
        <f>SUM(B79,C79,D79)</f>
        <v/>
      </c>
      <c r="F79" s="91">
        <f>IF(COUNTIFS('Data - Monthly Metrics'!A:A,$B$4,'Data - Monthly Metrics'!B:B,"Jan",'Data - Monthly Metrics'!C:C,"Majors/NRA",'Data - Monthly Metrics'!D:D,"New Sales Revenue - Non-Target ($)")=0,"-",SUMIFS('Data - Monthly Metrics'!E:E,'Data - Monthly Metrics'!A:A,$B$4,'Data - Monthly Metrics'!B:B,"Jan",'Data - Monthly Metrics'!C:C,"Majors/NRA",'Data - Monthly Metrics'!D:D,"New Sales Revenue - Non-Target ($)"))</f>
        <v/>
      </c>
      <c r="G79" s="91">
        <f>IF(COUNTIFS('Data - Monthly Metrics'!A:A,$B$4,'Data - Monthly Metrics'!B:B,"Feb",'Data - Monthly Metrics'!C:C,"Majors/NRA",'Data - Monthly Metrics'!D:D,"New Sales Revenue - Non-Target ($)")=0,"-",SUMIFS('Data - Monthly Metrics'!E:E,'Data - Monthly Metrics'!A:A,$B$4,'Data - Monthly Metrics'!B:B,"Feb",'Data - Monthly Metrics'!C:C,"Majors/NRA",'Data - Monthly Metrics'!D:D,"New Sales Revenue - Non-Target ($)"))</f>
        <v/>
      </c>
      <c r="H79" s="91">
        <f>IF(COUNTIFS('Data - Monthly Metrics'!A:A,$B$4,'Data - Monthly Metrics'!B:B,"Mar",'Data - Monthly Metrics'!C:C,"Majors/NRA",'Data - Monthly Metrics'!D:D,"New Sales Revenue - Non-Target ($)")=0,"-",SUMIFS('Data - Monthly Metrics'!E:E,'Data - Monthly Metrics'!A:A,$B$4,'Data - Monthly Metrics'!B:B,"Mar",'Data - Monthly Metrics'!C:C,"Majors/NRA",'Data - Monthly Metrics'!D:D,"New Sales Revenue - Non-Target ($)"))</f>
        <v/>
      </c>
      <c r="I79" s="101">
        <f>SUM(F79,G79,H79)</f>
        <v/>
      </c>
      <c r="J79" s="91">
        <f>IF(COUNTIFS('Data - Monthly Metrics'!A:A,$B$4,'Data - Monthly Metrics'!B:B,"Apr",'Data - Monthly Metrics'!C:C,"Majors/NRA",'Data - Monthly Metrics'!D:D,"New Sales Revenue - Non-Target ($)")=0,"-",SUMIFS('Data - Monthly Metrics'!E:E,'Data - Monthly Metrics'!A:A,$B$4,'Data - Monthly Metrics'!B:B,"Apr",'Data - Monthly Metrics'!C:C,"Majors/NRA",'Data - Monthly Metrics'!D:D,"New Sales Revenue - Non-Target ($)"))</f>
        <v/>
      </c>
      <c r="K79" s="91">
        <f>IF(COUNTIFS('Data - Monthly Metrics'!A:A,$B$4,'Data - Monthly Metrics'!B:B,"May",'Data - Monthly Metrics'!C:C,"Majors/NRA",'Data - Monthly Metrics'!D:D,"New Sales Revenue - Non-Target ($)")=0,"-",SUMIFS('Data - Monthly Metrics'!E:E,'Data - Monthly Metrics'!A:A,$B$4,'Data - Monthly Metrics'!B:B,"May",'Data - Monthly Metrics'!C:C,"Majors/NRA",'Data - Monthly Metrics'!D:D,"New Sales Revenue - Non-Target ($)"))</f>
        <v/>
      </c>
      <c r="L79" s="91">
        <f>IF(COUNTIFS('Data - Monthly Metrics'!A:A,$B$4,'Data - Monthly Metrics'!B:B,"Jun",'Data - Monthly Metrics'!C:C,"Majors/NRA",'Data - Monthly Metrics'!D:D,"New Sales Revenue - Non-Target ($)")=0,"-",SUMIFS('Data - Monthly Metrics'!E:E,'Data - Monthly Metrics'!A:A,$B$4,'Data - Monthly Metrics'!B:B,"Jun",'Data - Monthly Metrics'!C:C,"Majors/NRA",'Data - Monthly Metrics'!D:D,"New Sales Revenue - Non-Target ($)"))</f>
        <v/>
      </c>
      <c r="M79" s="101">
        <f>SUM(J79,K79,L79)</f>
        <v/>
      </c>
      <c r="N79" s="91">
        <f>IF(COUNTIFS('Data - Monthly Metrics'!A:A,$B$4,'Data - Monthly Metrics'!B:B,"Jul",'Data - Monthly Metrics'!C:C,"Majors/NRA",'Data - Monthly Metrics'!D:D,"New Sales Revenue - Non-Target ($)")=0,"-",SUMIFS('Data - Monthly Metrics'!E:E,'Data - Monthly Metrics'!A:A,$B$4,'Data - Monthly Metrics'!B:B,"Jul",'Data - Monthly Metrics'!C:C,"Majors/NRA",'Data - Monthly Metrics'!D:D,"New Sales Revenue - Non-Target ($)"))</f>
        <v/>
      </c>
      <c r="O79" s="91">
        <f>IF(COUNTIFS('Data - Monthly Metrics'!A:A,$B$4,'Data - Monthly Metrics'!B:B,"Aug",'Data - Monthly Metrics'!C:C,"Majors/NRA",'Data - Monthly Metrics'!D:D,"New Sales Revenue - Non-Target ($)")=0,"-",SUMIFS('Data - Monthly Metrics'!E:E,'Data - Monthly Metrics'!A:A,$B$4,'Data - Monthly Metrics'!B:B,"Aug",'Data - Monthly Metrics'!C:C,"Majors/NRA",'Data - Monthly Metrics'!D:D,"New Sales Revenue - Non-Target ($)"))</f>
        <v/>
      </c>
      <c r="P79" s="91">
        <f>IF(COUNTIFS('Data - Monthly Metrics'!A:A,$B$4,'Data - Monthly Metrics'!B:B,"Sep",'Data - Monthly Metrics'!C:C,"Majors/NRA",'Data - Monthly Metrics'!D:D,"New Sales Revenue - Non-Target ($)")=0,"-",SUMIFS('Data - Monthly Metrics'!E:E,'Data - Monthly Metrics'!A:A,$B$4,'Data - Monthly Metrics'!B:B,"Sep",'Data - Monthly Metrics'!C:C,"Majors/NRA",'Data - Monthly Metrics'!D:D,"New Sales Revenue - Non-Target ($)"))</f>
        <v/>
      </c>
      <c r="Q79" s="101">
        <f>SUM(N79,O79,P79)</f>
        <v/>
      </c>
      <c r="R79" s="101">
        <f>E79+I79+M79+Q79</f>
        <v/>
      </c>
    </row>
    <row r="80" ht="14.25" customHeight="1" s="82">
      <c r="A80" s="94" t="inlineStr">
        <is>
          <t>New Members - Non-Target (#)</t>
        </is>
      </c>
      <c r="B80" s="98">
        <f>IF(COUNTIFS('Data - Monthly Metrics'!A:A,$B$4-1,'Data - Monthly Metrics'!B:B,"Oct",'Data - Monthly Metrics'!C:C,"Majors/NRA",'Data - Monthly Metrics'!D:D,"New Members - Non-Target (#)")=0,"-",SUMIFS('Data - Monthly Metrics'!E:E,'Data - Monthly Metrics'!A:A,$B$4-1,'Data - Monthly Metrics'!B:B,"Oct",'Data - Monthly Metrics'!C:C,"Majors/NRA",'Data - Monthly Metrics'!D:D,"New Members - Non-Target (#)"))</f>
        <v/>
      </c>
      <c r="C80" s="98">
        <f>IF(COUNTIFS('Data - Monthly Metrics'!A:A,$B$4-1,'Data - Monthly Metrics'!B:B,"Nov",'Data - Monthly Metrics'!C:C,"Majors/NRA",'Data - Monthly Metrics'!D:D,"New Members - Non-Target (#)")=0,"-",SUMIFS('Data - Monthly Metrics'!E:E,'Data - Monthly Metrics'!A:A,$B$4-1,'Data - Monthly Metrics'!B:B,"Nov",'Data - Monthly Metrics'!C:C,"Majors/NRA",'Data - Monthly Metrics'!D:D,"New Members - Non-Target (#)"))</f>
        <v/>
      </c>
      <c r="D80" s="98">
        <f>IF(COUNTIFS('Data - Monthly Metrics'!A:A,$B$4-1,'Data - Monthly Metrics'!B:B,"Dec",'Data - Monthly Metrics'!C:C,"Majors/NRA",'Data - Monthly Metrics'!D:D,"New Members - Non-Target (#)")=0,"-",SUMIFS('Data - Monthly Metrics'!E:E,'Data - Monthly Metrics'!A:A,$B$4-1,'Data - Monthly Metrics'!B:B,"Dec",'Data - Monthly Metrics'!C:C,"Majors/NRA",'Data - Monthly Metrics'!D:D,"New Members - Non-Target (#)"))</f>
        <v/>
      </c>
      <c r="E80" s="103">
        <f>SUM(B80,C80,D80)</f>
        <v/>
      </c>
      <c r="F80" s="98">
        <f>IF(COUNTIFS('Data - Monthly Metrics'!A:A,$B$4,'Data - Monthly Metrics'!B:B,"Jan",'Data - Monthly Metrics'!C:C,"Majors/NRA",'Data - Monthly Metrics'!D:D,"New Members - Non-Target (#)")=0,"-",SUMIFS('Data - Monthly Metrics'!E:E,'Data - Monthly Metrics'!A:A,$B$4,'Data - Monthly Metrics'!B:B,"Jan",'Data - Monthly Metrics'!C:C,"Majors/NRA",'Data - Monthly Metrics'!D:D,"New Members - Non-Target (#)"))</f>
        <v/>
      </c>
      <c r="G80" s="98">
        <f>IF(COUNTIFS('Data - Monthly Metrics'!A:A,$B$4,'Data - Monthly Metrics'!B:B,"Feb",'Data - Monthly Metrics'!C:C,"Majors/NRA",'Data - Monthly Metrics'!D:D,"New Members - Non-Target (#)")=0,"-",SUMIFS('Data - Monthly Metrics'!E:E,'Data - Monthly Metrics'!A:A,$B$4,'Data - Monthly Metrics'!B:B,"Feb",'Data - Monthly Metrics'!C:C,"Majors/NRA",'Data - Monthly Metrics'!D:D,"New Members - Non-Target (#)"))</f>
        <v/>
      </c>
      <c r="H80" s="98">
        <f>IF(COUNTIFS('Data - Monthly Metrics'!A:A,$B$4,'Data - Monthly Metrics'!B:B,"Mar",'Data - Monthly Metrics'!C:C,"Majors/NRA",'Data - Monthly Metrics'!D:D,"New Members - Non-Target (#)")=0,"-",SUMIFS('Data - Monthly Metrics'!E:E,'Data - Monthly Metrics'!A:A,$B$4,'Data - Monthly Metrics'!B:B,"Mar",'Data - Monthly Metrics'!C:C,"Majors/NRA",'Data - Monthly Metrics'!D:D,"New Members - Non-Target (#)"))</f>
        <v/>
      </c>
      <c r="I80" s="103">
        <f>SUM(F80,G80,H80)</f>
        <v/>
      </c>
      <c r="J80" s="98">
        <f>IF(COUNTIFS('Data - Monthly Metrics'!A:A,$B$4,'Data - Monthly Metrics'!B:B,"Apr",'Data - Monthly Metrics'!C:C,"Majors/NRA",'Data - Monthly Metrics'!D:D,"New Members - Non-Target (#)")=0,"-",SUMIFS('Data - Monthly Metrics'!E:E,'Data - Monthly Metrics'!A:A,$B$4,'Data - Monthly Metrics'!B:B,"Apr",'Data - Monthly Metrics'!C:C,"Majors/NRA",'Data - Monthly Metrics'!D:D,"New Members - Non-Target (#)"))</f>
        <v/>
      </c>
      <c r="K80" s="98">
        <f>IF(COUNTIFS('Data - Monthly Metrics'!A:A,$B$4,'Data - Monthly Metrics'!B:B,"May",'Data - Monthly Metrics'!C:C,"Majors/NRA",'Data - Monthly Metrics'!D:D,"New Members - Non-Target (#)")=0,"-",SUMIFS('Data - Monthly Metrics'!E:E,'Data - Monthly Metrics'!A:A,$B$4,'Data - Monthly Metrics'!B:B,"May",'Data - Monthly Metrics'!C:C,"Majors/NRA",'Data - Monthly Metrics'!D:D,"New Members - Non-Target (#)"))</f>
        <v/>
      </c>
      <c r="L80" s="98">
        <f>IF(COUNTIFS('Data - Monthly Metrics'!A:A,$B$4,'Data - Monthly Metrics'!B:B,"Jun",'Data - Monthly Metrics'!C:C,"Majors/NRA",'Data - Monthly Metrics'!D:D,"New Members - Non-Target (#)")=0,"-",SUMIFS('Data - Monthly Metrics'!E:E,'Data - Monthly Metrics'!A:A,$B$4,'Data - Monthly Metrics'!B:B,"Jun",'Data - Monthly Metrics'!C:C,"Majors/NRA",'Data - Monthly Metrics'!D:D,"New Members - Non-Target (#)"))</f>
        <v/>
      </c>
      <c r="M80" s="103">
        <f>SUM(J80,K80,L80)</f>
        <v/>
      </c>
      <c r="N80" s="98">
        <f>IF(COUNTIFS('Data - Monthly Metrics'!A:A,$B$4,'Data - Monthly Metrics'!B:B,"Jul",'Data - Monthly Metrics'!C:C,"Majors/NRA",'Data - Monthly Metrics'!D:D,"New Members - Non-Target (#)")=0,"-",SUMIFS('Data - Monthly Metrics'!E:E,'Data - Monthly Metrics'!A:A,$B$4,'Data - Monthly Metrics'!B:B,"Jul",'Data - Monthly Metrics'!C:C,"Majors/NRA",'Data - Monthly Metrics'!D:D,"New Members - Non-Target (#)"))</f>
        <v/>
      </c>
      <c r="O80" s="98">
        <f>IF(COUNTIFS('Data - Monthly Metrics'!A:A,$B$4,'Data - Monthly Metrics'!B:B,"Aug",'Data - Monthly Metrics'!C:C,"Majors/NRA",'Data - Monthly Metrics'!D:D,"New Members - Non-Target (#)")=0,"-",SUMIFS('Data - Monthly Metrics'!E:E,'Data - Monthly Metrics'!A:A,$B$4,'Data - Monthly Metrics'!B:B,"Aug",'Data - Monthly Metrics'!C:C,"Majors/NRA",'Data - Monthly Metrics'!D:D,"New Members - Non-Target (#)"))</f>
        <v/>
      </c>
      <c r="P80" s="98">
        <f>IF(COUNTIFS('Data - Monthly Metrics'!A:A,$B$4,'Data - Monthly Metrics'!B:B,"Sep",'Data - Monthly Metrics'!C:C,"Majors/NRA",'Data - Monthly Metrics'!D:D,"New Members - Non-Target (#)")=0,"-",SUMIFS('Data - Monthly Metrics'!E:E,'Data - Monthly Metrics'!A:A,$B$4,'Data - Monthly Metrics'!B:B,"Sep",'Data - Monthly Metrics'!C:C,"Majors/NRA",'Data - Monthly Metrics'!D:D,"New Members - Non-Target (#)"))</f>
        <v/>
      </c>
      <c r="Q80" s="103">
        <f>SUM(N80,O80,P80)</f>
        <v/>
      </c>
      <c r="R80" s="103">
        <f>E80+I80+M80+Q80</f>
        <v/>
      </c>
    </row>
    <row r="81"/>
    <row r="82" ht="21.75" customHeight="1" s="82">
      <c r="A82" s="87" t="inlineStr">
        <is>
          <t xml:space="preserve">  ▶   N2.  BILLABLES — Non-Target + Allied</t>
        </is>
      </c>
    </row>
    <row r="83" ht="14.25" customHeight="1" s="82">
      <c r="A83" s="88" t="inlineStr">
        <is>
          <t>Metric</t>
        </is>
      </c>
      <c r="B83" s="88" t="inlineStr">
        <is>
          <t>Oct</t>
        </is>
      </c>
      <c r="C83" s="88" t="inlineStr">
        <is>
          <t>Nov</t>
        </is>
      </c>
      <c r="D83" s="88" t="inlineStr">
        <is>
          <t>Dec</t>
        </is>
      </c>
      <c r="E83" s="88" t="inlineStr">
        <is>
          <t>Q1</t>
        </is>
      </c>
      <c r="F83" s="88" t="inlineStr">
        <is>
          <t>Jan</t>
        </is>
      </c>
      <c r="G83" s="88" t="inlineStr">
        <is>
          <t>Feb</t>
        </is>
      </c>
      <c r="H83" s="88" t="inlineStr">
        <is>
          <t>Mar</t>
        </is>
      </c>
      <c r="I83" s="88" t="inlineStr">
        <is>
          <t>Q2</t>
        </is>
      </c>
      <c r="J83" s="88" t="inlineStr">
        <is>
          <t>Apr</t>
        </is>
      </c>
      <c r="K83" s="88" t="inlineStr">
        <is>
          <t>May</t>
        </is>
      </c>
      <c r="L83" s="88" t="inlineStr">
        <is>
          <t>Jun</t>
        </is>
      </c>
      <c r="M83" s="88" t="inlineStr">
        <is>
          <t>Q3</t>
        </is>
      </c>
      <c r="N83" s="88" t="inlineStr">
        <is>
          <t>Jul</t>
        </is>
      </c>
      <c r="O83" s="88" t="inlineStr">
        <is>
          <t>Aug</t>
        </is>
      </c>
      <c r="P83" s="88" t="inlineStr">
        <is>
          <t>Sep</t>
        </is>
      </c>
      <c r="Q83" s="88" t="inlineStr">
        <is>
          <t>Q4</t>
        </is>
      </c>
      <c r="R83" s="88" t="inlineStr">
        <is>
          <t>Avg</t>
        </is>
      </c>
    </row>
    <row r="84" ht="14.25" customHeight="1" s="82">
      <c r="A84" s="89" t="inlineStr">
        <is>
          <t>Non-Target (#)</t>
        </is>
      </c>
      <c r="B84" s="93">
        <f>IF(COUNTIFS('Data - Monthly Metrics'!A:A,$B$4-1,'Data - Monthly Metrics'!B:B,"Oct",'Data - Monthly Metrics'!C:C,"Majors/NRA",'Data - Monthly Metrics'!D:D,"Billables - Hospitality Non-Target (#)")=0,"-",SUMIFS('Data - Monthly Metrics'!E:E,'Data - Monthly Metrics'!A:A,$B$4-1,'Data - Monthly Metrics'!B:B,"Oct",'Data - Monthly Metrics'!C:C,"Majors/NRA",'Data - Monthly Metrics'!D:D,"Billables - Hospitality Non-Target (#)"))</f>
        <v/>
      </c>
      <c r="C84" s="93">
        <f>IF(COUNTIFS('Data - Monthly Metrics'!A:A,$B$4-1,'Data - Monthly Metrics'!B:B,"Nov",'Data - Monthly Metrics'!C:C,"Majors/NRA",'Data - Monthly Metrics'!D:D,"Billables - Hospitality Non-Target (#)")=0,"-",SUMIFS('Data - Monthly Metrics'!E:E,'Data - Monthly Metrics'!A:A,$B$4-1,'Data - Monthly Metrics'!B:B,"Nov",'Data - Monthly Metrics'!C:C,"Majors/NRA",'Data - Monthly Metrics'!D:D,"Billables - Hospitality Non-Target (#)"))</f>
        <v/>
      </c>
      <c r="D84" s="93">
        <f>IF(COUNTIFS('Data - Monthly Metrics'!A:A,$B$4-1,'Data - Monthly Metrics'!B:B,"Dec",'Data - Monthly Metrics'!C:C,"Majors/NRA",'Data - Monthly Metrics'!D:D,"Billables - Hospitality Non-Target (#)")=0,"-",SUMIFS('Data - Monthly Metrics'!E:E,'Data - Monthly Metrics'!A:A,$B$4-1,'Data - Monthly Metrics'!B:B,"Dec",'Data - Monthly Metrics'!C:C,"Majors/NRA",'Data - Monthly Metrics'!D:D,"Billables - Hospitality Non-Target (#)"))</f>
        <v/>
      </c>
      <c r="E84" s="103">
        <f>IF(ISNUMBER(D84),D84,IF(ISNUMBER(C84),C84,IF(ISNUMBER(B84),B84,"-")))</f>
        <v/>
      </c>
      <c r="F84" s="93">
        <f>IF(COUNTIFS('Data - Monthly Metrics'!A:A,$B$4,'Data - Monthly Metrics'!B:B,"Jan",'Data - Monthly Metrics'!C:C,"Majors/NRA",'Data - Monthly Metrics'!D:D,"Billables - Hospitality Non-Target (#)")=0,"-",SUMIFS('Data - Monthly Metrics'!E:E,'Data - Monthly Metrics'!A:A,$B$4,'Data - Monthly Metrics'!B:B,"Jan",'Data - Monthly Metrics'!C:C,"Majors/NRA",'Data - Monthly Metrics'!D:D,"Billables - Hospitality Non-Target (#)"))</f>
        <v/>
      </c>
      <c r="G84" s="93">
        <f>IF(COUNTIFS('Data - Monthly Metrics'!A:A,$B$4,'Data - Monthly Metrics'!B:B,"Feb",'Data - Monthly Metrics'!C:C,"Majors/NRA",'Data - Monthly Metrics'!D:D,"Billables - Hospitality Non-Target (#)")=0,"-",SUMIFS('Data - Monthly Metrics'!E:E,'Data - Monthly Metrics'!A:A,$B$4,'Data - Monthly Metrics'!B:B,"Feb",'Data - Monthly Metrics'!C:C,"Majors/NRA",'Data - Monthly Metrics'!D:D,"Billables - Hospitality Non-Target (#)"))</f>
        <v/>
      </c>
      <c r="H84" s="93">
        <f>IF(COUNTIFS('Data - Monthly Metrics'!A:A,$B$4,'Data - Monthly Metrics'!B:B,"Mar",'Data - Monthly Metrics'!C:C,"Majors/NRA",'Data - Monthly Metrics'!D:D,"Billables - Hospitality Non-Target (#)")=0,"-",SUMIFS('Data - Monthly Metrics'!E:E,'Data - Monthly Metrics'!A:A,$B$4,'Data - Monthly Metrics'!B:B,"Mar",'Data - Monthly Metrics'!C:C,"Majors/NRA",'Data - Monthly Metrics'!D:D,"Billables - Hospitality Non-Target (#)"))</f>
        <v/>
      </c>
      <c r="I84" s="103">
        <f>IF(ISNUMBER(H84),H84,IF(ISNUMBER(G84),G84,IF(ISNUMBER(F84),F84,"-")))</f>
        <v/>
      </c>
      <c r="J84" s="93">
        <f>IF(COUNTIFS('Data - Monthly Metrics'!A:A,$B$4,'Data - Monthly Metrics'!B:B,"Apr",'Data - Monthly Metrics'!C:C,"Majors/NRA",'Data - Monthly Metrics'!D:D,"Billables - Hospitality Non-Target (#)")=0,"-",SUMIFS('Data - Monthly Metrics'!E:E,'Data - Monthly Metrics'!A:A,$B$4,'Data - Monthly Metrics'!B:B,"Apr",'Data - Monthly Metrics'!C:C,"Majors/NRA",'Data - Monthly Metrics'!D:D,"Billables - Hospitality Non-Target (#)"))</f>
        <v/>
      </c>
      <c r="K84" s="93">
        <f>IF(COUNTIFS('Data - Monthly Metrics'!A:A,$B$4,'Data - Monthly Metrics'!B:B,"May",'Data - Monthly Metrics'!C:C,"Majors/NRA",'Data - Monthly Metrics'!D:D,"Billables - Hospitality Non-Target (#)")=0,"-",SUMIFS('Data - Monthly Metrics'!E:E,'Data - Monthly Metrics'!A:A,$B$4,'Data - Monthly Metrics'!B:B,"May",'Data - Monthly Metrics'!C:C,"Majors/NRA",'Data - Monthly Metrics'!D:D,"Billables - Hospitality Non-Target (#)"))</f>
        <v/>
      </c>
      <c r="L84" s="93">
        <f>IF(COUNTIFS('Data - Monthly Metrics'!A:A,$B$4,'Data - Monthly Metrics'!B:B,"Jun",'Data - Monthly Metrics'!C:C,"Majors/NRA",'Data - Monthly Metrics'!D:D,"Billables - Hospitality Non-Target (#)")=0,"-",SUMIFS('Data - Monthly Metrics'!E:E,'Data - Monthly Metrics'!A:A,$B$4,'Data - Monthly Metrics'!B:B,"Jun",'Data - Monthly Metrics'!C:C,"Majors/NRA",'Data - Monthly Metrics'!D:D,"Billables - Hospitality Non-Target (#)"))</f>
        <v/>
      </c>
      <c r="M84" s="103">
        <f>IF(ISNUMBER(L84),L84,IF(ISNUMBER(K84),K84,IF(ISNUMBER(J84),J84,"-")))</f>
        <v/>
      </c>
      <c r="N84" s="93">
        <f>IF(COUNTIFS('Data - Monthly Metrics'!A:A,$B$4,'Data - Monthly Metrics'!B:B,"Jul",'Data - Monthly Metrics'!C:C,"Majors/NRA",'Data - Monthly Metrics'!D:D,"Billables - Hospitality Non-Target (#)")=0,"-",SUMIFS('Data - Monthly Metrics'!E:E,'Data - Monthly Metrics'!A:A,$B$4,'Data - Monthly Metrics'!B:B,"Jul",'Data - Monthly Metrics'!C:C,"Majors/NRA",'Data - Monthly Metrics'!D:D,"Billables - Hospitality Non-Target (#)"))</f>
        <v/>
      </c>
      <c r="O84" s="93">
        <f>IF(COUNTIFS('Data - Monthly Metrics'!A:A,$B$4,'Data - Monthly Metrics'!B:B,"Aug",'Data - Monthly Metrics'!C:C,"Majors/NRA",'Data - Monthly Metrics'!D:D,"Billables - Hospitality Non-Target (#)")=0,"-",SUMIFS('Data - Monthly Metrics'!E:E,'Data - Monthly Metrics'!A:A,$B$4,'Data - Monthly Metrics'!B:B,"Aug",'Data - Monthly Metrics'!C:C,"Majors/NRA",'Data - Monthly Metrics'!D:D,"Billables - Hospitality Non-Target (#)"))</f>
        <v/>
      </c>
      <c r="P84" s="93">
        <f>IF(COUNTIFS('Data - Monthly Metrics'!A:A,$B$4,'Data - Monthly Metrics'!B:B,"Sep",'Data - Monthly Metrics'!C:C,"Majors/NRA",'Data - Monthly Metrics'!D:D,"Billables - Hospitality Non-Target (#)")=0,"-",SUMIFS('Data - Monthly Metrics'!E:E,'Data - Monthly Metrics'!A:A,$B$4,'Data - Monthly Metrics'!B:B,"Sep",'Data - Monthly Metrics'!C:C,"Majors/NRA",'Data - Monthly Metrics'!D:D,"Billables - Hospitality Non-Target (#)"))</f>
        <v/>
      </c>
      <c r="Q84" s="103">
        <f>IF(ISNUMBER(P84),P84,IF(ISNUMBER(O84),O84,IF(ISNUMBER(N84),N84,"-")))</f>
        <v/>
      </c>
      <c r="R84" s="103">
        <f>IF(ISNUMBER(Q84),Q84,IF(ISNUMBER(M84),M84,IF(ISNUMBER(I84),I84,IF(ISNUMBER(E84),E84,"-"))))</f>
        <v/>
      </c>
    </row>
    <row r="85" ht="14.25" customHeight="1" s="82">
      <c r="A85" s="89" t="inlineStr">
        <is>
          <t>Member Locations (#)</t>
        </is>
      </c>
      <c r="B85" s="93">
        <f>IF(COUNTIFS('Data - Monthly Metrics'!A:A,$B$4-1,'Data - Monthly Metrics'!B:B,"Oct",'Data - Monthly Metrics'!C:C,"Majors/NRA",'Data - Monthly Metrics'!D:D,"Member Locations - Non-Target (#)")=0,"-",SUMIFS('Data - Monthly Metrics'!E:E,'Data - Monthly Metrics'!A:A,$B$4-1,'Data - Monthly Metrics'!B:B,"Oct",'Data - Monthly Metrics'!C:C,"Majors/NRA",'Data - Monthly Metrics'!D:D,"Member Locations - Non-Target (#)"))</f>
        <v/>
      </c>
      <c r="C85" s="93">
        <f>IF(COUNTIFS('Data - Monthly Metrics'!A:A,$B$4-1,'Data - Monthly Metrics'!B:B,"Nov",'Data - Monthly Metrics'!C:C,"Majors/NRA",'Data - Monthly Metrics'!D:D,"Member Locations - Non-Target (#)")=0,"-",SUMIFS('Data - Monthly Metrics'!E:E,'Data - Monthly Metrics'!A:A,$B$4-1,'Data - Monthly Metrics'!B:B,"Nov",'Data - Monthly Metrics'!C:C,"Majors/NRA",'Data - Monthly Metrics'!D:D,"Member Locations - Non-Target (#)"))</f>
        <v/>
      </c>
      <c r="D85" s="93">
        <f>IF(COUNTIFS('Data - Monthly Metrics'!A:A,$B$4-1,'Data - Monthly Metrics'!B:B,"Dec",'Data - Monthly Metrics'!C:C,"Majors/NRA",'Data - Monthly Metrics'!D:D,"Member Locations - Non-Target (#)")=0,"-",SUMIFS('Data - Monthly Metrics'!E:E,'Data - Monthly Metrics'!A:A,$B$4-1,'Data - Monthly Metrics'!B:B,"Dec",'Data - Monthly Metrics'!C:C,"Majors/NRA",'Data - Monthly Metrics'!D:D,"Member Locations - Non-Target (#)"))</f>
        <v/>
      </c>
      <c r="E85" s="103">
        <f>IF(ISNUMBER(D85),D85,IF(ISNUMBER(C85),C85,IF(ISNUMBER(B85),B85,"-")))</f>
        <v/>
      </c>
      <c r="F85" s="93">
        <f>IF(COUNTIFS('Data - Monthly Metrics'!A:A,$B$4,'Data - Monthly Metrics'!B:B,"Jan",'Data - Monthly Metrics'!C:C,"Majors/NRA",'Data - Monthly Metrics'!D:D,"Member Locations - Non-Target (#)")=0,"-",SUMIFS('Data - Monthly Metrics'!E:E,'Data - Monthly Metrics'!A:A,$B$4,'Data - Monthly Metrics'!B:B,"Jan",'Data - Monthly Metrics'!C:C,"Majors/NRA",'Data - Monthly Metrics'!D:D,"Member Locations - Non-Target (#)"))</f>
        <v/>
      </c>
      <c r="G85" s="93">
        <f>IF(COUNTIFS('Data - Monthly Metrics'!A:A,$B$4,'Data - Monthly Metrics'!B:B,"Feb",'Data - Monthly Metrics'!C:C,"Majors/NRA",'Data - Monthly Metrics'!D:D,"Member Locations - Non-Target (#)")=0,"-",SUMIFS('Data - Monthly Metrics'!E:E,'Data - Monthly Metrics'!A:A,$B$4,'Data - Monthly Metrics'!B:B,"Feb",'Data - Monthly Metrics'!C:C,"Majors/NRA",'Data - Monthly Metrics'!D:D,"Member Locations - Non-Target (#)"))</f>
        <v/>
      </c>
      <c r="H85" s="93">
        <f>IF(COUNTIFS('Data - Monthly Metrics'!A:A,$B$4,'Data - Monthly Metrics'!B:B,"Mar",'Data - Monthly Metrics'!C:C,"Majors/NRA",'Data - Monthly Metrics'!D:D,"Member Locations - Non-Target (#)")=0,"-",SUMIFS('Data - Monthly Metrics'!E:E,'Data - Monthly Metrics'!A:A,$B$4,'Data - Monthly Metrics'!B:B,"Mar",'Data - Monthly Metrics'!C:C,"Majors/NRA",'Data - Monthly Metrics'!D:D,"Member Locations - Non-Target (#)"))</f>
        <v/>
      </c>
      <c r="I85" s="103">
        <f>IF(ISNUMBER(H85),H85,IF(ISNUMBER(G85),G85,IF(ISNUMBER(F85),F85,"-")))</f>
        <v/>
      </c>
      <c r="J85" s="93">
        <f>IF(COUNTIFS('Data - Monthly Metrics'!A:A,$B$4,'Data - Monthly Metrics'!B:B,"Apr",'Data - Monthly Metrics'!C:C,"Majors/NRA",'Data - Monthly Metrics'!D:D,"Member Locations - Non-Target (#)")=0,"-",SUMIFS('Data - Monthly Metrics'!E:E,'Data - Monthly Metrics'!A:A,$B$4,'Data - Monthly Metrics'!B:B,"Apr",'Data - Monthly Metrics'!C:C,"Majors/NRA",'Data - Monthly Metrics'!D:D,"Member Locations - Non-Target (#)"))</f>
        <v/>
      </c>
      <c r="K85" s="93">
        <f>IF(COUNTIFS('Data - Monthly Metrics'!A:A,$B$4,'Data - Monthly Metrics'!B:B,"May",'Data - Monthly Metrics'!C:C,"Majors/NRA",'Data - Monthly Metrics'!D:D,"Member Locations - Non-Target (#)")=0,"-",SUMIFS('Data - Monthly Metrics'!E:E,'Data - Monthly Metrics'!A:A,$B$4,'Data - Monthly Metrics'!B:B,"May",'Data - Monthly Metrics'!C:C,"Majors/NRA",'Data - Monthly Metrics'!D:D,"Member Locations - Non-Target (#)"))</f>
        <v/>
      </c>
      <c r="L85" s="93">
        <f>IF(COUNTIFS('Data - Monthly Metrics'!A:A,$B$4,'Data - Monthly Metrics'!B:B,"Jun",'Data - Monthly Metrics'!C:C,"Majors/NRA",'Data - Monthly Metrics'!D:D,"Member Locations - Non-Target (#)")=0,"-",SUMIFS('Data - Monthly Metrics'!E:E,'Data - Monthly Metrics'!A:A,$B$4,'Data - Monthly Metrics'!B:B,"Jun",'Data - Monthly Metrics'!C:C,"Majors/NRA",'Data - Monthly Metrics'!D:D,"Member Locations - Non-Target (#)"))</f>
        <v/>
      </c>
      <c r="M85" s="103">
        <f>IF(ISNUMBER(L85),L85,IF(ISNUMBER(K85),K85,IF(ISNUMBER(J85),J85,"-")))</f>
        <v/>
      </c>
      <c r="N85" s="93">
        <f>IF(COUNTIFS('Data - Monthly Metrics'!A:A,$B$4,'Data - Monthly Metrics'!B:B,"Jul",'Data - Monthly Metrics'!C:C,"Majors/NRA",'Data - Monthly Metrics'!D:D,"Member Locations - Non-Target (#)")=0,"-",SUMIFS('Data - Monthly Metrics'!E:E,'Data - Monthly Metrics'!A:A,$B$4,'Data - Monthly Metrics'!B:B,"Jul",'Data - Monthly Metrics'!C:C,"Majors/NRA",'Data - Monthly Metrics'!D:D,"Member Locations - Non-Target (#)"))</f>
        <v/>
      </c>
      <c r="O85" s="93">
        <f>IF(COUNTIFS('Data - Monthly Metrics'!A:A,$B$4,'Data - Monthly Metrics'!B:B,"Aug",'Data - Monthly Metrics'!C:C,"Majors/NRA",'Data - Monthly Metrics'!D:D,"Member Locations - Non-Target (#)")=0,"-",SUMIFS('Data - Monthly Metrics'!E:E,'Data - Monthly Metrics'!A:A,$B$4,'Data - Monthly Metrics'!B:B,"Aug",'Data - Monthly Metrics'!C:C,"Majors/NRA",'Data - Monthly Metrics'!D:D,"Member Locations - Non-Target (#)"))</f>
        <v/>
      </c>
      <c r="P85" s="93">
        <f>IF(COUNTIFS('Data - Monthly Metrics'!A:A,$B$4,'Data - Monthly Metrics'!B:B,"Sep",'Data - Monthly Metrics'!C:C,"Majors/NRA",'Data - Monthly Metrics'!D:D,"Member Locations - Non-Target (#)")=0,"-",SUMIFS('Data - Monthly Metrics'!E:E,'Data - Monthly Metrics'!A:A,$B$4,'Data - Monthly Metrics'!B:B,"Sep",'Data - Monthly Metrics'!C:C,"Majors/NRA",'Data - Monthly Metrics'!D:D,"Member Locations - Non-Target (#)"))</f>
        <v/>
      </c>
      <c r="Q85" s="103">
        <f>IF(ISNUMBER(P85),P85,IF(ISNUMBER(O85),O85,IF(ISNUMBER(N85),N85,"-")))</f>
        <v/>
      </c>
      <c r="R85" s="103">
        <f>IF(ISNUMBER(Q85),Q85,IF(ISNUMBER(M85),M85,IF(ISNUMBER(I85),I85,IF(ISNUMBER(E85),E85,"-"))))</f>
        <v/>
      </c>
    </row>
    <row r="86" ht="14.25" customHeight="1" s="82">
      <c r="A86" s="94" t="inlineStr">
        <is>
          <t>Allied (#)</t>
        </is>
      </c>
      <c r="B86" s="98">
        <f>IF(COUNTIFS('Data - Monthly Metrics'!A:A,$B$4-1,'Data - Monthly Metrics'!B:B,"Oct",'Data - Monthly Metrics'!C:C,"Majors/NRA",'Data - Monthly Metrics'!D:D,"Billables - Allied (#)")=0,"-",SUMIFS('Data - Monthly Metrics'!E:E,'Data - Monthly Metrics'!A:A,$B$4-1,'Data - Monthly Metrics'!B:B,"Oct",'Data - Monthly Metrics'!C:C,"Majors/NRA",'Data - Monthly Metrics'!D:D,"Billables - Allied (#)"))</f>
        <v/>
      </c>
      <c r="C86" s="98">
        <f>IF(COUNTIFS('Data - Monthly Metrics'!A:A,$B$4-1,'Data - Monthly Metrics'!B:B,"Nov",'Data - Monthly Metrics'!C:C,"Majors/NRA",'Data - Monthly Metrics'!D:D,"Billables - Allied (#)")=0,"-",SUMIFS('Data - Monthly Metrics'!E:E,'Data - Monthly Metrics'!A:A,$B$4-1,'Data - Monthly Metrics'!B:B,"Nov",'Data - Monthly Metrics'!C:C,"Majors/NRA",'Data - Monthly Metrics'!D:D,"Billables - Allied (#)"))</f>
        <v/>
      </c>
      <c r="D86" s="98">
        <f>IF(COUNTIFS('Data - Monthly Metrics'!A:A,$B$4-1,'Data - Monthly Metrics'!B:B,"Dec",'Data - Monthly Metrics'!C:C,"Majors/NRA",'Data - Monthly Metrics'!D:D,"Billables - Allied (#)")=0,"-",SUMIFS('Data - Monthly Metrics'!E:E,'Data - Monthly Metrics'!A:A,$B$4-1,'Data - Monthly Metrics'!B:B,"Dec",'Data - Monthly Metrics'!C:C,"Majors/NRA",'Data - Monthly Metrics'!D:D,"Billables - Allied (#)"))</f>
        <v/>
      </c>
      <c r="E86" s="103">
        <f>IF(ISNUMBER(D86),D86,IF(ISNUMBER(C86),C86,IF(ISNUMBER(B86),B86,"-")))</f>
        <v/>
      </c>
      <c r="F86" s="98">
        <f>IF(COUNTIFS('Data - Monthly Metrics'!A:A,$B$4,'Data - Monthly Metrics'!B:B,"Jan",'Data - Monthly Metrics'!C:C,"Majors/NRA",'Data - Monthly Metrics'!D:D,"Billables - Allied (#)")=0,"-",SUMIFS('Data - Monthly Metrics'!E:E,'Data - Monthly Metrics'!A:A,$B$4,'Data - Monthly Metrics'!B:B,"Jan",'Data - Monthly Metrics'!C:C,"Majors/NRA",'Data - Monthly Metrics'!D:D,"Billables - Allied (#)"))</f>
        <v/>
      </c>
      <c r="G86" s="98">
        <f>IF(COUNTIFS('Data - Monthly Metrics'!A:A,$B$4,'Data - Monthly Metrics'!B:B,"Feb",'Data - Monthly Metrics'!C:C,"Majors/NRA",'Data - Monthly Metrics'!D:D,"Billables - Allied (#)")=0,"-",SUMIFS('Data - Monthly Metrics'!E:E,'Data - Monthly Metrics'!A:A,$B$4,'Data - Monthly Metrics'!B:B,"Feb",'Data - Monthly Metrics'!C:C,"Majors/NRA",'Data - Monthly Metrics'!D:D,"Billables - Allied (#)"))</f>
        <v/>
      </c>
      <c r="H86" s="98">
        <f>IF(COUNTIFS('Data - Monthly Metrics'!A:A,$B$4,'Data - Monthly Metrics'!B:B,"Mar",'Data - Monthly Metrics'!C:C,"Majors/NRA",'Data - Monthly Metrics'!D:D,"Billables - Allied (#)")=0,"-",SUMIFS('Data - Monthly Metrics'!E:E,'Data - Monthly Metrics'!A:A,$B$4,'Data - Monthly Metrics'!B:B,"Mar",'Data - Monthly Metrics'!C:C,"Majors/NRA",'Data - Monthly Metrics'!D:D,"Billables - Allied (#)"))</f>
        <v/>
      </c>
      <c r="I86" s="103">
        <f>IF(ISNUMBER(H86),H86,IF(ISNUMBER(G86),G86,IF(ISNUMBER(F86),F86,"-")))</f>
        <v/>
      </c>
      <c r="J86" s="98">
        <f>IF(COUNTIFS('Data - Monthly Metrics'!A:A,$B$4,'Data - Monthly Metrics'!B:B,"Apr",'Data - Monthly Metrics'!C:C,"Majors/NRA",'Data - Monthly Metrics'!D:D,"Billables - Allied (#)")=0,"-",SUMIFS('Data - Monthly Metrics'!E:E,'Data - Monthly Metrics'!A:A,$B$4,'Data - Monthly Metrics'!B:B,"Apr",'Data - Monthly Metrics'!C:C,"Majors/NRA",'Data - Monthly Metrics'!D:D,"Billables - Allied (#)"))</f>
        <v/>
      </c>
      <c r="K86" s="98">
        <f>IF(COUNTIFS('Data - Monthly Metrics'!A:A,$B$4,'Data - Monthly Metrics'!B:B,"May",'Data - Monthly Metrics'!C:C,"Majors/NRA",'Data - Monthly Metrics'!D:D,"Billables - Allied (#)")=0,"-",SUMIFS('Data - Monthly Metrics'!E:E,'Data - Monthly Metrics'!A:A,$B$4,'Data - Monthly Metrics'!B:B,"May",'Data - Monthly Metrics'!C:C,"Majors/NRA",'Data - Monthly Metrics'!D:D,"Billables - Allied (#)"))</f>
        <v/>
      </c>
      <c r="L86" s="98">
        <f>IF(COUNTIFS('Data - Monthly Metrics'!A:A,$B$4,'Data - Monthly Metrics'!B:B,"Jun",'Data - Monthly Metrics'!C:C,"Majors/NRA",'Data - Monthly Metrics'!D:D,"Billables - Allied (#)")=0,"-",SUMIFS('Data - Monthly Metrics'!E:E,'Data - Monthly Metrics'!A:A,$B$4,'Data - Monthly Metrics'!B:B,"Jun",'Data - Monthly Metrics'!C:C,"Majors/NRA",'Data - Monthly Metrics'!D:D,"Billables - Allied (#)"))</f>
        <v/>
      </c>
      <c r="M86" s="103">
        <f>IF(ISNUMBER(L86),L86,IF(ISNUMBER(K86),K86,IF(ISNUMBER(J86),J86,"-")))</f>
        <v/>
      </c>
      <c r="N86" s="98">
        <f>IF(COUNTIFS('Data - Monthly Metrics'!A:A,$B$4,'Data - Monthly Metrics'!B:B,"Jul",'Data - Monthly Metrics'!C:C,"Majors/NRA",'Data - Monthly Metrics'!D:D,"Billables - Allied (#)")=0,"-",SUMIFS('Data - Monthly Metrics'!E:E,'Data - Monthly Metrics'!A:A,$B$4,'Data - Monthly Metrics'!B:B,"Jul",'Data - Monthly Metrics'!C:C,"Majors/NRA",'Data - Monthly Metrics'!D:D,"Billables - Allied (#)"))</f>
        <v/>
      </c>
      <c r="O86" s="98">
        <f>IF(COUNTIFS('Data - Monthly Metrics'!A:A,$B$4,'Data - Monthly Metrics'!B:B,"Aug",'Data - Monthly Metrics'!C:C,"Majors/NRA",'Data - Monthly Metrics'!D:D,"Billables - Allied (#)")=0,"-",SUMIFS('Data - Monthly Metrics'!E:E,'Data - Monthly Metrics'!A:A,$B$4,'Data - Monthly Metrics'!B:B,"Aug",'Data - Monthly Metrics'!C:C,"Majors/NRA",'Data - Monthly Metrics'!D:D,"Billables - Allied (#)"))</f>
        <v/>
      </c>
      <c r="P86" s="98">
        <f>IF(COUNTIFS('Data - Monthly Metrics'!A:A,$B$4,'Data - Monthly Metrics'!B:B,"Sep",'Data - Monthly Metrics'!C:C,"Majors/NRA",'Data - Monthly Metrics'!D:D,"Billables - Allied (#)")=0,"-",SUMIFS('Data - Monthly Metrics'!E:E,'Data - Monthly Metrics'!A:A,$B$4,'Data - Monthly Metrics'!B:B,"Sep",'Data - Monthly Metrics'!C:C,"Majors/NRA",'Data - Monthly Metrics'!D:D,"Billables - Allied (#)"))</f>
        <v/>
      </c>
      <c r="Q86" s="103">
        <f>IF(ISNUMBER(P86),P86,IF(ISNUMBER(O86),O86,IF(ISNUMBER(N86),N86,"-")))</f>
        <v/>
      </c>
      <c r="R86" s="103">
        <f>IF(ISNUMBER(Q86),Q86,IF(ISNUMBER(M86),M86,IF(ISNUMBER(I86),I86,IF(ISNUMBER(E86),E86,"-"))))</f>
        <v/>
      </c>
    </row>
    <row r="87" ht="14.25" customHeight="1" s="82">
      <c r="A87" s="89" t="inlineStr">
        <is>
          <t>TOTAL Non-Target + Allied</t>
        </is>
      </c>
      <c r="B87" s="93">
        <f>IF(OR(ISNUMBER(B84),ISNUMBER(B86)),N(B84)+N(B86),"-")</f>
        <v/>
      </c>
      <c r="C87" s="93">
        <f>IF(OR(ISNUMBER(C84),ISNUMBER(C86)),N(C84)+N(C86),"-")</f>
        <v/>
      </c>
      <c r="D87" s="93">
        <f>IF(OR(ISNUMBER(D84),ISNUMBER(D86)),N(D84)+N(D86),"-")</f>
        <v/>
      </c>
      <c r="E87" s="103">
        <f>IF(ISNUMBER(D87),D87,IF(ISNUMBER(C87),C87,IF(ISNUMBER(B87),B87,"-")))</f>
        <v/>
      </c>
      <c r="F87" s="93">
        <f>IF(OR(ISNUMBER(F84),ISNUMBER(F86)),N(F84)+N(F86),"-")</f>
        <v/>
      </c>
      <c r="G87" s="93">
        <f>IF(OR(ISNUMBER(G84),ISNUMBER(G86)),N(G84)+N(G86),"-")</f>
        <v/>
      </c>
      <c r="H87" s="93">
        <f>IF(OR(ISNUMBER(H84),ISNUMBER(H86)),N(H84)+N(H86),"-")</f>
        <v/>
      </c>
      <c r="I87" s="103">
        <f>IF(ISNUMBER(H87),H87,IF(ISNUMBER(G87),G87,IF(ISNUMBER(F87),F87,"-")))</f>
        <v/>
      </c>
      <c r="J87" s="93">
        <f>IF(OR(ISNUMBER(J84),ISNUMBER(J86)),N(J84)+N(J86),"-")</f>
        <v/>
      </c>
      <c r="K87" s="93">
        <f>IF(OR(ISNUMBER(K84),ISNUMBER(K86)),N(K84)+N(K86),"-")</f>
        <v/>
      </c>
      <c r="L87" s="93">
        <f>IF(OR(ISNUMBER(L84),ISNUMBER(L86)),N(L84)+N(L86),"-")</f>
        <v/>
      </c>
      <c r="M87" s="103">
        <f>IF(ISNUMBER(L87),L87,IF(ISNUMBER(K87),K87,IF(ISNUMBER(J87),J87,"-")))</f>
        <v/>
      </c>
      <c r="N87" s="93">
        <f>IF(OR(ISNUMBER(N84),ISNUMBER(N86)),N(N84)+N(N86),"-")</f>
        <v/>
      </c>
      <c r="O87" s="93">
        <f>IF(OR(ISNUMBER(O84),ISNUMBER(O86)),N(O84)+N(O86),"-")</f>
        <v/>
      </c>
      <c r="P87" s="93">
        <f>IF(OR(ISNUMBER(P84),ISNUMBER(P86)),N(P84)+N(P86),"-")</f>
        <v/>
      </c>
      <c r="Q87" s="103">
        <f>IF(ISNUMBER(P87),P87,IF(ISNUMBER(O87),O87,IF(ISNUMBER(N87),N87,"-")))</f>
        <v/>
      </c>
      <c r="R87" s="103">
        <f>IF(ISNUMBER(Q87),Q87,IF(ISNUMBER(M87),M87,IF(ISNUMBER(I87),I87,IF(ISNUMBER(E87),E87,"-"))))</f>
        <v/>
      </c>
    </row>
    <row r="88"/>
    <row r="89" ht="21.75" customHeight="1" s="82">
      <c r="A89" s="87" t="inlineStr">
        <is>
          <t xml:space="preserve">  ▶   N3.  RETENTION — Non-Target</t>
        </is>
      </c>
    </row>
    <row r="90" ht="14.25" customHeight="1" s="82">
      <c r="A90" s="88" t="inlineStr">
        <is>
          <t>Metric</t>
        </is>
      </c>
      <c r="B90" s="88" t="inlineStr">
        <is>
          <t>Oct</t>
        </is>
      </c>
      <c r="C90" s="88" t="inlineStr">
        <is>
          <t>Nov</t>
        </is>
      </c>
      <c r="D90" s="88" t="inlineStr">
        <is>
          <t>Dec</t>
        </is>
      </c>
      <c r="E90" s="88" t="inlineStr">
        <is>
          <t>Q1</t>
        </is>
      </c>
      <c r="F90" s="88" t="inlineStr">
        <is>
          <t>Jan</t>
        </is>
      </c>
      <c r="G90" s="88" t="inlineStr">
        <is>
          <t>Feb</t>
        </is>
      </c>
      <c r="H90" s="88" t="inlineStr">
        <is>
          <t>Mar</t>
        </is>
      </c>
      <c r="I90" s="88" t="inlineStr">
        <is>
          <t>Q2</t>
        </is>
      </c>
      <c r="J90" s="88" t="inlineStr">
        <is>
          <t>Apr</t>
        </is>
      </c>
      <c r="K90" s="88" t="inlineStr">
        <is>
          <t>May</t>
        </is>
      </c>
      <c r="L90" s="88" t="inlineStr">
        <is>
          <t>Jun</t>
        </is>
      </c>
      <c r="M90" s="88" t="inlineStr">
        <is>
          <t>Q3</t>
        </is>
      </c>
      <c r="N90" s="88" t="inlineStr">
        <is>
          <t>Jul</t>
        </is>
      </c>
      <c r="O90" s="88" t="inlineStr">
        <is>
          <t>Aug</t>
        </is>
      </c>
      <c r="P90" s="88" t="inlineStr">
        <is>
          <t>Sep</t>
        </is>
      </c>
      <c r="Q90" s="88" t="inlineStr">
        <is>
          <t>Q4</t>
        </is>
      </c>
      <c r="R90" s="88" t="inlineStr">
        <is>
          <t>YTD</t>
        </is>
      </c>
    </row>
    <row r="91" ht="14.25" customHeight="1" s="82">
      <c r="A91" s="89" t="inlineStr">
        <is>
          <t>Up for Renewal - Non-Target (#)</t>
        </is>
      </c>
      <c r="B91" s="93">
        <f>IF(COUNTIFS('Data - Monthly Metrics'!A:A,$B$4-1,'Data - Monthly Metrics'!B:B,"Oct",'Data - Monthly Metrics'!C:C,"Majors/NRA",'Data - Monthly Metrics'!D:D,"Members Up for Renewal - Non-Target (#)")=0,"-",SUMIFS('Data - Monthly Metrics'!E:E,'Data - Monthly Metrics'!A:A,$B$4-1,'Data - Monthly Metrics'!B:B,"Oct",'Data - Monthly Metrics'!C:C,"Majors/NRA",'Data - Monthly Metrics'!D:D,"Members Up for Renewal - Non-Target (#)"))</f>
        <v/>
      </c>
      <c r="C91" s="93">
        <f>IF(COUNTIFS('Data - Monthly Metrics'!A:A,$B$4-1,'Data - Monthly Metrics'!B:B,"Nov",'Data - Monthly Metrics'!C:C,"Majors/NRA",'Data - Monthly Metrics'!D:D,"Members Up for Renewal - Non-Target (#)")=0,"-",SUMIFS('Data - Monthly Metrics'!E:E,'Data - Monthly Metrics'!A:A,$B$4-1,'Data - Monthly Metrics'!B:B,"Nov",'Data - Monthly Metrics'!C:C,"Majors/NRA",'Data - Monthly Metrics'!D:D,"Members Up for Renewal - Non-Target (#)"))</f>
        <v/>
      </c>
      <c r="D91" s="93">
        <f>IF(COUNTIFS('Data - Monthly Metrics'!A:A,$B$4-1,'Data - Monthly Metrics'!B:B,"Dec",'Data - Monthly Metrics'!C:C,"Majors/NRA",'Data - Monthly Metrics'!D:D,"Members Up for Renewal - Non-Target (#)")=0,"-",SUMIFS('Data - Monthly Metrics'!E:E,'Data - Monthly Metrics'!A:A,$B$4-1,'Data - Monthly Metrics'!B:B,"Dec",'Data - Monthly Metrics'!C:C,"Majors/NRA",'Data - Monthly Metrics'!D:D,"Members Up for Renewal - Non-Target (#)"))</f>
        <v/>
      </c>
      <c r="E91" s="103">
        <f>SUM(B91,C91,D91)</f>
        <v/>
      </c>
      <c r="F91" s="93">
        <f>IF(COUNTIFS('Data - Monthly Metrics'!A:A,$B$4,'Data - Monthly Metrics'!B:B,"Jan",'Data - Monthly Metrics'!C:C,"Majors/NRA",'Data - Monthly Metrics'!D:D,"Members Up for Renewal - Non-Target (#)")=0,"-",SUMIFS('Data - Monthly Metrics'!E:E,'Data - Monthly Metrics'!A:A,$B$4,'Data - Monthly Metrics'!B:B,"Jan",'Data - Monthly Metrics'!C:C,"Majors/NRA",'Data - Monthly Metrics'!D:D,"Members Up for Renewal - Non-Target (#)"))</f>
        <v/>
      </c>
      <c r="G91" s="93">
        <f>IF(COUNTIFS('Data - Monthly Metrics'!A:A,$B$4,'Data - Monthly Metrics'!B:B,"Feb",'Data - Monthly Metrics'!C:C,"Majors/NRA",'Data - Monthly Metrics'!D:D,"Members Up for Renewal - Non-Target (#)")=0,"-",SUMIFS('Data - Monthly Metrics'!E:E,'Data - Monthly Metrics'!A:A,$B$4,'Data - Monthly Metrics'!B:B,"Feb",'Data - Monthly Metrics'!C:C,"Majors/NRA",'Data - Monthly Metrics'!D:D,"Members Up for Renewal - Non-Target (#)"))</f>
        <v/>
      </c>
      <c r="H91" s="93">
        <f>IF(COUNTIFS('Data - Monthly Metrics'!A:A,$B$4,'Data - Monthly Metrics'!B:B,"Mar",'Data - Monthly Metrics'!C:C,"Majors/NRA",'Data - Monthly Metrics'!D:D,"Members Up for Renewal - Non-Target (#)")=0,"-",SUMIFS('Data - Monthly Metrics'!E:E,'Data - Monthly Metrics'!A:A,$B$4,'Data - Monthly Metrics'!B:B,"Mar",'Data - Monthly Metrics'!C:C,"Majors/NRA",'Data - Monthly Metrics'!D:D,"Members Up for Renewal - Non-Target (#)"))</f>
        <v/>
      </c>
      <c r="I91" s="103">
        <f>SUM(F91,G91,H91)</f>
        <v/>
      </c>
      <c r="J91" s="93">
        <f>IF(COUNTIFS('Data - Monthly Metrics'!A:A,$B$4,'Data - Monthly Metrics'!B:B,"Apr",'Data - Monthly Metrics'!C:C,"Majors/NRA",'Data - Monthly Metrics'!D:D,"Members Up for Renewal - Non-Target (#)")=0,"-",SUMIFS('Data - Monthly Metrics'!E:E,'Data - Monthly Metrics'!A:A,$B$4,'Data - Monthly Metrics'!B:B,"Apr",'Data - Monthly Metrics'!C:C,"Majors/NRA",'Data - Monthly Metrics'!D:D,"Members Up for Renewal - Non-Target (#)"))</f>
        <v/>
      </c>
      <c r="K91" s="93">
        <f>IF(COUNTIFS('Data - Monthly Metrics'!A:A,$B$4,'Data - Monthly Metrics'!B:B,"May",'Data - Monthly Metrics'!C:C,"Majors/NRA",'Data - Monthly Metrics'!D:D,"Members Up for Renewal - Non-Target (#)")=0,"-",SUMIFS('Data - Monthly Metrics'!E:E,'Data - Monthly Metrics'!A:A,$B$4,'Data - Monthly Metrics'!B:B,"May",'Data - Monthly Metrics'!C:C,"Majors/NRA",'Data - Monthly Metrics'!D:D,"Members Up for Renewal - Non-Target (#)"))</f>
        <v/>
      </c>
      <c r="L91" s="93">
        <f>IF(COUNTIFS('Data - Monthly Metrics'!A:A,$B$4,'Data - Monthly Metrics'!B:B,"Jun",'Data - Monthly Metrics'!C:C,"Majors/NRA",'Data - Monthly Metrics'!D:D,"Members Up for Renewal - Non-Target (#)")=0,"-",SUMIFS('Data - Monthly Metrics'!E:E,'Data - Monthly Metrics'!A:A,$B$4,'Data - Monthly Metrics'!B:B,"Jun",'Data - Monthly Metrics'!C:C,"Majors/NRA",'Data - Monthly Metrics'!D:D,"Members Up for Renewal - Non-Target (#)"))</f>
        <v/>
      </c>
      <c r="M91" s="103">
        <f>SUM(J91,K91,L91)</f>
        <v/>
      </c>
      <c r="N91" s="93">
        <f>IF(COUNTIFS('Data - Monthly Metrics'!A:A,$B$4,'Data - Monthly Metrics'!B:B,"Jul",'Data - Monthly Metrics'!C:C,"Majors/NRA",'Data - Monthly Metrics'!D:D,"Members Up for Renewal - Non-Target (#)")=0,"-",SUMIFS('Data - Monthly Metrics'!E:E,'Data - Monthly Metrics'!A:A,$B$4,'Data - Monthly Metrics'!B:B,"Jul",'Data - Monthly Metrics'!C:C,"Majors/NRA",'Data - Monthly Metrics'!D:D,"Members Up for Renewal - Non-Target (#)"))</f>
        <v/>
      </c>
      <c r="O91" s="93">
        <f>IF(COUNTIFS('Data - Monthly Metrics'!A:A,$B$4,'Data - Monthly Metrics'!B:B,"Aug",'Data - Monthly Metrics'!C:C,"Majors/NRA",'Data - Monthly Metrics'!D:D,"Members Up for Renewal - Non-Target (#)")=0,"-",SUMIFS('Data - Monthly Metrics'!E:E,'Data - Monthly Metrics'!A:A,$B$4,'Data - Monthly Metrics'!B:B,"Aug",'Data - Monthly Metrics'!C:C,"Majors/NRA",'Data - Monthly Metrics'!D:D,"Members Up for Renewal - Non-Target (#)"))</f>
        <v/>
      </c>
      <c r="P91" s="93">
        <f>IF(COUNTIFS('Data - Monthly Metrics'!A:A,$B$4,'Data - Monthly Metrics'!B:B,"Sep",'Data - Monthly Metrics'!C:C,"Majors/NRA",'Data - Monthly Metrics'!D:D,"Members Up for Renewal - Non-Target (#)")=0,"-",SUMIFS('Data - Monthly Metrics'!E:E,'Data - Monthly Metrics'!A:A,$B$4,'Data - Monthly Metrics'!B:B,"Sep",'Data - Monthly Metrics'!C:C,"Majors/NRA",'Data - Monthly Metrics'!D:D,"Members Up for Renewal - Non-Target (#)"))</f>
        <v/>
      </c>
      <c r="Q91" s="103">
        <f>SUM(N91,O91,P91)</f>
        <v/>
      </c>
      <c r="R91" s="103">
        <f>E91+I91+M91+Q91</f>
        <v/>
      </c>
    </row>
    <row r="92" ht="14.25" customHeight="1" s="82">
      <c r="A92" s="94" t="inlineStr">
        <is>
          <t>Retained - Non-Target (#)</t>
        </is>
      </c>
      <c r="B92" s="98">
        <f>IF(COUNTIFS('Data - Monthly Metrics'!A:A,$B$4-1,'Data - Monthly Metrics'!B:B,"Oct",'Data - Monthly Metrics'!C:C,"Majors/NRA",'Data - Monthly Metrics'!D:D,"Members Retained - Non-Target (#)")=0,"-",SUMIFS('Data - Monthly Metrics'!E:E,'Data - Monthly Metrics'!A:A,$B$4-1,'Data - Monthly Metrics'!B:B,"Oct",'Data - Monthly Metrics'!C:C,"Majors/NRA",'Data - Monthly Metrics'!D:D,"Members Retained - Non-Target (#)"))</f>
        <v/>
      </c>
      <c r="C92" s="98">
        <f>IF(COUNTIFS('Data - Monthly Metrics'!A:A,$B$4-1,'Data - Monthly Metrics'!B:B,"Nov",'Data - Monthly Metrics'!C:C,"Majors/NRA",'Data - Monthly Metrics'!D:D,"Members Retained - Non-Target (#)")=0,"-",SUMIFS('Data - Monthly Metrics'!E:E,'Data - Monthly Metrics'!A:A,$B$4-1,'Data - Monthly Metrics'!B:B,"Nov",'Data - Monthly Metrics'!C:C,"Majors/NRA",'Data - Monthly Metrics'!D:D,"Members Retained - Non-Target (#)"))</f>
        <v/>
      </c>
      <c r="D92" s="98">
        <f>IF(COUNTIFS('Data - Monthly Metrics'!A:A,$B$4-1,'Data - Monthly Metrics'!B:B,"Dec",'Data - Monthly Metrics'!C:C,"Majors/NRA",'Data - Monthly Metrics'!D:D,"Members Retained - Non-Target (#)")=0,"-",SUMIFS('Data - Monthly Metrics'!E:E,'Data - Monthly Metrics'!A:A,$B$4-1,'Data - Monthly Metrics'!B:B,"Dec",'Data - Monthly Metrics'!C:C,"Majors/NRA",'Data - Monthly Metrics'!D:D,"Members Retained - Non-Target (#)"))</f>
        <v/>
      </c>
      <c r="E92" s="103">
        <f>SUM(B92,C92,D92)</f>
        <v/>
      </c>
      <c r="F92" s="98">
        <f>IF(COUNTIFS('Data - Monthly Metrics'!A:A,$B$4,'Data - Monthly Metrics'!B:B,"Jan",'Data - Monthly Metrics'!C:C,"Majors/NRA",'Data - Monthly Metrics'!D:D,"Members Retained - Non-Target (#)")=0,"-",SUMIFS('Data - Monthly Metrics'!E:E,'Data - Monthly Metrics'!A:A,$B$4,'Data - Monthly Metrics'!B:B,"Jan",'Data - Monthly Metrics'!C:C,"Majors/NRA",'Data - Monthly Metrics'!D:D,"Members Retained - Non-Target (#)"))</f>
        <v/>
      </c>
      <c r="G92" s="98">
        <f>IF(COUNTIFS('Data - Monthly Metrics'!A:A,$B$4,'Data - Monthly Metrics'!B:B,"Feb",'Data - Monthly Metrics'!C:C,"Majors/NRA",'Data - Monthly Metrics'!D:D,"Members Retained - Non-Target (#)")=0,"-",SUMIFS('Data - Monthly Metrics'!E:E,'Data - Monthly Metrics'!A:A,$B$4,'Data - Monthly Metrics'!B:B,"Feb",'Data - Monthly Metrics'!C:C,"Majors/NRA",'Data - Monthly Metrics'!D:D,"Members Retained - Non-Target (#)"))</f>
        <v/>
      </c>
      <c r="H92" s="98">
        <f>IF(COUNTIFS('Data - Monthly Metrics'!A:A,$B$4,'Data - Monthly Metrics'!B:B,"Mar",'Data - Monthly Metrics'!C:C,"Majors/NRA",'Data - Monthly Metrics'!D:D,"Members Retained - Non-Target (#)")=0,"-",SUMIFS('Data - Monthly Metrics'!E:E,'Data - Monthly Metrics'!A:A,$B$4,'Data - Monthly Metrics'!B:B,"Mar",'Data - Monthly Metrics'!C:C,"Majors/NRA",'Data - Monthly Metrics'!D:D,"Members Retained - Non-Target (#)"))</f>
        <v/>
      </c>
      <c r="I92" s="103">
        <f>SUM(F92,G92,H92)</f>
        <v/>
      </c>
      <c r="J92" s="98">
        <f>IF(COUNTIFS('Data - Monthly Metrics'!A:A,$B$4,'Data - Monthly Metrics'!B:B,"Apr",'Data - Monthly Metrics'!C:C,"Majors/NRA",'Data - Monthly Metrics'!D:D,"Members Retained - Non-Target (#)")=0,"-",SUMIFS('Data - Monthly Metrics'!E:E,'Data - Monthly Metrics'!A:A,$B$4,'Data - Monthly Metrics'!B:B,"Apr",'Data - Monthly Metrics'!C:C,"Majors/NRA",'Data - Monthly Metrics'!D:D,"Members Retained - Non-Target (#)"))</f>
        <v/>
      </c>
      <c r="K92" s="98">
        <f>IF(COUNTIFS('Data - Monthly Metrics'!A:A,$B$4,'Data - Monthly Metrics'!B:B,"May",'Data - Monthly Metrics'!C:C,"Majors/NRA",'Data - Monthly Metrics'!D:D,"Members Retained - Non-Target (#)")=0,"-",SUMIFS('Data - Monthly Metrics'!E:E,'Data - Monthly Metrics'!A:A,$B$4,'Data - Monthly Metrics'!B:B,"May",'Data - Monthly Metrics'!C:C,"Majors/NRA",'Data - Monthly Metrics'!D:D,"Members Retained - Non-Target (#)"))</f>
        <v/>
      </c>
      <c r="L92" s="98">
        <f>IF(COUNTIFS('Data - Monthly Metrics'!A:A,$B$4,'Data - Monthly Metrics'!B:B,"Jun",'Data - Monthly Metrics'!C:C,"Majors/NRA",'Data - Monthly Metrics'!D:D,"Members Retained - Non-Target (#)")=0,"-",SUMIFS('Data - Monthly Metrics'!E:E,'Data - Monthly Metrics'!A:A,$B$4,'Data - Monthly Metrics'!B:B,"Jun",'Data - Monthly Metrics'!C:C,"Majors/NRA",'Data - Monthly Metrics'!D:D,"Members Retained - Non-Target (#)"))</f>
        <v/>
      </c>
      <c r="M92" s="103">
        <f>SUM(J92,K92,L92)</f>
        <v/>
      </c>
      <c r="N92" s="98">
        <f>IF(COUNTIFS('Data - Monthly Metrics'!A:A,$B$4,'Data - Monthly Metrics'!B:B,"Jul",'Data - Monthly Metrics'!C:C,"Majors/NRA",'Data - Monthly Metrics'!D:D,"Members Retained - Non-Target (#)")=0,"-",SUMIFS('Data - Monthly Metrics'!E:E,'Data - Monthly Metrics'!A:A,$B$4,'Data - Monthly Metrics'!B:B,"Jul",'Data - Monthly Metrics'!C:C,"Majors/NRA",'Data - Monthly Metrics'!D:D,"Members Retained - Non-Target (#)"))</f>
        <v/>
      </c>
      <c r="O92" s="98">
        <f>IF(COUNTIFS('Data - Monthly Metrics'!A:A,$B$4,'Data - Monthly Metrics'!B:B,"Aug",'Data - Monthly Metrics'!C:C,"Majors/NRA",'Data - Monthly Metrics'!D:D,"Members Retained - Non-Target (#)")=0,"-",SUMIFS('Data - Monthly Metrics'!E:E,'Data - Monthly Metrics'!A:A,$B$4,'Data - Monthly Metrics'!B:B,"Aug",'Data - Monthly Metrics'!C:C,"Majors/NRA",'Data - Monthly Metrics'!D:D,"Members Retained - Non-Target (#)"))</f>
        <v/>
      </c>
      <c r="P92" s="98">
        <f>IF(COUNTIFS('Data - Monthly Metrics'!A:A,$B$4,'Data - Monthly Metrics'!B:B,"Sep",'Data - Monthly Metrics'!C:C,"Majors/NRA",'Data - Monthly Metrics'!D:D,"Members Retained - Non-Target (#)")=0,"-",SUMIFS('Data - Monthly Metrics'!E:E,'Data - Monthly Metrics'!A:A,$B$4,'Data - Monthly Metrics'!B:B,"Sep",'Data - Monthly Metrics'!C:C,"Majors/NRA",'Data - Monthly Metrics'!D:D,"Members Retained - Non-Target (#)"))</f>
        <v/>
      </c>
      <c r="Q92" s="103">
        <f>SUM(N92,O92,P92)</f>
        <v/>
      </c>
      <c r="R92" s="103">
        <f>E92+I92+M92+Q92</f>
        <v/>
      </c>
    </row>
    <row r="93" ht="14.25" customHeight="1" s="82">
      <c r="A93" s="89" t="inlineStr">
        <is>
          <t>Account Retention % - Non-Target</t>
        </is>
      </c>
      <c r="B93" s="92">
        <f>IF(B91=0,0,B92/B91)</f>
        <v/>
      </c>
      <c r="C93" s="92">
        <f>IF(C91=0,0,C92/C91)</f>
        <v/>
      </c>
      <c r="D93" s="92">
        <f>IF(D91=0,0,D92/D91)</f>
        <v/>
      </c>
      <c r="E93" s="102">
        <f>IF(E91=0,0,E92/E91)</f>
        <v/>
      </c>
      <c r="F93" s="92">
        <f>IF(F91=0,0,F92/F91)</f>
        <v/>
      </c>
      <c r="G93" s="92">
        <f>IF(G91=0,0,G92/G91)</f>
        <v/>
      </c>
      <c r="H93" s="92">
        <f>IF(H91=0,0,H92/H91)</f>
        <v/>
      </c>
      <c r="I93" s="102">
        <f>IF(I91=0,0,I92/I91)</f>
        <v/>
      </c>
      <c r="J93" s="92">
        <f>IF(J91=0,0,J92/J91)</f>
        <v/>
      </c>
      <c r="K93" s="92">
        <f>IF(K91=0,0,K92/K91)</f>
        <v/>
      </c>
      <c r="L93" s="92">
        <f>IF(L91=0,0,L92/L91)</f>
        <v/>
      </c>
      <c r="M93" s="102">
        <f>IF(M91=0,0,M92/M91)</f>
        <v/>
      </c>
      <c r="N93" s="92">
        <f>IF(N91=0,0,N92/N91)</f>
        <v/>
      </c>
      <c r="O93" s="92">
        <f>IF(O91=0,0,O92/O91)</f>
        <v/>
      </c>
      <c r="P93" s="92">
        <f>IF(P91=0,0,P92/P91)</f>
        <v/>
      </c>
      <c r="Q93" s="102">
        <f>IF(Q91=0,0,Q92/Q91)</f>
        <v/>
      </c>
      <c r="R93" s="102">
        <f>IF(R91=0,0,R92/R91)</f>
        <v/>
      </c>
    </row>
    <row r="94" ht="14.25" customHeight="1" s="82">
      <c r="A94" s="94" t="inlineStr">
        <is>
          <t>Status</t>
        </is>
      </c>
      <c r="B94" s="120">
        <f>IF(OR(NOT(ISNUMBER(B93)),B93=0,COUNTIFS('Data - Monthly Metrics'!$A:$A,$B$4-1,'Data - Monthly Metrics'!$B:$B,B$8,'Data - Monthly Metrics'!$C:$C,"Majors/NRA",'Data - Monthly Metrics'!$D:$D,"Goal - Retention %")=0),"—",IF(B93&gt;=SUMIFS('Data - Monthly Metrics'!$E:$E,'Data - Monthly Metrics'!$A:$A,$B$4-1,'Data - Monthly Metrics'!$B:$B,B$8,'Data - Monthly Metrics'!$C:$C,"Majors/NRA",'Data - Monthly Metrics'!$D:$D,"Goal - Retention %"),"On Track",IF(B93&gt;=SUMIFS('Data - Monthly Metrics'!$E:$E,'Data - Monthly Metrics'!$A:$A,$B$4-1,'Data - Monthly Metrics'!$B:$B,B$8,'Data - Monthly Metrics'!$C:$C,"Majors/NRA",'Data - Monthly Metrics'!$D:$D,"Goal - Retention %")-0.05,"Watch","At Risk")))</f>
        <v/>
      </c>
      <c r="C94" s="120">
        <f>IF(OR(NOT(ISNUMBER(C93)),C93=0,COUNTIFS('Data - Monthly Metrics'!$A:$A,$B$4-1,'Data - Monthly Metrics'!$B:$B,C$8,'Data - Monthly Metrics'!$C:$C,"Majors/NRA",'Data - Monthly Metrics'!$D:$D,"Goal - Retention %")=0),"—",IF(C93&gt;=SUMIFS('Data - Monthly Metrics'!$E:$E,'Data - Monthly Metrics'!$A:$A,$B$4-1,'Data - Monthly Metrics'!$B:$B,C$8,'Data - Monthly Metrics'!$C:$C,"Majors/NRA",'Data - Monthly Metrics'!$D:$D,"Goal - Retention %"),"On Track",IF(C93&gt;=SUMIFS('Data - Monthly Metrics'!$E:$E,'Data - Monthly Metrics'!$A:$A,$B$4-1,'Data - Monthly Metrics'!$B:$B,C$8,'Data - Monthly Metrics'!$C:$C,"Majors/NRA",'Data - Monthly Metrics'!$D:$D,"Goal - Retention %")-0.05,"Watch","At Risk")))</f>
        <v/>
      </c>
      <c r="D94" s="120">
        <f>IF(OR(NOT(ISNUMBER(D93)),D93=0,COUNTIFS('Data - Monthly Metrics'!$A:$A,$B$4-1,'Data - Monthly Metrics'!$B:$B,D$8,'Data - Monthly Metrics'!$C:$C,"Majors/NRA",'Data - Monthly Metrics'!$D:$D,"Goal - Retention %")=0),"—",IF(D93&gt;=SUMIFS('Data - Monthly Metrics'!$E:$E,'Data - Monthly Metrics'!$A:$A,$B$4-1,'Data - Monthly Metrics'!$B:$B,D$8,'Data - Monthly Metrics'!$C:$C,"Majors/NRA",'Data - Monthly Metrics'!$D:$D,"Goal - Retention %"),"On Track",IF(D93&gt;=SUMIFS('Data - Monthly Metrics'!$E:$E,'Data - Monthly Metrics'!$A:$A,$B$4-1,'Data - Monthly Metrics'!$B:$B,D$8,'Data - Monthly Metrics'!$C:$C,"Majors/NRA",'Data - Monthly Metrics'!$D:$D,"Goal - Retention %")-0.05,"Watch","At Risk")))</f>
        <v/>
      </c>
      <c r="E94" s="121">
        <f>"—"</f>
        <v/>
      </c>
      <c r="F94" s="120">
        <f>IF(OR(NOT(ISNUMBER(F93)),F93=0,COUNTIFS('Data - Monthly Metrics'!$A:$A,$B$4,'Data - Monthly Metrics'!$B:$B,F$8,'Data - Monthly Metrics'!$C:$C,"Majors/NRA",'Data - Monthly Metrics'!$D:$D,"Goal - Retention %")=0),"—",IF(F93&gt;=SUMIFS('Data - Monthly Metrics'!$E:$E,'Data - Monthly Metrics'!$A:$A,$B$4,'Data - Monthly Metrics'!$B:$B,F$8,'Data - Monthly Metrics'!$C:$C,"Majors/NRA",'Data - Monthly Metrics'!$D:$D,"Goal - Retention %"),"On Track",IF(F93&gt;=SUMIFS('Data - Monthly Metrics'!$E:$E,'Data - Monthly Metrics'!$A:$A,$B$4,'Data - Monthly Metrics'!$B:$B,F$8,'Data - Monthly Metrics'!$C:$C,"Majors/NRA",'Data - Monthly Metrics'!$D:$D,"Goal - Retention %")-0.05,"Watch","At Risk")))</f>
        <v/>
      </c>
      <c r="G94" s="120">
        <f>IF(OR(NOT(ISNUMBER(G93)),G93=0,COUNTIFS('Data - Monthly Metrics'!$A:$A,$B$4,'Data - Monthly Metrics'!$B:$B,G$8,'Data - Monthly Metrics'!$C:$C,"Majors/NRA",'Data - Monthly Metrics'!$D:$D,"Goal - Retention %")=0),"—",IF(G93&gt;=SUMIFS('Data - Monthly Metrics'!$E:$E,'Data - Monthly Metrics'!$A:$A,$B$4,'Data - Monthly Metrics'!$B:$B,G$8,'Data - Monthly Metrics'!$C:$C,"Majors/NRA",'Data - Monthly Metrics'!$D:$D,"Goal - Retention %"),"On Track",IF(G93&gt;=SUMIFS('Data - Monthly Metrics'!$E:$E,'Data - Monthly Metrics'!$A:$A,$B$4,'Data - Monthly Metrics'!$B:$B,G$8,'Data - Monthly Metrics'!$C:$C,"Majors/NRA",'Data - Monthly Metrics'!$D:$D,"Goal - Retention %")-0.05,"Watch","At Risk")))</f>
        <v/>
      </c>
      <c r="H94" s="120">
        <f>IF(OR(NOT(ISNUMBER(H93)),H93=0,COUNTIFS('Data - Monthly Metrics'!$A:$A,$B$4,'Data - Monthly Metrics'!$B:$B,H$8,'Data - Monthly Metrics'!$C:$C,"Majors/NRA",'Data - Monthly Metrics'!$D:$D,"Goal - Retention %")=0),"—",IF(H93&gt;=SUMIFS('Data - Monthly Metrics'!$E:$E,'Data - Monthly Metrics'!$A:$A,$B$4,'Data - Monthly Metrics'!$B:$B,H$8,'Data - Monthly Metrics'!$C:$C,"Majors/NRA",'Data - Monthly Metrics'!$D:$D,"Goal - Retention %"),"On Track",IF(H93&gt;=SUMIFS('Data - Monthly Metrics'!$E:$E,'Data - Monthly Metrics'!$A:$A,$B$4,'Data - Monthly Metrics'!$B:$B,H$8,'Data - Monthly Metrics'!$C:$C,"Majors/NRA",'Data - Monthly Metrics'!$D:$D,"Goal - Retention %")-0.05,"Watch","At Risk")))</f>
        <v/>
      </c>
      <c r="I94" s="121">
        <f>"—"</f>
        <v/>
      </c>
      <c r="J94" s="120">
        <f>IF(OR(NOT(ISNUMBER(J93)),J93=0,COUNTIFS('Data - Monthly Metrics'!$A:$A,$B$4,'Data - Monthly Metrics'!$B:$B,J$8,'Data - Monthly Metrics'!$C:$C,"Majors/NRA",'Data - Monthly Metrics'!$D:$D,"Goal - Retention %")=0),"—",IF(J93&gt;=SUMIFS('Data - Monthly Metrics'!$E:$E,'Data - Monthly Metrics'!$A:$A,$B$4,'Data - Monthly Metrics'!$B:$B,J$8,'Data - Monthly Metrics'!$C:$C,"Majors/NRA",'Data - Monthly Metrics'!$D:$D,"Goal - Retention %"),"On Track",IF(J93&gt;=SUMIFS('Data - Monthly Metrics'!$E:$E,'Data - Monthly Metrics'!$A:$A,$B$4,'Data - Monthly Metrics'!$B:$B,J$8,'Data - Monthly Metrics'!$C:$C,"Majors/NRA",'Data - Monthly Metrics'!$D:$D,"Goal - Retention %")-0.05,"Watch","At Risk")))</f>
        <v/>
      </c>
      <c r="K94" s="120">
        <f>IF(OR(NOT(ISNUMBER(K93)),K93=0,COUNTIFS('Data - Monthly Metrics'!$A:$A,$B$4,'Data - Monthly Metrics'!$B:$B,K$8,'Data - Monthly Metrics'!$C:$C,"Majors/NRA",'Data - Monthly Metrics'!$D:$D,"Goal - Retention %")=0),"—",IF(K93&gt;=SUMIFS('Data - Monthly Metrics'!$E:$E,'Data - Monthly Metrics'!$A:$A,$B$4,'Data - Monthly Metrics'!$B:$B,K$8,'Data - Monthly Metrics'!$C:$C,"Majors/NRA",'Data - Monthly Metrics'!$D:$D,"Goal - Retention %"),"On Track",IF(K93&gt;=SUMIFS('Data - Monthly Metrics'!$E:$E,'Data - Monthly Metrics'!$A:$A,$B$4,'Data - Monthly Metrics'!$B:$B,K$8,'Data - Monthly Metrics'!$C:$C,"Majors/NRA",'Data - Monthly Metrics'!$D:$D,"Goal - Retention %")-0.05,"Watch","At Risk")))</f>
        <v/>
      </c>
      <c r="L94" s="120">
        <f>IF(OR(NOT(ISNUMBER(L93)),L93=0,COUNTIFS('Data - Monthly Metrics'!$A:$A,$B$4,'Data - Monthly Metrics'!$B:$B,L$8,'Data - Monthly Metrics'!$C:$C,"Majors/NRA",'Data - Monthly Metrics'!$D:$D,"Goal - Retention %")=0),"—",IF(L93&gt;=SUMIFS('Data - Monthly Metrics'!$E:$E,'Data - Monthly Metrics'!$A:$A,$B$4,'Data - Monthly Metrics'!$B:$B,L$8,'Data - Monthly Metrics'!$C:$C,"Majors/NRA",'Data - Monthly Metrics'!$D:$D,"Goal - Retention %"),"On Track",IF(L93&gt;=SUMIFS('Data - Monthly Metrics'!$E:$E,'Data - Monthly Metrics'!$A:$A,$B$4,'Data - Monthly Metrics'!$B:$B,L$8,'Data - Monthly Metrics'!$C:$C,"Majors/NRA",'Data - Monthly Metrics'!$D:$D,"Goal - Retention %")-0.05,"Watch","At Risk")))</f>
        <v/>
      </c>
      <c r="M94" s="121">
        <f>"—"</f>
        <v/>
      </c>
      <c r="N94" s="120">
        <f>IF(OR(NOT(ISNUMBER(N93)),N93=0,COUNTIFS('Data - Monthly Metrics'!$A:$A,$B$4,'Data - Monthly Metrics'!$B:$B,N$8,'Data - Monthly Metrics'!$C:$C,"Majors/NRA",'Data - Monthly Metrics'!$D:$D,"Goal - Retention %")=0),"—",IF(N93&gt;=SUMIFS('Data - Monthly Metrics'!$E:$E,'Data - Monthly Metrics'!$A:$A,$B$4,'Data - Monthly Metrics'!$B:$B,N$8,'Data - Monthly Metrics'!$C:$C,"Majors/NRA",'Data - Monthly Metrics'!$D:$D,"Goal - Retention %"),"On Track",IF(N93&gt;=SUMIFS('Data - Monthly Metrics'!$E:$E,'Data - Monthly Metrics'!$A:$A,$B$4,'Data - Monthly Metrics'!$B:$B,N$8,'Data - Monthly Metrics'!$C:$C,"Majors/NRA",'Data - Monthly Metrics'!$D:$D,"Goal - Retention %")-0.05,"Watch","At Risk")))</f>
        <v/>
      </c>
      <c r="O94" s="120">
        <f>IF(OR(NOT(ISNUMBER(O93)),O93=0,COUNTIFS('Data - Monthly Metrics'!$A:$A,$B$4,'Data - Monthly Metrics'!$B:$B,O$8,'Data - Monthly Metrics'!$C:$C,"Majors/NRA",'Data - Monthly Metrics'!$D:$D,"Goal - Retention %")=0),"—",IF(O93&gt;=SUMIFS('Data - Monthly Metrics'!$E:$E,'Data - Monthly Metrics'!$A:$A,$B$4,'Data - Monthly Metrics'!$B:$B,O$8,'Data - Monthly Metrics'!$C:$C,"Majors/NRA",'Data - Monthly Metrics'!$D:$D,"Goal - Retention %"),"On Track",IF(O93&gt;=SUMIFS('Data - Monthly Metrics'!$E:$E,'Data - Monthly Metrics'!$A:$A,$B$4,'Data - Monthly Metrics'!$B:$B,O$8,'Data - Monthly Metrics'!$C:$C,"Majors/NRA",'Data - Monthly Metrics'!$D:$D,"Goal - Retention %")-0.05,"Watch","At Risk")))</f>
        <v/>
      </c>
      <c r="P94" s="120">
        <f>IF(OR(NOT(ISNUMBER(P93)),P93=0,COUNTIFS('Data - Monthly Metrics'!$A:$A,$B$4,'Data - Monthly Metrics'!$B:$B,P$8,'Data - Monthly Metrics'!$C:$C,"Majors/NRA",'Data - Monthly Metrics'!$D:$D,"Goal - Retention %")=0),"—",IF(P93&gt;=SUMIFS('Data - Monthly Metrics'!$E:$E,'Data - Monthly Metrics'!$A:$A,$B$4,'Data - Monthly Metrics'!$B:$B,P$8,'Data - Monthly Metrics'!$C:$C,"Majors/NRA",'Data - Monthly Metrics'!$D:$D,"Goal - Retention %"),"On Track",IF(P93&gt;=SUMIFS('Data - Monthly Metrics'!$E:$E,'Data - Monthly Metrics'!$A:$A,$B$4,'Data - Monthly Metrics'!$B:$B,P$8,'Data - Monthly Metrics'!$C:$C,"Majors/NRA",'Data - Monthly Metrics'!$D:$D,"Goal - Retention %")-0.05,"Watch","At Risk")))</f>
        <v/>
      </c>
      <c r="Q94" s="121">
        <f>"—"</f>
        <v/>
      </c>
      <c r="R94" s="121">
        <f>"—"</f>
        <v/>
      </c>
    </row>
    <row r="95" ht="14.25" customHeight="1" s="82">
      <c r="A95" s="94" t="inlineStr">
        <is>
          <t xml:space="preserve">   Comped (#)</t>
        </is>
      </c>
      <c r="B95" s="98">
        <f>IF(COUNTIFS('Data - Monthly Metrics'!A:A,$B$4-1,'Data - Monthly Metrics'!B:B,"Oct",'Data - Monthly Metrics'!C:C,"Majors/NRA",'Data - Monthly Metrics'!D:D,"Retention - Comped Non-Target (#)")=0,"-",SUMIFS('Data - Monthly Metrics'!E:E,'Data - Monthly Metrics'!A:A,$B$4-1,'Data - Monthly Metrics'!B:B,"Oct",'Data - Monthly Metrics'!C:C,"Majors/NRA",'Data - Monthly Metrics'!D:D,"Retention - Comped Non-Target (#)"))</f>
        <v/>
      </c>
      <c r="C95" s="98">
        <f>IF(COUNTIFS('Data - Monthly Metrics'!A:A,$B$4-1,'Data - Monthly Metrics'!B:B,"Nov",'Data - Monthly Metrics'!C:C,"Majors/NRA",'Data - Monthly Metrics'!D:D,"Retention - Comped Non-Target (#)")=0,"-",SUMIFS('Data - Monthly Metrics'!E:E,'Data - Monthly Metrics'!A:A,$B$4-1,'Data - Monthly Metrics'!B:B,"Nov",'Data - Monthly Metrics'!C:C,"Majors/NRA",'Data - Monthly Metrics'!D:D,"Retention - Comped Non-Target (#)"))</f>
        <v/>
      </c>
      <c r="D95" s="98">
        <f>IF(COUNTIFS('Data - Monthly Metrics'!A:A,$B$4-1,'Data - Monthly Metrics'!B:B,"Dec",'Data - Monthly Metrics'!C:C,"Majors/NRA",'Data - Monthly Metrics'!D:D,"Retention - Comped Non-Target (#)")=0,"-",SUMIFS('Data - Monthly Metrics'!E:E,'Data - Monthly Metrics'!A:A,$B$4-1,'Data - Monthly Metrics'!B:B,"Dec",'Data - Monthly Metrics'!C:C,"Majors/NRA",'Data - Monthly Metrics'!D:D,"Retention - Comped Non-Target (#)"))</f>
        <v/>
      </c>
      <c r="E95" s="103">
        <f>SUM(B95,C95,D95)</f>
        <v/>
      </c>
      <c r="F95" s="98">
        <f>IF(COUNTIFS('Data - Monthly Metrics'!A:A,$B$4,'Data - Monthly Metrics'!B:B,"Jan",'Data - Monthly Metrics'!C:C,"Majors/NRA",'Data - Monthly Metrics'!D:D,"Retention - Comped Non-Target (#)")=0,"-",SUMIFS('Data - Monthly Metrics'!E:E,'Data - Monthly Metrics'!A:A,$B$4,'Data - Monthly Metrics'!B:B,"Jan",'Data - Monthly Metrics'!C:C,"Majors/NRA",'Data - Monthly Metrics'!D:D,"Retention - Comped Non-Target (#)"))</f>
        <v/>
      </c>
      <c r="G95" s="98">
        <f>IF(COUNTIFS('Data - Monthly Metrics'!A:A,$B$4,'Data - Monthly Metrics'!B:B,"Feb",'Data - Monthly Metrics'!C:C,"Majors/NRA",'Data - Monthly Metrics'!D:D,"Retention - Comped Non-Target (#)")=0,"-",SUMIFS('Data - Monthly Metrics'!E:E,'Data - Monthly Metrics'!A:A,$B$4,'Data - Monthly Metrics'!B:B,"Feb",'Data - Monthly Metrics'!C:C,"Majors/NRA",'Data - Monthly Metrics'!D:D,"Retention - Comped Non-Target (#)"))</f>
        <v/>
      </c>
      <c r="H95" s="98">
        <f>IF(COUNTIFS('Data - Monthly Metrics'!A:A,$B$4,'Data - Monthly Metrics'!B:B,"Mar",'Data - Monthly Metrics'!C:C,"Majors/NRA",'Data - Monthly Metrics'!D:D,"Retention - Comped Non-Target (#)")=0,"-",SUMIFS('Data - Monthly Metrics'!E:E,'Data - Monthly Metrics'!A:A,$B$4,'Data - Monthly Metrics'!B:B,"Mar",'Data - Monthly Metrics'!C:C,"Majors/NRA",'Data - Monthly Metrics'!D:D,"Retention - Comped Non-Target (#)"))</f>
        <v/>
      </c>
      <c r="I95" s="103">
        <f>SUM(F95,G95,H95)</f>
        <v/>
      </c>
      <c r="J95" s="98">
        <f>IF(COUNTIFS('Data - Monthly Metrics'!A:A,$B$4,'Data - Monthly Metrics'!B:B,"Apr",'Data - Monthly Metrics'!C:C,"Majors/NRA",'Data - Monthly Metrics'!D:D,"Retention - Comped Non-Target (#)")=0,"-",SUMIFS('Data - Monthly Metrics'!E:E,'Data - Monthly Metrics'!A:A,$B$4,'Data - Monthly Metrics'!B:B,"Apr",'Data - Monthly Metrics'!C:C,"Majors/NRA",'Data - Monthly Metrics'!D:D,"Retention - Comped Non-Target (#)"))</f>
        <v/>
      </c>
      <c r="K95" s="98">
        <f>IF(COUNTIFS('Data - Monthly Metrics'!A:A,$B$4,'Data - Monthly Metrics'!B:B,"May",'Data - Monthly Metrics'!C:C,"Majors/NRA",'Data - Monthly Metrics'!D:D,"Retention - Comped Non-Target (#)")=0,"-",SUMIFS('Data - Monthly Metrics'!E:E,'Data - Monthly Metrics'!A:A,$B$4,'Data - Monthly Metrics'!B:B,"May",'Data - Monthly Metrics'!C:C,"Majors/NRA",'Data - Monthly Metrics'!D:D,"Retention - Comped Non-Target (#)"))</f>
        <v/>
      </c>
      <c r="L95" s="98">
        <f>IF(COUNTIFS('Data - Monthly Metrics'!A:A,$B$4,'Data - Monthly Metrics'!B:B,"Jun",'Data - Monthly Metrics'!C:C,"Majors/NRA",'Data - Monthly Metrics'!D:D,"Retention - Comped Non-Target (#)")=0,"-",SUMIFS('Data - Monthly Metrics'!E:E,'Data - Monthly Metrics'!A:A,$B$4,'Data - Monthly Metrics'!B:B,"Jun",'Data - Monthly Metrics'!C:C,"Majors/NRA",'Data - Monthly Metrics'!D:D,"Retention - Comped Non-Target (#)"))</f>
        <v/>
      </c>
      <c r="M95" s="103">
        <f>SUM(J95,K95,L95)</f>
        <v/>
      </c>
      <c r="N95" s="98">
        <f>IF(COUNTIFS('Data - Monthly Metrics'!A:A,$B$4,'Data - Monthly Metrics'!B:B,"Jul",'Data - Monthly Metrics'!C:C,"Majors/NRA",'Data - Monthly Metrics'!D:D,"Retention - Comped Non-Target (#)")=0,"-",SUMIFS('Data - Monthly Metrics'!E:E,'Data - Monthly Metrics'!A:A,$B$4,'Data - Monthly Metrics'!B:B,"Jul",'Data - Monthly Metrics'!C:C,"Majors/NRA",'Data - Monthly Metrics'!D:D,"Retention - Comped Non-Target (#)"))</f>
        <v/>
      </c>
      <c r="O95" s="98">
        <f>IF(COUNTIFS('Data - Monthly Metrics'!A:A,$B$4,'Data - Monthly Metrics'!B:B,"Aug",'Data - Monthly Metrics'!C:C,"Majors/NRA",'Data - Monthly Metrics'!D:D,"Retention - Comped Non-Target (#)")=0,"-",SUMIFS('Data - Monthly Metrics'!E:E,'Data - Monthly Metrics'!A:A,$B$4,'Data - Monthly Metrics'!B:B,"Aug",'Data - Monthly Metrics'!C:C,"Majors/NRA",'Data - Monthly Metrics'!D:D,"Retention - Comped Non-Target (#)"))</f>
        <v/>
      </c>
      <c r="P95" s="98">
        <f>IF(COUNTIFS('Data - Monthly Metrics'!A:A,$B$4,'Data - Monthly Metrics'!B:B,"Sep",'Data - Monthly Metrics'!C:C,"Majors/NRA",'Data - Monthly Metrics'!D:D,"Retention - Comped Non-Target (#)")=0,"-",SUMIFS('Data - Monthly Metrics'!E:E,'Data - Monthly Metrics'!A:A,$B$4,'Data - Monthly Metrics'!B:B,"Sep",'Data - Monthly Metrics'!C:C,"Majors/NRA",'Data - Monthly Metrics'!D:D,"Retention - Comped Non-Target (#)"))</f>
        <v/>
      </c>
      <c r="Q95" s="103">
        <f>SUM(N95,O95,P95)</f>
        <v/>
      </c>
      <c r="R95" s="103">
        <f>E95+I95+M95+Q95</f>
        <v/>
      </c>
    </row>
    <row r="96" ht="14.25" customHeight="1" s="82">
      <c r="A96" s="94" t="inlineStr">
        <is>
          <t xml:space="preserve">   Comped ($) — not counted in retention</t>
        </is>
      </c>
      <c r="B96" s="96">
        <f>IF(COUNTIFS('Data - Monthly Metrics'!A:A,$B$4-1,'Data - Monthly Metrics'!B:B,"Oct",'Data - Monthly Metrics'!C:C,"Majors/NRA",'Data - Monthly Metrics'!D:D,"Retention - Comped Non-Target ($)")=0,"-",SUMIFS('Data - Monthly Metrics'!E:E,'Data - Monthly Metrics'!A:A,$B$4-1,'Data - Monthly Metrics'!B:B,"Oct",'Data - Monthly Metrics'!C:C,"Majors/NRA",'Data - Monthly Metrics'!D:D,"Retention - Comped Non-Target ($)"))</f>
        <v/>
      </c>
      <c r="C96" s="96">
        <f>IF(COUNTIFS('Data - Monthly Metrics'!A:A,$B$4-1,'Data - Monthly Metrics'!B:B,"Nov",'Data - Monthly Metrics'!C:C,"Majors/NRA",'Data - Monthly Metrics'!D:D,"Retention - Comped Non-Target ($)")=0,"-",SUMIFS('Data - Monthly Metrics'!E:E,'Data - Monthly Metrics'!A:A,$B$4-1,'Data - Monthly Metrics'!B:B,"Nov",'Data - Monthly Metrics'!C:C,"Majors/NRA",'Data - Monthly Metrics'!D:D,"Retention - Comped Non-Target ($)"))</f>
        <v/>
      </c>
      <c r="D96" s="96">
        <f>IF(COUNTIFS('Data - Monthly Metrics'!A:A,$B$4-1,'Data - Monthly Metrics'!B:B,"Dec",'Data - Monthly Metrics'!C:C,"Majors/NRA",'Data - Monthly Metrics'!D:D,"Retention - Comped Non-Target ($)")=0,"-",SUMIFS('Data - Monthly Metrics'!E:E,'Data - Monthly Metrics'!A:A,$B$4-1,'Data - Monthly Metrics'!B:B,"Dec",'Data - Monthly Metrics'!C:C,"Majors/NRA",'Data - Monthly Metrics'!D:D,"Retention - Comped Non-Target ($)"))</f>
        <v/>
      </c>
      <c r="E96" s="101">
        <f>SUM(B96,C96,D96)</f>
        <v/>
      </c>
      <c r="F96" s="96">
        <f>IF(COUNTIFS('Data - Monthly Metrics'!A:A,$B$4,'Data - Monthly Metrics'!B:B,"Jan",'Data - Monthly Metrics'!C:C,"Majors/NRA",'Data - Monthly Metrics'!D:D,"Retention - Comped Non-Target ($)")=0,"-",SUMIFS('Data - Monthly Metrics'!E:E,'Data - Monthly Metrics'!A:A,$B$4,'Data - Monthly Metrics'!B:B,"Jan",'Data - Monthly Metrics'!C:C,"Majors/NRA",'Data - Monthly Metrics'!D:D,"Retention - Comped Non-Target ($)"))</f>
        <v/>
      </c>
      <c r="G96" s="96">
        <f>IF(COUNTIFS('Data - Monthly Metrics'!A:A,$B$4,'Data - Monthly Metrics'!B:B,"Feb",'Data - Monthly Metrics'!C:C,"Majors/NRA",'Data - Monthly Metrics'!D:D,"Retention - Comped Non-Target ($)")=0,"-",SUMIFS('Data - Monthly Metrics'!E:E,'Data - Monthly Metrics'!A:A,$B$4,'Data - Monthly Metrics'!B:B,"Feb",'Data - Monthly Metrics'!C:C,"Majors/NRA",'Data - Monthly Metrics'!D:D,"Retention - Comped Non-Target ($)"))</f>
        <v/>
      </c>
      <c r="H96" s="96">
        <f>IF(COUNTIFS('Data - Monthly Metrics'!A:A,$B$4,'Data - Monthly Metrics'!B:B,"Mar",'Data - Monthly Metrics'!C:C,"Majors/NRA",'Data - Monthly Metrics'!D:D,"Retention - Comped Non-Target ($)")=0,"-",SUMIFS('Data - Monthly Metrics'!E:E,'Data - Monthly Metrics'!A:A,$B$4,'Data - Monthly Metrics'!B:B,"Mar",'Data - Monthly Metrics'!C:C,"Majors/NRA",'Data - Monthly Metrics'!D:D,"Retention - Comped Non-Target ($)"))</f>
        <v/>
      </c>
      <c r="I96" s="101">
        <f>SUM(F96,G96,H96)</f>
        <v/>
      </c>
      <c r="J96" s="96">
        <f>IF(COUNTIFS('Data - Monthly Metrics'!A:A,$B$4,'Data - Monthly Metrics'!B:B,"Apr",'Data - Monthly Metrics'!C:C,"Majors/NRA",'Data - Monthly Metrics'!D:D,"Retention - Comped Non-Target ($)")=0,"-",SUMIFS('Data - Monthly Metrics'!E:E,'Data - Monthly Metrics'!A:A,$B$4,'Data - Monthly Metrics'!B:B,"Apr",'Data - Monthly Metrics'!C:C,"Majors/NRA",'Data - Monthly Metrics'!D:D,"Retention - Comped Non-Target ($)"))</f>
        <v/>
      </c>
      <c r="K96" s="96">
        <f>IF(COUNTIFS('Data - Monthly Metrics'!A:A,$B$4,'Data - Monthly Metrics'!B:B,"May",'Data - Monthly Metrics'!C:C,"Majors/NRA",'Data - Monthly Metrics'!D:D,"Retention - Comped Non-Target ($)")=0,"-",SUMIFS('Data - Monthly Metrics'!E:E,'Data - Monthly Metrics'!A:A,$B$4,'Data - Monthly Metrics'!B:B,"May",'Data - Monthly Metrics'!C:C,"Majors/NRA",'Data - Monthly Metrics'!D:D,"Retention - Comped Non-Target ($)"))</f>
        <v/>
      </c>
      <c r="L96" s="96">
        <f>IF(COUNTIFS('Data - Monthly Metrics'!A:A,$B$4,'Data - Monthly Metrics'!B:B,"Jun",'Data - Monthly Metrics'!C:C,"Majors/NRA",'Data - Monthly Metrics'!D:D,"Retention - Comped Non-Target ($)")=0,"-",SUMIFS('Data - Monthly Metrics'!E:E,'Data - Monthly Metrics'!A:A,$B$4,'Data - Monthly Metrics'!B:B,"Jun",'Data - Monthly Metrics'!C:C,"Majors/NRA",'Data - Monthly Metrics'!D:D,"Retention - Comped Non-Target ($)"))</f>
        <v/>
      </c>
      <c r="M96" s="101">
        <f>SUM(J96,K96,L96)</f>
        <v/>
      </c>
      <c r="N96" s="96">
        <f>IF(COUNTIFS('Data - Monthly Metrics'!A:A,$B$4,'Data - Monthly Metrics'!B:B,"Jul",'Data - Monthly Metrics'!C:C,"Majors/NRA",'Data - Monthly Metrics'!D:D,"Retention - Comped Non-Target ($)")=0,"-",SUMIFS('Data - Monthly Metrics'!E:E,'Data - Monthly Metrics'!A:A,$B$4,'Data - Monthly Metrics'!B:B,"Jul",'Data - Monthly Metrics'!C:C,"Majors/NRA",'Data - Monthly Metrics'!D:D,"Retention - Comped Non-Target ($)"))</f>
        <v/>
      </c>
      <c r="O96" s="96">
        <f>IF(COUNTIFS('Data - Monthly Metrics'!A:A,$B$4,'Data - Monthly Metrics'!B:B,"Aug",'Data - Monthly Metrics'!C:C,"Majors/NRA",'Data - Monthly Metrics'!D:D,"Retention - Comped Non-Target ($)")=0,"-",SUMIFS('Data - Monthly Metrics'!E:E,'Data - Monthly Metrics'!A:A,$B$4,'Data - Monthly Metrics'!B:B,"Aug",'Data - Monthly Metrics'!C:C,"Majors/NRA",'Data - Monthly Metrics'!D:D,"Retention - Comped Non-Target ($)"))</f>
        <v/>
      </c>
      <c r="P96" s="96">
        <f>IF(COUNTIFS('Data - Monthly Metrics'!A:A,$B$4,'Data - Monthly Metrics'!B:B,"Sep",'Data - Monthly Metrics'!C:C,"Majors/NRA",'Data - Monthly Metrics'!D:D,"Retention - Comped Non-Target ($)")=0,"-",SUMIFS('Data - Monthly Metrics'!E:E,'Data - Monthly Metrics'!A:A,$B$4,'Data - Monthly Metrics'!B:B,"Sep",'Data - Monthly Metrics'!C:C,"Majors/NRA",'Data - Monthly Metrics'!D:D,"Retention - Comped Non-Target ($)"))</f>
        <v/>
      </c>
      <c r="Q96" s="101">
        <f>SUM(N96,O96,P96)</f>
        <v/>
      </c>
      <c r="R96" s="101">
        <f>E96+I96+M96+Q96</f>
        <v/>
      </c>
    </row>
    <row r="97"/>
    <row r="98" ht="21.75" customHeight="1" s="82">
      <c r="A98" s="87" t="inlineStr">
        <is>
          <t xml:space="preserve">  ▶   N4.  DROPS — Non-Target</t>
        </is>
      </c>
    </row>
    <row r="99" ht="14.25" customHeight="1" s="82">
      <c r="A99" s="88" t="inlineStr">
        <is>
          <t>Metric</t>
        </is>
      </c>
      <c r="B99" s="88" t="inlineStr">
        <is>
          <t>Oct</t>
        </is>
      </c>
      <c r="C99" s="88" t="inlineStr">
        <is>
          <t>Nov</t>
        </is>
      </c>
      <c r="D99" s="88" t="inlineStr">
        <is>
          <t>Dec</t>
        </is>
      </c>
      <c r="E99" s="88" t="inlineStr">
        <is>
          <t>Q1</t>
        </is>
      </c>
      <c r="F99" s="88" t="inlineStr">
        <is>
          <t>Jan</t>
        </is>
      </c>
      <c r="G99" s="88" t="inlineStr">
        <is>
          <t>Feb</t>
        </is>
      </c>
      <c r="H99" s="88" t="inlineStr">
        <is>
          <t>Mar</t>
        </is>
      </c>
      <c r="I99" s="88" t="inlineStr">
        <is>
          <t>Q2</t>
        </is>
      </c>
      <c r="J99" s="88" t="inlineStr">
        <is>
          <t>Apr</t>
        </is>
      </c>
      <c r="K99" s="88" t="inlineStr">
        <is>
          <t>May</t>
        </is>
      </c>
      <c r="L99" s="88" t="inlineStr">
        <is>
          <t>Jun</t>
        </is>
      </c>
      <c r="M99" s="88" t="inlineStr">
        <is>
          <t>Q3</t>
        </is>
      </c>
      <c r="N99" s="88" t="inlineStr">
        <is>
          <t>Jul</t>
        </is>
      </c>
      <c r="O99" s="88" t="inlineStr">
        <is>
          <t>Aug</t>
        </is>
      </c>
      <c r="P99" s="88" t="inlineStr">
        <is>
          <t>Sep</t>
        </is>
      </c>
      <c r="Q99" s="88" t="inlineStr">
        <is>
          <t>Q4</t>
        </is>
      </c>
      <c r="R99" s="88" t="inlineStr">
        <is>
          <t>YTD</t>
        </is>
      </c>
    </row>
    <row r="100" ht="14.25" customHeight="1" s="82">
      <c r="A100" s="89" t="inlineStr">
        <is>
          <t>Drops - Non-Target (#)</t>
        </is>
      </c>
      <c r="B100" s="93">
        <f>IF(COUNTIFS('Data - Monthly Metrics'!A:A,$B$4-1,'Data - Monthly Metrics'!B:B,"Oct",'Data - Monthly Metrics'!C:C,"Majors/NRA",'Data - Monthly Metrics'!D:D,"Drops - Non-Target (#)")=0,"-",SUMIFS('Data - Monthly Metrics'!E:E,'Data - Monthly Metrics'!A:A,$B$4-1,'Data - Monthly Metrics'!B:B,"Oct",'Data - Monthly Metrics'!C:C,"Majors/NRA",'Data - Monthly Metrics'!D:D,"Drops - Non-Target (#)"))</f>
        <v/>
      </c>
      <c r="C100" s="93">
        <f>IF(COUNTIFS('Data - Monthly Metrics'!A:A,$B$4-1,'Data - Monthly Metrics'!B:B,"Nov",'Data - Monthly Metrics'!C:C,"Majors/NRA",'Data - Monthly Metrics'!D:D,"Drops - Non-Target (#)")=0,"-",SUMIFS('Data - Monthly Metrics'!E:E,'Data - Monthly Metrics'!A:A,$B$4-1,'Data - Monthly Metrics'!B:B,"Nov",'Data - Monthly Metrics'!C:C,"Majors/NRA",'Data - Monthly Metrics'!D:D,"Drops - Non-Target (#)"))</f>
        <v/>
      </c>
      <c r="D100" s="93">
        <f>IF(COUNTIFS('Data - Monthly Metrics'!A:A,$B$4-1,'Data - Monthly Metrics'!B:B,"Dec",'Data - Monthly Metrics'!C:C,"Majors/NRA",'Data - Monthly Metrics'!D:D,"Drops - Non-Target (#)")=0,"-",SUMIFS('Data - Monthly Metrics'!E:E,'Data - Monthly Metrics'!A:A,$B$4-1,'Data - Monthly Metrics'!B:B,"Dec",'Data - Monthly Metrics'!C:C,"Majors/NRA",'Data - Monthly Metrics'!D:D,"Drops - Non-Target (#)"))</f>
        <v/>
      </c>
      <c r="E100" s="103">
        <f>SUM(B100,C100,D100)</f>
        <v/>
      </c>
      <c r="F100" s="93">
        <f>IF(COUNTIFS('Data - Monthly Metrics'!A:A,$B$4,'Data - Monthly Metrics'!B:B,"Jan",'Data - Monthly Metrics'!C:C,"Majors/NRA",'Data - Monthly Metrics'!D:D,"Drops - Non-Target (#)")=0,"-",SUMIFS('Data - Monthly Metrics'!E:E,'Data - Monthly Metrics'!A:A,$B$4,'Data - Monthly Metrics'!B:B,"Jan",'Data - Monthly Metrics'!C:C,"Majors/NRA",'Data - Monthly Metrics'!D:D,"Drops - Non-Target (#)"))</f>
        <v/>
      </c>
      <c r="G100" s="93">
        <f>IF(COUNTIFS('Data - Monthly Metrics'!A:A,$B$4,'Data - Monthly Metrics'!B:B,"Feb",'Data - Monthly Metrics'!C:C,"Majors/NRA",'Data - Monthly Metrics'!D:D,"Drops - Non-Target (#)")=0,"-",SUMIFS('Data - Monthly Metrics'!E:E,'Data - Monthly Metrics'!A:A,$B$4,'Data - Monthly Metrics'!B:B,"Feb",'Data - Monthly Metrics'!C:C,"Majors/NRA",'Data - Monthly Metrics'!D:D,"Drops - Non-Target (#)"))</f>
        <v/>
      </c>
      <c r="H100" s="93">
        <f>IF(COUNTIFS('Data - Monthly Metrics'!A:A,$B$4,'Data - Monthly Metrics'!B:B,"Mar",'Data - Monthly Metrics'!C:C,"Majors/NRA",'Data - Monthly Metrics'!D:D,"Drops - Non-Target (#)")=0,"-",SUMIFS('Data - Monthly Metrics'!E:E,'Data - Monthly Metrics'!A:A,$B$4,'Data - Monthly Metrics'!B:B,"Mar",'Data - Monthly Metrics'!C:C,"Majors/NRA",'Data - Monthly Metrics'!D:D,"Drops - Non-Target (#)"))</f>
        <v/>
      </c>
      <c r="I100" s="103">
        <f>SUM(F100,G100,H100)</f>
        <v/>
      </c>
      <c r="J100" s="93">
        <f>IF(COUNTIFS('Data - Monthly Metrics'!A:A,$B$4,'Data - Monthly Metrics'!B:B,"Apr",'Data - Monthly Metrics'!C:C,"Majors/NRA",'Data - Monthly Metrics'!D:D,"Drops - Non-Target (#)")=0,"-",SUMIFS('Data - Monthly Metrics'!E:E,'Data - Monthly Metrics'!A:A,$B$4,'Data - Monthly Metrics'!B:B,"Apr",'Data - Monthly Metrics'!C:C,"Majors/NRA",'Data - Monthly Metrics'!D:D,"Drops - Non-Target (#)"))</f>
        <v/>
      </c>
      <c r="K100" s="93">
        <f>IF(COUNTIFS('Data - Monthly Metrics'!A:A,$B$4,'Data - Monthly Metrics'!B:B,"May",'Data - Monthly Metrics'!C:C,"Majors/NRA",'Data - Monthly Metrics'!D:D,"Drops - Non-Target (#)")=0,"-",SUMIFS('Data - Monthly Metrics'!E:E,'Data - Monthly Metrics'!A:A,$B$4,'Data - Monthly Metrics'!B:B,"May",'Data - Monthly Metrics'!C:C,"Majors/NRA",'Data - Monthly Metrics'!D:D,"Drops - Non-Target (#)"))</f>
        <v/>
      </c>
      <c r="L100" s="93">
        <f>IF(COUNTIFS('Data - Monthly Metrics'!A:A,$B$4,'Data - Monthly Metrics'!B:B,"Jun",'Data - Monthly Metrics'!C:C,"Majors/NRA",'Data - Monthly Metrics'!D:D,"Drops - Non-Target (#)")=0,"-",SUMIFS('Data - Monthly Metrics'!E:E,'Data - Monthly Metrics'!A:A,$B$4,'Data - Monthly Metrics'!B:B,"Jun",'Data - Monthly Metrics'!C:C,"Majors/NRA",'Data - Monthly Metrics'!D:D,"Drops - Non-Target (#)"))</f>
        <v/>
      </c>
      <c r="M100" s="103">
        <f>SUM(J100,K100,L100)</f>
        <v/>
      </c>
      <c r="N100" s="93">
        <f>IF(COUNTIFS('Data - Monthly Metrics'!A:A,$B$4,'Data - Monthly Metrics'!B:B,"Jul",'Data - Monthly Metrics'!C:C,"Majors/NRA",'Data - Monthly Metrics'!D:D,"Drops - Non-Target (#)")=0,"-",SUMIFS('Data - Monthly Metrics'!E:E,'Data - Monthly Metrics'!A:A,$B$4,'Data - Monthly Metrics'!B:B,"Jul",'Data - Monthly Metrics'!C:C,"Majors/NRA",'Data - Monthly Metrics'!D:D,"Drops - Non-Target (#)"))</f>
        <v/>
      </c>
      <c r="O100" s="93">
        <f>IF(COUNTIFS('Data - Monthly Metrics'!A:A,$B$4,'Data - Monthly Metrics'!B:B,"Aug",'Data - Monthly Metrics'!C:C,"Majors/NRA",'Data - Monthly Metrics'!D:D,"Drops - Non-Target (#)")=0,"-",SUMIFS('Data - Monthly Metrics'!E:E,'Data - Monthly Metrics'!A:A,$B$4,'Data - Monthly Metrics'!B:B,"Aug",'Data - Monthly Metrics'!C:C,"Majors/NRA",'Data - Monthly Metrics'!D:D,"Drops - Non-Target (#)"))</f>
        <v/>
      </c>
      <c r="P100" s="93">
        <f>IF(COUNTIFS('Data - Monthly Metrics'!A:A,$B$4,'Data - Monthly Metrics'!B:B,"Sep",'Data - Monthly Metrics'!C:C,"Majors/NRA",'Data - Monthly Metrics'!D:D,"Drops - Non-Target (#)")=0,"-",SUMIFS('Data - Monthly Metrics'!E:E,'Data - Monthly Metrics'!A:A,$B$4,'Data - Monthly Metrics'!B:B,"Sep",'Data - Monthly Metrics'!C:C,"Majors/NRA",'Data - Monthly Metrics'!D:D,"Drops - Non-Target (#)"))</f>
        <v/>
      </c>
      <c r="Q100" s="103">
        <f>SUM(N100,O100,P100)</f>
        <v/>
      </c>
      <c r="R100" s="103">
        <f>E100+I100+M100+Q100</f>
        <v/>
      </c>
    </row>
    <row r="101" ht="14.25" customHeight="1" s="82">
      <c r="A101" s="94" t="inlineStr">
        <is>
          <t>Dropped Revenue - Non-Target ($)</t>
        </is>
      </c>
      <c r="B101" s="96">
        <f>IF(COUNTIFS('Data - Monthly Metrics'!A:A,$B$4-1,'Data - Monthly Metrics'!B:B,"Oct",'Data - Monthly Metrics'!C:C,"Majors/NRA",'Data - Monthly Metrics'!D:D,"Dropped Revenue - Non-Target ($)")=0,"-",SUMIFS('Data - Monthly Metrics'!E:E,'Data - Monthly Metrics'!A:A,$B$4-1,'Data - Monthly Metrics'!B:B,"Oct",'Data - Monthly Metrics'!C:C,"Majors/NRA",'Data - Monthly Metrics'!D:D,"Dropped Revenue - Non-Target ($)"))</f>
        <v/>
      </c>
      <c r="C101" s="96">
        <f>IF(COUNTIFS('Data - Monthly Metrics'!A:A,$B$4-1,'Data - Monthly Metrics'!B:B,"Nov",'Data - Monthly Metrics'!C:C,"Majors/NRA",'Data - Monthly Metrics'!D:D,"Dropped Revenue - Non-Target ($)")=0,"-",SUMIFS('Data - Monthly Metrics'!E:E,'Data - Monthly Metrics'!A:A,$B$4-1,'Data - Monthly Metrics'!B:B,"Nov",'Data - Monthly Metrics'!C:C,"Majors/NRA",'Data - Monthly Metrics'!D:D,"Dropped Revenue - Non-Target ($)"))</f>
        <v/>
      </c>
      <c r="D101" s="96">
        <f>IF(COUNTIFS('Data - Monthly Metrics'!A:A,$B$4-1,'Data - Monthly Metrics'!B:B,"Dec",'Data - Monthly Metrics'!C:C,"Majors/NRA",'Data - Monthly Metrics'!D:D,"Dropped Revenue - Non-Target ($)")=0,"-",SUMIFS('Data - Monthly Metrics'!E:E,'Data - Monthly Metrics'!A:A,$B$4-1,'Data - Monthly Metrics'!B:B,"Dec",'Data - Monthly Metrics'!C:C,"Majors/NRA",'Data - Monthly Metrics'!D:D,"Dropped Revenue - Non-Target ($)"))</f>
        <v/>
      </c>
      <c r="E101" s="101">
        <f>SUM(B101,C101,D101)</f>
        <v/>
      </c>
      <c r="F101" s="96">
        <f>IF(COUNTIFS('Data - Monthly Metrics'!A:A,$B$4,'Data - Monthly Metrics'!B:B,"Jan",'Data - Monthly Metrics'!C:C,"Majors/NRA",'Data - Monthly Metrics'!D:D,"Dropped Revenue - Non-Target ($)")=0,"-",SUMIFS('Data - Monthly Metrics'!E:E,'Data - Monthly Metrics'!A:A,$B$4,'Data - Monthly Metrics'!B:B,"Jan",'Data - Monthly Metrics'!C:C,"Majors/NRA",'Data - Monthly Metrics'!D:D,"Dropped Revenue - Non-Target ($)"))</f>
        <v/>
      </c>
      <c r="G101" s="96">
        <f>IF(COUNTIFS('Data - Monthly Metrics'!A:A,$B$4,'Data - Monthly Metrics'!B:B,"Feb",'Data - Monthly Metrics'!C:C,"Majors/NRA",'Data - Monthly Metrics'!D:D,"Dropped Revenue - Non-Target ($)")=0,"-",SUMIFS('Data - Monthly Metrics'!E:E,'Data - Monthly Metrics'!A:A,$B$4,'Data - Monthly Metrics'!B:B,"Feb",'Data - Monthly Metrics'!C:C,"Majors/NRA",'Data - Monthly Metrics'!D:D,"Dropped Revenue - Non-Target ($)"))</f>
        <v/>
      </c>
      <c r="H101" s="96">
        <f>IF(COUNTIFS('Data - Monthly Metrics'!A:A,$B$4,'Data - Monthly Metrics'!B:B,"Mar",'Data - Monthly Metrics'!C:C,"Majors/NRA",'Data - Monthly Metrics'!D:D,"Dropped Revenue - Non-Target ($)")=0,"-",SUMIFS('Data - Monthly Metrics'!E:E,'Data - Monthly Metrics'!A:A,$B$4,'Data - Monthly Metrics'!B:B,"Mar",'Data - Monthly Metrics'!C:C,"Majors/NRA",'Data - Monthly Metrics'!D:D,"Dropped Revenue - Non-Target ($)"))</f>
        <v/>
      </c>
      <c r="I101" s="101">
        <f>SUM(F101,G101,H101)</f>
        <v/>
      </c>
      <c r="J101" s="96">
        <f>IF(COUNTIFS('Data - Monthly Metrics'!A:A,$B$4,'Data - Monthly Metrics'!B:B,"Apr",'Data - Monthly Metrics'!C:C,"Majors/NRA",'Data - Monthly Metrics'!D:D,"Dropped Revenue - Non-Target ($)")=0,"-",SUMIFS('Data - Monthly Metrics'!E:E,'Data - Monthly Metrics'!A:A,$B$4,'Data - Monthly Metrics'!B:B,"Apr",'Data - Monthly Metrics'!C:C,"Majors/NRA",'Data - Monthly Metrics'!D:D,"Dropped Revenue - Non-Target ($)"))</f>
        <v/>
      </c>
      <c r="K101" s="96">
        <f>IF(COUNTIFS('Data - Monthly Metrics'!A:A,$B$4,'Data - Monthly Metrics'!B:B,"May",'Data - Monthly Metrics'!C:C,"Majors/NRA",'Data - Monthly Metrics'!D:D,"Dropped Revenue - Non-Target ($)")=0,"-",SUMIFS('Data - Monthly Metrics'!E:E,'Data - Monthly Metrics'!A:A,$B$4,'Data - Monthly Metrics'!B:B,"May",'Data - Monthly Metrics'!C:C,"Majors/NRA",'Data - Monthly Metrics'!D:D,"Dropped Revenue - Non-Target ($)"))</f>
        <v/>
      </c>
      <c r="L101" s="96">
        <f>IF(COUNTIFS('Data - Monthly Metrics'!A:A,$B$4,'Data - Monthly Metrics'!B:B,"Jun",'Data - Monthly Metrics'!C:C,"Majors/NRA",'Data - Monthly Metrics'!D:D,"Dropped Revenue - Non-Target ($)")=0,"-",SUMIFS('Data - Monthly Metrics'!E:E,'Data - Monthly Metrics'!A:A,$B$4,'Data - Monthly Metrics'!B:B,"Jun",'Data - Monthly Metrics'!C:C,"Majors/NRA",'Data - Monthly Metrics'!D:D,"Dropped Revenue - Non-Target ($)"))</f>
        <v/>
      </c>
      <c r="M101" s="101">
        <f>SUM(J101,K101,L101)</f>
        <v/>
      </c>
      <c r="N101" s="96">
        <f>IF(COUNTIFS('Data - Monthly Metrics'!A:A,$B$4,'Data - Monthly Metrics'!B:B,"Jul",'Data - Monthly Metrics'!C:C,"Majors/NRA",'Data - Monthly Metrics'!D:D,"Dropped Revenue - Non-Target ($)")=0,"-",SUMIFS('Data - Monthly Metrics'!E:E,'Data - Monthly Metrics'!A:A,$B$4,'Data - Monthly Metrics'!B:B,"Jul",'Data - Monthly Metrics'!C:C,"Majors/NRA",'Data - Monthly Metrics'!D:D,"Dropped Revenue - Non-Target ($)"))</f>
        <v/>
      </c>
      <c r="O101" s="96">
        <f>IF(COUNTIFS('Data - Monthly Metrics'!A:A,$B$4,'Data - Monthly Metrics'!B:B,"Aug",'Data - Monthly Metrics'!C:C,"Majors/NRA",'Data - Monthly Metrics'!D:D,"Dropped Revenue - Non-Target ($)")=0,"-",SUMIFS('Data - Monthly Metrics'!E:E,'Data - Monthly Metrics'!A:A,$B$4,'Data - Monthly Metrics'!B:B,"Aug",'Data - Monthly Metrics'!C:C,"Majors/NRA",'Data - Monthly Metrics'!D:D,"Dropped Revenue - Non-Target ($)"))</f>
        <v/>
      </c>
      <c r="P101" s="96">
        <f>IF(COUNTIFS('Data - Monthly Metrics'!A:A,$B$4,'Data - Monthly Metrics'!B:B,"Sep",'Data - Monthly Metrics'!C:C,"Majors/NRA",'Data - Monthly Metrics'!D:D,"Dropped Revenue - Non-Target ($)")=0,"-",SUMIFS('Data - Monthly Metrics'!E:E,'Data - Monthly Metrics'!A:A,$B$4,'Data - Monthly Metrics'!B:B,"Sep",'Data - Monthly Metrics'!C:C,"Majors/NRA",'Data - Monthly Metrics'!D:D,"Dropped Revenue - Non-Target ($)"))</f>
        <v/>
      </c>
      <c r="Q101" s="101">
        <f>SUM(N101,O101,P101)</f>
        <v/>
      </c>
      <c r="R101" s="101">
        <f>E101+I101+M101+Q101</f>
        <v/>
      </c>
    </row>
    <row r="102"/>
    <row r="103" ht="21.75" customHeight="1" s="82">
      <c r="A103" s="87" t="inlineStr">
        <is>
          <t xml:space="preserve">  ▶   N5.  PENETRATION — Non-Target</t>
        </is>
      </c>
    </row>
    <row r="104" ht="14.25" customHeight="1" s="82">
      <c r="A104" s="149" t="inlineStr">
        <is>
          <t>Metric</t>
        </is>
      </c>
      <c r="B104" s="149" t="inlineStr">
        <is>
          <t>Oct</t>
        </is>
      </c>
      <c r="C104" s="149" t="inlineStr">
        <is>
          <t>Nov</t>
        </is>
      </c>
      <c r="D104" s="149" t="inlineStr">
        <is>
          <t>Dec</t>
        </is>
      </c>
      <c r="E104" s="149" t="inlineStr">
        <is>
          <t>Q1</t>
        </is>
      </c>
      <c r="F104" s="149" t="inlineStr">
        <is>
          <t>Jan</t>
        </is>
      </c>
      <c r="G104" s="149" t="inlineStr">
        <is>
          <t>Feb</t>
        </is>
      </c>
      <c r="H104" s="149" t="inlineStr">
        <is>
          <t>Mar</t>
        </is>
      </c>
      <c r="I104" s="149" t="inlineStr">
        <is>
          <t>Q2</t>
        </is>
      </c>
      <c r="J104" s="149" t="inlineStr">
        <is>
          <t>Apr</t>
        </is>
      </c>
      <c r="K104" s="149" t="inlineStr">
        <is>
          <t>May</t>
        </is>
      </c>
      <c r="L104" s="149" t="inlineStr">
        <is>
          <t>Jun</t>
        </is>
      </c>
      <c r="M104" s="149" t="inlineStr">
        <is>
          <t>Q3</t>
        </is>
      </c>
      <c r="N104" s="149" t="inlineStr">
        <is>
          <t>Jul</t>
        </is>
      </c>
      <c r="O104" s="149" t="inlineStr">
        <is>
          <t>Aug</t>
        </is>
      </c>
      <c r="P104" s="149" t="inlineStr">
        <is>
          <t>Sep</t>
        </is>
      </c>
      <c r="Q104" s="149" t="inlineStr">
        <is>
          <t>Q4</t>
        </is>
      </c>
      <c r="R104" s="149" t="inlineStr">
        <is>
          <t>Avg</t>
        </is>
      </c>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c r="AO104" s="81" t="n"/>
      <c r="AP104" s="81" t="n"/>
      <c r="AQ104" s="81" t="n"/>
      <c r="AR104" s="81" t="n"/>
    </row>
    <row r="105" ht="14.25" customHeight="1" s="82">
      <c r="A105" s="125" t="inlineStr">
        <is>
          <t>Penetration - Restaurant %</t>
        </is>
      </c>
      <c r="B105" s="115">
        <f>IF(COUNTIFS('Data - Monthly Metrics'!A:A,$B$4-1,'Data - Monthly Metrics'!B:B,"Oct",'Data - Monthly Metrics'!C:C,"Majors/NRA",'Data - Monthly Metrics'!D:D,"Penetration - Restaurant Non-Target %")=0,"-",SUMIFS('Data - Monthly Metrics'!E:E,'Data - Monthly Metrics'!A:A,$B$4-1,'Data - Monthly Metrics'!B:B,"Oct",'Data - Monthly Metrics'!C:C,"Majors/NRA",'Data - Monthly Metrics'!D:D,"Penetration - Restaurant Non-Target %"))</f>
        <v/>
      </c>
      <c r="C105" s="115">
        <f>IF(COUNTIFS('Data - Monthly Metrics'!A:A,$B$4-1,'Data - Monthly Metrics'!B:B,"Nov",'Data - Monthly Metrics'!C:C,"Majors/NRA",'Data - Monthly Metrics'!D:D,"Penetration - Restaurant Non-Target %")=0,"-",SUMIFS('Data - Monthly Metrics'!E:E,'Data - Monthly Metrics'!A:A,$B$4-1,'Data - Monthly Metrics'!B:B,"Nov",'Data - Monthly Metrics'!C:C,"Majors/NRA",'Data - Monthly Metrics'!D:D,"Penetration - Restaurant Non-Target %"))</f>
        <v/>
      </c>
      <c r="D105" s="115">
        <f>IF(COUNTIFS('Data - Monthly Metrics'!A:A,$B$4-1,'Data - Monthly Metrics'!B:B,"Dec",'Data - Monthly Metrics'!C:C,"Majors/NRA",'Data - Monthly Metrics'!D:D,"Penetration - Restaurant Non-Target %")=0,"-",SUMIFS('Data - Monthly Metrics'!E:E,'Data - Monthly Metrics'!A:A,$B$4-1,'Data - Monthly Metrics'!B:B,"Dec",'Data - Monthly Metrics'!C:C,"Majors/NRA",'Data - Monthly Metrics'!D:D,"Penetration - Restaurant Non-Target %"))</f>
        <v/>
      </c>
      <c r="E105" s="116">
        <f>IF(ISNUMBER(D105),D105,IF(ISNUMBER(C105),C105,IF(ISNUMBER(B105),B105,"-")))</f>
        <v/>
      </c>
      <c r="F105" s="115">
        <f>IF(COUNTIFS('Data - Monthly Metrics'!A:A,$B$4,'Data - Monthly Metrics'!B:B,"Jan",'Data - Monthly Metrics'!C:C,"Majors/NRA",'Data - Monthly Metrics'!D:D,"Penetration - Restaurant Non-Target %")=0,"-",SUMIFS('Data - Monthly Metrics'!E:E,'Data - Monthly Metrics'!A:A,$B$4,'Data - Monthly Metrics'!B:B,"Jan",'Data - Monthly Metrics'!C:C,"Majors/NRA",'Data - Monthly Metrics'!D:D,"Penetration - Restaurant Non-Target %"))</f>
        <v/>
      </c>
      <c r="G105" s="115">
        <f>IF(COUNTIFS('Data - Monthly Metrics'!A:A,$B$4,'Data - Monthly Metrics'!B:B,"Feb",'Data - Monthly Metrics'!C:C,"Majors/NRA",'Data - Monthly Metrics'!D:D,"Penetration - Restaurant Non-Target %")=0,"-",SUMIFS('Data - Monthly Metrics'!E:E,'Data - Monthly Metrics'!A:A,$B$4,'Data - Monthly Metrics'!B:B,"Feb",'Data - Monthly Metrics'!C:C,"Majors/NRA",'Data - Monthly Metrics'!D:D,"Penetration - Restaurant Non-Target %"))</f>
        <v/>
      </c>
      <c r="H105" s="115">
        <f>IF(COUNTIFS('Data - Monthly Metrics'!A:A,$B$4,'Data - Monthly Metrics'!B:B,"Mar",'Data - Monthly Metrics'!C:C,"Majors/NRA",'Data - Monthly Metrics'!D:D,"Penetration - Restaurant Non-Target %")=0,"-",SUMIFS('Data - Monthly Metrics'!E:E,'Data - Monthly Metrics'!A:A,$B$4,'Data - Monthly Metrics'!B:B,"Mar",'Data - Monthly Metrics'!C:C,"Majors/NRA",'Data - Monthly Metrics'!D:D,"Penetration - Restaurant Non-Target %"))</f>
        <v/>
      </c>
      <c r="I105" s="116">
        <f>IF(ISNUMBER(H105),H105,IF(ISNUMBER(G105),G105,IF(ISNUMBER(F105),F105,"-")))</f>
        <v/>
      </c>
      <c r="J105" s="115">
        <f>IF(COUNTIFS('Data - Monthly Metrics'!A:A,$B$4,'Data - Monthly Metrics'!B:B,"Apr",'Data - Monthly Metrics'!C:C,"Majors/NRA",'Data - Monthly Metrics'!D:D,"Penetration - Restaurant Non-Target %")=0,"-",SUMIFS('Data - Monthly Metrics'!E:E,'Data - Monthly Metrics'!A:A,$B$4,'Data - Monthly Metrics'!B:B,"Apr",'Data - Monthly Metrics'!C:C,"Majors/NRA",'Data - Monthly Metrics'!D:D,"Penetration - Restaurant Non-Target %"))</f>
        <v/>
      </c>
      <c r="K105" s="115">
        <f>IF(COUNTIFS('Data - Monthly Metrics'!A:A,$B$4,'Data - Monthly Metrics'!B:B,"May",'Data - Monthly Metrics'!C:C,"Majors/NRA",'Data - Monthly Metrics'!D:D,"Penetration - Restaurant Non-Target %")=0,"-",SUMIFS('Data - Monthly Metrics'!E:E,'Data - Monthly Metrics'!A:A,$B$4,'Data - Monthly Metrics'!B:B,"May",'Data - Monthly Metrics'!C:C,"Majors/NRA",'Data - Monthly Metrics'!D:D,"Penetration - Restaurant Non-Target %"))</f>
        <v/>
      </c>
      <c r="L105" s="115">
        <f>IF(COUNTIFS('Data - Monthly Metrics'!A:A,$B$4,'Data - Monthly Metrics'!B:B,"Jun",'Data - Monthly Metrics'!C:C,"Majors/NRA",'Data - Monthly Metrics'!D:D,"Penetration - Restaurant Non-Target %")=0,"-",SUMIFS('Data - Monthly Metrics'!E:E,'Data - Monthly Metrics'!A:A,$B$4,'Data - Monthly Metrics'!B:B,"Jun",'Data - Monthly Metrics'!C:C,"Majors/NRA",'Data - Monthly Metrics'!D:D,"Penetration - Restaurant Non-Target %"))</f>
        <v/>
      </c>
      <c r="M105" s="116">
        <f>IF(ISNUMBER(L105),L105,IF(ISNUMBER(K105),K105,IF(ISNUMBER(J105),J105,"-")))</f>
        <v/>
      </c>
      <c r="N105" s="115">
        <f>IF(COUNTIFS('Data - Monthly Metrics'!A:A,$B$4,'Data - Monthly Metrics'!B:B,"Jul",'Data - Monthly Metrics'!C:C,"Majors/NRA",'Data - Monthly Metrics'!D:D,"Penetration - Restaurant Non-Target %")=0,"-",SUMIFS('Data - Monthly Metrics'!E:E,'Data - Monthly Metrics'!A:A,$B$4,'Data - Monthly Metrics'!B:B,"Jul",'Data - Monthly Metrics'!C:C,"Majors/NRA",'Data - Monthly Metrics'!D:D,"Penetration - Restaurant Non-Target %"))</f>
        <v/>
      </c>
      <c r="O105" s="115">
        <f>IF(COUNTIFS('Data - Monthly Metrics'!A:A,$B$4,'Data - Monthly Metrics'!B:B,"Aug",'Data - Monthly Metrics'!C:C,"Majors/NRA",'Data - Monthly Metrics'!D:D,"Penetration - Restaurant Non-Target %")=0,"-",SUMIFS('Data - Monthly Metrics'!E:E,'Data - Monthly Metrics'!A:A,$B$4,'Data - Monthly Metrics'!B:B,"Aug",'Data - Monthly Metrics'!C:C,"Majors/NRA",'Data - Monthly Metrics'!D:D,"Penetration - Restaurant Non-Target %"))</f>
        <v/>
      </c>
      <c r="P105" s="115">
        <f>IF(COUNTIFS('Data - Monthly Metrics'!A:A,$B$4,'Data - Monthly Metrics'!B:B,"Sep",'Data - Monthly Metrics'!C:C,"Majors/NRA",'Data - Monthly Metrics'!D:D,"Penetration - Restaurant Non-Target %")=0,"-",SUMIFS('Data - Monthly Metrics'!E:E,'Data - Monthly Metrics'!A:A,$B$4,'Data - Monthly Metrics'!B:B,"Sep",'Data - Monthly Metrics'!C:C,"Majors/NRA",'Data - Monthly Metrics'!D:D,"Penetration - Restaurant Non-Target %"))</f>
        <v/>
      </c>
      <c r="Q105" s="116">
        <f>IF(ISNUMBER(P105),P105,IF(ISNUMBER(O105),O105,IF(ISNUMBER(N105),N105,"-")))</f>
        <v/>
      </c>
      <c r="R105" s="116">
        <f>IF(ISNUMBER(Q105),Q105,IF(ISNUMBER(M105),M105,IF(ISNUMBER(I105),I105,IF(ISNUMBER(E105),E105,"-"))))</f>
        <v/>
      </c>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c r="AO105" s="81" t="n"/>
      <c r="AP105" s="81" t="n"/>
      <c r="AQ105" s="81" t="n"/>
      <c r="AR105" s="81" t="n"/>
    </row>
    <row r="106" ht="14.25" customHeight="1" s="82">
      <c r="A106" s="150" t="inlineStr">
        <is>
          <t>Penetration - Lodging %</t>
        </is>
      </c>
      <c r="B106" s="118">
        <f>IF(COUNTIFS('Data - Monthly Metrics'!A:A,$B$4-1,'Data - Monthly Metrics'!B:B,"Oct",'Data - Monthly Metrics'!C:C,"Majors/NRA",'Data - Monthly Metrics'!D:D,"Penetration - Lodging Non-Target %")=0,"-",SUMIFS('Data - Monthly Metrics'!E:E,'Data - Monthly Metrics'!A:A,$B$4-1,'Data - Monthly Metrics'!B:B,"Oct",'Data - Monthly Metrics'!C:C,"Majors/NRA",'Data - Monthly Metrics'!D:D,"Penetration - Lodging Non-Target %"))</f>
        <v/>
      </c>
      <c r="C106" s="118">
        <f>IF(COUNTIFS('Data - Monthly Metrics'!A:A,$B$4-1,'Data - Monthly Metrics'!B:B,"Nov",'Data - Monthly Metrics'!C:C,"Majors/NRA",'Data - Monthly Metrics'!D:D,"Penetration - Lodging Non-Target %")=0,"-",SUMIFS('Data - Monthly Metrics'!E:E,'Data - Monthly Metrics'!A:A,$B$4-1,'Data - Monthly Metrics'!B:B,"Nov",'Data - Monthly Metrics'!C:C,"Majors/NRA",'Data - Monthly Metrics'!D:D,"Penetration - Lodging Non-Target %"))</f>
        <v/>
      </c>
      <c r="D106" s="118">
        <f>IF(COUNTIFS('Data - Monthly Metrics'!A:A,$B$4-1,'Data - Monthly Metrics'!B:B,"Dec",'Data - Monthly Metrics'!C:C,"Majors/NRA",'Data - Monthly Metrics'!D:D,"Penetration - Lodging Non-Target %")=0,"-",SUMIFS('Data - Monthly Metrics'!E:E,'Data - Monthly Metrics'!A:A,$B$4-1,'Data - Monthly Metrics'!B:B,"Dec",'Data - Monthly Metrics'!C:C,"Majors/NRA",'Data - Monthly Metrics'!D:D,"Penetration - Lodging Non-Target %"))</f>
        <v/>
      </c>
      <c r="E106" s="116">
        <f>IF(ISNUMBER(D106),D106,IF(ISNUMBER(C106),C106,IF(ISNUMBER(B106),B106,"-")))</f>
        <v/>
      </c>
      <c r="F106" s="118">
        <f>IF(COUNTIFS('Data - Monthly Metrics'!A:A,$B$4,'Data - Monthly Metrics'!B:B,"Jan",'Data - Monthly Metrics'!C:C,"Majors/NRA",'Data - Monthly Metrics'!D:D,"Penetration - Lodging Non-Target %")=0,"-",SUMIFS('Data - Monthly Metrics'!E:E,'Data - Monthly Metrics'!A:A,$B$4,'Data - Monthly Metrics'!B:B,"Jan",'Data - Monthly Metrics'!C:C,"Majors/NRA",'Data - Monthly Metrics'!D:D,"Penetration - Lodging Non-Target %"))</f>
        <v/>
      </c>
      <c r="G106" s="118">
        <f>IF(COUNTIFS('Data - Monthly Metrics'!A:A,$B$4,'Data - Monthly Metrics'!B:B,"Feb",'Data - Monthly Metrics'!C:C,"Majors/NRA",'Data - Monthly Metrics'!D:D,"Penetration - Lodging Non-Target %")=0,"-",SUMIFS('Data - Monthly Metrics'!E:E,'Data - Monthly Metrics'!A:A,$B$4,'Data - Monthly Metrics'!B:B,"Feb",'Data - Monthly Metrics'!C:C,"Majors/NRA",'Data - Monthly Metrics'!D:D,"Penetration - Lodging Non-Target %"))</f>
        <v/>
      </c>
      <c r="H106" s="118">
        <f>IF(COUNTIFS('Data - Monthly Metrics'!A:A,$B$4,'Data - Monthly Metrics'!B:B,"Mar",'Data - Monthly Metrics'!C:C,"Majors/NRA",'Data - Monthly Metrics'!D:D,"Penetration - Lodging Non-Target %")=0,"-",SUMIFS('Data - Monthly Metrics'!E:E,'Data - Monthly Metrics'!A:A,$B$4,'Data - Monthly Metrics'!B:B,"Mar",'Data - Monthly Metrics'!C:C,"Majors/NRA",'Data - Monthly Metrics'!D:D,"Penetration - Lodging Non-Target %"))</f>
        <v/>
      </c>
      <c r="I106" s="116">
        <f>IF(ISNUMBER(H106),H106,IF(ISNUMBER(G106),G106,IF(ISNUMBER(F106),F106,"-")))</f>
        <v/>
      </c>
      <c r="J106" s="118">
        <f>IF(COUNTIFS('Data - Monthly Metrics'!A:A,$B$4,'Data - Monthly Metrics'!B:B,"Apr",'Data - Monthly Metrics'!C:C,"Majors/NRA",'Data - Monthly Metrics'!D:D,"Penetration - Lodging Non-Target %")=0,"-",SUMIFS('Data - Monthly Metrics'!E:E,'Data - Monthly Metrics'!A:A,$B$4,'Data - Monthly Metrics'!B:B,"Apr",'Data - Monthly Metrics'!C:C,"Majors/NRA",'Data - Monthly Metrics'!D:D,"Penetration - Lodging Non-Target %"))</f>
        <v/>
      </c>
      <c r="K106" s="118">
        <f>IF(COUNTIFS('Data - Monthly Metrics'!A:A,$B$4,'Data - Monthly Metrics'!B:B,"May",'Data - Monthly Metrics'!C:C,"Majors/NRA",'Data - Monthly Metrics'!D:D,"Penetration - Lodging Non-Target %")=0,"-",SUMIFS('Data - Monthly Metrics'!E:E,'Data - Monthly Metrics'!A:A,$B$4,'Data - Monthly Metrics'!B:B,"May",'Data - Monthly Metrics'!C:C,"Majors/NRA",'Data - Monthly Metrics'!D:D,"Penetration - Lodging Non-Target %"))</f>
        <v/>
      </c>
      <c r="L106" s="118">
        <f>IF(COUNTIFS('Data - Monthly Metrics'!A:A,$B$4,'Data - Monthly Metrics'!B:B,"Jun",'Data - Monthly Metrics'!C:C,"Majors/NRA",'Data - Monthly Metrics'!D:D,"Penetration - Lodging Non-Target %")=0,"-",SUMIFS('Data - Monthly Metrics'!E:E,'Data - Monthly Metrics'!A:A,$B$4,'Data - Monthly Metrics'!B:B,"Jun",'Data - Monthly Metrics'!C:C,"Majors/NRA",'Data - Monthly Metrics'!D:D,"Penetration - Lodging Non-Target %"))</f>
        <v/>
      </c>
      <c r="M106" s="116">
        <f>IF(ISNUMBER(L106),L106,IF(ISNUMBER(K106),K106,IF(ISNUMBER(J106),J106,"-")))</f>
        <v/>
      </c>
      <c r="N106" s="118">
        <f>IF(COUNTIFS('Data - Monthly Metrics'!A:A,$B$4,'Data - Monthly Metrics'!B:B,"Jul",'Data - Monthly Metrics'!C:C,"Majors/NRA",'Data - Monthly Metrics'!D:D,"Penetration - Lodging Non-Target %")=0,"-",SUMIFS('Data - Monthly Metrics'!E:E,'Data - Monthly Metrics'!A:A,$B$4,'Data - Monthly Metrics'!B:B,"Jul",'Data - Monthly Metrics'!C:C,"Majors/NRA",'Data - Monthly Metrics'!D:D,"Penetration - Lodging Non-Target %"))</f>
        <v/>
      </c>
      <c r="O106" s="118">
        <f>IF(COUNTIFS('Data - Monthly Metrics'!A:A,$B$4,'Data - Monthly Metrics'!B:B,"Aug",'Data - Monthly Metrics'!C:C,"Majors/NRA",'Data - Monthly Metrics'!D:D,"Penetration - Lodging Non-Target %")=0,"-",SUMIFS('Data - Monthly Metrics'!E:E,'Data - Monthly Metrics'!A:A,$B$4,'Data - Monthly Metrics'!B:B,"Aug",'Data - Monthly Metrics'!C:C,"Majors/NRA",'Data - Monthly Metrics'!D:D,"Penetration - Lodging Non-Target %"))</f>
        <v/>
      </c>
      <c r="P106" s="118">
        <f>IF(COUNTIFS('Data - Monthly Metrics'!A:A,$B$4,'Data - Monthly Metrics'!B:B,"Sep",'Data - Monthly Metrics'!C:C,"Majors/NRA",'Data - Monthly Metrics'!D:D,"Penetration - Lodging Non-Target %")=0,"-",SUMIFS('Data - Monthly Metrics'!E:E,'Data - Monthly Metrics'!A:A,$B$4,'Data - Monthly Metrics'!B:B,"Sep",'Data - Monthly Metrics'!C:C,"Majors/NRA",'Data - Monthly Metrics'!D:D,"Penetration - Lodging Non-Target %"))</f>
        <v/>
      </c>
      <c r="Q106" s="116">
        <f>IF(ISNUMBER(P106),P106,IF(ISNUMBER(O106),O106,IF(ISNUMBER(N106),N106,"-")))</f>
        <v/>
      </c>
      <c r="R106" s="116">
        <f>IF(ISNUMBER(Q106),Q106,IF(ISNUMBER(M106),M106,IF(ISNUMBER(I106),I106,IF(ISNUMBER(E106),E106,"-"))))</f>
        <v/>
      </c>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c r="AO106" s="81" t="n"/>
      <c r="AP106" s="81" t="n"/>
      <c r="AQ106" s="81" t="n"/>
      <c r="AR106" s="81" t="n"/>
    </row>
    <row r="107" ht="14.25" customHeight="1" s="82">
      <c r="A107" s="125" t="inlineStr">
        <is>
          <t>Penetration - Combined %</t>
        </is>
      </c>
      <c r="B107" s="115">
        <f>IF(COUNTIFS('Data - Monthly Metrics'!A:A,$B$4-1,'Data - Monthly Metrics'!B:B,"Oct",'Data - Monthly Metrics'!C:C,"Majors/NRA",'Data - Monthly Metrics'!D:D,"Penetration - Combined Non-Target %")=0,"-",SUMIFS('Data - Monthly Metrics'!E:E,'Data - Monthly Metrics'!A:A,$B$4-1,'Data - Monthly Metrics'!B:B,"Oct",'Data - Monthly Metrics'!C:C,"Majors/NRA",'Data - Monthly Metrics'!D:D,"Penetration - Combined Non-Target %"))</f>
        <v/>
      </c>
      <c r="C107" s="115">
        <f>IF(COUNTIFS('Data - Monthly Metrics'!A:A,$B$4-1,'Data - Monthly Metrics'!B:B,"Nov",'Data - Monthly Metrics'!C:C,"Majors/NRA",'Data - Monthly Metrics'!D:D,"Penetration - Combined Non-Target %")=0,"-",SUMIFS('Data - Monthly Metrics'!E:E,'Data - Monthly Metrics'!A:A,$B$4-1,'Data - Monthly Metrics'!B:B,"Nov",'Data - Monthly Metrics'!C:C,"Majors/NRA",'Data - Monthly Metrics'!D:D,"Penetration - Combined Non-Target %"))</f>
        <v/>
      </c>
      <c r="D107" s="115">
        <f>IF(COUNTIFS('Data - Monthly Metrics'!A:A,$B$4-1,'Data - Monthly Metrics'!B:B,"Dec",'Data - Monthly Metrics'!C:C,"Majors/NRA",'Data - Monthly Metrics'!D:D,"Penetration - Combined Non-Target %")=0,"-",SUMIFS('Data - Monthly Metrics'!E:E,'Data - Monthly Metrics'!A:A,$B$4-1,'Data - Monthly Metrics'!B:B,"Dec",'Data - Monthly Metrics'!C:C,"Majors/NRA",'Data - Monthly Metrics'!D:D,"Penetration - Combined Non-Target %"))</f>
        <v/>
      </c>
      <c r="E107" s="116">
        <f>IF(ISNUMBER(D107),D107,IF(ISNUMBER(C107),C107,IF(ISNUMBER(B107),B107,"-")))</f>
        <v/>
      </c>
      <c r="F107" s="115">
        <f>IF(COUNTIFS('Data - Monthly Metrics'!A:A,$B$4,'Data - Monthly Metrics'!B:B,"Jan",'Data - Monthly Metrics'!C:C,"Majors/NRA",'Data - Monthly Metrics'!D:D,"Penetration - Combined Non-Target %")=0,"-",SUMIFS('Data - Monthly Metrics'!E:E,'Data - Monthly Metrics'!A:A,$B$4,'Data - Monthly Metrics'!B:B,"Jan",'Data - Monthly Metrics'!C:C,"Majors/NRA",'Data - Monthly Metrics'!D:D,"Penetration - Combined Non-Target %"))</f>
        <v/>
      </c>
      <c r="G107" s="115">
        <f>IF(COUNTIFS('Data - Monthly Metrics'!A:A,$B$4,'Data - Monthly Metrics'!B:B,"Feb",'Data - Monthly Metrics'!C:C,"Majors/NRA",'Data - Monthly Metrics'!D:D,"Penetration - Combined Non-Target %")=0,"-",SUMIFS('Data - Monthly Metrics'!E:E,'Data - Monthly Metrics'!A:A,$B$4,'Data - Monthly Metrics'!B:B,"Feb",'Data - Monthly Metrics'!C:C,"Majors/NRA",'Data - Monthly Metrics'!D:D,"Penetration - Combined Non-Target %"))</f>
        <v/>
      </c>
      <c r="H107" s="115">
        <f>IF(COUNTIFS('Data - Monthly Metrics'!A:A,$B$4,'Data - Monthly Metrics'!B:B,"Mar",'Data - Monthly Metrics'!C:C,"Majors/NRA",'Data - Monthly Metrics'!D:D,"Penetration - Combined Non-Target %")=0,"-",SUMIFS('Data - Monthly Metrics'!E:E,'Data - Monthly Metrics'!A:A,$B$4,'Data - Monthly Metrics'!B:B,"Mar",'Data - Monthly Metrics'!C:C,"Majors/NRA",'Data - Monthly Metrics'!D:D,"Penetration - Combined Non-Target %"))</f>
        <v/>
      </c>
      <c r="I107" s="116">
        <f>IF(ISNUMBER(H107),H107,IF(ISNUMBER(G107),G107,IF(ISNUMBER(F107),F107,"-")))</f>
        <v/>
      </c>
      <c r="J107" s="115">
        <f>IF(COUNTIFS('Data - Monthly Metrics'!A:A,$B$4,'Data - Monthly Metrics'!B:B,"Apr",'Data - Monthly Metrics'!C:C,"Majors/NRA",'Data - Monthly Metrics'!D:D,"Penetration - Combined Non-Target %")=0,"-",SUMIFS('Data - Monthly Metrics'!E:E,'Data - Monthly Metrics'!A:A,$B$4,'Data - Monthly Metrics'!B:B,"Apr",'Data - Monthly Metrics'!C:C,"Majors/NRA",'Data - Monthly Metrics'!D:D,"Penetration - Combined Non-Target %"))</f>
        <v/>
      </c>
      <c r="K107" s="115">
        <f>IF(COUNTIFS('Data - Monthly Metrics'!A:A,$B$4,'Data - Monthly Metrics'!B:B,"May",'Data - Monthly Metrics'!C:C,"Majors/NRA",'Data - Monthly Metrics'!D:D,"Penetration - Combined Non-Target %")=0,"-",SUMIFS('Data - Monthly Metrics'!E:E,'Data - Monthly Metrics'!A:A,$B$4,'Data - Monthly Metrics'!B:B,"May",'Data - Monthly Metrics'!C:C,"Majors/NRA",'Data - Monthly Metrics'!D:D,"Penetration - Combined Non-Target %"))</f>
        <v/>
      </c>
      <c r="L107" s="115">
        <f>IF(COUNTIFS('Data - Monthly Metrics'!A:A,$B$4,'Data - Monthly Metrics'!B:B,"Jun",'Data - Monthly Metrics'!C:C,"Majors/NRA",'Data - Monthly Metrics'!D:D,"Penetration - Combined Non-Target %")=0,"-",SUMIFS('Data - Monthly Metrics'!E:E,'Data - Monthly Metrics'!A:A,$B$4,'Data - Monthly Metrics'!B:B,"Jun",'Data - Monthly Metrics'!C:C,"Majors/NRA",'Data - Monthly Metrics'!D:D,"Penetration - Combined Non-Target %"))</f>
        <v/>
      </c>
      <c r="M107" s="116">
        <f>IF(ISNUMBER(L107),L107,IF(ISNUMBER(K107),K107,IF(ISNUMBER(J107),J107,"-")))</f>
        <v/>
      </c>
      <c r="N107" s="115">
        <f>IF(COUNTIFS('Data - Monthly Metrics'!A:A,$B$4,'Data - Monthly Metrics'!B:B,"Jul",'Data - Monthly Metrics'!C:C,"Majors/NRA",'Data - Monthly Metrics'!D:D,"Penetration - Combined Non-Target %")=0,"-",SUMIFS('Data - Monthly Metrics'!E:E,'Data - Monthly Metrics'!A:A,$B$4,'Data - Monthly Metrics'!B:B,"Jul",'Data - Monthly Metrics'!C:C,"Majors/NRA",'Data - Monthly Metrics'!D:D,"Penetration - Combined Non-Target %"))</f>
        <v/>
      </c>
      <c r="O107" s="115">
        <f>IF(COUNTIFS('Data - Monthly Metrics'!A:A,$B$4,'Data - Monthly Metrics'!B:B,"Aug",'Data - Monthly Metrics'!C:C,"Majors/NRA",'Data - Monthly Metrics'!D:D,"Penetration - Combined Non-Target %")=0,"-",SUMIFS('Data - Monthly Metrics'!E:E,'Data - Monthly Metrics'!A:A,$B$4,'Data - Monthly Metrics'!B:B,"Aug",'Data - Monthly Metrics'!C:C,"Majors/NRA",'Data - Monthly Metrics'!D:D,"Penetration - Combined Non-Target %"))</f>
        <v/>
      </c>
      <c r="P107" s="115">
        <f>IF(COUNTIFS('Data - Monthly Metrics'!A:A,$B$4,'Data - Monthly Metrics'!B:B,"Sep",'Data - Monthly Metrics'!C:C,"Majors/NRA",'Data - Monthly Metrics'!D:D,"Penetration - Combined Non-Target %")=0,"-",SUMIFS('Data - Monthly Metrics'!E:E,'Data - Monthly Metrics'!A:A,$B$4,'Data - Monthly Metrics'!B:B,"Sep",'Data - Monthly Metrics'!C:C,"Majors/NRA",'Data - Monthly Metrics'!D:D,"Penetration - Combined Non-Target %"))</f>
        <v/>
      </c>
      <c r="Q107" s="116">
        <f>IF(ISNUMBER(P107),P107,IF(ISNUMBER(O107),O107,IF(ISNUMBER(N107),N107,"-")))</f>
        <v/>
      </c>
      <c r="R107" s="116">
        <f>IF(ISNUMBER(Q107),Q107,IF(ISNUMBER(M107),M107,IF(ISNUMBER(I107),I107,IF(ISNUMBER(E107),E107,"-"))))</f>
        <v/>
      </c>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c r="AO107" s="81" t="n"/>
      <c r="AP107" s="81" t="n"/>
      <c r="AQ107" s="81" t="n"/>
      <c r="AR107" s="81" t="n"/>
    </row>
    <row r="1048543" ht="12.75" customHeight="1" s="82"/>
    <row r="1048544" ht="12.75" customHeight="1" s="82"/>
    <row r="1048545" ht="12.75" customHeight="1" s="82"/>
    <row r="1048546" ht="12.75" customHeight="1" s="82"/>
    <row r="1048547" ht="12.75" customHeight="1" s="82"/>
    <row r="1048548" ht="12.75" customHeight="1" s="82"/>
    <row r="1048549" ht="12.75" customHeight="1" s="82"/>
    <row r="1048550" ht="12.75" customHeight="1" s="82"/>
    <row r="1048551" ht="12.75" customHeight="1" s="82"/>
    <row r="1048552" ht="12.75" customHeight="1" s="82"/>
    <row r="1048553" ht="12.75" customHeight="1" s="82"/>
    <row r="1048554" ht="12.8" customHeight="1" s="82"/>
    <row r="1048555" ht="12.8" customHeight="1" s="82"/>
    <row r="1048556" ht="12.8" customHeight="1" s="82"/>
    <row r="1048557" ht="12.8" customHeight="1" s="82"/>
    <row r="1048558" ht="12.8" customHeight="1" s="82"/>
    <row r="1048559" ht="12.8" customHeight="1" s="82"/>
    <row r="1048560" ht="12.8" customHeight="1" s="82"/>
    <row r="1048561" ht="12.8" customHeight="1" s="82"/>
    <row r="1048562" ht="12.8" customHeight="1" s="82"/>
    <row r="1048563" ht="12.8" customHeight="1" s="82"/>
    <row r="1048564" ht="12.8" customHeight="1" s="82"/>
    <row r="1048565" ht="12.8" customHeight="1" s="82"/>
    <row r="1048566" ht="12.8" customHeight="1" s="82"/>
    <row r="1048567" ht="12.8" customHeight="1" s="82"/>
    <row r="1048568" ht="12.8" customHeight="1" s="82"/>
    <row r="1048569" ht="12.8" customHeight="1" s="82"/>
    <row r="1048570" ht="12.8" customHeight="1" s="82"/>
    <row r="1048571" ht="12.8" customHeight="1" s="82"/>
    <row r="1048572" ht="12.8" customHeight="1" s="82"/>
    <row r="1048573" ht="12.8" customHeight="1" s="82"/>
    <row r="1048574" ht="12.8" customHeight="1" s="82"/>
    <row r="1048575" ht="12.8" customHeight="1" s="82"/>
    <row r="1048576" ht="12.8" customHeight="1" s="82"/>
  </sheetData>
  <mergeCells count="16">
    <mergeCell ref="A48:R48"/>
    <mergeCell ref="A65:R65"/>
    <mergeCell ref="A81:R81"/>
    <mergeCell ref="A43:R43"/>
    <mergeCell ref="C4:F4"/>
    <mergeCell ref="A2:R2"/>
    <mergeCell ref="A60:R60"/>
    <mergeCell ref="A32:R32"/>
    <mergeCell ref="A76:R76"/>
    <mergeCell ref="A74:R74"/>
    <mergeCell ref="A102:R102"/>
    <mergeCell ref="A1:R1"/>
    <mergeCell ref="A97:R97"/>
    <mergeCell ref="A6:R6"/>
    <mergeCell ref="A88:R88"/>
    <mergeCell ref="A34:R34"/>
  </mergeCells>
  <conditionalFormatting sqref="B39:R39">
    <cfRule type="cellIs" rank="0" priority="1" equalAverage="0" operator="greaterThanOrEqual" aboveAverage="0" dxfId="0" text="" percent="0" bottom="0">
      <formula>1</formula>
    </cfRule>
    <cfRule type="cellIs" rank="0" priority="2" equalAverage="0" operator="lessThan" aboveAverage="0" dxfId="1" text="" percent="0" bottom="0">
      <formula>0.8</formula>
    </cfRule>
    <cfRule type="cellIs" rank="0" priority="3" equalAverage="0" operator="between" aboveAverage="0" dxfId="2" text="" percent="0" bottom="0">
      <formula>0.8</formula>
      <formula>1</formula>
    </cfRule>
  </conditionalFormatting>
  <conditionalFormatting sqref="B40:R40">
    <cfRule type="cellIs" rank="0" priority="4" equalAverage="0" operator="equal" aboveAverage="0" dxfId="0" text="" percent="0" bottom="0">
      <formula>"On Track"</formula>
    </cfRule>
    <cfRule type="cellIs" rank="0" priority="5" equalAverage="0" operator="equal" aboveAverage="0" dxfId="2" text="" percent="0" bottom="0">
      <formula>"Close"</formula>
    </cfRule>
    <cfRule type="cellIs" rank="0" priority="6" equalAverage="0" operator="equal" aboveAverage="0" dxfId="1" text="" percent="0" bottom="0">
      <formula>"Behind"</formula>
    </cfRule>
  </conditionalFormatting>
  <conditionalFormatting sqref="B94:R96">
    <cfRule type="cellIs" rank="0" priority="7" equalAverage="0" operator="equal" aboveAverage="0" dxfId="0" text="" percent="0" bottom="0">
      <formula>"On Track"</formula>
    </cfRule>
    <cfRule type="cellIs" rank="0" priority="8" equalAverage="0" operator="equal" aboveAverage="0" dxfId="2" text="" percent="0" bottom="0">
      <formula>"Watch"</formula>
    </cfRule>
    <cfRule type="cellIs" rank="0" priority="9" equalAverage="0" operator="equal" aboveAverage="0" dxfId="1" text="" percent="0" bottom="0">
      <formula>"At Risk"</formula>
    </cfRule>
  </conditionalFormatting>
  <conditionalFormatting sqref="B53">
    <cfRule type="expression" rank="0" priority="10" equalAverage="0" aboveAverage="0" dxfId="0" stopIfTrue="1" text="" percent="0" bottom="0">
      <formula>AND(ISNUMBER(B53),COUNTIFS('Data - Monthly Metrics'!$A:$A,$B$4-1,'Data - Monthly Metrics'!$B:$B,B$8,'Data - Monthly Metrics'!$C:$C,"Majors/NRA",'Data - Monthly Metrics'!$D:$D,"Goal - Retention %")&gt;0,B53&gt;=SUMIFS('Data - Monthly Metrics'!$E:$E,'Data - Monthly Metrics'!$A:$A,$B$4-1,'Data - Monthly Metrics'!$B:$B,B$8,'Data - Monthly Metrics'!$C:$C,"Majors/NRA",'Data - Monthly Metrics'!$D:$D,"Goal - Retention %"))</formula>
    </cfRule>
    <cfRule type="expression" rank="0" priority="11" equalAverage="0" aboveAverage="0" dxfId="2" stopIfTrue="1" text="" percent="0" bottom="0">
      <formula>AND(ISNUMBER(B53),COUNTIFS('Data - Monthly Metrics'!$A:$A,$B$4-1,'Data - Monthly Metrics'!$B:$B,B$8,'Data - Monthly Metrics'!$C:$C,"Majors/NRA",'Data - Monthly Metrics'!$D:$D,"Goal - Retention %")&gt;0,B53&gt;=SUMIFS('Data - Monthly Metrics'!$E:$E,'Data - Monthly Metrics'!$A:$A,$B$4-1,'Data - Monthly Metrics'!$B:$B,B$8,'Data - Monthly Metrics'!$C:$C,"Majors/NRA",'Data - Monthly Metrics'!$D:$D,"Goal - Retention %")-0.05)</formula>
    </cfRule>
    <cfRule type="expression" rank="0" priority="12" equalAverage="0" aboveAverage="0" dxfId="1" stopIfTrue="1" text="" percent="0" bottom="0">
      <formula>AND(ISNUMBER(B53),COUNTIFS('Data - Monthly Metrics'!$A:$A,$B$4-1,'Data - Monthly Metrics'!$B:$B,B$8,'Data - Monthly Metrics'!$C:$C,"Majors/NRA",'Data - Monthly Metrics'!$D:$D,"Goal - Retention %")&gt;0)</formula>
    </cfRule>
  </conditionalFormatting>
  <conditionalFormatting sqref="C53">
    <cfRule type="expression" rank="0" priority="13" equalAverage="0" aboveAverage="0" dxfId="0" stopIfTrue="1" text="" percent="0" bottom="0">
      <formula>AND(ISNUMBER(C53),COUNTIFS('Data - Monthly Metrics'!$A:$A,$B$4-1,'Data - Monthly Metrics'!$B:$B,C$8,'Data - Monthly Metrics'!$C:$C,"Majors/NRA",'Data - Monthly Metrics'!$D:$D,"Goal - Retention %")&gt;0,C53&gt;=SUMIFS('Data - Monthly Metrics'!$E:$E,'Data - Monthly Metrics'!$A:$A,$B$4-1,'Data - Monthly Metrics'!$B:$B,C$8,'Data - Monthly Metrics'!$C:$C,"Majors/NRA",'Data - Monthly Metrics'!$D:$D,"Goal - Retention %"))</formula>
    </cfRule>
    <cfRule type="expression" rank="0" priority="14" equalAverage="0" aboveAverage="0" dxfId="2" stopIfTrue="1" text="" percent="0" bottom="0">
      <formula>AND(ISNUMBER(C53),COUNTIFS('Data - Monthly Metrics'!$A:$A,$B$4-1,'Data - Monthly Metrics'!$B:$B,C$8,'Data - Monthly Metrics'!$C:$C,"Majors/NRA",'Data - Monthly Metrics'!$D:$D,"Goal - Retention %")&gt;0,C53&gt;=SUMIFS('Data - Monthly Metrics'!$E:$E,'Data - Monthly Metrics'!$A:$A,$B$4-1,'Data - Monthly Metrics'!$B:$B,C$8,'Data - Monthly Metrics'!$C:$C,"Majors/NRA",'Data - Monthly Metrics'!$D:$D,"Goal - Retention %")-0.05)</formula>
    </cfRule>
    <cfRule type="expression" rank="0" priority="15" equalAverage="0" aboveAverage="0" dxfId="1" stopIfTrue="1" text="" percent="0" bottom="0">
      <formula>AND(ISNUMBER(C53),COUNTIFS('Data - Monthly Metrics'!$A:$A,$B$4-1,'Data - Monthly Metrics'!$B:$B,C$8,'Data - Monthly Metrics'!$C:$C,"Majors/NRA",'Data - Monthly Metrics'!$D:$D,"Goal - Retention %")&gt;0)</formula>
    </cfRule>
  </conditionalFormatting>
  <conditionalFormatting sqref="D53">
    <cfRule type="expression" rank="0" priority="16" equalAverage="0" aboveAverage="0" dxfId="0" stopIfTrue="1" text="" percent="0" bottom="0">
      <formula>AND(ISNUMBER(D53),COUNTIFS('Data - Monthly Metrics'!$A:$A,$B$4-1,'Data - Monthly Metrics'!$B:$B,D$8,'Data - Monthly Metrics'!$C:$C,"Majors/NRA",'Data - Monthly Metrics'!$D:$D,"Goal - Retention %")&gt;0,D53&gt;=SUMIFS('Data - Monthly Metrics'!$E:$E,'Data - Monthly Metrics'!$A:$A,$B$4-1,'Data - Monthly Metrics'!$B:$B,D$8,'Data - Monthly Metrics'!$C:$C,"Majors/NRA",'Data - Monthly Metrics'!$D:$D,"Goal - Retention %"))</formula>
    </cfRule>
    <cfRule type="expression" rank="0" priority="17" equalAverage="0" aboveAverage="0" dxfId="2" stopIfTrue="1" text="" percent="0" bottom="0">
      <formula>AND(ISNUMBER(D53),COUNTIFS('Data - Monthly Metrics'!$A:$A,$B$4-1,'Data - Monthly Metrics'!$B:$B,D$8,'Data - Monthly Metrics'!$C:$C,"Majors/NRA",'Data - Monthly Metrics'!$D:$D,"Goal - Retention %")&gt;0,D53&gt;=SUMIFS('Data - Monthly Metrics'!$E:$E,'Data - Monthly Metrics'!$A:$A,$B$4-1,'Data - Monthly Metrics'!$B:$B,D$8,'Data - Monthly Metrics'!$C:$C,"Majors/NRA",'Data - Monthly Metrics'!$D:$D,"Goal - Retention %")-0.05)</formula>
    </cfRule>
    <cfRule type="expression" rank="0" priority="18" equalAverage="0" aboveAverage="0" dxfId="1" stopIfTrue="1" text="" percent="0" bottom="0">
      <formula>AND(ISNUMBER(D53),COUNTIFS('Data - Monthly Metrics'!$A:$A,$B$4-1,'Data - Monthly Metrics'!$B:$B,D$8,'Data - Monthly Metrics'!$C:$C,"Majors/NRA",'Data - Monthly Metrics'!$D:$D,"Goal - Retention %")&gt;0)</formula>
    </cfRule>
  </conditionalFormatting>
  <conditionalFormatting sqref="F53">
    <cfRule type="expression" rank="0" priority="19" equalAverage="0" aboveAverage="0" dxfId="0" stopIfTrue="1" text="" percent="0" bottom="0">
      <formula>AND(ISNUMBER(F53),COUNTIFS('Data - Monthly Metrics'!$A:$A,$B$4,'Data - Monthly Metrics'!$B:$B,F$8,'Data - Monthly Metrics'!$C:$C,"Majors/NRA",'Data - Monthly Metrics'!$D:$D,"Goal - Retention %")&gt;0,F53&gt;=SUMIFS('Data - Monthly Metrics'!$E:$E,'Data - Monthly Metrics'!$A:$A,$B$4,'Data - Monthly Metrics'!$B:$B,F$8,'Data - Monthly Metrics'!$C:$C,"Majors/NRA",'Data - Monthly Metrics'!$D:$D,"Goal - Retention %"))</formula>
    </cfRule>
    <cfRule type="expression" rank="0" priority="20" equalAverage="0" aboveAverage="0" dxfId="2" stopIfTrue="1" text="" percent="0" bottom="0">
      <formula>AND(ISNUMBER(F53),COUNTIFS('Data - Monthly Metrics'!$A:$A,$B$4,'Data - Monthly Metrics'!$B:$B,F$8,'Data - Monthly Metrics'!$C:$C,"Majors/NRA",'Data - Monthly Metrics'!$D:$D,"Goal - Retention %")&gt;0,F53&gt;=SUMIFS('Data - Monthly Metrics'!$E:$E,'Data - Monthly Metrics'!$A:$A,$B$4,'Data - Monthly Metrics'!$B:$B,F$8,'Data - Monthly Metrics'!$C:$C,"Majors/NRA",'Data - Monthly Metrics'!$D:$D,"Goal - Retention %")-0.05)</formula>
    </cfRule>
    <cfRule type="expression" rank="0" priority="21" equalAverage="0" aboveAverage="0" dxfId="1" stopIfTrue="1" text="" percent="0" bottom="0">
      <formula>AND(ISNUMBER(F53),COUNTIFS('Data - Monthly Metrics'!$A:$A,$B$4,'Data - Monthly Metrics'!$B:$B,F$8,'Data - Monthly Metrics'!$C:$C,"Majors/NRA",'Data - Monthly Metrics'!$D:$D,"Goal - Retention %")&gt;0)</formula>
    </cfRule>
  </conditionalFormatting>
  <conditionalFormatting sqref="G53">
    <cfRule type="expression" rank="0" priority="22" equalAverage="0" aboveAverage="0" dxfId="0" stopIfTrue="1" text="" percent="0" bottom="0">
      <formula>AND(ISNUMBER(G53),COUNTIFS('Data - Monthly Metrics'!$A:$A,$B$4,'Data - Monthly Metrics'!$B:$B,G$8,'Data - Monthly Metrics'!$C:$C,"Majors/NRA",'Data - Monthly Metrics'!$D:$D,"Goal - Retention %")&gt;0,G53&gt;=SUMIFS('Data - Monthly Metrics'!$E:$E,'Data - Monthly Metrics'!$A:$A,$B$4,'Data - Monthly Metrics'!$B:$B,G$8,'Data - Monthly Metrics'!$C:$C,"Majors/NRA",'Data - Monthly Metrics'!$D:$D,"Goal - Retention %"))</formula>
    </cfRule>
    <cfRule type="expression" rank="0" priority="23" equalAverage="0" aboveAverage="0" dxfId="2" stopIfTrue="1" text="" percent="0" bottom="0">
      <formula>AND(ISNUMBER(G53),COUNTIFS('Data - Monthly Metrics'!$A:$A,$B$4,'Data - Monthly Metrics'!$B:$B,G$8,'Data - Monthly Metrics'!$C:$C,"Majors/NRA",'Data - Monthly Metrics'!$D:$D,"Goal - Retention %")&gt;0,G53&gt;=SUMIFS('Data - Monthly Metrics'!$E:$E,'Data - Monthly Metrics'!$A:$A,$B$4,'Data - Monthly Metrics'!$B:$B,G$8,'Data - Monthly Metrics'!$C:$C,"Majors/NRA",'Data - Monthly Metrics'!$D:$D,"Goal - Retention %")-0.05)</formula>
    </cfRule>
    <cfRule type="expression" rank="0" priority="24" equalAverage="0" aboveAverage="0" dxfId="1" stopIfTrue="1" text="" percent="0" bottom="0">
      <formula>AND(ISNUMBER(G53),COUNTIFS('Data - Monthly Metrics'!$A:$A,$B$4,'Data - Monthly Metrics'!$B:$B,G$8,'Data - Monthly Metrics'!$C:$C,"Majors/NRA",'Data - Monthly Metrics'!$D:$D,"Goal - Retention %")&gt;0)</formula>
    </cfRule>
  </conditionalFormatting>
  <conditionalFormatting sqref="H53">
    <cfRule type="expression" rank="0" priority="25" equalAverage="0" aboveAverage="0" dxfId="0" stopIfTrue="1" text="" percent="0" bottom="0">
      <formula>AND(ISNUMBER(H53),COUNTIFS('Data - Monthly Metrics'!$A:$A,$B$4,'Data - Monthly Metrics'!$B:$B,H$8,'Data - Monthly Metrics'!$C:$C,"Majors/NRA",'Data - Monthly Metrics'!$D:$D,"Goal - Retention %")&gt;0,H53&gt;=SUMIFS('Data - Monthly Metrics'!$E:$E,'Data - Monthly Metrics'!$A:$A,$B$4,'Data - Monthly Metrics'!$B:$B,H$8,'Data - Monthly Metrics'!$C:$C,"Majors/NRA",'Data - Monthly Metrics'!$D:$D,"Goal - Retention %"))</formula>
    </cfRule>
    <cfRule type="expression" rank="0" priority="26" equalAverage="0" aboveAverage="0" dxfId="2" stopIfTrue="1" text="" percent="0" bottom="0">
      <formula>AND(ISNUMBER(H53),COUNTIFS('Data - Monthly Metrics'!$A:$A,$B$4,'Data - Monthly Metrics'!$B:$B,H$8,'Data - Monthly Metrics'!$C:$C,"Majors/NRA",'Data - Monthly Metrics'!$D:$D,"Goal - Retention %")&gt;0,H53&gt;=SUMIFS('Data - Monthly Metrics'!$E:$E,'Data - Monthly Metrics'!$A:$A,$B$4,'Data - Monthly Metrics'!$B:$B,H$8,'Data - Monthly Metrics'!$C:$C,"Majors/NRA",'Data - Monthly Metrics'!$D:$D,"Goal - Retention %")-0.05)</formula>
    </cfRule>
    <cfRule type="expression" rank="0" priority="27" equalAverage="0" aboveAverage="0" dxfId="1" stopIfTrue="1" text="" percent="0" bottom="0">
      <formula>AND(ISNUMBER(H53),COUNTIFS('Data - Monthly Metrics'!$A:$A,$B$4,'Data - Monthly Metrics'!$B:$B,H$8,'Data - Monthly Metrics'!$C:$C,"Majors/NRA",'Data - Monthly Metrics'!$D:$D,"Goal - Retention %")&gt;0)</formula>
    </cfRule>
  </conditionalFormatting>
  <conditionalFormatting sqref="J53">
    <cfRule type="expression" rank="0" priority="28" equalAverage="0" aboveAverage="0" dxfId="0" stopIfTrue="1" text="" percent="0" bottom="0">
      <formula>AND(ISNUMBER(J53),COUNTIFS('Data - Monthly Metrics'!$A:$A,$B$4,'Data - Monthly Metrics'!$B:$B,J$8,'Data - Monthly Metrics'!$C:$C,"Majors/NRA",'Data - Monthly Metrics'!$D:$D,"Goal - Retention %")&gt;0,J53&gt;=SUMIFS('Data - Monthly Metrics'!$E:$E,'Data - Monthly Metrics'!$A:$A,$B$4,'Data - Monthly Metrics'!$B:$B,J$8,'Data - Monthly Metrics'!$C:$C,"Majors/NRA",'Data - Monthly Metrics'!$D:$D,"Goal - Retention %"))</formula>
    </cfRule>
    <cfRule type="expression" rank="0" priority="29" equalAverage="0" aboveAverage="0" dxfId="2" stopIfTrue="1" text="" percent="0" bottom="0">
      <formula>AND(ISNUMBER(J53),COUNTIFS('Data - Monthly Metrics'!$A:$A,$B$4,'Data - Monthly Metrics'!$B:$B,J$8,'Data - Monthly Metrics'!$C:$C,"Majors/NRA",'Data - Monthly Metrics'!$D:$D,"Goal - Retention %")&gt;0,J53&gt;=SUMIFS('Data - Monthly Metrics'!$E:$E,'Data - Monthly Metrics'!$A:$A,$B$4,'Data - Monthly Metrics'!$B:$B,J$8,'Data - Monthly Metrics'!$C:$C,"Majors/NRA",'Data - Monthly Metrics'!$D:$D,"Goal - Retention %")-0.05)</formula>
    </cfRule>
    <cfRule type="expression" rank="0" priority="30" equalAverage="0" aboveAverage="0" dxfId="1" stopIfTrue="1" text="" percent="0" bottom="0">
      <formula>AND(ISNUMBER(J53),COUNTIFS('Data - Monthly Metrics'!$A:$A,$B$4,'Data - Monthly Metrics'!$B:$B,J$8,'Data - Monthly Metrics'!$C:$C,"Majors/NRA",'Data - Monthly Metrics'!$D:$D,"Goal - Retention %")&gt;0)</formula>
    </cfRule>
  </conditionalFormatting>
  <conditionalFormatting sqref="K53">
    <cfRule type="expression" rank="0" priority="31" equalAverage="0" aboveAverage="0" dxfId="0" stopIfTrue="1" text="" percent="0" bottom="0">
      <formula>AND(ISNUMBER(K53),COUNTIFS('Data - Monthly Metrics'!$A:$A,$B$4,'Data - Monthly Metrics'!$B:$B,K$8,'Data - Monthly Metrics'!$C:$C,"Majors/NRA",'Data - Monthly Metrics'!$D:$D,"Goal - Retention %")&gt;0,K53&gt;=SUMIFS('Data - Monthly Metrics'!$E:$E,'Data - Monthly Metrics'!$A:$A,$B$4,'Data - Monthly Metrics'!$B:$B,K$8,'Data - Monthly Metrics'!$C:$C,"Majors/NRA",'Data - Monthly Metrics'!$D:$D,"Goal - Retention %"))</formula>
    </cfRule>
    <cfRule type="expression" rank="0" priority="32" equalAverage="0" aboveAverage="0" dxfId="2" stopIfTrue="1" text="" percent="0" bottom="0">
      <formula>AND(ISNUMBER(K53),COUNTIFS('Data - Monthly Metrics'!$A:$A,$B$4,'Data - Monthly Metrics'!$B:$B,K$8,'Data - Monthly Metrics'!$C:$C,"Majors/NRA",'Data - Monthly Metrics'!$D:$D,"Goal - Retention %")&gt;0,K53&gt;=SUMIFS('Data - Monthly Metrics'!$E:$E,'Data - Monthly Metrics'!$A:$A,$B$4,'Data - Monthly Metrics'!$B:$B,K$8,'Data - Monthly Metrics'!$C:$C,"Majors/NRA",'Data - Monthly Metrics'!$D:$D,"Goal - Retention %")-0.05)</formula>
    </cfRule>
    <cfRule type="expression" rank="0" priority="33" equalAverage="0" aboveAverage="0" dxfId="1" stopIfTrue="1" text="" percent="0" bottom="0">
      <formula>AND(ISNUMBER(K53),COUNTIFS('Data - Monthly Metrics'!$A:$A,$B$4,'Data - Monthly Metrics'!$B:$B,K$8,'Data - Monthly Metrics'!$C:$C,"Majors/NRA",'Data - Monthly Metrics'!$D:$D,"Goal - Retention %")&gt;0)</formula>
    </cfRule>
  </conditionalFormatting>
  <conditionalFormatting sqref="L53">
    <cfRule type="expression" rank="0" priority="34" equalAverage="0" aboveAverage="0" dxfId="0" stopIfTrue="1" text="" percent="0" bottom="0">
      <formula>AND(ISNUMBER(L53),COUNTIFS('Data - Monthly Metrics'!$A:$A,$B$4,'Data - Monthly Metrics'!$B:$B,L$8,'Data - Monthly Metrics'!$C:$C,"Majors/NRA",'Data - Monthly Metrics'!$D:$D,"Goal - Retention %")&gt;0,L53&gt;=SUMIFS('Data - Monthly Metrics'!$E:$E,'Data - Monthly Metrics'!$A:$A,$B$4,'Data - Monthly Metrics'!$B:$B,L$8,'Data - Monthly Metrics'!$C:$C,"Majors/NRA",'Data - Monthly Metrics'!$D:$D,"Goal - Retention %"))</formula>
    </cfRule>
    <cfRule type="expression" rank="0" priority="35" equalAverage="0" aboveAverage="0" dxfId="2" stopIfTrue="1" text="" percent="0" bottom="0">
      <formula>AND(ISNUMBER(L53),COUNTIFS('Data - Monthly Metrics'!$A:$A,$B$4,'Data - Monthly Metrics'!$B:$B,L$8,'Data - Monthly Metrics'!$C:$C,"Majors/NRA",'Data - Monthly Metrics'!$D:$D,"Goal - Retention %")&gt;0,L53&gt;=SUMIFS('Data - Monthly Metrics'!$E:$E,'Data - Monthly Metrics'!$A:$A,$B$4,'Data - Monthly Metrics'!$B:$B,L$8,'Data - Monthly Metrics'!$C:$C,"Majors/NRA",'Data - Monthly Metrics'!$D:$D,"Goal - Retention %")-0.05)</formula>
    </cfRule>
    <cfRule type="expression" rank="0" priority="36" equalAverage="0" aboveAverage="0" dxfId="1" stopIfTrue="1" text="" percent="0" bottom="0">
      <formula>AND(ISNUMBER(L53),COUNTIFS('Data - Monthly Metrics'!$A:$A,$B$4,'Data - Monthly Metrics'!$B:$B,L$8,'Data - Monthly Metrics'!$C:$C,"Majors/NRA",'Data - Monthly Metrics'!$D:$D,"Goal - Retention %")&gt;0)</formula>
    </cfRule>
  </conditionalFormatting>
  <conditionalFormatting sqref="N53">
    <cfRule type="expression" rank="0" priority="37" equalAverage="0" aboveAverage="0" dxfId="0" stopIfTrue="1" text="" percent="0" bottom="0">
      <formula>AND(ISNUMBER(N53),COUNTIFS('Data - Monthly Metrics'!$A:$A,$B$4,'Data - Monthly Metrics'!$B:$B,N$8,'Data - Monthly Metrics'!$C:$C,"Majors/NRA",'Data - Monthly Metrics'!$D:$D,"Goal - Retention %")&gt;0,N53&gt;=SUMIFS('Data - Monthly Metrics'!$E:$E,'Data - Monthly Metrics'!$A:$A,$B$4,'Data - Monthly Metrics'!$B:$B,N$8,'Data - Monthly Metrics'!$C:$C,"Majors/NRA",'Data - Monthly Metrics'!$D:$D,"Goal - Retention %"))</formula>
    </cfRule>
    <cfRule type="expression" rank="0" priority="38" equalAverage="0" aboveAverage="0" dxfId="2" stopIfTrue="1" text="" percent="0" bottom="0">
      <formula>AND(ISNUMBER(N53),COUNTIFS('Data - Monthly Metrics'!$A:$A,$B$4,'Data - Monthly Metrics'!$B:$B,N$8,'Data - Monthly Metrics'!$C:$C,"Majors/NRA",'Data - Monthly Metrics'!$D:$D,"Goal - Retention %")&gt;0,N53&gt;=SUMIFS('Data - Monthly Metrics'!$E:$E,'Data - Monthly Metrics'!$A:$A,$B$4,'Data - Monthly Metrics'!$B:$B,N$8,'Data - Monthly Metrics'!$C:$C,"Majors/NRA",'Data - Monthly Metrics'!$D:$D,"Goal - Retention %")-0.05)</formula>
    </cfRule>
    <cfRule type="expression" rank="0" priority="39" equalAverage="0" aboveAverage="0" dxfId="1" stopIfTrue="1" text="" percent="0" bottom="0">
      <formula>AND(ISNUMBER(N53),COUNTIFS('Data - Monthly Metrics'!$A:$A,$B$4,'Data - Monthly Metrics'!$B:$B,N$8,'Data - Monthly Metrics'!$C:$C,"Majors/NRA",'Data - Monthly Metrics'!$D:$D,"Goal - Retention %")&gt;0)</formula>
    </cfRule>
  </conditionalFormatting>
  <conditionalFormatting sqref="O53">
    <cfRule type="expression" rank="0" priority="40" equalAverage="0" aboveAverage="0" dxfId="0" stopIfTrue="1" text="" percent="0" bottom="0">
      <formula>AND(ISNUMBER(O53),COUNTIFS('Data - Monthly Metrics'!$A:$A,$B$4,'Data - Monthly Metrics'!$B:$B,O$8,'Data - Monthly Metrics'!$C:$C,"Majors/NRA",'Data - Monthly Metrics'!$D:$D,"Goal - Retention %")&gt;0,O53&gt;=SUMIFS('Data - Monthly Metrics'!$E:$E,'Data - Monthly Metrics'!$A:$A,$B$4,'Data - Monthly Metrics'!$B:$B,O$8,'Data - Monthly Metrics'!$C:$C,"Majors/NRA",'Data - Monthly Metrics'!$D:$D,"Goal - Retention %"))</formula>
    </cfRule>
    <cfRule type="expression" rank="0" priority="41" equalAverage="0" aboveAverage="0" dxfId="2" stopIfTrue="1" text="" percent="0" bottom="0">
      <formula>AND(ISNUMBER(O53),COUNTIFS('Data - Monthly Metrics'!$A:$A,$B$4,'Data - Monthly Metrics'!$B:$B,O$8,'Data - Monthly Metrics'!$C:$C,"Majors/NRA",'Data - Monthly Metrics'!$D:$D,"Goal - Retention %")&gt;0,O53&gt;=SUMIFS('Data - Monthly Metrics'!$E:$E,'Data - Monthly Metrics'!$A:$A,$B$4,'Data - Monthly Metrics'!$B:$B,O$8,'Data - Monthly Metrics'!$C:$C,"Majors/NRA",'Data - Monthly Metrics'!$D:$D,"Goal - Retention %")-0.05)</formula>
    </cfRule>
    <cfRule type="expression" rank="0" priority="42" equalAverage="0" aboveAverage="0" dxfId="1" stopIfTrue="1" text="" percent="0" bottom="0">
      <formula>AND(ISNUMBER(O53),COUNTIFS('Data - Monthly Metrics'!$A:$A,$B$4,'Data - Monthly Metrics'!$B:$B,O$8,'Data - Monthly Metrics'!$C:$C,"Majors/NRA",'Data - Monthly Metrics'!$D:$D,"Goal - Retention %")&gt;0)</formula>
    </cfRule>
  </conditionalFormatting>
  <conditionalFormatting sqref="P53">
    <cfRule type="expression" rank="0" priority="43" equalAverage="0" aboveAverage="0" dxfId="0" stopIfTrue="1" text="" percent="0" bottom="0">
      <formula>AND(ISNUMBER(P53),COUNTIFS('Data - Monthly Metrics'!$A:$A,$B$4,'Data - Monthly Metrics'!$B:$B,P$8,'Data - Monthly Metrics'!$C:$C,"Majors/NRA",'Data - Monthly Metrics'!$D:$D,"Goal - Retention %")&gt;0,P53&gt;=SUMIFS('Data - Monthly Metrics'!$E:$E,'Data - Monthly Metrics'!$A:$A,$B$4,'Data - Monthly Metrics'!$B:$B,P$8,'Data - Monthly Metrics'!$C:$C,"Majors/NRA",'Data - Monthly Metrics'!$D:$D,"Goal - Retention %"))</formula>
    </cfRule>
    <cfRule type="expression" rank="0" priority="44" equalAverage="0" aboveAverage="0" dxfId="2" stopIfTrue="1" text="" percent="0" bottom="0">
      <formula>AND(ISNUMBER(P53),COUNTIFS('Data - Monthly Metrics'!$A:$A,$B$4,'Data - Monthly Metrics'!$B:$B,P$8,'Data - Monthly Metrics'!$C:$C,"Majors/NRA",'Data - Monthly Metrics'!$D:$D,"Goal - Retention %")&gt;0,P53&gt;=SUMIFS('Data - Monthly Metrics'!$E:$E,'Data - Monthly Metrics'!$A:$A,$B$4,'Data - Monthly Metrics'!$B:$B,P$8,'Data - Monthly Metrics'!$C:$C,"Majors/NRA",'Data - Monthly Metrics'!$D:$D,"Goal - Retention %")-0.05)</formula>
    </cfRule>
    <cfRule type="expression" rank="0" priority="45" equalAverage="0" aboveAverage="0" dxfId="1" stopIfTrue="1" text="" percent="0" bottom="0">
      <formula>AND(ISNUMBER(P53),COUNTIFS('Data - Monthly Metrics'!$A:$A,$B$4,'Data - Monthly Metrics'!$B:$B,P$8,'Data - Monthly Metrics'!$C:$C,"Majors/NRA",'Data - Monthly Metrics'!$D:$D,"Goal - Retention %")&gt;0)</formula>
    </cfRule>
  </conditionalFormatting>
  <conditionalFormatting sqref="B93">
    <cfRule type="expression" rank="0" priority="46" equalAverage="0" aboveAverage="0" dxfId="0" stopIfTrue="1" text="" percent="0" bottom="0">
      <formula>AND(ISNUMBER(B93),COUNTIFS('Data - Monthly Metrics'!$A:$A,$B$4-1,'Data - Monthly Metrics'!$B:$B,B$8,'Data - Monthly Metrics'!$C:$C,"Majors/NRA",'Data - Monthly Metrics'!$D:$D,"Goal - Retention %")&gt;0,B93&gt;=SUMIFS('Data - Monthly Metrics'!$E:$E,'Data - Monthly Metrics'!$A:$A,$B$4-1,'Data - Monthly Metrics'!$B:$B,B$8,'Data - Monthly Metrics'!$C:$C,"Majors/NRA",'Data - Monthly Metrics'!$D:$D,"Goal - Retention %"))</formula>
    </cfRule>
    <cfRule type="expression" rank="0" priority="47" equalAverage="0" aboveAverage="0" dxfId="2" stopIfTrue="1" text="" percent="0" bottom="0">
      <formula>AND(ISNUMBER(B93),COUNTIFS('Data - Monthly Metrics'!$A:$A,$B$4-1,'Data - Monthly Metrics'!$B:$B,B$8,'Data - Monthly Metrics'!$C:$C,"Majors/NRA",'Data - Monthly Metrics'!$D:$D,"Goal - Retention %")&gt;0,B93&gt;=SUMIFS('Data - Monthly Metrics'!$E:$E,'Data - Monthly Metrics'!$A:$A,$B$4-1,'Data - Monthly Metrics'!$B:$B,B$8,'Data - Monthly Metrics'!$C:$C,"Majors/NRA",'Data - Monthly Metrics'!$D:$D,"Goal - Retention %")-0.05)</formula>
    </cfRule>
    <cfRule type="expression" rank="0" priority="48" equalAverage="0" aboveAverage="0" dxfId="1" stopIfTrue="1" text="" percent="0" bottom="0">
      <formula>AND(ISNUMBER(B93),COUNTIFS('Data - Monthly Metrics'!$A:$A,$B$4-1,'Data - Monthly Metrics'!$B:$B,B$8,'Data - Monthly Metrics'!$C:$C,"Majors/NRA",'Data - Monthly Metrics'!$D:$D,"Goal - Retention %")&gt;0)</formula>
    </cfRule>
  </conditionalFormatting>
  <conditionalFormatting sqref="C93">
    <cfRule type="expression" rank="0" priority="49" equalAverage="0" aboveAverage="0" dxfId="0" stopIfTrue="1" text="" percent="0" bottom="0">
      <formula>AND(ISNUMBER(C93),COUNTIFS('Data - Monthly Metrics'!$A:$A,$B$4-1,'Data - Monthly Metrics'!$B:$B,C$8,'Data - Monthly Metrics'!$C:$C,"Majors/NRA",'Data - Monthly Metrics'!$D:$D,"Goal - Retention %")&gt;0,C93&gt;=SUMIFS('Data - Monthly Metrics'!$E:$E,'Data - Monthly Metrics'!$A:$A,$B$4-1,'Data - Monthly Metrics'!$B:$B,C$8,'Data - Monthly Metrics'!$C:$C,"Majors/NRA",'Data - Monthly Metrics'!$D:$D,"Goal - Retention %"))</formula>
    </cfRule>
    <cfRule type="expression" rank="0" priority="50" equalAverage="0" aboveAverage="0" dxfId="2" stopIfTrue="1" text="" percent="0" bottom="0">
      <formula>AND(ISNUMBER(C93),COUNTIFS('Data - Monthly Metrics'!$A:$A,$B$4-1,'Data - Monthly Metrics'!$B:$B,C$8,'Data - Monthly Metrics'!$C:$C,"Majors/NRA",'Data - Monthly Metrics'!$D:$D,"Goal - Retention %")&gt;0,C93&gt;=SUMIFS('Data - Monthly Metrics'!$E:$E,'Data - Monthly Metrics'!$A:$A,$B$4-1,'Data - Monthly Metrics'!$B:$B,C$8,'Data - Monthly Metrics'!$C:$C,"Majors/NRA",'Data - Monthly Metrics'!$D:$D,"Goal - Retention %")-0.05)</formula>
    </cfRule>
    <cfRule type="expression" rank="0" priority="51" equalAverage="0" aboveAverage="0" dxfId="1" stopIfTrue="1" text="" percent="0" bottom="0">
      <formula>AND(ISNUMBER(C93),COUNTIFS('Data - Monthly Metrics'!$A:$A,$B$4-1,'Data - Monthly Metrics'!$B:$B,C$8,'Data - Monthly Metrics'!$C:$C,"Majors/NRA",'Data - Monthly Metrics'!$D:$D,"Goal - Retention %")&gt;0)</formula>
    </cfRule>
  </conditionalFormatting>
  <conditionalFormatting sqref="D93">
    <cfRule type="expression" rank="0" priority="52" equalAverage="0" aboveAverage="0" dxfId="0" stopIfTrue="1" text="" percent="0" bottom="0">
      <formula>AND(ISNUMBER(D93),COUNTIFS('Data - Monthly Metrics'!$A:$A,$B$4-1,'Data - Monthly Metrics'!$B:$B,D$8,'Data - Monthly Metrics'!$C:$C,"Majors/NRA",'Data - Monthly Metrics'!$D:$D,"Goal - Retention %")&gt;0,D93&gt;=SUMIFS('Data - Monthly Metrics'!$E:$E,'Data - Monthly Metrics'!$A:$A,$B$4-1,'Data - Monthly Metrics'!$B:$B,D$8,'Data - Monthly Metrics'!$C:$C,"Majors/NRA",'Data - Monthly Metrics'!$D:$D,"Goal - Retention %"))</formula>
    </cfRule>
    <cfRule type="expression" rank="0" priority="53" equalAverage="0" aboveAverage="0" dxfId="2" stopIfTrue="1" text="" percent="0" bottom="0">
      <formula>AND(ISNUMBER(D93),COUNTIFS('Data - Monthly Metrics'!$A:$A,$B$4-1,'Data - Monthly Metrics'!$B:$B,D$8,'Data - Monthly Metrics'!$C:$C,"Majors/NRA",'Data - Monthly Metrics'!$D:$D,"Goal - Retention %")&gt;0,D93&gt;=SUMIFS('Data - Monthly Metrics'!$E:$E,'Data - Monthly Metrics'!$A:$A,$B$4-1,'Data - Monthly Metrics'!$B:$B,D$8,'Data - Monthly Metrics'!$C:$C,"Majors/NRA",'Data - Monthly Metrics'!$D:$D,"Goal - Retention %")-0.05)</formula>
    </cfRule>
    <cfRule type="expression" rank="0" priority="54" equalAverage="0" aboveAverage="0" dxfId="1" stopIfTrue="1" text="" percent="0" bottom="0">
      <formula>AND(ISNUMBER(D93),COUNTIFS('Data - Monthly Metrics'!$A:$A,$B$4-1,'Data - Monthly Metrics'!$B:$B,D$8,'Data - Monthly Metrics'!$C:$C,"Majors/NRA",'Data - Monthly Metrics'!$D:$D,"Goal - Retention %")&gt;0)</formula>
    </cfRule>
  </conditionalFormatting>
  <conditionalFormatting sqref="F93">
    <cfRule type="expression" rank="0" priority="55" equalAverage="0" aboveAverage="0" dxfId="0" stopIfTrue="1" text="" percent="0" bottom="0">
      <formula>AND(ISNUMBER(F93),COUNTIFS('Data - Monthly Metrics'!$A:$A,$B$4,'Data - Monthly Metrics'!$B:$B,F$8,'Data - Monthly Metrics'!$C:$C,"Majors/NRA",'Data - Monthly Metrics'!$D:$D,"Goal - Retention %")&gt;0,F93&gt;=SUMIFS('Data - Monthly Metrics'!$E:$E,'Data - Monthly Metrics'!$A:$A,$B$4,'Data - Monthly Metrics'!$B:$B,F$8,'Data - Monthly Metrics'!$C:$C,"Majors/NRA",'Data - Monthly Metrics'!$D:$D,"Goal - Retention %"))</formula>
    </cfRule>
    <cfRule type="expression" rank="0" priority="56" equalAverage="0" aboveAverage="0" dxfId="2" stopIfTrue="1" text="" percent="0" bottom="0">
      <formula>AND(ISNUMBER(F93),COUNTIFS('Data - Monthly Metrics'!$A:$A,$B$4,'Data - Monthly Metrics'!$B:$B,F$8,'Data - Monthly Metrics'!$C:$C,"Majors/NRA",'Data - Monthly Metrics'!$D:$D,"Goal - Retention %")&gt;0,F93&gt;=SUMIFS('Data - Monthly Metrics'!$E:$E,'Data - Monthly Metrics'!$A:$A,$B$4,'Data - Monthly Metrics'!$B:$B,F$8,'Data - Monthly Metrics'!$C:$C,"Majors/NRA",'Data - Monthly Metrics'!$D:$D,"Goal - Retention %")-0.05)</formula>
    </cfRule>
    <cfRule type="expression" rank="0" priority="57" equalAverage="0" aboveAverage="0" dxfId="1" stopIfTrue="1" text="" percent="0" bottom="0">
      <formula>AND(ISNUMBER(F93),COUNTIFS('Data - Monthly Metrics'!$A:$A,$B$4,'Data - Monthly Metrics'!$B:$B,F$8,'Data - Monthly Metrics'!$C:$C,"Majors/NRA",'Data - Monthly Metrics'!$D:$D,"Goal - Retention %")&gt;0)</formula>
    </cfRule>
  </conditionalFormatting>
  <conditionalFormatting sqref="G93">
    <cfRule type="expression" rank="0" priority="58" equalAverage="0" aboveAverage="0" dxfId="0" stopIfTrue="1" text="" percent="0" bottom="0">
      <formula>AND(ISNUMBER(G93),COUNTIFS('Data - Monthly Metrics'!$A:$A,$B$4,'Data - Monthly Metrics'!$B:$B,G$8,'Data - Monthly Metrics'!$C:$C,"Majors/NRA",'Data - Monthly Metrics'!$D:$D,"Goal - Retention %")&gt;0,G93&gt;=SUMIFS('Data - Monthly Metrics'!$E:$E,'Data - Monthly Metrics'!$A:$A,$B$4,'Data - Monthly Metrics'!$B:$B,G$8,'Data - Monthly Metrics'!$C:$C,"Majors/NRA",'Data - Monthly Metrics'!$D:$D,"Goal - Retention %"))</formula>
    </cfRule>
    <cfRule type="expression" rank="0" priority="59" equalAverage="0" aboveAverage="0" dxfId="2" stopIfTrue="1" text="" percent="0" bottom="0">
      <formula>AND(ISNUMBER(G93),COUNTIFS('Data - Monthly Metrics'!$A:$A,$B$4,'Data - Monthly Metrics'!$B:$B,G$8,'Data - Monthly Metrics'!$C:$C,"Majors/NRA",'Data - Monthly Metrics'!$D:$D,"Goal - Retention %")&gt;0,G93&gt;=SUMIFS('Data - Monthly Metrics'!$E:$E,'Data - Monthly Metrics'!$A:$A,$B$4,'Data - Monthly Metrics'!$B:$B,G$8,'Data - Monthly Metrics'!$C:$C,"Majors/NRA",'Data - Monthly Metrics'!$D:$D,"Goal - Retention %")-0.05)</formula>
    </cfRule>
    <cfRule type="expression" rank="0" priority="60" equalAverage="0" aboveAverage="0" dxfId="1" stopIfTrue="1" text="" percent="0" bottom="0">
      <formula>AND(ISNUMBER(G93),COUNTIFS('Data - Monthly Metrics'!$A:$A,$B$4,'Data - Monthly Metrics'!$B:$B,G$8,'Data - Monthly Metrics'!$C:$C,"Majors/NRA",'Data - Monthly Metrics'!$D:$D,"Goal - Retention %")&gt;0)</formula>
    </cfRule>
  </conditionalFormatting>
  <conditionalFormatting sqref="H93">
    <cfRule type="expression" rank="0" priority="61" equalAverage="0" aboveAverage="0" dxfId="0" stopIfTrue="1" text="" percent="0" bottom="0">
      <formula>AND(ISNUMBER(H93),COUNTIFS('Data - Monthly Metrics'!$A:$A,$B$4,'Data - Monthly Metrics'!$B:$B,H$8,'Data - Monthly Metrics'!$C:$C,"Majors/NRA",'Data - Monthly Metrics'!$D:$D,"Goal - Retention %")&gt;0,H93&gt;=SUMIFS('Data - Monthly Metrics'!$E:$E,'Data - Monthly Metrics'!$A:$A,$B$4,'Data - Monthly Metrics'!$B:$B,H$8,'Data - Monthly Metrics'!$C:$C,"Majors/NRA",'Data - Monthly Metrics'!$D:$D,"Goal - Retention %"))</formula>
    </cfRule>
    <cfRule type="expression" rank="0" priority="62" equalAverage="0" aboveAverage="0" dxfId="2" stopIfTrue="1" text="" percent="0" bottom="0">
      <formula>AND(ISNUMBER(H93),COUNTIFS('Data - Monthly Metrics'!$A:$A,$B$4,'Data - Monthly Metrics'!$B:$B,H$8,'Data - Monthly Metrics'!$C:$C,"Majors/NRA",'Data - Monthly Metrics'!$D:$D,"Goal - Retention %")&gt;0,H93&gt;=SUMIFS('Data - Monthly Metrics'!$E:$E,'Data - Monthly Metrics'!$A:$A,$B$4,'Data - Monthly Metrics'!$B:$B,H$8,'Data - Monthly Metrics'!$C:$C,"Majors/NRA",'Data - Monthly Metrics'!$D:$D,"Goal - Retention %")-0.05)</formula>
    </cfRule>
    <cfRule type="expression" rank="0" priority="63" equalAverage="0" aboveAverage="0" dxfId="1" stopIfTrue="1" text="" percent="0" bottom="0">
      <formula>AND(ISNUMBER(H93),COUNTIFS('Data - Monthly Metrics'!$A:$A,$B$4,'Data - Monthly Metrics'!$B:$B,H$8,'Data - Monthly Metrics'!$C:$C,"Majors/NRA",'Data - Monthly Metrics'!$D:$D,"Goal - Retention %")&gt;0)</formula>
    </cfRule>
  </conditionalFormatting>
  <conditionalFormatting sqref="J93">
    <cfRule type="expression" rank="0" priority="64" equalAverage="0" aboveAverage="0" dxfId="0" stopIfTrue="1" text="" percent="0" bottom="0">
      <formula>AND(ISNUMBER(J93),COUNTIFS('Data - Monthly Metrics'!$A:$A,$B$4,'Data - Monthly Metrics'!$B:$B,J$8,'Data - Monthly Metrics'!$C:$C,"Majors/NRA",'Data - Monthly Metrics'!$D:$D,"Goal - Retention %")&gt;0,J93&gt;=SUMIFS('Data - Monthly Metrics'!$E:$E,'Data - Monthly Metrics'!$A:$A,$B$4,'Data - Monthly Metrics'!$B:$B,J$8,'Data - Monthly Metrics'!$C:$C,"Majors/NRA",'Data - Monthly Metrics'!$D:$D,"Goal - Retention %"))</formula>
    </cfRule>
    <cfRule type="expression" rank="0" priority="65" equalAverage="0" aboveAverage="0" dxfId="2" stopIfTrue="1" text="" percent="0" bottom="0">
      <formula>AND(ISNUMBER(J93),COUNTIFS('Data - Monthly Metrics'!$A:$A,$B$4,'Data - Monthly Metrics'!$B:$B,J$8,'Data - Monthly Metrics'!$C:$C,"Majors/NRA",'Data - Monthly Metrics'!$D:$D,"Goal - Retention %")&gt;0,J93&gt;=SUMIFS('Data - Monthly Metrics'!$E:$E,'Data - Monthly Metrics'!$A:$A,$B$4,'Data - Monthly Metrics'!$B:$B,J$8,'Data - Monthly Metrics'!$C:$C,"Majors/NRA",'Data - Monthly Metrics'!$D:$D,"Goal - Retention %")-0.05)</formula>
    </cfRule>
    <cfRule type="expression" rank="0" priority="66" equalAverage="0" aboveAverage="0" dxfId="1" stopIfTrue="1" text="" percent="0" bottom="0">
      <formula>AND(ISNUMBER(J93),COUNTIFS('Data - Monthly Metrics'!$A:$A,$B$4,'Data - Monthly Metrics'!$B:$B,J$8,'Data - Monthly Metrics'!$C:$C,"Majors/NRA",'Data - Monthly Metrics'!$D:$D,"Goal - Retention %")&gt;0)</formula>
    </cfRule>
  </conditionalFormatting>
  <conditionalFormatting sqref="K93">
    <cfRule type="expression" rank="0" priority="67" equalAverage="0" aboveAverage="0" dxfId="0" stopIfTrue="1" text="" percent="0" bottom="0">
      <formula>AND(ISNUMBER(K93),COUNTIFS('Data - Monthly Metrics'!$A:$A,$B$4,'Data - Monthly Metrics'!$B:$B,K$8,'Data - Monthly Metrics'!$C:$C,"Majors/NRA",'Data - Monthly Metrics'!$D:$D,"Goal - Retention %")&gt;0,K93&gt;=SUMIFS('Data - Monthly Metrics'!$E:$E,'Data - Monthly Metrics'!$A:$A,$B$4,'Data - Monthly Metrics'!$B:$B,K$8,'Data - Monthly Metrics'!$C:$C,"Majors/NRA",'Data - Monthly Metrics'!$D:$D,"Goal - Retention %"))</formula>
    </cfRule>
    <cfRule type="expression" rank="0" priority="68" equalAverage="0" aboveAverage="0" dxfId="2" stopIfTrue="1" text="" percent="0" bottom="0">
      <formula>AND(ISNUMBER(K93),COUNTIFS('Data - Monthly Metrics'!$A:$A,$B$4,'Data - Monthly Metrics'!$B:$B,K$8,'Data - Monthly Metrics'!$C:$C,"Majors/NRA",'Data - Monthly Metrics'!$D:$D,"Goal - Retention %")&gt;0,K93&gt;=SUMIFS('Data - Monthly Metrics'!$E:$E,'Data - Monthly Metrics'!$A:$A,$B$4,'Data - Monthly Metrics'!$B:$B,K$8,'Data - Monthly Metrics'!$C:$C,"Majors/NRA",'Data - Monthly Metrics'!$D:$D,"Goal - Retention %")-0.05)</formula>
    </cfRule>
    <cfRule type="expression" rank="0" priority="69" equalAverage="0" aboveAverage="0" dxfId="1" stopIfTrue="1" text="" percent="0" bottom="0">
      <formula>AND(ISNUMBER(K93),COUNTIFS('Data - Monthly Metrics'!$A:$A,$B$4,'Data - Monthly Metrics'!$B:$B,K$8,'Data - Monthly Metrics'!$C:$C,"Majors/NRA",'Data - Monthly Metrics'!$D:$D,"Goal - Retention %")&gt;0)</formula>
    </cfRule>
  </conditionalFormatting>
  <conditionalFormatting sqref="L93">
    <cfRule type="expression" rank="0" priority="70" equalAverage="0" aboveAverage="0" dxfId="0" stopIfTrue="1" text="" percent="0" bottom="0">
      <formula>AND(ISNUMBER(L93),COUNTIFS('Data - Monthly Metrics'!$A:$A,$B$4,'Data - Monthly Metrics'!$B:$B,L$8,'Data - Monthly Metrics'!$C:$C,"Majors/NRA",'Data - Monthly Metrics'!$D:$D,"Goal - Retention %")&gt;0,L93&gt;=SUMIFS('Data - Monthly Metrics'!$E:$E,'Data - Monthly Metrics'!$A:$A,$B$4,'Data - Monthly Metrics'!$B:$B,L$8,'Data - Monthly Metrics'!$C:$C,"Majors/NRA",'Data - Monthly Metrics'!$D:$D,"Goal - Retention %"))</formula>
    </cfRule>
    <cfRule type="expression" rank="0" priority="71" equalAverage="0" aboveAverage="0" dxfId="2" stopIfTrue="1" text="" percent="0" bottom="0">
      <formula>AND(ISNUMBER(L93),COUNTIFS('Data - Monthly Metrics'!$A:$A,$B$4,'Data - Monthly Metrics'!$B:$B,L$8,'Data - Monthly Metrics'!$C:$C,"Majors/NRA",'Data - Monthly Metrics'!$D:$D,"Goal - Retention %")&gt;0,L93&gt;=SUMIFS('Data - Monthly Metrics'!$E:$E,'Data - Monthly Metrics'!$A:$A,$B$4,'Data - Monthly Metrics'!$B:$B,L$8,'Data - Monthly Metrics'!$C:$C,"Majors/NRA",'Data - Monthly Metrics'!$D:$D,"Goal - Retention %")-0.05)</formula>
    </cfRule>
    <cfRule type="expression" rank="0" priority="72" equalAverage="0" aboveAverage="0" dxfId="1" stopIfTrue="1" text="" percent="0" bottom="0">
      <formula>AND(ISNUMBER(L93),COUNTIFS('Data - Monthly Metrics'!$A:$A,$B$4,'Data - Monthly Metrics'!$B:$B,L$8,'Data - Monthly Metrics'!$C:$C,"Majors/NRA",'Data - Monthly Metrics'!$D:$D,"Goal - Retention %")&gt;0)</formula>
    </cfRule>
  </conditionalFormatting>
  <conditionalFormatting sqref="N93">
    <cfRule type="expression" rank="0" priority="73" equalAverage="0" aboveAverage="0" dxfId="0" stopIfTrue="1" text="" percent="0" bottom="0">
      <formula>AND(ISNUMBER(N93),COUNTIFS('Data - Monthly Metrics'!$A:$A,$B$4,'Data - Monthly Metrics'!$B:$B,N$8,'Data - Monthly Metrics'!$C:$C,"Majors/NRA",'Data - Monthly Metrics'!$D:$D,"Goal - Retention %")&gt;0,N93&gt;=SUMIFS('Data - Monthly Metrics'!$E:$E,'Data - Monthly Metrics'!$A:$A,$B$4,'Data - Monthly Metrics'!$B:$B,N$8,'Data - Monthly Metrics'!$C:$C,"Majors/NRA",'Data - Monthly Metrics'!$D:$D,"Goal - Retention %"))</formula>
    </cfRule>
    <cfRule type="expression" rank="0" priority="74" equalAverage="0" aboveAverage="0" dxfId="2" stopIfTrue="1" text="" percent="0" bottom="0">
      <formula>AND(ISNUMBER(N93),COUNTIFS('Data - Monthly Metrics'!$A:$A,$B$4,'Data - Monthly Metrics'!$B:$B,N$8,'Data - Monthly Metrics'!$C:$C,"Majors/NRA",'Data - Monthly Metrics'!$D:$D,"Goal - Retention %")&gt;0,N93&gt;=SUMIFS('Data - Monthly Metrics'!$E:$E,'Data - Monthly Metrics'!$A:$A,$B$4,'Data - Monthly Metrics'!$B:$B,N$8,'Data - Monthly Metrics'!$C:$C,"Majors/NRA",'Data - Monthly Metrics'!$D:$D,"Goal - Retention %")-0.05)</formula>
    </cfRule>
    <cfRule type="expression" rank="0" priority="75" equalAverage="0" aboveAverage="0" dxfId="1" stopIfTrue="1" text="" percent="0" bottom="0">
      <formula>AND(ISNUMBER(N93),COUNTIFS('Data - Monthly Metrics'!$A:$A,$B$4,'Data - Monthly Metrics'!$B:$B,N$8,'Data - Monthly Metrics'!$C:$C,"Majors/NRA",'Data - Monthly Metrics'!$D:$D,"Goal - Retention %")&gt;0)</formula>
    </cfRule>
  </conditionalFormatting>
  <conditionalFormatting sqref="O93">
    <cfRule type="expression" rank="0" priority="76" equalAverage="0" aboveAverage="0" dxfId="0" stopIfTrue="1" text="" percent="0" bottom="0">
      <formula>AND(ISNUMBER(O93),COUNTIFS('Data - Monthly Metrics'!$A:$A,$B$4,'Data - Monthly Metrics'!$B:$B,O$8,'Data - Monthly Metrics'!$C:$C,"Majors/NRA",'Data - Monthly Metrics'!$D:$D,"Goal - Retention %")&gt;0,O93&gt;=SUMIFS('Data - Monthly Metrics'!$E:$E,'Data - Monthly Metrics'!$A:$A,$B$4,'Data - Monthly Metrics'!$B:$B,O$8,'Data - Monthly Metrics'!$C:$C,"Majors/NRA",'Data - Monthly Metrics'!$D:$D,"Goal - Retention %"))</formula>
    </cfRule>
    <cfRule type="expression" rank="0" priority="77" equalAverage="0" aboveAverage="0" dxfId="2" stopIfTrue="1" text="" percent="0" bottom="0">
      <formula>AND(ISNUMBER(O93),COUNTIFS('Data - Monthly Metrics'!$A:$A,$B$4,'Data - Monthly Metrics'!$B:$B,O$8,'Data - Monthly Metrics'!$C:$C,"Majors/NRA",'Data - Monthly Metrics'!$D:$D,"Goal - Retention %")&gt;0,O93&gt;=SUMIFS('Data - Monthly Metrics'!$E:$E,'Data - Monthly Metrics'!$A:$A,$B$4,'Data - Monthly Metrics'!$B:$B,O$8,'Data - Monthly Metrics'!$C:$C,"Majors/NRA",'Data - Monthly Metrics'!$D:$D,"Goal - Retention %")-0.05)</formula>
    </cfRule>
    <cfRule type="expression" rank="0" priority="78" equalAverage="0" aboveAverage="0" dxfId="1" stopIfTrue="1" text="" percent="0" bottom="0">
      <formula>AND(ISNUMBER(O93),COUNTIFS('Data - Monthly Metrics'!$A:$A,$B$4,'Data - Monthly Metrics'!$B:$B,O$8,'Data - Monthly Metrics'!$C:$C,"Majors/NRA",'Data - Monthly Metrics'!$D:$D,"Goal - Retention %")&gt;0)</formula>
    </cfRule>
  </conditionalFormatting>
  <conditionalFormatting sqref="P93">
    <cfRule type="expression" rank="0" priority="79" equalAverage="0" aboveAverage="0" dxfId="0" stopIfTrue="1" text="" percent="0" bottom="0">
      <formula>AND(ISNUMBER(P93),COUNTIFS('Data - Monthly Metrics'!$A:$A,$B$4,'Data - Monthly Metrics'!$B:$B,P$8,'Data - Monthly Metrics'!$C:$C,"Majors/NRA",'Data - Monthly Metrics'!$D:$D,"Goal - Retention %")&gt;0,P93&gt;=SUMIFS('Data - Monthly Metrics'!$E:$E,'Data - Monthly Metrics'!$A:$A,$B$4,'Data - Monthly Metrics'!$B:$B,P$8,'Data - Monthly Metrics'!$C:$C,"Majors/NRA",'Data - Monthly Metrics'!$D:$D,"Goal - Retention %"))</formula>
    </cfRule>
    <cfRule type="expression" rank="0" priority="80" equalAverage="0" aboveAverage="0" dxfId="2" stopIfTrue="1" text="" percent="0" bottom="0">
      <formula>AND(ISNUMBER(P93),COUNTIFS('Data - Monthly Metrics'!$A:$A,$B$4,'Data - Monthly Metrics'!$B:$B,P$8,'Data - Monthly Metrics'!$C:$C,"Majors/NRA",'Data - Monthly Metrics'!$D:$D,"Goal - Retention %")&gt;0,P93&gt;=SUMIFS('Data - Monthly Metrics'!$E:$E,'Data - Monthly Metrics'!$A:$A,$B$4,'Data - Monthly Metrics'!$B:$B,P$8,'Data - Monthly Metrics'!$C:$C,"Majors/NRA",'Data - Monthly Metrics'!$D:$D,"Goal - Retention %")-0.05)</formula>
    </cfRule>
    <cfRule type="expression" rank="0" priority="81" equalAverage="0" aboveAverage="0" dxfId="1" stopIfTrue="1" text="" percent="0" bottom="0">
      <formula>AND(ISNUMBER(P93),COUNTIFS('Data - Monthly Metrics'!$A:$A,$B$4,'Data - Monthly Metrics'!$B:$B,P$8,'Data - Monthly Metrics'!$C:$C,"Majors/NRA",'Data - Monthly Metrics'!$D:$D,"Goal - Retention %")&gt;0)</formula>
    </cfRule>
  </conditionalFormatting>
  <conditionalFormatting sqref="B59">
    <cfRule type="expression" rank="0" priority="82" equalAverage="0" aboveAverage="0" dxfId="0" stopIfTrue="1" text="" percent="0" bottom="0">
      <formula>AND(ISNUMBER(B59),COUNTIFS('Data - Monthly Metrics'!$A:$A,$B$4-1,'Data - Monthly Metrics'!$B:$B,B$8,'Data - Monthly Metrics'!$C:$C,"Majors/NRA",'Data - Monthly Metrics'!$D:$D,"Goal - Retention %")&gt;0,B59&gt;=SUMIFS('Data - Monthly Metrics'!$E:$E,'Data - Monthly Metrics'!$A:$A,$B$4-1,'Data - Monthly Metrics'!$B:$B,B$8,'Data - Monthly Metrics'!$C:$C,"Majors/NRA",'Data - Monthly Metrics'!$D:$D,"Goal - Retention %"))</formula>
    </cfRule>
    <cfRule type="expression" rank="0" priority="83" equalAverage="0" aboveAverage="0" dxfId="2" stopIfTrue="1" text="" percent="0" bottom="0">
      <formula>AND(ISNUMBER(B59),COUNTIFS('Data - Monthly Metrics'!$A:$A,$B$4-1,'Data - Monthly Metrics'!$B:$B,B$8,'Data - Monthly Metrics'!$C:$C,"Majors/NRA",'Data - Monthly Metrics'!$D:$D,"Goal - Retention %")&gt;0,B59&gt;=SUMIFS('Data - Monthly Metrics'!$E:$E,'Data - Monthly Metrics'!$A:$A,$B$4-1,'Data - Monthly Metrics'!$B:$B,B$8,'Data - Monthly Metrics'!$C:$C,"Majors/NRA",'Data - Monthly Metrics'!$D:$D,"Goal - Retention %")-0.05)</formula>
    </cfRule>
    <cfRule type="expression" rank="0" priority="84" equalAverage="0" aboveAverage="0" dxfId="1" stopIfTrue="1" text="" percent="0" bottom="0">
      <formula>AND(ISNUMBER(B59),COUNTIFS('Data - Monthly Metrics'!$A:$A,$B$4-1,'Data - Monthly Metrics'!$B:$B,B$8,'Data - Monthly Metrics'!$C:$C,"Majors/NRA",'Data - Monthly Metrics'!$D:$D,"Goal - Retention %")&gt;0)</formula>
    </cfRule>
  </conditionalFormatting>
  <conditionalFormatting sqref="C59">
    <cfRule type="expression" rank="0" priority="85" equalAverage="0" aboveAverage="0" dxfId="0" stopIfTrue="1" text="" percent="0" bottom="0">
      <formula>AND(ISNUMBER(C59),COUNTIFS('Data - Monthly Metrics'!$A:$A,$B$4-1,'Data - Monthly Metrics'!$B:$B,C$8,'Data - Monthly Metrics'!$C:$C,"Majors/NRA",'Data - Monthly Metrics'!$D:$D,"Goal - Retention %")&gt;0,C59&gt;=SUMIFS('Data - Monthly Metrics'!$E:$E,'Data - Monthly Metrics'!$A:$A,$B$4-1,'Data - Monthly Metrics'!$B:$B,C$8,'Data - Monthly Metrics'!$C:$C,"Majors/NRA",'Data - Monthly Metrics'!$D:$D,"Goal - Retention %"))</formula>
    </cfRule>
    <cfRule type="expression" rank="0" priority="86" equalAverage="0" aboveAverage="0" dxfId="2" stopIfTrue="1" text="" percent="0" bottom="0">
      <formula>AND(ISNUMBER(C59),COUNTIFS('Data - Monthly Metrics'!$A:$A,$B$4-1,'Data - Monthly Metrics'!$B:$B,C$8,'Data - Monthly Metrics'!$C:$C,"Majors/NRA",'Data - Monthly Metrics'!$D:$D,"Goal - Retention %")&gt;0,C59&gt;=SUMIFS('Data - Monthly Metrics'!$E:$E,'Data - Monthly Metrics'!$A:$A,$B$4-1,'Data - Monthly Metrics'!$B:$B,C$8,'Data - Monthly Metrics'!$C:$C,"Majors/NRA",'Data - Monthly Metrics'!$D:$D,"Goal - Retention %")-0.05)</formula>
    </cfRule>
    <cfRule type="expression" rank="0" priority="87" equalAverage="0" aboveAverage="0" dxfId="1" stopIfTrue="1" text="" percent="0" bottom="0">
      <formula>AND(ISNUMBER(C59),COUNTIFS('Data - Monthly Metrics'!$A:$A,$B$4-1,'Data - Monthly Metrics'!$B:$B,C$8,'Data - Monthly Metrics'!$C:$C,"Majors/NRA",'Data - Monthly Metrics'!$D:$D,"Goal - Retention %")&gt;0)</formula>
    </cfRule>
  </conditionalFormatting>
  <conditionalFormatting sqref="D59">
    <cfRule type="expression" rank="0" priority="88" equalAverage="0" aboveAverage="0" dxfId="0" stopIfTrue="1" text="" percent="0" bottom="0">
      <formula>AND(ISNUMBER(D59),COUNTIFS('Data - Monthly Metrics'!$A:$A,$B$4-1,'Data - Monthly Metrics'!$B:$B,D$8,'Data - Monthly Metrics'!$C:$C,"Majors/NRA",'Data - Monthly Metrics'!$D:$D,"Goal - Retention %")&gt;0,D59&gt;=SUMIFS('Data - Monthly Metrics'!$E:$E,'Data - Monthly Metrics'!$A:$A,$B$4-1,'Data - Monthly Metrics'!$B:$B,D$8,'Data - Monthly Metrics'!$C:$C,"Majors/NRA",'Data - Monthly Metrics'!$D:$D,"Goal - Retention %"))</formula>
    </cfRule>
    <cfRule type="expression" rank="0" priority="89" equalAverage="0" aboveAverage="0" dxfId="2" stopIfTrue="1" text="" percent="0" bottom="0">
      <formula>AND(ISNUMBER(D59),COUNTIFS('Data - Monthly Metrics'!$A:$A,$B$4-1,'Data - Monthly Metrics'!$B:$B,D$8,'Data - Monthly Metrics'!$C:$C,"Majors/NRA",'Data - Monthly Metrics'!$D:$D,"Goal - Retention %")&gt;0,D59&gt;=SUMIFS('Data - Monthly Metrics'!$E:$E,'Data - Monthly Metrics'!$A:$A,$B$4-1,'Data - Monthly Metrics'!$B:$B,D$8,'Data - Monthly Metrics'!$C:$C,"Majors/NRA",'Data - Monthly Metrics'!$D:$D,"Goal - Retention %")-0.05)</formula>
    </cfRule>
    <cfRule type="expression" rank="0" priority="90" equalAverage="0" aboveAverage="0" dxfId="1" stopIfTrue="1" text="" percent="0" bottom="0">
      <formula>AND(ISNUMBER(D59),COUNTIFS('Data - Monthly Metrics'!$A:$A,$B$4-1,'Data - Monthly Metrics'!$B:$B,D$8,'Data - Monthly Metrics'!$C:$C,"Majors/NRA",'Data - Monthly Metrics'!$D:$D,"Goal - Retention %")&gt;0)</formula>
    </cfRule>
  </conditionalFormatting>
  <conditionalFormatting sqref="F59">
    <cfRule type="expression" rank="0" priority="91" equalAverage="0" aboveAverage="0" dxfId="0" stopIfTrue="1" text="" percent="0" bottom="0">
      <formula>AND(ISNUMBER(F59),COUNTIFS('Data - Monthly Metrics'!$A:$A,$B$4,'Data - Monthly Metrics'!$B:$B,F$8,'Data - Monthly Metrics'!$C:$C,"Majors/NRA",'Data - Monthly Metrics'!$D:$D,"Goal - Retention %")&gt;0,F59&gt;=SUMIFS('Data - Monthly Metrics'!$E:$E,'Data - Monthly Metrics'!$A:$A,$B$4,'Data - Monthly Metrics'!$B:$B,F$8,'Data - Monthly Metrics'!$C:$C,"Majors/NRA",'Data - Monthly Metrics'!$D:$D,"Goal - Retention %"))</formula>
    </cfRule>
    <cfRule type="expression" rank="0" priority="92" equalAverage="0" aboveAverage="0" dxfId="2" stopIfTrue="1" text="" percent="0" bottom="0">
      <formula>AND(ISNUMBER(F59),COUNTIFS('Data - Monthly Metrics'!$A:$A,$B$4,'Data - Monthly Metrics'!$B:$B,F$8,'Data - Monthly Metrics'!$C:$C,"Majors/NRA",'Data - Monthly Metrics'!$D:$D,"Goal - Retention %")&gt;0,F59&gt;=SUMIFS('Data - Monthly Metrics'!$E:$E,'Data - Monthly Metrics'!$A:$A,$B$4,'Data - Monthly Metrics'!$B:$B,F$8,'Data - Monthly Metrics'!$C:$C,"Majors/NRA",'Data - Monthly Metrics'!$D:$D,"Goal - Retention %")-0.05)</formula>
    </cfRule>
    <cfRule type="expression" rank="0" priority="93" equalAverage="0" aboveAverage="0" dxfId="1" stopIfTrue="1" text="" percent="0" bottom="0">
      <formula>AND(ISNUMBER(F59),COUNTIFS('Data - Monthly Metrics'!$A:$A,$B$4,'Data - Monthly Metrics'!$B:$B,F$8,'Data - Monthly Metrics'!$C:$C,"Majors/NRA",'Data - Monthly Metrics'!$D:$D,"Goal - Retention %")&gt;0)</formula>
    </cfRule>
  </conditionalFormatting>
  <conditionalFormatting sqref="G59">
    <cfRule type="expression" rank="0" priority="94" equalAverage="0" aboveAverage="0" dxfId="0" stopIfTrue="1" text="" percent="0" bottom="0">
      <formula>AND(ISNUMBER(G59),COUNTIFS('Data - Monthly Metrics'!$A:$A,$B$4,'Data - Monthly Metrics'!$B:$B,G$8,'Data - Monthly Metrics'!$C:$C,"Majors/NRA",'Data - Monthly Metrics'!$D:$D,"Goal - Retention %")&gt;0,G59&gt;=SUMIFS('Data - Monthly Metrics'!$E:$E,'Data - Monthly Metrics'!$A:$A,$B$4,'Data - Monthly Metrics'!$B:$B,G$8,'Data - Monthly Metrics'!$C:$C,"Majors/NRA",'Data - Monthly Metrics'!$D:$D,"Goal - Retention %"))</formula>
    </cfRule>
    <cfRule type="expression" rank="0" priority="95" equalAverage="0" aboveAverage="0" dxfId="2" stopIfTrue="1" text="" percent="0" bottom="0">
      <formula>AND(ISNUMBER(G59),COUNTIFS('Data - Monthly Metrics'!$A:$A,$B$4,'Data - Monthly Metrics'!$B:$B,G$8,'Data - Monthly Metrics'!$C:$C,"Majors/NRA",'Data - Monthly Metrics'!$D:$D,"Goal - Retention %")&gt;0,G59&gt;=SUMIFS('Data - Monthly Metrics'!$E:$E,'Data - Monthly Metrics'!$A:$A,$B$4,'Data - Monthly Metrics'!$B:$B,G$8,'Data - Monthly Metrics'!$C:$C,"Majors/NRA",'Data - Monthly Metrics'!$D:$D,"Goal - Retention %")-0.05)</formula>
    </cfRule>
    <cfRule type="expression" rank="0" priority="96" equalAverage="0" aboveAverage="0" dxfId="1" stopIfTrue="1" text="" percent="0" bottom="0">
      <formula>AND(ISNUMBER(G59),COUNTIFS('Data - Monthly Metrics'!$A:$A,$B$4,'Data - Monthly Metrics'!$B:$B,G$8,'Data - Monthly Metrics'!$C:$C,"Majors/NRA",'Data - Monthly Metrics'!$D:$D,"Goal - Retention %")&gt;0)</formula>
    </cfRule>
  </conditionalFormatting>
  <conditionalFormatting sqref="H59">
    <cfRule type="expression" rank="0" priority="97" equalAverage="0" aboveAverage="0" dxfId="0" stopIfTrue="1" text="" percent="0" bottom="0">
      <formula>AND(ISNUMBER(H59),COUNTIFS('Data - Monthly Metrics'!$A:$A,$B$4,'Data - Monthly Metrics'!$B:$B,H$8,'Data - Monthly Metrics'!$C:$C,"Majors/NRA",'Data - Monthly Metrics'!$D:$D,"Goal - Retention %")&gt;0,H59&gt;=SUMIFS('Data - Monthly Metrics'!$E:$E,'Data - Monthly Metrics'!$A:$A,$B$4,'Data - Monthly Metrics'!$B:$B,H$8,'Data - Monthly Metrics'!$C:$C,"Majors/NRA",'Data - Monthly Metrics'!$D:$D,"Goal - Retention %"))</formula>
    </cfRule>
    <cfRule type="expression" rank="0" priority="98" equalAverage="0" aboveAverage="0" dxfId="2" stopIfTrue="1" text="" percent="0" bottom="0">
      <formula>AND(ISNUMBER(H59),COUNTIFS('Data - Monthly Metrics'!$A:$A,$B$4,'Data - Monthly Metrics'!$B:$B,H$8,'Data - Monthly Metrics'!$C:$C,"Majors/NRA",'Data - Monthly Metrics'!$D:$D,"Goal - Retention %")&gt;0,H59&gt;=SUMIFS('Data - Monthly Metrics'!$E:$E,'Data - Monthly Metrics'!$A:$A,$B$4,'Data - Monthly Metrics'!$B:$B,H$8,'Data - Monthly Metrics'!$C:$C,"Majors/NRA",'Data - Monthly Metrics'!$D:$D,"Goal - Retention %")-0.05)</formula>
    </cfRule>
    <cfRule type="expression" rank="0" priority="99" equalAverage="0" aboveAverage="0" dxfId="1" stopIfTrue="1" text="" percent="0" bottom="0">
      <formula>AND(ISNUMBER(H59),COUNTIFS('Data - Monthly Metrics'!$A:$A,$B$4,'Data - Monthly Metrics'!$B:$B,H$8,'Data - Monthly Metrics'!$C:$C,"Majors/NRA",'Data - Monthly Metrics'!$D:$D,"Goal - Retention %")&gt;0)</formula>
    </cfRule>
  </conditionalFormatting>
  <conditionalFormatting sqref="J59">
    <cfRule type="expression" rank="0" priority="100" equalAverage="0" aboveAverage="0" dxfId="0" stopIfTrue="1" text="" percent="0" bottom="0">
      <formula>AND(ISNUMBER(J59),COUNTIFS('Data - Monthly Metrics'!$A:$A,$B$4,'Data - Monthly Metrics'!$B:$B,J$8,'Data - Monthly Metrics'!$C:$C,"Majors/NRA",'Data - Monthly Metrics'!$D:$D,"Goal - Retention %")&gt;0,J59&gt;=SUMIFS('Data - Monthly Metrics'!$E:$E,'Data - Monthly Metrics'!$A:$A,$B$4,'Data - Monthly Metrics'!$B:$B,J$8,'Data - Monthly Metrics'!$C:$C,"Majors/NRA",'Data - Monthly Metrics'!$D:$D,"Goal - Retention %"))</formula>
    </cfRule>
    <cfRule type="expression" rank="0" priority="101" equalAverage="0" aboveAverage="0" dxfId="2" stopIfTrue="1" text="" percent="0" bottom="0">
      <formula>AND(ISNUMBER(J59),COUNTIFS('Data - Monthly Metrics'!$A:$A,$B$4,'Data - Monthly Metrics'!$B:$B,J$8,'Data - Monthly Metrics'!$C:$C,"Majors/NRA",'Data - Monthly Metrics'!$D:$D,"Goal - Retention %")&gt;0,J59&gt;=SUMIFS('Data - Monthly Metrics'!$E:$E,'Data - Monthly Metrics'!$A:$A,$B$4,'Data - Monthly Metrics'!$B:$B,J$8,'Data - Monthly Metrics'!$C:$C,"Majors/NRA",'Data - Monthly Metrics'!$D:$D,"Goal - Retention %")-0.05)</formula>
    </cfRule>
    <cfRule type="expression" rank="0" priority="102" equalAverage="0" aboveAverage="0" dxfId="1" stopIfTrue="1" text="" percent="0" bottom="0">
      <formula>AND(ISNUMBER(J59),COUNTIFS('Data - Monthly Metrics'!$A:$A,$B$4,'Data - Monthly Metrics'!$B:$B,J$8,'Data - Monthly Metrics'!$C:$C,"Majors/NRA",'Data - Monthly Metrics'!$D:$D,"Goal - Retention %")&gt;0)</formula>
    </cfRule>
  </conditionalFormatting>
  <conditionalFormatting sqref="K59">
    <cfRule type="expression" rank="0" priority="103" equalAverage="0" aboveAverage="0" dxfId="0" stopIfTrue="1" text="" percent="0" bottom="0">
      <formula>AND(ISNUMBER(K59),COUNTIFS('Data - Monthly Metrics'!$A:$A,$B$4,'Data - Monthly Metrics'!$B:$B,K$8,'Data - Monthly Metrics'!$C:$C,"Majors/NRA",'Data - Monthly Metrics'!$D:$D,"Goal - Retention %")&gt;0,K59&gt;=SUMIFS('Data - Monthly Metrics'!$E:$E,'Data - Monthly Metrics'!$A:$A,$B$4,'Data - Monthly Metrics'!$B:$B,K$8,'Data - Monthly Metrics'!$C:$C,"Majors/NRA",'Data - Monthly Metrics'!$D:$D,"Goal - Retention %"))</formula>
    </cfRule>
    <cfRule type="expression" rank="0" priority="104" equalAverage="0" aboveAverage="0" dxfId="2" stopIfTrue="1" text="" percent="0" bottom="0">
      <formula>AND(ISNUMBER(K59),COUNTIFS('Data - Monthly Metrics'!$A:$A,$B$4,'Data - Monthly Metrics'!$B:$B,K$8,'Data - Monthly Metrics'!$C:$C,"Majors/NRA",'Data - Monthly Metrics'!$D:$D,"Goal - Retention %")&gt;0,K59&gt;=SUMIFS('Data - Monthly Metrics'!$E:$E,'Data - Monthly Metrics'!$A:$A,$B$4,'Data - Monthly Metrics'!$B:$B,K$8,'Data - Monthly Metrics'!$C:$C,"Majors/NRA",'Data - Monthly Metrics'!$D:$D,"Goal - Retention %")-0.05)</formula>
    </cfRule>
    <cfRule type="expression" rank="0" priority="105" equalAverage="0" aboveAverage="0" dxfId="1" stopIfTrue="1" text="" percent="0" bottom="0">
      <formula>AND(ISNUMBER(K59),COUNTIFS('Data - Monthly Metrics'!$A:$A,$B$4,'Data - Monthly Metrics'!$B:$B,K$8,'Data - Monthly Metrics'!$C:$C,"Majors/NRA",'Data - Monthly Metrics'!$D:$D,"Goal - Retention %")&gt;0)</formula>
    </cfRule>
  </conditionalFormatting>
  <conditionalFormatting sqref="L59">
    <cfRule type="expression" rank="0" priority="106" equalAverage="0" aboveAverage="0" dxfId="0" stopIfTrue="1" text="" percent="0" bottom="0">
      <formula>AND(ISNUMBER(L59),COUNTIFS('Data - Monthly Metrics'!$A:$A,$B$4,'Data - Monthly Metrics'!$B:$B,L$8,'Data - Monthly Metrics'!$C:$C,"Majors/NRA",'Data - Monthly Metrics'!$D:$D,"Goal - Retention %")&gt;0,L59&gt;=SUMIFS('Data - Monthly Metrics'!$E:$E,'Data - Monthly Metrics'!$A:$A,$B$4,'Data - Monthly Metrics'!$B:$B,L$8,'Data - Monthly Metrics'!$C:$C,"Majors/NRA",'Data - Monthly Metrics'!$D:$D,"Goal - Retention %"))</formula>
    </cfRule>
    <cfRule type="expression" rank="0" priority="107" equalAverage="0" aboveAverage="0" dxfId="2" stopIfTrue="1" text="" percent="0" bottom="0">
      <formula>AND(ISNUMBER(L59),COUNTIFS('Data - Monthly Metrics'!$A:$A,$B$4,'Data - Monthly Metrics'!$B:$B,L$8,'Data - Monthly Metrics'!$C:$C,"Majors/NRA",'Data - Monthly Metrics'!$D:$D,"Goal - Retention %")&gt;0,L59&gt;=SUMIFS('Data - Monthly Metrics'!$E:$E,'Data - Monthly Metrics'!$A:$A,$B$4,'Data - Monthly Metrics'!$B:$B,L$8,'Data - Monthly Metrics'!$C:$C,"Majors/NRA",'Data - Monthly Metrics'!$D:$D,"Goal - Retention %")-0.05)</formula>
    </cfRule>
    <cfRule type="expression" rank="0" priority="108" equalAverage="0" aboveAverage="0" dxfId="1" stopIfTrue="1" text="" percent="0" bottom="0">
      <formula>AND(ISNUMBER(L59),COUNTIFS('Data - Monthly Metrics'!$A:$A,$B$4,'Data - Monthly Metrics'!$B:$B,L$8,'Data - Monthly Metrics'!$C:$C,"Majors/NRA",'Data - Monthly Metrics'!$D:$D,"Goal - Retention %")&gt;0)</formula>
    </cfRule>
  </conditionalFormatting>
  <conditionalFormatting sqref="N59">
    <cfRule type="expression" rank="0" priority="109" equalAverage="0" aboveAverage="0" dxfId="0" stopIfTrue="1" text="" percent="0" bottom="0">
      <formula>AND(ISNUMBER(N59),COUNTIFS('Data - Monthly Metrics'!$A:$A,$B$4,'Data - Monthly Metrics'!$B:$B,N$8,'Data - Monthly Metrics'!$C:$C,"Majors/NRA",'Data - Monthly Metrics'!$D:$D,"Goal - Retention %")&gt;0,N59&gt;=SUMIFS('Data - Monthly Metrics'!$E:$E,'Data - Monthly Metrics'!$A:$A,$B$4,'Data - Monthly Metrics'!$B:$B,N$8,'Data - Monthly Metrics'!$C:$C,"Majors/NRA",'Data - Monthly Metrics'!$D:$D,"Goal - Retention %"))</formula>
    </cfRule>
    <cfRule type="expression" rank="0" priority="110" equalAverage="0" aboveAverage="0" dxfId="2" stopIfTrue="1" text="" percent="0" bottom="0">
      <formula>AND(ISNUMBER(N59),COUNTIFS('Data - Monthly Metrics'!$A:$A,$B$4,'Data - Monthly Metrics'!$B:$B,N$8,'Data - Monthly Metrics'!$C:$C,"Majors/NRA",'Data - Monthly Metrics'!$D:$D,"Goal - Retention %")&gt;0,N59&gt;=SUMIFS('Data - Monthly Metrics'!$E:$E,'Data - Monthly Metrics'!$A:$A,$B$4,'Data - Monthly Metrics'!$B:$B,N$8,'Data - Monthly Metrics'!$C:$C,"Majors/NRA",'Data - Monthly Metrics'!$D:$D,"Goal - Retention %")-0.05)</formula>
    </cfRule>
    <cfRule type="expression" rank="0" priority="111" equalAverage="0" aboveAverage="0" dxfId="1" stopIfTrue="1" text="" percent="0" bottom="0">
      <formula>AND(ISNUMBER(N59),COUNTIFS('Data - Monthly Metrics'!$A:$A,$B$4,'Data - Monthly Metrics'!$B:$B,N$8,'Data - Monthly Metrics'!$C:$C,"Majors/NRA",'Data - Monthly Metrics'!$D:$D,"Goal - Retention %")&gt;0)</formula>
    </cfRule>
  </conditionalFormatting>
  <conditionalFormatting sqref="O59">
    <cfRule type="expression" rank="0" priority="112" equalAverage="0" aboveAverage="0" dxfId="0" stopIfTrue="1" text="" percent="0" bottom="0">
      <formula>AND(ISNUMBER(O59),COUNTIFS('Data - Monthly Metrics'!$A:$A,$B$4,'Data - Monthly Metrics'!$B:$B,O$8,'Data - Monthly Metrics'!$C:$C,"Majors/NRA",'Data - Monthly Metrics'!$D:$D,"Goal - Retention %")&gt;0,O59&gt;=SUMIFS('Data - Monthly Metrics'!$E:$E,'Data - Monthly Metrics'!$A:$A,$B$4,'Data - Monthly Metrics'!$B:$B,O$8,'Data - Monthly Metrics'!$C:$C,"Majors/NRA",'Data - Monthly Metrics'!$D:$D,"Goal - Retention %"))</formula>
    </cfRule>
    <cfRule type="expression" rank="0" priority="113" equalAverage="0" aboveAverage="0" dxfId="2" stopIfTrue="1" text="" percent="0" bottom="0">
      <formula>AND(ISNUMBER(O59),COUNTIFS('Data - Monthly Metrics'!$A:$A,$B$4,'Data - Monthly Metrics'!$B:$B,O$8,'Data - Monthly Metrics'!$C:$C,"Majors/NRA",'Data - Monthly Metrics'!$D:$D,"Goal - Retention %")&gt;0,O59&gt;=SUMIFS('Data - Monthly Metrics'!$E:$E,'Data - Monthly Metrics'!$A:$A,$B$4,'Data - Monthly Metrics'!$B:$B,O$8,'Data - Monthly Metrics'!$C:$C,"Majors/NRA",'Data - Monthly Metrics'!$D:$D,"Goal - Retention %")-0.05)</formula>
    </cfRule>
    <cfRule type="expression" rank="0" priority="114" equalAverage="0" aboveAverage="0" dxfId="1" stopIfTrue="1" text="" percent="0" bottom="0">
      <formula>AND(ISNUMBER(O59),COUNTIFS('Data - Monthly Metrics'!$A:$A,$B$4,'Data - Monthly Metrics'!$B:$B,O$8,'Data - Monthly Metrics'!$C:$C,"Majors/NRA",'Data - Monthly Metrics'!$D:$D,"Goal - Retention %")&gt;0)</formula>
    </cfRule>
  </conditionalFormatting>
  <conditionalFormatting sqref="P59">
    <cfRule type="expression" rank="0" priority="115" equalAverage="0" aboveAverage="0" dxfId="0" stopIfTrue="1" text="" percent="0" bottom="0">
      <formula>AND(ISNUMBER(P59),COUNTIFS('Data - Monthly Metrics'!$A:$A,$B$4,'Data - Monthly Metrics'!$B:$B,P$8,'Data - Monthly Metrics'!$C:$C,"Majors/NRA",'Data - Monthly Metrics'!$D:$D,"Goal - Retention %")&gt;0,P59&gt;=SUMIFS('Data - Monthly Metrics'!$E:$E,'Data - Monthly Metrics'!$A:$A,$B$4,'Data - Monthly Metrics'!$B:$B,P$8,'Data - Monthly Metrics'!$C:$C,"Majors/NRA",'Data - Monthly Metrics'!$D:$D,"Goal - Retention %"))</formula>
    </cfRule>
    <cfRule type="expression" rank="0" priority="116" equalAverage="0" aboveAverage="0" dxfId="2" stopIfTrue="1" text="" percent="0" bottom="0">
      <formula>AND(ISNUMBER(P59),COUNTIFS('Data - Monthly Metrics'!$A:$A,$B$4,'Data - Monthly Metrics'!$B:$B,P$8,'Data - Monthly Metrics'!$C:$C,"Majors/NRA",'Data - Monthly Metrics'!$D:$D,"Goal - Retention %")&gt;0,P59&gt;=SUMIFS('Data - Monthly Metrics'!$E:$E,'Data - Monthly Metrics'!$A:$A,$B$4,'Data - Monthly Metrics'!$B:$B,P$8,'Data - Monthly Metrics'!$C:$C,"Majors/NRA",'Data - Monthly Metrics'!$D:$D,"Goal - Retention %")-0.05)</formula>
    </cfRule>
    <cfRule type="expression" rank="0" priority="117" equalAverage="0" aboveAverage="0" dxfId="1" stopIfTrue="1" text="" percent="0" bottom="0">
      <formula>AND(ISNUMBER(P59),COUNTIFS('Data - Monthly Metrics'!$A:$A,$B$4,'Data - Monthly Metrics'!$B:$B,P$8,'Data - Monthly Metrics'!$C:$C,"Majors/NRA",'Data - Monthly Metrics'!$D:$D,"Goal - Retention %")&gt;0)</formula>
    </cfRule>
  </conditionalFormatting>
  <conditionalFormatting sqref="B68">
    <cfRule type="expression" rank="0" priority="118" equalAverage="0" aboveAverage="0" dxfId="0" stopIfTrue="1" text="" percent="0" bottom="0">
      <formula>AND(ISNUMBER(B68),COUNTIFS('Data - Monthly Metrics'!$A:$A,$B$4-1,'Data - Monthly Metrics'!$B:$B,B$8,'Data - Monthly Metrics'!$C:$C,"Majors/NRA",'Data - Monthly Metrics'!$D:$D,"Goal - Penetration %")&gt;0,B68&gt;=SUMIFS('Data - Monthly Metrics'!$E:$E,'Data - Monthly Metrics'!$A:$A,$B$4-1,'Data - Monthly Metrics'!$B:$B,B$8,'Data - Monthly Metrics'!$C:$C,"Majors/NRA",'Data - Monthly Metrics'!$D:$D,"Goal - Penetration %"))</formula>
    </cfRule>
    <cfRule type="expression" rank="0" priority="119" equalAverage="0" aboveAverage="0" dxfId="2" stopIfTrue="1" text="" percent="0" bottom="0">
      <formula>AND(ISNUMBER(B68),COUNTIFS('Data - Monthly Metrics'!$A:$A,$B$4-1,'Data - Monthly Metrics'!$B:$B,B$8,'Data - Monthly Metrics'!$C:$C,"Majors/NRA",'Data - Monthly Metrics'!$D:$D,"Goal - Penetration %")&gt;0,B68&gt;=SUMIFS('Data - Monthly Metrics'!$E:$E,'Data - Monthly Metrics'!$A:$A,$B$4-1,'Data - Monthly Metrics'!$B:$B,B$8,'Data - Monthly Metrics'!$C:$C,"Majors/NRA",'Data - Monthly Metrics'!$D:$D,"Goal - Penetration %")-0.05)</formula>
    </cfRule>
    <cfRule type="expression" rank="0" priority="120" equalAverage="0" aboveAverage="0" dxfId="1" stopIfTrue="1" text="" percent="0" bottom="0">
      <formula>AND(ISNUMBER(B68),COUNTIFS('Data - Monthly Metrics'!$A:$A,$B$4-1,'Data - Monthly Metrics'!$B:$B,B$8,'Data - Monthly Metrics'!$C:$C,"Majors/NRA",'Data - Monthly Metrics'!$D:$D,"Goal - Penetration %")&gt;0)</formula>
    </cfRule>
  </conditionalFormatting>
  <conditionalFormatting sqref="C68">
    <cfRule type="expression" rank="0" priority="121" equalAverage="0" aboveAverage="0" dxfId="0" stopIfTrue="1" text="" percent="0" bottom="0">
      <formula>AND(ISNUMBER(C68),COUNTIFS('Data - Monthly Metrics'!$A:$A,$B$4-1,'Data - Monthly Metrics'!$B:$B,C$8,'Data - Monthly Metrics'!$C:$C,"Majors/NRA",'Data - Monthly Metrics'!$D:$D,"Goal - Penetration %")&gt;0,C68&gt;=SUMIFS('Data - Monthly Metrics'!$E:$E,'Data - Monthly Metrics'!$A:$A,$B$4-1,'Data - Monthly Metrics'!$B:$B,C$8,'Data - Monthly Metrics'!$C:$C,"Majors/NRA",'Data - Monthly Metrics'!$D:$D,"Goal - Penetration %"))</formula>
    </cfRule>
    <cfRule type="expression" rank="0" priority="122" equalAverage="0" aboveAverage="0" dxfId="2" stopIfTrue="1" text="" percent="0" bottom="0">
      <formula>AND(ISNUMBER(C68),COUNTIFS('Data - Monthly Metrics'!$A:$A,$B$4-1,'Data - Monthly Metrics'!$B:$B,C$8,'Data - Monthly Metrics'!$C:$C,"Majors/NRA",'Data - Monthly Metrics'!$D:$D,"Goal - Penetration %")&gt;0,C68&gt;=SUMIFS('Data - Monthly Metrics'!$E:$E,'Data - Monthly Metrics'!$A:$A,$B$4-1,'Data - Monthly Metrics'!$B:$B,C$8,'Data - Monthly Metrics'!$C:$C,"Majors/NRA",'Data - Monthly Metrics'!$D:$D,"Goal - Penetration %")-0.05)</formula>
    </cfRule>
    <cfRule type="expression" rank="0" priority="123" equalAverage="0" aboveAverage="0" dxfId="1" stopIfTrue="1" text="" percent="0" bottom="0">
      <formula>AND(ISNUMBER(C68),COUNTIFS('Data - Monthly Metrics'!$A:$A,$B$4-1,'Data - Monthly Metrics'!$B:$B,C$8,'Data - Monthly Metrics'!$C:$C,"Majors/NRA",'Data - Monthly Metrics'!$D:$D,"Goal - Penetration %")&gt;0)</formula>
    </cfRule>
  </conditionalFormatting>
  <conditionalFormatting sqref="D68">
    <cfRule type="expression" rank="0" priority="124" equalAverage="0" aboveAverage="0" dxfId="0" stopIfTrue="1" text="" percent="0" bottom="0">
      <formula>AND(ISNUMBER(D68),COUNTIFS('Data - Monthly Metrics'!$A:$A,$B$4-1,'Data - Monthly Metrics'!$B:$B,D$8,'Data - Monthly Metrics'!$C:$C,"Majors/NRA",'Data - Monthly Metrics'!$D:$D,"Goal - Penetration %")&gt;0,D68&gt;=SUMIFS('Data - Monthly Metrics'!$E:$E,'Data - Monthly Metrics'!$A:$A,$B$4-1,'Data - Monthly Metrics'!$B:$B,D$8,'Data - Monthly Metrics'!$C:$C,"Majors/NRA",'Data - Monthly Metrics'!$D:$D,"Goal - Penetration %"))</formula>
    </cfRule>
    <cfRule type="expression" rank="0" priority="125" equalAverage="0" aboveAverage="0" dxfId="2" stopIfTrue="1" text="" percent="0" bottom="0">
      <formula>AND(ISNUMBER(D68),COUNTIFS('Data - Monthly Metrics'!$A:$A,$B$4-1,'Data - Monthly Metrics'!$B:$B,D$8,'Data - Monthly Metrics'!$C:$C,"Majors/NRA",'Data - Monthly Metrics'!$D:$D,"Goal - Penetration %")&gt;0,D68&gt;=SUMIFS('Data - Monthly Metrics'!$E:$E,'Data - Monthly Metrics'!$A:$A,$B$4-1,'Data - Monthly Metrics'!$B:$B,D$8,'Data - Monthly Metrics'!$C:$C,"Majors/NRA",'Data - Monthly Metrics'!$D:$D,"Goal - Penetration %")-0.05)</formula>
    </cfRule>
    <cfRule type="expression" rank="0" priority="126" equalAverage="0" aboveAverage="0" dxfId="1" stopIfTrue="1" text="" percent="0" bottom="0">
      <formula>AND(ISNUMBER(D68),COUNTIFS('Data - Monthly Metrics'!$A:$A,$B$4-1,'Data - Monthly Metrics'!$B:$B,D$8,'Data - Monthly Metrics'!$C:$C,"Majors/NRA",'Data - Monthly Metrics'!$D:$D,"Goal - Penetration %")&gt;0)</formula>
    </cfRule>
  </conditionalFormatting>
  <conditionalFormatting sqref="F68">
    <cfRule type="expression" rank="0" priority="127" equalAverage="0" aboveAverage="0" dxfId="0" stopIfTrue="1" text="" percent="0" bottom="0">
      <formula>AND(ISNUMBER(F68),COUNTIFS('Data - Monthly Metrics'!$A:$A,$B$4,'Data - Monthly Metrics'!$B:$B,F$8,'Data - Monthly Metrics'!$C:$C,"Majors/NRA",'Data - Monthly Metrics'!$D:$D,"Goal - Penetration %")&gt;0,F68&gt;=SUMIFS('Data - Monthly Metrics'!$E:$E,'Data - Monthly Metrics'!$A:$A,$B$4,'Data - Monthly Metrics'!$B:$B,F$8,'Data - Monthly Metrics'!$C:$C,"Majors/NRA",'Data - Monthly Metrics'!$D:$D,"Goal - Penetration %"))</formula>
    </cfRule>
    <cfRule type="expression" rank="0" priority="128" equalAverage="0" aboveAverage="0" dxfId="2" stopIfTrue="1" text="" percent="0" bottom="0">
      <formula>AND(ISNUMBER(F68),COUNTIFS('Data - Monthly Metrics'!$A:$A,$B$4,'Data - Monthly Metrics'!$B:$B,F$8,'Data - Monthly Metrics'!$C:$C,"Majors/NRA",'Data - Monthly Metrics'!$D:$D,"Goal - Penetration %")&gt;0,F68&gt;=SUMIFS('Data - Monthly Metrics'!$E:$E,'Data - Monthly Metrics'!$A:$A,$B$4,'Data - Monthly Metrics'!$B:$B,F$8,'Data - Monthly Metrics'!$C:$C,"Majors/NRA",'Data - Monthly Metrics'!$D:$D,"Goal - Penetration %")-0.05)</formula>
    </cfRule>
    <cfRule type="expression" rank="0" priority="129" equalAverage="0" aboveAverage="0" dxfId="1" stopIfTrue="1" text="" percent="0" bottom="0">
      <formula>AND(ISNUMBER(F68),COUNTIFS('Data - Monthly Metrics'!$A:$A,$B$4,'Data - Monthly Metrics'!$B:$B,F$8,'Data - Monthly Metrics'!$C:$C,"Majors/NRA",'Data - Monthly Metrics'!$D:$D,"Goal - Penetration %")&gt;0)</formula>
    </cfRule>
  </conditionalFormatting>
  <conditionalFormatting sqref="G68">
    <cfRule type="expression" rank="0" priority="130" equalAverage="0" aboveAverage="0" dxfId="0" stopIfTrue="1" text="" percent="0" bottom="0">
      <formula>AND(ISNUMBER(G68),COUNTIFS('Data - Monthly Metrics'!$A:$A,$B$4,'Data - Monthly Metrics'!$B:$B,G$8,'Data - Monthly Metrics'!$C:$C,"Majors/NRA",'Data - Monthly Metrics'!$D:$D,"Goal - Penetration %")&gt;0,G68&gt;=SUMIFS('Data - Monthly Metrics'!$E:$E,'Data - Monthly Metrics'!$A:$A,$B$4,'Data - Monthly Metrics'!$B:$B,G$8,'Data - Monthly Metrics'!$C:$C,"Majors/NRA",'Data - Monthly Metrics'!$D:$D,"Goal - Penetration %"))</formula>
    </cfRule>
    <cfRule type="expression" rank="0" priority="131" equalAverage="0" aboveAverage="0" dxfId="2" stopIfTrue="1" text="" percent="0" bottom="0">
      <formula>AND(ISNUMBER(G68),COUNTIFS('Data - Monthly Metrics'!$A:$A,$B$4,'Data - Monthly Metrics'!$B:$B,G$8,'Data - Monthly Metrics'!$C:$C,"Majors/NRA",'Data - Monthly Metrics'!$D:$D,"Goal - Penetration %")&gt;0,G68&gt;=SUMIFS('Data - Monthly Metrics'!$E:$E,'Data - Monthly Metrics'!$A:$A,$B$4,'Data - Monthly Metrics'!$B:$B,G$8,'Data - Monthly Metrics'!$C:$C,"Majors/NRA",'Data - Monthly Metrics'!$D:$D,"Goal - Penetration %")-0.05)</formula>
    </cfRule>
    <cfRule type="expression" rank="0" priority="132" equalAverage="0" aboveAverage="0" dxfId="1" stopIfTrue="1" text="" percent="0" bottom="0">
      <formula>AND(ISNUMBER(G68),COUNTIFS('Data - Monthly Metrics'!$A:$A,$B$4,'Data - Monthly Metrics'!$B:$B,G$8,'Data - Monthly Metrics'!$C:$C,"Majors/NRA",'Data - Monthly Metrics'!$D:$D,"Goal - Penetration %")&gt;0)</formula>
    </cfRule>
  </conditionalFormatting>
  <conditionalFormatting sqref="H68">
    <cfRule type="expression" rank="0" priority="133" equalAverage="0" aboveAverage="0" dxfId="0" stopIfTrue="1" text="" percent="0" bottom="0">
      <formula>AND(ISNUMBER(H68),COUNTIFS('Data - Monthly Metrics'!$A:$A,$B$4,'Data - Monthly Metrics'!$B:$B,H$8,'Data - Monthly Metrics'!$C:$C,"Majors/NRA",'Data - Monthly Metrics'!$D:$D,"Goal - Penetration %")&gt;0,H68&gt;=SUMIFS('Data - Monthly Metrics'!$E:$E,'Data - Monthly Metrics'!$A:$A,$B$4,'Data - Monthly Metrics'!$B:$B,H$8,'Data - Monthly Metrics'!$C:$C,"Majors/NRA",'Data - Monthly Metrics'!$D:$D,"Goal - Penetration %"))</formula>
    </cfRule>
    <cfRule type="expression" rank="0" priority="134" equalAverage="0" aboveAverage="0" dxfId="2" stopIfTrue="1" text="" percent="0" bottom="0">
      <formula>AND(ISNUMBER(H68),COUNTIFS('Data - Monthly Metrics'!$A:$A,$B$4,'Data - Monthly Metrics'!$B:$B,H$8,'Data - Monthly Metrics'!$C:$C,"Majors/NRA",'Data - Monthly Metrics'!$D:$D,"Goal - Penetration %")&gt;0,H68&gt;=SUMIFS('Data - Monthly Metrics'!$E:$E,'Data - Monthly Metrics'!$A:$A,$B$4,'Data - Monthly Metrics'!$B:$B,H$8,'Data - Monthly Metrics'!$C:$C,"Majors/NRA",'Data - Monthly Metrics'!$D:$D,"Goal - Penetration %")-0.05)</formula>
    </cfRule>
    <cfRule type="expression" rank="0" priority="135" equalAverage="0" aboveAverage="0" dxfId="1" stopIfTrue="1" text="" percent="0" bottom="0">
      <formula>AND(ISNUMBER(H68),COUNTIFS('Data - Monthly Metrics'!$A:$A,$B$4,'Data - Monthly Metrics'!$B:$B,H$8,'Data - Monthly Metrics'!$C:$C,"Majors/NRA",'Data - Monthly Metrics'!$D:$D,"Goal - Penetration %")&gt;0)</formula>
    </cfRule>
  </conditionalFormatting>
  <conditionalFormatting sqref="J68">
    <cfRule type="expression" rank="0" priority="136" equalAverage="0" aboveAverage="0" dxfId="0" stopIfTrue="1" text="" percent="0" bottom="0">
      <formula>AND(ISNUMBER(J68),COUNTIFS('Data - Monthly Metrics'!$A:$A,$B$4,'Data - Monthly Metrics'!$B:$B,J$8,'Data - Monthly Metrics'!$C:$C,"Majors/NRA",'Data - Monthly Metrics'!$D:$D,"Goal - Penetration %")&gt;0,J68&gt;=SUMIFS('Data - Monthly Metrics'!$E:$E,'Data - Monthly Metrics'!$A:$A,$B$4,'Data - Monthly Metrics'!$B:$B,J$8,'Data - Monthly Metrics'!$C:$C,"Majors/NRA",'Data - Monthly Metrics'!$D:$D,"Goal - Penetration %"))</formula>
    </cfRule>
    <cfRule type="expression" rank="0" priority="137" equalAverage="0" aboveAverage="0" dxfId="2" stopIfTrue="1" text="" percent="0" bottom="0">
      <formula>AND(ISNUMBER(J68),COUNTIFS('Data - Monthly Metrics'!$A:$A,$B$4,'Data - Monthly Metrics'!$B:$B,J$8,'Data - Monthly Metrics'!$C:$C,"Majors/NRA",'Data - Monthly Metrics'!$D:$D,"Goal - Penetration %")&gt;0,J68&gt;=SUMIFS('Data - Monthly Metrics'!$E:$E,'Data - Monthly Metrics'!$A:$A,$B$4,'Data - Monthly Metrics'!$B:$B,J$8,'Data - Monthly Metrics'!$C:$C,"Majors/NRA",'Data - Monthly Metrics'!$D:$D,"Goal - Penetration %")-0.05)</formula>
    </cfRule>
    <cfRule type="expression" rank="0" priority="138" equalAverage="0" aboveAverage="0" dxfId="1" stopIfTrue="1" text="" percent="0" bottom="0">
      <formula>AND(ISNUMBER(J68),COUNTIFS('Data - Monthly Metrics'!$A:$A,$B$4,'Data - Monthly Metrics'!$B:$B,J$8,'Data - Monthly Metrics'!$C:$C,"Majors/NRA",'Data - Monthly Metrics'!$D:$D,"Goal - Penetration %")&gt;0)</formula>
    </cfRule>
  </conditionalFormatting>
  <conditionalFormatting sqref="K68">
    <cfRule type="expression" rank="0" priority="139" equalAverage="0" aboveAverage="0" dxfId="0" stopIfTrue="1" text="" percent="0" bottom="0">
      <formula>AND(ISNUMBER(K68),COUNTIFS('Data - Monthly Metrics'!$A:$A,$B$4,'Data - Monthly Metrics'!$B:$B,K$8,'Data - Monthly Metrics'!$C:$C,"Majors/NRA",'Data - Monthly Metrics'!$D:$D,"Goal - Penetration %")&gt;0,K68&gt;=SUMIFS('Data - Monthly Metrics'!$E:$E,'Data - Monthly Metrics'!$A:$A,$B$4,'Data - Monthly Metrics'!$B:$B,K$8,'Data - Monthly Metrics'!$C:$C,"Majors/NRA",'Data - Monthly Metrics'!$D:$D,"Goal - Penetration %"))</formula>
    </cfRule>
    <cfRule type="expression" rank="0" priority="140" equalAverage="0" aboveAverage="0" dxfId="2" stopIfTrue="1" text="" percent="0" bottom="0">
      <formula>AND(ISNUMBER(K68),COUNTIFS('Data - Monthly Metrics'!$A:$A,$B$4,'Data - Monthly Metrics'!$B:$B,K$8,'Data - Monthly Metrics'!$C:$C,"Majors/NRA",'Data - Monthly Metrics'!$D:$D,"Goal - Penetration %")&gt;0,K68&gt;=SUMIFS('Data - Monthly Metrics'!$E:$E,'Data - Monthly Metrics'!$A:$A,$B$4,'Data - Monthly Metrics'!$B:$B,K$8,'Data - Monthly Metrics'!$C:$C,"Majors/NRA",'Data - Monthly Metrics'!$D:$D,"Goal - Penetration %")-0.05)</formula>
    </cfRule>
    <cfRule type="expression" rank="0" priority="141" equalAverage="0" aboveAverage="0" dxfId="1" stopIfTrue="1" text="" percent="0" bottom="0">
      <formula>AND(ISNUMBER(K68),COUNTIFS('Data - Monthly Metrics'!$A:$A,$B$4,'Data - Monthly Metrics'!$B:$B,K$8,'Data - Monthly Metrics'!$C:$C,"Majors/NRA",'Data - Monthly Metrics'!$D:$D,"Goal - Penetration %")&gt;0)</formula>
    </cfRule>
  </conditionalFormatting>
  <conditionalFormatting sqref="L68">
    <cfRule type="expression" rank="0" priority="142" equalAverage="0" aboveAverage="0" dxfId="0" stopIfTrue="1" text="" percent="0" bottom="0">
      <formula>AND(ISNUMBER(L68),COUNTIFS('Data - Monthly Metrics'!$A:$A,$B$4,'Data - Monthly Metrics'!$B:$B,L$8,'Data - Monthly Metrics'!$C:$C,"Majors/NRA",'Data - Monthly Metrics'!$D:$D,"Goal - Penetration %")&gt;0,L68&gt;=SUMIFS('Data - Monthly Metrics'!$E:$E,'Data - Monthly Metrics'!$A:$A,$B$4,'Data - Monthly Metrics'!$B:$B,L$8,'Data - Monthly Metrics'!$C:$C,"Majors/NRA",'Data - Monthly Metrics'!$D:$D,"Goal - Penetration %"))</formula>
    </cfRule>
    <cfRule type="expression" rank="0" priority="143" equalAverage="0" aboveAverage="0" dxfId="2" stopIfTrue="1" text="" percent="0" bottom="0">
      <formula>AND(ISNUMBER(L68),COUNTIFS('Data - Monthly Metrics'!$A:$A,$B$4,'Data - Monthly Metrics'!$B:$B,L$8,'Data - Monthly Metrics'!$C:$C,"Majors/NRA",'Data - Monthly Metrics'!$D:$D,"Goal - Penetration %")&gt;0,L68&gt;=SUMIFS('Data - Monthly Metrics'!$E:$E,'Data - Monthly Metrics'!$A:$A,$B$4,'Data - Monthly Metrics'!$B:$B,L$8,'Data - Monthly Metrics'!$C:$C,"Majors/NRA",'Data - Monthly Metrics'!$D:$D,"Goal - Penetration %")-0.05)</formula>
    </cfRule>
    <cfRule type="expression" rank="0" priority="144" equalAverage="0" aboveAverage="0" dxfId="1" stopIfTrue="1" text="" percent="0" bottom="0">
      <formula>AND(ISNUMBER(L68),COUNTIFS('Data - Monthly Metrics'!$A:$A,$B$4,'Data - Monthly Metrics'!$B:$B,L$8,'Data - Monthly Metrics'!$C:$C,"Majors/NRA",'Data - Monthly Metrics'!$D:$D,"Goal - Penetration %")&gt;0)</formula>
    </cfRule>
  </conditionalFormatting>
  <conditionalFormatting sqref="N68">
    <cfRule type="expression" rank="0" priority="145" equalAverage="0" aboveAverage="0" dxfId="0" stopIfTrue="1" text="" percent="0" bottom="0">
      <formula>AND(ISNUMBER(N68),COUNTIFS('Data - Monthly Metrics'!$A:$A,$B$4,'Data - Monthly Metrics'!$B:$B,N$8,'Data - Monthly Metrics'!$C:$C,"Majors/NRA",'Data - Monthly Metrics'!$D:$D,"Goal - Penetration %")&gt;0,N68&gt;=SUMIFS('Data - Monthly Metrics'!$E:$E,'Data - Monthly Metrics'!$A:$A,$B$4,'Data - Monthly Metrics'!$B:$B,N$8,'Data - Monthly Metrics'!$C:$C,"Majors/NRA",'Data - Monthly Metrics'!$D:$D,"Goal - Penetration %"))</formula>
    </cfRule>
    <cfRule type="expression" rank="0" priority="146" equalAverage="0" aboveAverage="0" dxfId="2" stopIfTrue="1" text="" percent="0" bottom="0">
      <formula>AND(ISNUMBER(N68),COUNTIFS('Data - Monthly Metrics'!$A:$A,$B$4,'Data - Monthly Metrics'!$B:$B,N$8,'Data - Monthly Metrics'!$C:$C,"Majors/NRA",'Data - Monthly Metrics'!$D:$D,"Goal - Penetration %")&gt;0,N68&gt;=SUMIFS('Data - Monthly Metrics'!$E:$E,'Data - Monthly Metrics'!$A:$A,$B$4,'Data - Monthly Metrics'!$B:$B,N$8,'Data - Monthly Metrics'!$C:$C,"Majors/NRA",'Data - Monthly Metrics'!$D:$D,"Goal - Penetration %")-0.05)</formula>
    </cfRule>
    <cfRule type="expression" rank="0" priority="147" equalAverage="0" aboveAverage="0" dxfId="1" stopIfTrue="1" text="" percent="0" bottom="0">
      <formula>AND(ISNUMBER(N68),COUNTIFS('Data - Monthly Metrics'!$A:$A,$B$4,'Data - Monthly Metrics'!$B:$B,N$8,'Data - Monthly Metrics'!$C:$C,"Majors/NRA",'Data - Monthly Metrics'!$D:$D,"Goal - Penetration %")&gt;0)</formula>
    </cfRule>
  </conditionalFormatting>
  <conditionalFormatting sqref="O68">
    <cfRule type="expression" rank="0" priority="148" equalAverage="0" aboveAverage="0" dxfId="0" stopIfTrue="1" text="" percent="0" bottom="0">
      <formula>AND(ISNUMBER(O68),COUNTIFS('Data - Monthly Metrics'!$A:$A,$B$4,'Data - Monthly Metrics'!$B:$B,O$8,'Data - Monthly Metrics'!$C:$C,"Majors/NRA",'Data - Monthly Metrics'!$D:$D,"Goal - Penetration %")&gt;0,O68&gt;=SUMIFS('Data - Monthly Metrics'!$E:$E,'Data - Monthly Metrics'!$A:$A,$B$4,'Data - Monthly Metrics'!$B:$B,O$8,'Data - Monthly Metrics'!$C:$C,"Majors/NRA",'Data - Monthly Metrics'!$D:$D,"Goal - Penetration %"))</formula>
    </cfRule>
    <cfRule type="expression" rank="0" priority="149" equalAverage="0" aboveAverage="0" dxfId="2" stopIfTrue="1" text="" percent="0" bottom="0">
      <formula>AND(ISNUMBER(O68),COUNTIFS('Data - Monthly Metrics'!$A:$A,$B$4,'Data - Monthly Metrics'!$B:$B,O$8,'Data - Monthly Metrics'!$C:$C,"Majors/NRA",'Data - Monthly Metrics'!$D:$D,"Goal - Penetration %")&gt;0,O68&gt;=SUMIFS('Data - Monthly Metrics'!$E:$E,'Data - Monthly Metrics'!$A:$A,$B$4,'Data - Monthly Metrics'!$B:$B,O$8,'Data - Monthly Metrics'!$C:$C,"Majors/NRA",'Data - Monthly Metrics'!$D:$D,"Goal - Penetration %")-0.05)</formula>
    </cfRule>
    <cfRule type="expression" rank="0" priority="150" equalAverage="0" aboveAverage="0" dxfId="1" stopIfTrue="1" text="" percent="0" bottom="0">
      <formula>AND(ISNUMBER(O68),COUNTIFS('Data - Monthly Metrics'!$A:$A,$B$4,'Data - Monthly Metrics'!$B:$B,O$8,'Data - Monthly Metrics'!$C:$C,"Majors/NRA",'Data - Monthly Metrics'!$D:$D,"Goal - Penetration %")&gt;0)</formula>
    </cfRule>
  </conditionalFormatting>
  <conditionalFormatting sqref="P68">
    <cfRule type="expression" rank="0" priority="151" equalAverage="0" aboveAverage="0" dxfId="0" stopIfTrue="1" text="" percent="0" bottom="0">
      <formula>AND(ISNUMBER(P68),COUNTIFS('Data - Monthly Metrics'!$A:$A,$B$4,'Data - Monthly Metrics'!$B:$B,P$8,'Data - Monthly Metrics'!$C:$C,"Majors/NRA",'Data - Monthly Metrics'!$D:$D,"Goal - Penetration %")&gt;0,P68&gt;=SUMIFS('Data - Monthly Metrics'!$E:$E,'Data - Monthly Metrics'!$A:$A,$B$4,'Data - Monthly Metrics'!$B:$B,P$8,'Data - Monthly Metrics'!$C:$C,"Majors/NRA",'Data - Monthly Metrics'!$D:$D,"Goal - Penetration %"))</formula>
    </cfRule>
    <cfRule type="expression" rank="0" priority="152" equalAverage="0" aboveAverage="0" dxfId="2" stopIfTrue="1" text="" percent="0" bottom="0">
      <formula>AND(ISNUMBER(P68),COUNTIFS('Data - Monthly Metrics'!$A:$A,$B$4,'Data - Monthly Metrics'!$B:$B,P$8,'Data - Monthly Metrics'!$C:$C,"Majors/NRA",'Data - Monthly Metrics'!$D:$D,"Goal - Penetration %")&gt;0,P68&gt;=SUMIFS('Data - Monthly Metrics'!$E:$E,'Data - Monthly Metrics'!$A:$A,$B$4,'Data - Monthly Metrics'!$B:$B,P$8,'Data - Monthly Metrics'!$C:$C,"Majors/NRA",'Data - Monthly Metrics'!$D:$D,"Goal - Penetration %")-0.05)</formula>
    </cfRule>
    <cfRule type="expression" rank="0" priority="153" equalAverage="0" aboveAverage="0" dxfId="1" stopIfTrue="1" text="" percent="0" bottom="0">
      <formula>AND(ISNUMBER(P68),COUNTIFS('Data - Monthly Metrics'!$A:$A,$B$4,'Data - Monthly Metrics'!$B:$B,P$8,'Data - Monthly Metrics'!$C:$C,"Majors/NRA",'Data - Monthly Metrics'!$D:$D,"Goal - Penetration %")&gt;0)</formula>
    </cfRule>
  </conditionalFormatting>
  <conditionalFormatting sqref="B69">
    <cfRule type="expression" rank="0" priority="154" equalAverage="0" aboveAverage="0" dxfId="0" stopIfTrue="1" text="" percent="0" bottom="0">
      <formula>AND(ISNUMBER(B69),COUNTIFS('Data - Monthly Metrics'!$A:$A,$B$4-1,'Data - Monthly Metrics'!$B:$B,B$8,'Data - Monthly Metrics'!$C:$C,"Majors/NRA",'Data - Monthly Metrics'!$D:$D,"Goal - Penetration %")&gt;0,B69&gt;=SUMIFS('Data - Monthly Metrics'!$E:$E,'Data - Monthly Metrics'!$A:$A,$B$4-1,'Data - Monthly Metrics'!$B:$B,B$8,'Data - Monthly Metrics'!$C:$C,"Majors/NRA",'Data - Monthly Metrics'!$D:$D,"Goal - Penetration %"))</formula>
    </cfRule>
    <cfRule type="expression" rank="0" priority="155" equalAverage="0" aboveAverage="0" dxfId="2" stopIfTrue="1" text="" percent="0" bottom="0">
      <formula>AND(ISNUMBER(B69),COUNTIFS('Data - Monthly Metrics'!$A:$A,$B$4-1,'Data - Monthly Metrics'!$B:$B,B$8,'Data - Monthly Metrics'!$C:$C,"Majors/NRA",'Data - Monthly Metrics'!$D:$D,"Goal - Penetration %")&gt;0,B69&gt;=SUMIFS('Data - Monthly Metrics'!$E:$E,'Data - Monthly Metrics'!$A:$A,$B$4-1,'Data - Monthly Metrics'!$B:$B,B$8,'Data - Monthly Metrics'!$C:$C,"Majors/NRA",'Data - Monthly Metrics'!$D:$D,"Goal - Penetration %")-0.05)</formula>
    </cfRule>
    <cfRule type="expression" rank="0" priority="156" equalAverage="0" aboveAverage="0" dxfId="1" stopIfTrue="1" text="" percent="0" bottom="0">
      <formula>AND(ISNUMBER(B69),COUNTIFS('Data - Monthly Metrics'!$A:$A,$B$4-1,'Data - Monthly Metrics'!$B:$B,B$8,'Data - Monthly Metrics'!$C:$C,"Majors/NRA",'Data - Monthly Metrics'!$D:$D,"Goal - Penetration %")&gt;0)</formula>
    </cfRule>
  </conditionalFormatting>
  <conditionalFormatting sqref="C69">
    <cfRule type="expression" rank="0" priority="157" equalAverage="0" aboveAverage="0" dxfId="0" stopIfTrue="1" text="" percent="0" bottom="0">
      <formula>AND(ISNUMBER(C69),COUNTIFS('Data - Monthly Metrics'!$A:$A,$B$4-1,'Data - Monthly Metrics'!$B:$B,C$8,'Data - Monthly Metrics'!$C:$C,"Majors/NRA",'Data - Monthly Metrics'!$D:$D,"Goal - Penetration %")&gt;0,C69&gt;=SUMIFS('Data - Monthly Metrics'!$E:$E,'Data - Monthly Metrics'!$A:$A,$B$4-1,'Data - Monthly Metrics'!$B:$B,C$8,'Data - Monthly Metrics'!$C:$C,"Majors/NRA",'Data - Monthly Metrics'!$D:$D,"Goal - Penetration %"))</formula>
    </cfRule>
    <cfRule type="expression" rank="0" priority="158" equalAverage="0" aboveAverage="0" dxfId="2" stopIfTrue="1" text="" percent="0" bottom="0">
      <formula>AND(ISNUMBER(C69),COUNTIFS('Data - Monthly Metrics'!$A:$A,$B$4-1,'Data - Monthly Metrics'!$B:$B,C$8,'Data - Monthly Metrics'!$C:$C,"Majors/NRA",'Data - Monthly Metrics'!$D:$D,"Goal - Penetration %")&gt;0,C69&gt;=SUMIFS('Data - Monthly Metrics'!$E:$E,'Data - Monthly Metrics'!$A:$A,$B$4-1,'Data - Monthly Metrics'!$B:$B,C$8,'Data - Monthly Metrics'!$C:$C,"Majors/NRA",'Data - Monthly Metrics'!$D:$D,"Goal - Penetration %")-0.05)</formula>
    </cfRule>
    <cfRule type="expression" rank="0" priority="159" equalAverage="0" aboveAverage="0" dxfId="1" stopIfTrue="1" text="" percent="0" bottom="0">
      <formula>AND(ISNUMBER(C69),COUNTIFS('Data - Monthly Metrics'!$A:$A,$B$4-1,'Data - Monthly Metrics'!$B:$B,C$8,'Data - Monthly Metrics'!$C:$C,"Majors/NRA",'Data - Monthly Metrics'!$D:$D,"Goal - Penetration %")&gt;0)</formula>
    </cfRule>
  </conditionalFormatting>
  <conditionalFormatting sqref="D69">
    <cfRule type="expression" rank="0" priority="160" equalAverage="0" aboveAverage="0" dxfId="0" stopIfTrue="1" text="" percent="0" bottom="0">
      <formula>AND(ISNUMBER(D69),COUNTIFS('Data - Monthly Metrics'!$A:$A,$B$4-1,'Data - Monthly Metrics'!$B:$B,D$8,'Data - Monthly Metrics'!$C:$C,"Majors/NRA",'Data - Monthly Metrics'!$D:$D,"Goal - Penetration %")&gt;0,D69&gt;=SUMIFS('Data - Monthly Metrics'!$E:$E,'Data - Monthly Metrics'!$A:$A,$B$4-1,'Data - Monthly Metrics'!$B:$B,D$8,'Data - Monthly Metrics'!$C:$C,"Majors/NRA",'Data - Monthly Metrics'!$D:$D,"Goal - Penetration %"))</formula>
    </cfRule>
    <cfRule type="expression" rank="0" priority="161" equalAverage="0" aboveAverage="0" dxfId="2" stopIfTrue="1" text="" percent="0" bottom="0">
      <formula>AND(ISNUMBER(D69),COUNTIFS('Data - Monthly Metrics'!$A:$A,$B$4-1,'Data - Monthly Metrics'!$B:$B,D$8,'Data - Monthly Metrics'!$C:$C,"Majors/NRA",'Data - Monthly Metrics'!$D:$D,"Goal - Penetration %")&gt;0,D69&gt;=SUMIFS('Data - Monthly Metrics'!$E:$E,'Data - Monthly Metrics'!$A:$A,$B$4-1,'Data - Monthly Metrics'!$B:$B,D$8,'Data - Monthly Metrics'!$C:$C,"Majors/NRA",'Data - Monthly Metrics'!$D:$D,"Goal - Penetration %")-0.05)</formula>
    </cfRule>
    <cfRule type="expression" rank="0" priority="162" equalAverage="0" aboveAverage="0" dxfId="1" stopIfTrue="1" text="" percent="0" bottom="0">
      <formula>AND(ISNUMBER(D69),COUNTIFS('Data - Monthly Metrics'!$A:$A,$B$4-1,'Data - Monthly Metrics'!$B:$B,D$8,'Data - Monthly Metrics'!$C:$C,"Majors/NRA",'Data - Monthly Metrics'!$D:$D,"Goal - Penetration %")&gt;0)</formula>
    </cfRule>
  </conditionalFormatting>
  <conditionalFormatting sqref="F69">
    <cfRule type="expression" rank="0" priority="163" equalAverage="0" aboveAverage="0" dxfId="0" stopIfTrue="1" text="" percent="0" bottom="0">
      <formula>AND(ISNUMBER(F69),COUNTIFS('Data - Monthly Metrics'!$A:$A,$B$4,'Data - Monthly Metrics'!$B:$B,F$8,'Data - Monthly Metrics'!$C:$C,"Majors/NRA",'Data - Monthly Metrics'!$D:$D,"Goal - Penetration %")&gt;0,F69&gt;=SUMIFS('Data - Monthly Metrics'!$E:$E,'Data - Monthly Metrics'!$A:$A,$B$4,'Data - Monthly Metrics'!$B:$B,F$8,'Data - Monthly Metrics'!$C:$C,"Majors/NRA",'Data - Monthly Metrics'!$D:$D,"Goal - Penetration %"))</formula>
    </cfRule>
    <cfRule type="expression" rank="0" priority="164" equalAverage="0" aboveAverage="0" dxfId="2" stopIfTrue="1" text="" percent="0" bottom="0">
      <formula>AND(ISNUMBER(F69),COUNTIFS('Data - Monthly Metrics'!$A:$A,$B$4,'Data - Monthly Metrics'!$B:$B,F$8,'Data - Monthly Metrics'!$C:$C,"Majors/NRA",'Data - Monthly Metrics'!$D:$D,"Goal - Penetration %")&gt;0,F69&gt;=SUMIFS('Data - Monthly Metrics'!$E:$E,'Data - Monthly Metrics'!$A:$A,$B$4,'Data - Monthly Metrics'!$B:$B,F$8,'Data - Monthly Metrics'!$C:$C,"Majors/NRA",'Data - Monthly Metrics'!$D:$D,"Goal - Penetration %")-0.05)</formula>
    </cfRule>
    <cfRule type="expression" rank="0" priority="165" equalAverage="0" aboveAverage="0" dxfId="1" stopIfTrue="1" text="" percent="0" bottom="0">
      <formula>AND(ISNUMBER(F69),COUNTIFS('Data - Monthly Metrics'!$A:$A,$B$4,'Data - Monthly Metrics'!$B:$B,F$8,'Data - Monthly Metrics'!$C:$C,"Majors/NRA",'Data - Monthly Metrics'!$D:$D,"Goal - Penetration %")&gt;0)</formula>
    </cfRule>
  </conditionalFormatting>
  <conditionalFormatting sqref="G69">
    <cfRule type="expression" rank="0" priority="166" equalAverage="0" aboveAverage="0" dxfId="0" stopIfTrue="1" text="" percent="0" bottom="0">
      <formula>AND(ISNUMBER(G69),COUNTIFS('Data - Monthly Metrics'!$A:$A,$B$4,'Data - Monthly Metrics'!$B:$B,G$8,'Data - Monthly Metrics'!$C:$C,"Majors/NRA",'Data - Monthly Metrics'!$D:$D,"Goal - Penetration %")&gt;0,G69&gt;=SUMIFS('Data - Monthly Metrics'!$E:$E,'Data - Monthly Metrics'!$A:$A,$B$4,'Data - Monthly Metrics'!$B:$B,G$8,'Data - Monthly Metrics'!$C:$C,"Majors/NRA",'Data - Monthly Metrics'!$D:$D,"Goal - Penetration %"))</formula>
    </cfRule>
    <cfRule type="expression" rank="0" priority="167" equalAverage="0" aboveAverage="0" dxfId="2" stopIfTrue="1" text="" percent="0" bottom="0">
      <formula>AND(ISNUMBER(G69),COUNTIFS('Data - Monthly Metrics'!$A:$A,$B$4,'Data - Monthly Metrics'!$B:$B,G$8,'Data - Monthly Metrics'!$C:$C,"Majors/NRA",'Data - Monthly Metrics'!$D:$D,"Goal - Penetration %")&gt;0,G69&gt;=SUMIFS('Data - Monthly Metrics'!$E:$E,'Data - Monthly Metrics'!$A:$A,$B$4,'Data - Monthly Metrics'!$B:$B,G$8,'Data - Monthly Metrics'!$C:$C,"Majors/NRA",'Data - Monthly Metrics'!$D:$D,"Goal - Penetration %")-0.05)</formula>
    </cfRule>
    <cfRule type="expression" rank="0" priority="168" equalAverage="0" aboveAverage="0" dxfId="1" stopIfTrue="1" text="" percent="0" bottom="0">
      <formula>AND(ISNUMBER(G69),COUNTIFS('Data - Monthly Metrics'!$A:$A,$B$4,'Data - Monthly Metrics'!$B:$B,G$8,'Data - Monthly Metrics'!$C:$C,"Majors/NRA",'Data - Monthly Metrics'!$D:$D,"Goal - Penetration %")&gt;0)</formula>
    </cfRule>
  </conditionalFormatting>
  <conditionalFormatting sqref="H69">
    <cfRule type="expression" rank="0" priority="169" equalAverage="0" aboveAverage="0" dxfId="0" stopIfTrue="1" text="" percent="0" bottom="0">
      <formula>AND(ISNUMBER(H69),COUNTIFS('Data - Monthly Metrics'!$A:$A,$B$4,'Data - Monthly Metrics'!$B:$B,H$8,'Data - Monthly Metrics'!$C:$C,"Majors/NRA",'Data - Monthly Metrics'!$D:$D,"Goal - Penetration %")&gt;0,H69&gt;=SUMIFS('Data - Monthly Metrics'!$E:$E,'Data - Monthly Metrics'!$A:$A,$B$4,'Data - Monthly Metrics'!$B:$B,H$8,'Data - Monthly Metrics'!$C:$C,"Majors/NRA",'Data - Monthly Metrics'!$D:$D,"Goal - Penetration %"))</formula>
    </cfRule>
    <cfRule type="expression" rank="0" priority="170" equalAverage="0" aboveAverage="0" dxfId="2" stopIfTrue="1" text="" percent="0" bottom="0">
      <formula>AND(ISNUMBER(H69),COUNTIFS('Data - Monthly Metrics'!$A:$A,$B$4,'Data - Monthly Metrics'!$B:$B,H$8,'Data - Monthly Metrics'!$C:$C,"Majors/NRA",'Data - Monthly Metrics'!$D:$D,"Goal - Penetration %")&gt;0,H69&gt;=SUMIFS('Data - Monthly Metrics'!$E:$E,'Data - Monthly Metrics'!$A:$A,$B$4,'Data - Monthly Metrics'!$B:$B,H$8,'Data - Monthly Metrics'!$C:$C,"Majors/NRA",'Data - Monthly Metrics'!$D:$D,"Goal - Penetration %")-0.05)</formula>
    </cfRule>
    <cfRule type="expression" rank="0" priority="171" equalAverage="0" aboveAverage="0" dxfId="1" stopIfTrue="1" text="" percent="0" bottom="0">
      <formula>AND(ISNUMBER(H69),COUNTIFS('Data - Monthly Metrics'!$A:$A,$B$4,'Data - Monthly Metrics'!$B:$B,H$8,'Data - Monthly Metrics'!$C:$C,"Majors/NRA",'Data - Monthly Metrics'!$D:$D,"Goal - Penetration %")&gt;0)</formula>
    </cfRule>
  </conditionalFormatting>
  <conditionalFormatting sqref="J69">
    <cfRule type="expression" rank="0" priority="172" equalAverage="0" aboveAverage="0" dxfId="0" stopIfTrue="1" text="" percent="0" bottom="0">
      <formula>AND(ISNUMBER(J69),COUNTIFS('Data - Monthly Metrics'!$A:$A,$B$4,'Data - Monthly Metrics'!$B:$B,J$8,'Data - Monthly Metrics'!$C:$C,"Majors/NRA",'Data - Monthly Metrics'!$D:$D,"Goal - Penetration %")&gt;0,J69&gt;=SUMIFS('Data - Monthly Metrics'!$E:$E,'Data - Monthly Metrics'!$A:$A,$B$4,'Data - Monthly Metrics'!$B:$B,J$8,'Data - Monthly Metrics'!$C:$C,"Majors/NRA",'Data - Monthly Metrics'!$D:$D,"Goal - Penetration %"))</formula>
    </cfRule>
    <cfRule type="expression" rank="0" priority="173" equalAverage="0" aboveAverage="0" dxfId="2" stopIfTrue="1" text="" percent="0" bottom="0">
      <formula>AND(ISNUMBER(J69),COUNTIFS('Data - Monthly Metrics'!$A:$A,$B$4,'Data - Monthly Metrics'!$B:$B,J$8,'Data - Monthly Metrics'!$C:$C,"Majors/NRA",'Data - Monthly Metrics'!$D:$D,"Goal - Penetration %")&gt;0,J69&gt;=SUMIFS('Data - Monthly Metrics'!$E:$E,'Data - Monthly Metrics'!$A:$A,$B$4,'Data - Monthly Metrics'!$B:$B,J$8,'Data - Monthly Metrics'!$C:$C,"Majors/NRA",'Data - Monthly Metrics'!$D:$D,"Goal - Penetration %")-0.05)</formula>
    </cfRule>
    <cfRule type="expression" rank="0" priority="174" equalAverage="0" aboveAverage="0" dxfId="1" stopIfTrue="1" text="" percent="0" bottom="0">
      <formula>AND(ISNUMBER(J69),COUNTIFS('Data - Monthly Metrics'!$A:$A,$B$4,'Data - Monthly Metrics'!$B:$B,J$8,'Data - Monthly Metrics'!$C:$C,"Majors/NRA",'Data - Monthly Metrics'!$D:$D,"Goal - Penetration %")&gt;0)</formula>
    </cfRule>
  </conditionalFormatting>
  <conditionalFormatting sqref="K69">
    <cfRule type="expression" rank="0" priority="175" equalAverage="0" aboveAverage="0" dxfId="0" stopIfTrue="1" text="" percent="0" bottom="0">
      <formula>AND(ISNUMBER(K69),COUNTIFS('Data - Monthly Metrics'!$A:$A,$B$4,'Data - Monthly Metrics'!$B:$B,K$8,'Data - Monthly Metrics'!$C:$C,"Majors/NRA",'Data - Monthly Metrics'!$D:$D,"Goal - Penetration %")&gt;0,K69&gt;=SUMIFS('Data - Monthly Metrics'!$E:$E,'Data - Monthly Metrics'!$A:$A,$B$4,'Data - Monthly Metrics'!$B:$B,K$8,'Data - Monthly Metrics'!$C:$C,"Majors/NRA",'Data - Monthly Metrics'!$D:$D,"Goal - Penetration %"))</formula>
    </cfRule>
    <cfRule type="expression" rank="0" priority="176" equalAverage="0" aboveAverage="0" dxfId="2" stopIfTrue="1" text="" percent="0" bottom="0">
      <formula>AND(ISNUMBER(K69),COUNTIFS('Data - Monthly Metrics'!$A:$A,$B$4,'Data - Monthly Metrics'!$B:$B,K$8,'Data - Monthly Metrics'!$C:$C,"Majors/NRA",'Data - Monthly Metrics'!$D:$D,"Goal - Penetration %")&gt;0,K69&gt;=SUMIFS('Data - Monthly Metrics'!$E:$E,'Data - Monthly Metrics'!$A:$A,$B$4,'Data - Monthly Metrics'!$B:$B,K$8,'Data - Monthly Metrics'!$C:$C,"Majors/NRA",'Data - Monthly Metrics'!$D:$D,"Goal - Penetration %")-0.05)</formula>
    </cfRule>
    <cfRule type="expression" rank="0" priority="177" equalAverage="0" aboveAverage="0" dxfId="1" stopIfTrue="1" text="" percent="0" bottom="0">
      <formula>AND(ISNUMBER(K69),COUNTIFS('Data - Monthly Metrics'!$A:$A,$B$4,'Data - Monthly Metrics'!$B:$B,K$8,'Data - Monthly Metrics'!$C:$C,"Majors/NRA",'Data - Monthly Metrics'!$D:$D,"Goal - Penetration %")&gt;0)</formula>
    </cfRule>
  </conditionalFormatting>
  <conditionalFormatting sqref="L69">
    <cfRule type="expression" rank="0" priority="178" equalAverage="0" aboveAverage="0" dxfId="0" stopIfTrue="1" text="" percent="0" bottom="0">
      <formula>AND(ISNUMBER(L69),COUNTIFS('Data - Monthly Metrics'!$A:$A,$B$4,'Data - Monthly Metrics'!$B:$B,L$8,'Data - Monthly Metrics'!$C:$C,"Majors/NRA",'Data - Monthly Metrics'!$D:$D,"Goal - Penetration %")&gt;0,L69&gt;=SUMIFS('Data - Monthly Metrics'!$E:$E,'Data - Monthly Metrics'!$A:$A,$B$4,'Data - Monthly Metrics'!$B:$B,L$8,'Data - Monthly Metrics'!$C:$C,"Majors/NRA",'Data - Monthly Metrics'!$D:$D,"Goal - Penetration %"))</formula>
    </cfRule>
    <cfRule type="expression" rank="0" priority="179" equalAverage="0" aboveAverage="0" dxfId="2" stopIfTrue="1" text="" percent="0" bottom="0">
      <formula>AND(ISNUMBER(L69),COUNTIFS('Data - Monthly Metrics'!$A:$A,$B$4,'Data - Monthly Metrics'!$B:$B,L$8,'Data - Monthly Metrics'!$C:$C,"Majors/NRA",'Data - Monthly Metrics'!$D:$D,"Goal - Penetration %")&gt;0,L69&gt;=SUMIFS('Data - Monthly Metrics'!$E:$E,'Data - Monthly Metrics'!$A:$A,$B$4,'Data - Monthly Metrics'!$B:$B,L$8,'Data - Monthly Metrics'!$C:$C,"Majors/NRA",'Data - Monthly Metrics'!$D:$D,"Goal - Penetration %")-0.05)</formula>
    </cfRule>
    <cfRule type="expression" rank="0" priority="180" equalAverage="0" aboveAverage="0" dxfId="1" stopIfTrue="1" text="" percent="0" bottom="0">
      <formula>AND(ISNUMBER(L69),COUNTIFS('Data - Monthly Metrics'!$A:$A,$B$4,'Data - Monthly Metrics'!$B:$B,L$8,'Data - Monthly Metrics'!$C:$C,"Majors/NRA",'Data - Monthly Metrics'!$D:$D,"Goal - Penetration %")&gt;0)</formula>
    </cfRule>
  </conditionalFormatting>
  <conditionalFormatting sqref="N69">
    <cfRule type="expression" rank="0" priority="181" equalAverage="0" aboveAverage="0" dxfId="0" stopIfTrue="1" text="" percent="0" bottom="0">
      <formula>AND(ISNUMBER(N69),COUNTIFS('Data - Monthly Metrics'!$A:$A,$B$4,'Data - Monthly Metrics'!$B:$B,N$8,'Data - Monthly Metrics'!$C:$C,"Majors/NRA",'Data - Monthly Metrics'!$D:$D,"Goal - Penetration %")&gt;0,N69&gt;=SUMIFS('Data - Monthly Metrics'!$E:$E,'Data - Monthly Metrics'!$A:$A,$B$4,'Data - Monthly Metrics'!$B:$B,N$8,'Data - Monthly Metrics'!$C:$C,"Majors/NRA",'Data - Monthly Metrics'!$D:$D,"Goal - Penetration %"))</formula>
    </cfRule>
    <cfRule type="expression" rank="0" priority="182" equalAverage="0" aboveAverage="0" dxfId="2" stopIfTrue="1" text="" percent="0" bottom="0">
      <formula>AND(ISNUMBER(N69),COUNTIFS('Data - Monthly Metrics'!$A:$A,$B$4,'Data - Monthly Metrics'!$B:$B,N$8,'Data - Monthly Metrics'!$C:$C,"Majors/NRA",'Data - Monthly Metrics'!$D:$D,"Goal - Penetration %")&gt;0,N69&gt;=SUMIFS('Data - Monthly Metrics'!$E:$E,'Data - Monthly Metrics'!$A:$A,$B$4,'Data - Monthly Metrics'!$B:$B,N$8,'Data - Monthly Metrics'!$C:$C,"Majors/NRA",'Data - Monthly Metrics'!$D:$D,"Goal - Penetration %")-0.05)</formula>
    </cfRule>
    <cfRule type="expression" rank="0" priority="183" equalAverage="0" aboveAverage="0" dxfId="1" stopIfTrue="1" text="" percent="0" bottom="0">
      <formula>AND(ISNUMBER(N69),COUNTIFS('Data - Monthly Metrics'!$A:$A,$B$4,'Data - Monthly Metrics'!$B:$B,N$8,'Data - Monthly Metrics'!$C:$C,"Majors/NRA",'Data - Monthly Metrics'!$D:$D,"Goal - Penetration %")&gt;0)</formula>
    </cfRule>
  </conditionalFormatting>
  <conditionalFormatting sqref="O69">
    <cfRule type="expression" rank="0" priority="184" equalAverage="0" aboveAverage="0" dxfId="0" stopIfTrue="1" text="" percent="0" bottom="0">
      <formula>AND(ISNUMBER(O69),COUNTIFS('Data - Monthly Metrics'!$A:$A,$B$4,'Data - Monthly Metrics'!$B:$B,O$8,'Data - Monthly Metrics'!$C:$C,"Majors/NRA",'Data - Monthly Metrics'!$D:$D,"Goal - Penetration %")&gt;0,O69&gt;=SUMIFS('Data - Monthly Metrics'!$E:$E,'Data - Monthly Metrics'!$A:$A,$B$4,'Data - Monthly Metrics'!$B:$B,O$8,'Data - Monthly Metrics'!$C:$C,"Majors/NRA",'Data - Monthly Metrics'!$D:$D,"Goal - Penetration %"))</formula>
    </cfRule>
    <cfRule type="expression" rank="0" priority="185" equalAverage="0" aboveAverage="0" dxfId="2" stopIfTrue="1" text="" percent="0" bottom="0">
      <formula>AND(ISNUMBER(O69),COUNTIFS('Data - Monthly Metrics'!$A:$A,$B$4,'Data - Monthly Metrics'!$B:$B,O$8,'Data - Monthly Metrics'!$C:$C,"Majors/NRA",'Data - Monthly Metrics'!$D:$D,"Goal - Penetration %")&gt;0,O69&gt;=SUMIFS('Data - Monthly Metrics'!$E:$E,'Data - Monthly Metrics'!$A:$A,$B$4,'Data - Monthly Metrics'!$B:$B,O$8,'Data - Monthly Metrics'!$C:$C,"Majors/NRA",'Data - Monthly Metrics'!$D:$D,"Goal - Penetration %")-0.05)</formula>
    </cfRule>
    <cfRule type="expression" rank="0" priority="186" equalAverage="0" aboveAverage="0" dxfId="1" stopIfTrue="1" text="" percent="0" bottom="0">
      <formula>AND(ISNUMBER(O69),COUNTIFS('Data - Monthly Metrics'!$A:$A,$B$4,'Data - Monthly Metrics'!$B:$B,O$8,'Data - Monthly Metrics'!$C:$C,"Majors/NRA",'Data - Monthly Metrics'!$D:$D,"Goal - Penetration %")&gt;0)</formula>
    </cfRule>
  </conditionalFormatting>
  <conditionalFormatting sqref="P69">
    <cfRule type="expression" rank="0" priority="187" equalAverage="0" aboveAverage="0" dxfId="0" stopIfTrue="1" text="" percent="0" bottom="0">
      <formula>AND(ISNUMBER(P69),COUNTIFS('Data - Monthly Metrics'!$A:$A,$B$4,'Data - Monthly Metrics'!$B:$B,P$8,'Data - Monthly Metrics'!$C:$C,"Majors/NRA",'Data - Monthly Metrics'!$D:$D,"Goal - Penetration %")&gt;0,P69&gt;=SUMIFS('Data - Monthly Metrics'!$E:$E,'Data - Monthly Metrics'!$A:$A,$B$4,'Data - Monthly Metrics'!$B:$B,P$8,'Data - Monthly Metrics'!$C:$C,"Majors/NRA",'Data - Monthly Metrics'!$D:$D,"Goal - Penetration %"))</formula>
    </cfRule>
    <cfRule type="expression" rank="0" priority="188" equalAverage="0" aboveAverage="0" dxfId="2" stopIfTrue="1" text="" percent="0" bottom="0">
      <formula>AND(ISNUMBER(P69),COUNTIFS('Data - Monthly Metrics'!$A:$A,$B$4,'Data - Monthly Metrics'!$B:$B,P$8,'Data - Monthly Metrics'!$C:$C,"Majors/NRA",'Data - Monthly Metrics'!$D:$D,"Goal - Penetration %")&gt;0,P69&gt;=SUMIFS('Data - Monthly Metrics'!$E:$E,'Data - Monthly Metrics'!$A:$A,$B$4,'Data - Monthly Metrics'!$B:$B,P$8,'Data - Monthly Metrics'!$C:$C,"Majors/NRA",'Data - Monthly Metrics'!$D:$D,"Goal - Penetration %")-0.05)</formula>
    </cfRule>
    <cfRule type="expression" rank="0" priority="189" equalAverage="0" aboveAverage="0" dxfId="1" stopIfTrue="1" text="" percent="0" bottom="0">
      <formula>AND(ISNUMBER(P69),COUNTIFS('Data - Monthly Metrics'!$A:$A,$B$4,'Data - Monthly Metrics'!$B:$B,P$8,'Data - Monthly Metrics'!$C:$C,"Majors/NRA",'Data - Monthly Metrics'!$D:$D,"Goal - Penetration %")&gt;0)</formula>
    </cfRule>
  </conditionalFormatting>
  <conditionalFormatting sqref="B70">
    <cfRule type="expression" rank="0" priority="190" equalAverage="0" aboveAverage="0" dxfId="0" stopIfTrue="1" text="" percent="0" bottom="0">
      <formula>AND(ISNUMBER(B70),COUNTIFS('Data - Monthly Metrics'!$A:$A,$B$4-1,'Data - Monthly Metrics'!$B:$B,B$8,'Data - Monthly Metrics'!$C:$C,"Majors/NRA",'Data - Monthly Metrics'!$D:$D,"Goal - Penetration %")&gt;0,B70&gt;=SUMIFS('Data - Monthly Metrics'!$E:$E,'Data - Monthly Metrics'!$A:$A,$B$4-1,'Data - Monthly Metrics'!$B:$B,B$8,'Data - Monthly Metrics'!$C:$C,"Majors/NRA",'Data - Monthly Metrics'!$D:$D,"Goal - Penetration %"))</formula>
    </cfRule>
    <cfRule type="expression" rank="0" priority="191" equalAverage="0" aboveAverage="0" dxfId="2" stopIfTrue="1" text="" percent="0" bottom="0">
      <formula>AND(ISNUMBER(B70),COUNTIFS('Data - Monthly Metrics'!$A:$A,$B$4-1,'Data - Monthly Metrics'!$B:$B,B$8,'Data - Monthly Metrics'!$C:$C,"Majors/NRA",'Data - Monthly Metrics'!$D:$D,"Goal - Penetration %")&gt;0,B70&gt;=SUMIFS('Data - Monthly Metrics'!$E:$E,'Data - Monthly Metrics'!$A:$A,$B$4-1,'Data - Monthly Metrics'!$B:$B,B$8,'Data - Monthly Metrics'!$C:$C,"Majors/NRA",'Data - Monthly Metrics'!$D:$D,"Goal - Penetration %")-0.05)</formula>
    </cfRule>
    <cfRule type="expression" rank="0" priority="192" equalAverage="0" aboveAverage="0" dxfId="1" stopIfTrue="1" text="" percent="0" bottom="0">
      <formula>AND(ISNUMBER(B70),COUNTIFS('Data - Monthly Metrics'!$A:$A,$B$4-1,'Data - Monthly Metrics'!$B:$B,B$8,'Data - Monthly Metrics'!$C:$C,"Majors/NRA",'Data - Monthly Metrics'!$D:$D,"Goal - Penetration %")&gt;0)</formula>
    </cfRule>
  </conditionalFormatting>
  <conditionalFormatting sqref="C70">
    <cfRule type="expression" rank="0" priority="193" equalAverage="0" aboveAverage="0" dxfId="0" stopIfTrue="1" text="" percent="0" bottom="0">
      <formula>AND(ISNUMBER(C70),COUNTIFS('Data - Monthly Metrics'!$A:$A,$B$4-1,'Data - Monthly Metrics'!$B:$B,C$8,'Data - Monthly Metrics'!$C:$C,"Majors/NRA",'Data - Monthly Metrics'!$D:$D,"Goal - Penetration %")&gt;0,C70&gt;=SUMIFS('Data - Monthly Metrics'!$E:$E,'Data - Monthly Metrics'!$A:$A,$B$4-1,'Data - Monthly Metrics'!$B:$B,C$8,'Data - Monthly Metrics'!$C:$C,"Majors/NRA",'Data - Monthly Metrics'!$D:$D,"Goal - Penetration %"))</formula>
    </cfRule>
    <cfRule type="expression" rank="0" priority="194" equalAverage="0" aboveAverage="0" dxfId="2" stopIfTrue="1" text="" percent="0" bottom="0">
      <formula>AND(ISNUMBER(C70),COUNTIFS('Data - Monthly Metrics'!$A:$A,$B$4-1,'Data - Monthly Metrics'!$B:$B,C$8,'Data - Monthly Metrics'!$C:$C,"Majors/NRA",'Data - Monthly Metrics'!$D:$D,"Goal - Penetration %")&gt;0,C70&gt;=SUMIFS('Data - Monthly Metrics'!$E:$E,'Data - Monthly Metrics'!$A:$A,$B$4-1,'Data - Monthly Metrics'!$B:$B,C$8,'Data - Monthly Metrics'!$C:$C,"Majors/NRA",'Data - Monthly Metrics'!$D:$D,"Goal - Penetration %")-0.05)</formula>
    </cfRule>
    <cfRule type="expression" rank="0" priority="195" equalAverage="0" aboveAverage="0" dxfId="1" stopIfTrue="1" text="" percent="0" bottom="0">
      <formula>AND(ISNUMBER(C70),COUNTIFS('Data - Monthly Metrics'!$A:$A,$B$4-1,'Data - Monthly Metrics'!$B:$B,C$8,'Data - Monthly Metrics'!$C:$C,"Majors/NRA",'Data - Monthly Metrics'!$D:$D,"Goal - Penetration %")&gt;0)</formula>
    </cfRule>
  </conditionalFormatting>
  <conditionalFormatting sqref="D70">
    <cfRule type="expression" rank="0" priority="196" equalAverage="0" aboveAverage="0" dxfId="0" stopIfTrue="1" text="" percent="0" bottom="0">
      <formula>AND(ISNUMBER(D70),COUNTIFS('Data - Monthly Metrics'!$A:$A,$B$4-1,'Data - Monthly Metrics'!$B:$B,D$8,'Data - Monthly Metrics'!$C:$C,"Majors/NRA",'Data - Monthly Metrics'!$D:$D,"Goal - Penetration %")&gt;0,D70&gt;=SUMIFS('Data - Monthly Metrics'!$E:$E,'Data - Monthly Metrics'!$A:$A,$B$4-1,'Data - Monthly Metrics'!$B:$B,D$8,'Data - Monthly Metrics'!$C:$C,"Majors/NRA",'Data - Monthly Metrics'!$D:$D,"Goal - Penetration %"))</formula>
    </cfRule>
    <cfRule type="expression" rank="0" priority="197" equalAverage="0" aboveAverage="0" dxfId="2" stopIfTrue="1" text="" percent="0" bottom="0">
      <formula>AND(ISNUMBER(D70),COUNTIFS('Data - Monthly Metrics'!$A:$A,$B$4-1,'Data - Monthly Metrics'!$B:$B,D$8,'Data - Monthly Metrics'!$C:$C,"Majors/NRA",'Data - Monthly Metrics'!$D:$D,"Goal - Penetration %")&gt;0,D70&gt;=SUMIFS('Data - Monthly Metrics'!$E:$E,'Data - Monthly Metrics'!$A:$A,$B$4-1,'Data - Monthly Metrics'!$B:$B,D$8,'Data - Monthly Metrics'!$C:$C,"Majors/NRA",'Data - Monthly Metrics'!$D:$D,"Goal - Penetration %")-0.05)</formula>
    </cfRule>
    <cfRule type="expression" rank="0" priority="198" equalAverage="0" aboveAverage="0" dxfId="1" stopIfTrue="1" text="" percent="0" bottom="0">
      <formula>AND(ISNUMBER(D70),COUNTIFS('Data - Monthly Metrics'!$A:$A,$B$4-1,'Data - Monthly Metrics'!$B:$B,D$8,'Data - Monthly Metrics'!$C:$C,"Majors/NRA",'Data - Monthly Metrics'!$D:$D,"Goal - Penetration %")&gt;0)</formula>
    </cfRule>
  </conditionalFormatting>
  <conditionalFormatting sqref="F70">
    <cfRule type="expression" rank="0" priority="199" equalAverage="0" aboveAverage="0" dxfId="0" stopIfTrue="1" text="" percent="0" bottom="0">
      <formula>AND(ISNUMBER(F70),COUNTIFS('Data - Monthly Metrics'!$A:$A,$B$4,'Data - Monthly Metrics'!$B:$B,F$8,'Data - Monthly Metrics'!$C:$C,"Majors/NRA",'Data - Monthly Metrics'!$D:$D,"Goal - Penetration %")&gt;0,F70&gt;=SUMIFS('Data - Monthly Metrics'!$E:$E,'Data - Monthly Metrics'!$A:$A,$B$4,'Data - Monthly Metrics'!$B:$B,F$8,'Data - Monthly Metrics'!$C:$C,"Majors/NRA",'Data - Monthly Metrics'!$D:$D,"Goal - Penetration %"))</formula>
    </cfRule>
    <cfRule type="expression" rank="0" priority="200" equalAverage="0" aboveAverage="0" dxfId="2" stopIfTrue="1" text="" percent="0" bottom="0">
      <formula>AND(ISNUMBER(F70),COUNTIFS('Data - Monthly Metrics'!$A:$A,$B$4,'Data - Monthly Metrics'!$B:$B,F$8,'Data - Monthly Metrics'!$C:$C,"Majors/NRA",'Data - Monthly Metrics'!$D:$D,"Goal - Penetration %")&gt;0,F70&gt;=SUMIFS('Data - Monthly Metrics'!$E:$E,'Data - Monthly Metrics'!$A:$A,$B$4,'Data - Monthly Metrics'!$B:$B,F$8,'Data - Monthly Metrics'!$C:$C,"Majors/NRA",'Data - Monthly Metrics'!$D:$D,"Goal - Penetration %")-0.05)</formula>
    </cfRule>
    <cfRule type="expression" rank="0" priority="201" equalAverage="0" aboveAverage="0" dxfId="1" stopIfTrue="1" text="" percent="0" bottom="0">
      <formula>AND(ISNUMBER(F70),COUNTIFS('Data - Monthly Metrics'!$A:$A,$B$4,'Data - Monthly Metrics'!$B:$B,F$8,'Data - Monthly Metrics'!$C:$C,"Majors/NRA",'Data - Monthly Metrics'!$D:$D,"Goal - Penetration %")&gt;0)</formula>
    </cfRule>
  </conditionalFormatting>
  <conditionalFormatting sqref="G70">
    <cfRule type="expression" rank="0" priority="202" equalAverage="0" aboveAverage="0" dxfId="0" stopIfTrue="1" text="" percent="0" bottom="0">
      <formula>AND(ISNUMBER(G70),COUNTIFS('Data - Monthly Metrics'!$A:$A,$B$4,'Data - Monthly Metrics'!$B:$B,G$8,'Data - Monthly Metrics'!$C:$C,"Majors/NRA",'Data - Monthly Metrics'!$D:$D,"Goal - Penetration %")&gt;0,G70&gt;=SUMIFS('Data - Monthly Metrics'!$E:$E,'Data - Monthly Metrics'!$A:$A,$B$4,'Data - Monthly Metrics'!$B:$B,G$8,'Data - Monthly Metrics'!$C:$C,"Majors/NRA",'Data - Monthly Metrics'!$D:$D,"Goal - Penetration %"))</formula>
    </cfRule>
    <cfRule type="expression" rank="0" priority="203" equalAverage="0" aboveAverage="0" dxfId="2" stopIfTrue="1" text="" percent="0" bottom="0">
      <formula>AND(ISNUMBER(G70),COUNTIFS('Data - Monthly Metrics'!$A:$A,$B$4,'Data - Monthly Metrics'!$B:$B,G$8,'Data - Monthly Metrics'!$C:$C,"Majors/NRA",'Data - Monthly Metrics'!$D:$D,"Goal - Penetration %")&gt;0,G70&gt;=SUMIFS('Data - Monthly Metrics'!$E:$E,'Data - Monthly Metrics'!$A:$A,$B$4,'Data - Monthly Metrics'!$B:$B,G$8,'Data - Monthly Metrics'!$C:$C,"Majors/NRA",'Data - Monthly Metrics'!$D:$D,"Goal - Penetration %")-0.05)</formula>
    </cfRule>
    <cfRule type="expression" rank="0" priority="204" equalAverage="0" aboveAverage="0" dxfId="1" stopIfTrue="1" text="" percent="0" bottom="0">
      <formula>AND(ISNUMBER(G70),COUNTIFS('Data - Monthly Metrics'!$A:$A,$B$4,'Data - Monthly Metrics'!$B:$B,G$8,'Data - Monthly Metrics'!$C:$C,"Majors/NRA",'Data - Monthly Metrics'!$D:$D,"Goal - Penetration %")&gt;0)</formula>
    </cfRule>
  </conditionalFormatting>
  <conditionalFormatting sqref="H70">
    <cfRule type="expression" rank="0" priority="205" equalAverage="0" aboveAverage="0" dxfId="0" stopIfTrue="1" text="" percent="0" bottom="0">
      <formula>AND(ISNUMBER(H70),COUNTIFS('Data - Monthly Metrics'!$A:$A,$B$4,'Data - Monthly Metrics'!$B:$B,H$8,'Data - Monthly Metrics'!$C:$C,"Majors/NRA",'Data - Monthly Metrics'!$D:$D,"Goal - Penetration %")&gt;0,H70&gt;=SUMIFS('Data - Monthly Metrics'!$E:$E,'Data - Monthly Metrics'!$A:$A,$B$4,'Data - Monthly Metrics'!$B:$B,H$8,'Data - Monthly Metrics'!$C:$C,"Majors/NRA",'Data - Monthly Metrics'!$D:$D,"Goal - Penetration %"))</formula>
    </cfRule>
    <cfRule type="expression" rank="0" priority="206" equalAverage="0" aboveAverage="0" dxfId="2" stopIfTrue="1" text="" percent="0" bottom="0">
      <formula>AND(ISNUMBER(H70),COUNTIFS('Data - Monthly Metrics'!$A:$A,$B$4,'Data - Monthly Metrics'!$B:$B,H$8,'Data - Monthly Metrics'!$C:$C,"Majors/NRA",'Data - Monthly Metrics'!$D:$D,"Goal - Penetration %")&gt;0,H70&gt;=SUMIFS('Data - Monthly Metrics'!$E:$E,'Data - Monthly Metrics'!$A:$A,$B$4,'Data - Monthly Metrics'!$B:$B,H$8,'Data - Monthly Metrics'!$C:$C,"Majors/NRA",'Data - Monthly Metrics'!$D:$D,"Goal - Penetration %")-0.05)</formula>
    </cfRule>
    <cfRule type="expression" rank="0" priority="207" equalAverage="0" aboveAverage="0" dxfId="1" stopIfTrue="1" text="" percent="0" bottom="0">
      <formula>AND(ISNUMBER(H70),COUNTIFS('Data - Monthly Metrics'!$A:$A,$B$4,'Data - Monthly Metrics'!$B:$B,H$8,'Data - Monthly Metrics'!$C:$C,"Majors/NRA",'Data - Monthly Metrics'!$D:$D,"Goal - Penetration %")&gt;0)</formula>
    </cfRule>
  </conditionalFormatting>
  <conditionalFormatting sqref="J70">
    <cfRule type="expression" rank="0" priority="208" equalAverage="0" aboveAverage="0" dxfId="0" stopIfTrue="1" text="" percent="0" bottom="0">
      <formula>AND(ISNUMBER(J70),COUNTIFS('Data - Monthly Metrics'!$A:$A,$B$4,'Data - Monthly Metrics'!$B:$B,J$8,'Data - Monthly Metrics'!$C:$C,"Majors/NRA",'Data - Monthly Metrics'!$D:$D,"Goal - Penetration %")&gt;0,J70&gt;=SUMIFS('Data - Monthly Metrics'!$E:$E,'Data - Monthly Metrics'!$A:$A,$B$4,'Data - Monthly Metrics'!$B:$B,J$8,'Data - Monthly Metrics'!$C:$C,"Majors/NRA",'Data - Monthly Metrics'!$D:$D,"Goal - Penetration %"))</formula>
    </cfRule>
    <cfRule type="expression" rank="0" priority="209" equalAverage="0" aboveAverage="0" dxfId="2" stopIfTrue="1" text="" percent="0" bottom="0">
      <formula>AND(ISNUMBER(J70),COUNTIFS('Data - Monthly Metrics'!$A:$A,$B$4,'Data - Monthly Metrics'!$B:$B,J$8,'Data - Monthly Metrics'!$C:$C,"Majors/NRA",'Data - Monthly Metrics'!$D:$D,"Goal - Penetration %")&gt;0,J70&gt;=SUMIFS('Data - Monthly Metrics'!$E:$E,'Data - Monthly Metrics'!$A:$A,$B$4,'Data - Monthly Metrics'!$B:$B,J$8,'Data - Monthly Metrics'!$C:$C,"Majors/NRA",'Data - Monthly Metrics'!$D:$D,"Goal - Penetration %")-0.05)</formula>
    </cfRule>
    <cfRule type="expression" rank="0" priority="210" equalAverage="0" aboveAverage="0" dxfId="1" stopIfTrue="1" text="" percent="0" bottom="0">
      <formula>AND(ISNUMBER(J70),COUNTIFS('Data - Monthly Metrics'!$A:$A,$B$4,'Data - Monthly Metrics'!$B:$B,J$8,'Data - Monthly Metrics'!$C:$C,"Majors/NRA",'Data - Monthly Metrics'!$D:$D,"Goal - Penetration %")&gt;0)</formula>
    </cfRule>
  </conditionalFormatting>
  <conditionalFormatting sqref="K70">
    <cfRule type="expression" rank="0" priority="211" equalAverage="0" aboveAverage="0" dxfId="0" stopIfTrue="1" text="" percent="0" bottom="0">
      <formula>AND(ISNUMBER(K70),COUNTIFS('Data - Monthly Metrics'!$A:$A,$B$4,'Data - Monthly Metrics'!$B:$B,K$8,'Data - Monthly Metrics'!$C:$C,"Majors/NRA",'Data - Monthly Metrics'!$D:$D,"Goal - Penetration %")&gt;0,K70&gt;=SUMIFS('Data - Monthly Metrics'!$E:$E,'Data - Monthly Metrics'!$A:$A,$B$4,'Data - Monthly Metrics'!$B:$B,K$8,'Data - Monthly Metrics'!$C:$C,"Majors/NRA",'Data - Monthly Metrics'!$D:$D,"Goal - Penetration %"))</formula>
    </cfRule>
    <cfRule type="expression" rank="0" priority="212" equalAverage="0" aboveAverage="0" dxfId="2" stopIfTrue="1" text="" percent="0" bottom="0">
      <formula>AND(ISNUMBER(K70),COUNTIFS('Data - Monthly Metrics'!$A:$A,$B$4,'Data - Monthly Metrics'!$B:$B,K$8,'Data - Monthly Metrics'!$C:$C,"Majors/NRA",'Data - Monthly Metrics'!$D:$D,"Goal - Penetration %")&gt;0,K70&gt;=SUMIFS('Data - Monthly Metrics'!$E:$E,'Data - Monthly Metrics'!$A:$A,$B$4,'Data - Monthly Metrics'!$B:$B,K$8,'Data - Monthly Metrics'!$C:$C,"Majors/NRA",'Data - Monthly Metrics'!$D:$D,"Goal - Penetration %")-0.05)</formula>
    </cfRule>
    <cfRule type="expression" rank="0" priority="213" equalAverage="0" aboveAverage="0" dxfId="1" stopIfTrue="1" text="" percent="0" bottom="0">
      <formula>AND(ISNUMBER(K70),COUNTIFS('Data - Monthly Metrics'!$A:$A,$B$4,'Data - Monthly Metrics'!$B:$B,K$8,'Data - Monthly Metrics'!$C:$C,"Majors/NRA",'Data - Monthly Metrics'!$D:$D,"Goal - Penetration %")&gt;0)</formula>
    </cfRule>
  </conditionalFormatting>
  <conditionalFormatting sqref="L70">
    <cfRule type="expression" rank="0" priority="214" equalAverage="0" aboveAverage="0" dxfId="0" stopIfTrue="1" text="" percent="0" bottom="0">
      <formula>AND(ISNUMBER(L70),COUNTIFS('Data - Monthly Metrics'!$A:$A,$B$4,'Data - Monthly Metrics'!$B:$B,L$8,'Data - Monthly Metrics'!$C:$C,"Majors/NRA",'Data - Monthly Metrics'!$D:$D,"Goal - Penetration %")&gt;0,L70&gt;=SUMIFS('Data - Monthly Metrics'!$E:$E,'Data - Monthly Metrics'!$A:$A,$B$4,'Data - Monthly Metrics'!$B:$B,L$8,'Data - Monthly Metrics'!$C:$C,"Majors/NRA",'Data - Monthly Metrics'!$D:$D,"Goal - Penetration %"))</formula>
    </cfRule>
    <cfRule type="expression" rank="0" priority="215" equalAverage="0" aboveAverage="0" dxfId="2" stopIfTrue="1" text="" percent="0" bottom="0">
      <formula>AND(ISNUMBER(L70),COUNTIFS('Data - Monthly Metrics'!$A:$A,$B$4,'Data - Monthly Metrics'!$B:$B,L$8,'Data - Monthly Metrics'!$C:$C,"Majors/NRA",'Data - Monthly Metrics'!$D:$D,"Goal - Penetration %")&gt;0,L70&gt;=SUMIFS('Data - Monthly Metrics'!$E:$E,'Data - Monthly Metrics'!$A:$A,$B$4,'Data - Monthly Metrics'!$B:$B,L$8,'Data - Monthly Metrics'!$C:$C,"Majors/NRA",'Data - Monthly Metrics'!$D:$D,"Goal - Penetration %")-0.05)</formula>
    </cfRule>
    <cfRule type="expression" rank="0" priority="216" equalAverage="0" aboveAverage="0" dxfId="1" stopIfTrue="1" text="" percent="0" bottom="0">
      <formula>AND(ISNUMBER(L70),COUNTIFS('Data - Monthly Metrics'!$A:$A,$B$4,'Data - Monthly Metrics'!$B:$B,L$8,'Data - Monthly Metrics'!$C:$C,"Majors/NRA",'Data - Monthly Metrics'!$D:$D,"Goal - Penetration %")&gt;0)</formula>
    </cfRule>
  </conditionalFormatting>
  <conditionalFormatting sqref="N70">
    <cfRule type="expression" rank="0" priority="217" equalAverage="0" aboveAverage="0" dxfId="0" stopIfTrue="1" text="" percent="0" bottom="0">
      <formula>AND(ISNUMBER(N70),COUNTIFS('Data - Monthly Metrics'!$A:$A,$B$4,'Data - Monthly Metrics'!$B:$B,N$8,'Data - Monthly Metrics'!$C:$C,"Majors/NRA",'Data - Monthly Metrics'!$D:$D,"Goal - Penetration %")&gt;0,N70&gt;=SUMIFS('Data - Monthly Metrics'!$E:$E,'Data - Monthly Metrics'!$A:$A,$B$4,'Data - Monthly Metrics'!$B:$B,N$8,'Data - Monthly Metrics'!$C:$C,"Majors/NRA",'Data - Monthly Metrics'!$D:$D,"Goal - Penetration %"))</formula>
    </cfRule>
    <cfRule type="expression" rank="0" priority="218" equalAverage="0" aboveAverage="0" dxfId="2" stopIfTrue="1" text="" percent="0" bottom="0">
      <formula>AND(ISNUMBER(N70),COUNTIFS('Data - Monthly Metrics'!$A:$A,$B$4,'Data - Monthly Metrics'!$B:$B,N$8,'Data - Monthly Metrics'!$C:$C,"Majors/NRA",'Data - Monthly Metrics'!$D:$D,"Goal - Penetration %")&gt;0,N70&gt;=SUMIFS('Data - Monthly Metrics'!$E:$E,'Data - Monthly Metrics'!$A:$A,$B$4,'Data - Monthly Metrics'!$B:$B,N$8,'Data - Monthly Metrics'!$C:$C,"Majors/NRA",'Data - Monthly Metrics'!$D:$D,"Goal - Penetration %")-0.05)</formula>
    </cfRule>
    <cfRule type="expression" rank="0" priority="219" equalAverage="0" aboveAverage="0" dxfId="1" stopIfTrue="1" text="" percent="0" bottom="0">
      <formula>AND(ISNUMBER(N70),COUNTIFS('Data - Monthly Metrics'!$A:$A,$B$4,'Data - Monthly Metrics'!$B:$B,N$8,'Data - Monthly Metrics'!$C:$C,"Majors/NRA",'Data - Monthly Metrics'!$D:$D,"Goal - Penetration %")&gt;0)</formula>
    </cfRule>
  </conditionalFormatting>
  <conditionalFormatting sqref="O70">
    <cfRule type="expression" rank="0" priority="220" equalAverage="0" aboveAverage="0" dxfId="0" stopIfTrue="1" text="" percent="0" bottom="0">
      <formula>AND(ISNUMBER(O70),COUNTIFS('Data - Monthly Metrics'!$A:$A,$B$4,'Data - Monthly Metrics'!$B:$B,O$8,'Data - Monthly Metrics'!$C:$C,"Majors/NRA",'Data - Monthly Metrics'!$D:$D,"Goal - Penetration %")&gt;0,O70&gt;=SUMIFS('Data - Monthly Metrics'!$E:$E,'Data - Monthly Metrics'!$A:$A,$B$4,'Data - Monthly Metrics'!$B:$B,O$8,'Data - Monthly Metrics'!$C:$C,"Majors/NRA",'Data - Monthly Metrics'!$D:$D,"Goal - Penetration %"))</formula>
    </cfRule>
    <cfRule type="expression" rank="0" priority="221" equalAverage="0" aboveAverage="0" dxfId="2" stopIfTrue="1" text="" percent="0" bottom="0">
      <formula>AND(ISNUMBER(O70),COUNTIFS('Data - Monthly Metrics'!$A:$A,$B$4,'Data - Monthly Metrics'!$B:$B,O$8,'Data - Monthly Metrics'!$C:$C,"Majors/NRA",'Data - Monthly Metrics'!$D:$D,"Goal - Penetration %")&gt;0,O70&gt;=SUMIFS('Data - Monthly Metrics'!$E:$E,'Data - Monthly Metrics'!$A:$A,$B$4,'Data - Monthly Metrics'!$B:$B,O$8,'Data - Monthly Metrics'!$C:$C,"Majors/NRA",'Data - Monthly Metrics'!$D:$D,"Goal - Penetration %")-0.05)</formula>
    </cfRule>
    <cfRule type="expression" rank="0" priority="222" equalAverage="0" aboveAverage="0" dxfId="1" stopIfTrue="1" text="" percent="0" bottom="0">
      <formula>AND(ISNUMBER(O70),COUNTIFS('Data - Monthly Metrics'!$A:$A,$B$4,'Data - Monthly Metrics'!$B:$B,O$8,'Data - Monthly Metrics'!$C:$C,"Majors/NRA",'Data - Monthly Metrics'!$D:$D,"Goal - Penetration %")&gt;0)</formula>
    </cfRule>
  </conditionalFormatting>
  <conditionalFormatting sqref="P70">
    <cfRule type="expression" rank="0" priority="223" equalAverage="0" aboveAverage="0" dxfId="0" stopIfTrue="1" text="" percent="0" bottom="0">
      <formula>AND(ISNUMBER(P70),COUNTIFS('Data - Monthly Metrics'!$A:$A,$B$4,'Data - Monthly Metrics'!$B:$B,P$8,'Data - Monthly Metrics'!$C:$C,"Majors/NRA",'Data - Monthly Metrics'!$D:$D,"Goal - Penetration %")&gt;0,P70&gt;=SUMIFS('Data - Monthly Metrics'!$E:$E,'Data - Monthly Metrics'!$A:$A,$B$4,'Data - Monthly Metrics'!$B:$B,P$8,'Data - Monthly Metrics'!$C:$C,"Majors/NRA",'Data - Monthly Metrics'!$D:$D,"Goal - Penetration %"))</formula>
    </cfRule>
    <cfRule type="expression" rank="0" priority="224" equalAverage="0" aboveAverage="0" dxfId="2" stopIfTrue="1" text="" percent="0" bottom="0">
      <formula>AND(ISNUMBER(P70),COUNTIFS('Data - Monthly Metrics'!$A:$A,$B$4,'Data - Monthly Metrics'!$B:$B,P$8,'Data - Monthly Metrics'!$C:$C,"Majors/NRA",'Data - Monthly Metrics'!$D:$D,"Goal - Penetration %")&gt;0,P70&gt;=SUMIFS('Data - Monthly Metrics'!$E:$E,'Data - Monthly Metrics'!$A:$A,$B$4,'Data - Monthly Metrics'!$B:$B,P$8,'Data - Monthly Metrics'!$C:$C,"Majors/NRA",'Data - Monthly Metrics'!$D:$D,"Goal - Penetration %")-0.05)</formula>
    </cfRule>
    <cfRule type="expression" rank="0" priority="225" equalAverage="0" aboveAverage="0" dxfId="1" stopIfTrue="1" text="" percent="0" bottom="0">
      <formula>AND(ISNUMBER(P70),COUNTIFS('Data - Monthly Metrics'!$A:$A,$B$4,'Data - Monthly Metrics'!$B:$B,P$8,'Data - Monthly Metrics'!$C:$C,"Majors/NRA",'Data - Monthly Metrics'!$D:$D,"Goal - Penetration %")&gt;0)</formula>
    </cfRule>
  </conditionalFormatting>
  <conditionalFormatting sqref="B105">
    <cfRule type="expression" rank="0" priority="226" equalAverage="0" aboveAverage="0" dxfId="0" stopIfTrue="1" text="" percent="0" bottom="0">
      <formula>AND(ISNUMBER(B105),COUNTIFS('Data - Monthly Metrics'!$A:$A,$B$4-1,'Data - Monthly Metrics'!$B:$B,B$8,'Data - Monthly Metrics'!$C:$C,"Majors/NRA",'Data - Monthly Metrics'!$D:$D,"Goal - Penetration %")&gt;0,B105&gt;=SUMIFS('Data - Monthly Metrics'!$E:$E,'Data - Monthly Metrics'!$A:$A,$B$4-1,'Data - Monthly Metrics'!$B:$B,B$8,'Data - Monthly Metrics'!$C:$C,"Majors/NRA",'Data - Monthly Metrics'!$D:$D,"Goal - Penetration %"))</formula>
    </cfRule>
    <cfRule type="expression" rank="0" priority="227" equalAverage="0" aboveAverage="0" dxfId="2" stopIfTrue="1" text="" percent="0" bottom="0">
      <formula>AND(ISNUMBER(B105),COUNTIFS('Data - Monthly Metrics'!$A:$A,$B$4-1,'Data - Monthly Metrics'!$B:$B,B$8,'Data - Monthly Metrics'!$C:$C,"Majors/NRA",'Data - Monthly Metrics'!$D:$D,"Goal - Penetration %")&gt;0,B105&gt;=SUMIFS('Data - Monthly Metrics'!$E:$E,'Data - Monthly Metrics'!$A:$A,$B$4-1,'Data - Monthly Metrics'!$B:$B,B$8,'Data - Monthly Metrics'!$C:$C,"Majors/NRA",'Data - Monthly Metrics'!$D:$D,"Goal - Penetration %")-0.05)</formula>
    </cfRule>
    <cfRule type="expression" rank="0" priority="228" equalAverage="0" aboveAverage="0" dxfId="1" stopIfTrue="1" text="" percent="0" bottom="0">
      <formula>AND(ISNUMBER(B105),COUNTIFS('Data - Monthly Metrics'!$A:$A,$B$4-1,'Data - Monthly Metrics'!$B:$B,B$8,'Data - Monthly Metrics'!$C:$C,"Majors/NRA",'Data - Monthly Metrics'!$D:$D,"Goal - Penetration %")&gt;0)</formula>
    </cfRule>
  </conditionalFormatting>
  <conditionalFormatting sqref="C105">
    <cfRule type="expression" rank="0" priority="229" equalAverage="0" aboveAverage="0" dxfId="0" stopIfTrue="1" text="" percent="0" bottom="0">
      <formula>AND(ISNUMBER(C105),COUNTIFS('Data - Monthly Metrics'!$A:$A,$B$4-1,'Data - Monthly Metrics'!$B:$B,C$8,'Data - Monthly Metrics'!$C:$C,"Majors/NRA",'Data - Monthly Metrics'!$D:$D,"Goal - Penetration %")&gt;0,C105&gt;=SUMIFS('Data - Monthly Metrics'!$E:$E,'Data - Monthly Metrics'!$A:$A,$B$4-1,'Data - Monthly Metrics'!$B:$B,C$8,'Data - Monthly Metrics'!$C:$C,"Majors/NRA",'Data - Monthly Metrics'!$D:$D,"Goal - Penetration %"))</formula>
    </cfRule>
    <cfRule type="expression" rank="0" priority="230" equalAverage="0" aboveAverage="0" dxfId="2" stopIfTrue="1" text="" percent="0" bottom="0">
      <formula>AND(ISNUMBER(C105),COUNTIFS('Data - Monthly Metrics'!$A:$A,$B$4-1,'Data - Monthly Metrics'!$B:$B,C$8,'Data - Monthly Metrics'!$C:$C,"Majors/NRA",'Data - Monthly Metrics'!$D:$D,"Goal - Penetration %")&gt;0,C105&gt;=SUMIFS('Data - Monthly Metrics'!$E:$E,'Data - Monthly Metrics'!$A:$A,$B$4-1,'Data - Monthly Metrics'!$B:$B,C$8,'Data - Monthly Metrics'!$C:$C,"Majors/NRA",'Data - Monthly Metrics'!$D:$D,"Goal - Penetration %")-0.05)</formula>
    </cfRule>
    <cfRule type="expression" rank="0" priority="231" equalAverage="0" aboveAverage="0" dxfId="1" stopIfTrue="1" text="" percent="0" bottom="0">
      <formula>AND(ISNUMBER(C105),COUNTIFS('Data - Monthly Metrics'!$A:$A,$B$4-1,'Data - Monthly Metrics'!$B:$B,C$8,'Data - Monthly Metrics'!$C:$C,"Majors/NRA",'Data - Monthly Metrics'!$D:$D,"Goal - Penetration %")&gt;0)</formula>
    </cfRule>
  </conditionalFormatting>
  <conditionalFormatting sqref="D105">
    <cfRule type="expression" rank="0" priority="232" equalAverage="0" aboveAverage="0" dxfId="0" stopIfTrue="1" text="" percent="0" bottom="0">
      <formula>AND(ISNUMBER(D105),COUNTIFS('Data - Monthly Metrics'!$A:$A,$B$4-1,'Data - Monthly Metrics'!$B:$B,D$8,'Data - Monthly Metrics'!$C:$C,"Majors/NRA",'Data - Monthly Metrics'!$D:$D,"Goal - Penetration %")&gt;0,D105&gt;=SUMIFS('Data - Monthly Metrics'!$E:$E,'Data - Monthly Metrics'!$A:$A,$B$4-1,'Data - Monthly Metrics'!$B:$B,D$8,'Data - Monthly Metrics'!$C:$C,"Majors/NRA",'Data - Monthly Metrics'!$D:$D,"Goal - Penetration %"))</formula>
    </cfRule>
    <cfRule type="expression" rank="0" priority="233" equalAverage="0" aboveAverage="0" dxfId="2" stopIfTrue="1" text="" percent="0" bottom="0">
      <formula>AND(ISNUMBER(D105),COUNTIFS('Data - Monthly Metrics'!$A:$A,$B$4-1,'Data - Monthly Metrics'!$B:$B,D$8,'Data - Monthly Metrics'!$C:$C,"Majors/NRA",'Data - Monthly Metrics'!$D:$D,"Goal - Penetration %")&gt;0,D105&gt;=SUMIFS('Data - Monthly Metrics'!$E:$E,'Data - Monthly Metrics'!$A:$A,$B$4-1,'Data - Monthly Metrics'!$B:$B,D$8,'Data - Monthly Metrics'!$C:$C,"Majors/NRA",'Data - Monthly Metrics'!$D:$D,"Goal - Penetration %")-0.05)</formula>
    </cfRule>
    <cfRule type="expression" rank="0" priority="234" equalAverage="0" aboveAverage="0" dxfId="1" stopIfTrue="1" text="" percent="0" bottom="0">
      <formula>AND(ISNUMBER(D105),COUNTIFS('Data - Monthly Metrics'!$A:$A,$B$4-1,'Data - Monthly Metrics'!$B:$B,D$8,'Data - Monthly Metrics'!$C:$C,"Majors/NRA",'Data - Monthly Metrics'!$D:$D,"Goal - Penetration %")&gt;0)</formula>
    </cfRule>
  </conditionalFormatting>
  <conditionalFormatting sqref="F105">
    <cfRule type="expression" rank="0" priority="235" equalAverage="0" aboveAverage="0" dxfId="0" stopIfTrue="1" text="" percent="0" bottom="0">
      <formula>AND(ISNUMBER(F105),COUNTIFS('Data - Monthly Metrics'!$A:$A,$B$4,'Data - Monthly Metrics'!$B:$B,F$8,'Data - Monthly Metrics'!$C:$C,"Majors/NRA",'Data - Monthly Metrics'!$D:$D,"Goal - Penetration %")&gt;0,F105&gt;=SUMIFS('Data - Monthly Metrics'!$E:$E,'Data - Monthly Metrics'!$A:$A,$B$4,'Data - Monthly Metrics'!$B:$B,F$8,'Data - Monthly Metrics'!$C:$C,"Majors/NRA",'Data - Monthly Metrics'!$D:$D,"Goal - Penetration %"))</formula>
    </cfRule>
    <cfRule type="expression" rank="0" priority="236" equalAverage="0" aboveAverage="0" dxfId="2" stopIfTrue="1" text="" percent="0" bottom="0">
      <formula>AND(ISNUMBER(F105),COUNTIFS('Data - Monthly Metrics'!$A:$A,$B$4,'Data - Monthly Metrics'!$B:$B,F$8,'Data - Monthly Metrics'!$C:$C,"Majors/NRA",'Data - Monthly Metrics'!$D:$D,"Goal - Penetration %")&gt;0,F105&gt;=SUMIFS('Data - Monthly Metrics'!$E:$E,'Data - Monthly Metrics'!$A:$A,$B$4,'Data - Monthly Metrics'!$B:$B,F$8,'Data - Monthly Metrics'!$C:$C,"Majors/NRA",'Data - Monthly Metrics'!$D:$D,"Goal - Penetration %")-0.05)</formula>
    </cfRule>
    <cfRule type="expression" rank="0" priority="237" equalAverage="0" aboveAverage="0" dxfId="1" stopIfTrue="1" text="" percent="0" bottom="0">
      <formula>AND(ISNUMBER(F105),COUNTIFS('Data - Monthly Metrics'!$A:$A,$B$4,'Data - Monthly Metrics'!$B:$B,F$8,'Data - Monthly Metrics'!$C:$C,"Majors/NRA",'Data - Monthly Metrics'!$D:$D,"Goal - Penetration %")&gt;0)</formula>
    </cfRule>
  </conditionalFormatting>
  <conditionalFormatting sqref="G105">
    <cfRule type="expression" rank="0" priority="238" equalAverage="0" aboveAverage="0" dxfId="0" stopIfTrue="1" text="" percent="0" bottom="0">
      <formula>AND(ISNUMBER(G105),COUNTIFS('Data - Monthly Metrics'!$A:$A,$B$4,'Data - Monthly Metrics'!$B:$B,G$8,'Data - Monthly Metrics'!$C:$C,"Majors/NRA",'Data - Monthly Metrics'!$D:$D,"Goal - Penetration %")&gt;0,G105&gt;=SUMIFS('Data - Monthly Metrics'!$E:$E,'Data - Monthly Metrics'!$A:$A,$B$4,'Data - Monthly Metrics'!$B:$B,G$8,'Data - Monthly Metrics'!$C:$C,"Majors/NRA",'Data - Monthly Metrics'!$D:$D,"Goal - Penetration %"))</formula>
    </cfRule>
    <cfRule type="expression" rank="0" priority="239" equalAverage="0" aboveAverage="0" dxfId="2" stopIfTrue="1" text="" percent="0" bottom="0">
      <formula>AND(ISNUMBER(G105),COUNTIFS('Data - Monthly Metrics'!$A:$A,$B$4,'Data - Monthly Metrics'!$B:$B,G$8,'Data - Monthly Metrics'!$C:$C,"Majors/NRA",'Data - Monthly Metrics'!$D:$D,"Goal - Penetration %")&gt;0,G105&gt;=SUMIFS('Data - Monthly Metrics'!$E:$E,'Data - Monthly Metrics'!$A:$A,$B$4,'Data - Monthly Metrics'!$B:$B,G$8,'Data - Monthly Metrics'!$C:$C,"Majors/NRA",'Data - Monthly Metrics'!$D:$D,"Goal - Penetration %")-0.05)</formula>
    </cfRule>
    <cfRule type="expression" rank="0" priority="240" equalAverage="0" aboveAverage="0" dxfId="1" stopIfTrue="1" text="" percent="0" bottom="0">
      <formula>AND(ISNUMBER(G105),COUNTIFS('Data - Monthly Metrics'!$A:$A,$B$4,'Data - Monthly Metrics'!$B:$B,G$8,'Data - Monthly Metrics'!$C:$C,"Majors/NRA",'Data - Monthly Metrics'!$D:$D,"Goal - Penetration %")&gt;0)</formula>
    </cfRule>
  </conditionalFormatting>
  <conditionalFormatting sqref="H105">
    <cfRule type="expression" rank="0" priority="241" equalAverage="0" aboveAverage="0" dxfId="0" stopIfTrue="1" text="" percent="0" bottom="0">
      <formula>AND(ISNUMBER(H105),COUNTIFS('Data - Monthly Metrics'!$A:$A,$B$4,'Data - Monthly Metrics'!$B:$B,H$8,'Data - Monthly Metrics'!$C:$C,"Majors/NRA",'Data - Monthly Metrics'!$D:$D,"Goal - Penetration %")&gt;0,H105&gt;=SUMIFS('Data - Monthly Metrics'!$E:$E,'Data - Monthly Metrics'!$A:$A,$B$4,'Data - Monthly Metrics'!$B:$B,H$8,'Data - Monthly Metrics'!$C:$C,"Majors/NRA",'Data - Monthly Metrics'!$D:$D,"Goal - Penetration %"))</formula>
    </cfRule>
    <cfRule type="expression" rank="0" priority="242" equalAverage="0" aboveAverage="0" dxfId="2" stopIfTrue="1" text="" percent="0" bottom="0">
      <formula>AND(ISNUMBER(H105),COUNTIFS('Data - Monthly Metrics'!$A:$A,$B$4,'Data - Monthly Metrics'!$B:$B,H$8,'Data - Monthly Metrics'!$C:$C,"Majors/NRA",'Data - Monthly Metrics'!$D:$D,"Goal - Penetration %")&gt;0,H105&gt;=SUMIFS('Data - Monthly Metrics'!$E:$E,'Data - Monthly Metrics'!$A:$A,$B$4,'Data - Monthly Metrics'!$B:$B,H$8,'Data - Monthly Metrics'!$C:$C,"Majors/NRA",'Data - Monthly Metrics'!$D:$D,"Goal - Penetration %")-0.05)</formula>
    </cfRule>
    <cfRule type="expression" rank="0" priority="243" equalAverage="0" aboveAverage="0" dxfId="1" stopIfTrue="1" text="" percent="0" bottom="0">
      <formula>AND(ISNUMBER(H105),COUNTIFS('Data - Monthly Metrics'!$A:$A,$B$4,'Data - Monthly Metrics'!$B:$B,H$8,'Data - Monthly Metrics'!$C:$C,"Majors/NRA",'Data - Monthly Metrics'!$D:$D,"Goal - Penetration %")&gt;0)</formula>
    </cfRule>
  </conditionalFormatting>
  <conditionalFormatting sqref="J105">
    <cfRule type="expression" rank="0" priority="244" equalAverage="0" aboveAverage="0" dxfId="0" stopIfTrue="1" text="" percent="0" bottom="0">
      <formula>AND(ISNUMBER(J105),COUNTIFS('Data - Monthly Metrics'!$A:$A,$B$4,'Data - Monthly Metrics'!$B:$B,J$8,'Data - Monthly Metrics'!$C:$C,"Majors/NRA",'Data - Monthly Metrics'!$D:$D,"Goal - Penetration %")&gt;0,J105&gt;=SUMIFS('Data - Monthly Metrics'!$E:$E,'Data - Monthly Metrics'!$A:$A,$B$4,'Data - Monthly Metrics'!$B:$B,J$8,'Data - Monthly Metrics'!$C:$C,"Majors/NRA",'Data - Monthly Metrics'!$D:$D,"Goal - Penetration %"))</formula>
    </cfRule>
    <cfRule type="expression" rank="0" priority="245" equalAverage="0" aboveAverage="0" dxfId="2" stopIfTrue="1" text="" percent="0" bottom="0">
      <formula>AND(ISNUMBER(J105),COUNTIFS('Data - Monthly Metrics'!$A:$A,$B$4,'Data - Monthly Metrics'!$B:$B,J$8,'Data - Monthly Metrics'!$C:$C,"Majors/NRA",'Data - Monthly Metrics'!$D:$D,"Goal - Penetration %")&gt;0,J105&gt;=SUMIFS('Data - Monthly Metrics'!$E:$E,'Data - Monthly Metrics'!$A:$A,$B$4,'Data - Monthly Metrics'!$B:$B,J$8,'Data - Monthly Metrics'!$C:$C,"Majors/NRA",'Data - Monthly Metrics'!$D:$D,"Goal - Penetration %")-0.05)</formula>
    </cfRule>
    <cfRule type="expression" rank="0" priority="246" equalAverage="0" aboveAverage="0" dxfId="1" stopIfTrue="1" text="" percent="0" bottom="0">
      <formula>AND(ISNUMBER(J105),COUNTIFS('Data - Monthly Metrics'!$A:$A,$B$4,'Data - Monthly Metrics'!$B:$B,J$8,'Data - Monthly Metrics'!$C:$C,"Majors/NRA",'Data - Monthly Metrics'!$D:$D,"Goal - Penetration %")&gt;0)</formula>
    </cfRule>
  </conditionalFormatting>
  <conditionalFormatting sqref="K105">
    <cfRule type="expression" rank="0" priority="247" equalAverage="0" aboveAverage="0" dxfId="0" stopIfTrue="1" text="" percent="0" bottom="0">
      <formula>AND(ISNUMBER(K105),COUNTIFS('Data - Monthly Metrics'!$A:$A,$B$4,'Data - Monthly Metrics'!$B:$B,K$8,'Data - Monthly Metrics'!$C:$C,"Majors/NRA",'Data - Monthly Metrics'!$D:$D,"Goal - Penetration %")&gt;0,K105&gt;=SUMIFS('Data - Monthly Metrics'!$E:$E,'Data - Monthly Metrics'!$A:$A,$B$4,'Data - Monthly Metrics'!$B:$B,K$8,'Data - Monthly Metrics'!$C:$C,"Majors/NRA",'Data - Monthly Metrics'!$D:$D,"Goal - Penetration %"))</formula>
    </cfRule>
    <cfRule type="expression" rank="0" priority="248" equalAverage="0" aboveAverage="0" dxfId="2" stopIfTrue="1" text="" percent="0" bottom="0">
      <formula>AND(ISNUMBER(K105),COUNTIFS('Data - Monthly Metrics'!$A:$A,$B$4,'Data - Monthly Metrics'!$B:$B,K$8,'Data - Monthly Metrics'!$C:$C,"Majors/NRA",'Data - Monthly Metrics'!$D:$D,"Goal - Penetration %")&gt;0,K105&gt;=SUMIFS('Data - Monthly Metrics'!$E:$E,'Data - Monthly Metrics'!$A:$A,$B$4,'Data - Monthly Metrics'!$B:$B,K$8,'Data - Monthly Metrics'!$C:$C,"Majors/NRA",'Data - Monthly Metrics'!$D:$D,"Goal - Penetration %")-0.05)</formula>
    </cfRule>
    <cfRule type="expression" rank="0" priority="249" equalAverage="0" aboveAverage="0" dxfId="1" stopIfTrue="1" text="" percent="0" bottom="0">
      <formula>AND(ISNUMBER(K105),COUNTIFS('Data - Monthly Metrics'!$A:$A,$B$4,'Data - Monthly Metrics'!$B:$B,K$8,'Data - Monthly Metrics'!$C:$C,"Majors/NRA",'Data - Monthly Metrics'!$D:$D,"Goal - Penetration %")&gt;0)</formula>
    </cfRule>
  </conditionalFormatting>
  <conditionalFormatting sqref="L105">
    <cfRule type="expression" rank="0" priority="250" equalAverage="0" aboveAverage="0" dxfId="0" stopIfTrue="1" text="" percent="0" bottom="0">
      <formula>AND(ISNUMBER(L105),COUNTIFS('Data - Monthly Metrics'!$A:$A,$B$4,'Data - Monthly Metrics'!$B:$B,L$8,'Data - Monthly Metrics'!$C:$C,"Majors/NRA",'Data - Monthly Metrics'!$D:$D,"Goal - Penetration %")&gt;0,L105&gt;=SUMIFS('Data - Monthly Metrics'!$E:$E,'Data - Monthly Metrics'!$A:$A,$B$4,'Data - Monthly Metrics'!$B:$B,L$8,'Data - Monthly Metrics'!$C:$C,"Majors/NRA",'Data - Monthly Metrics'!$D:$D,"Goal - Penetration %"))</formula>
    </cfRule>
    <cfRule type="expression" rank="0" priority="251" equalAverage="0" aboveAverage="0" dxfId="2" stopIfTrue="1" text="" percent="0" bottom="0">
      <formula>AND(ISNUMBER(L105),COUNTIFS('Data - Monthly Metrics'!$A:$A,$B$4,'Data - Monthly Metrics'!$B:$B,L$8,'Data - Monthly Metrics'!$C:$C,"Majors/NRA",'Data - Monthly Metrics'!$D:$D,"Goal - Penetration %")&gt;0,L105&gt;=SUMIFS('Data - Monthly Metrics'!$E:$E,'Data - Monthly Metrics'!$A:$A,$B$4,'Data - Monthly Metrics'!$B:$B,L$8,'Data - Monthly Metrics'!$C:$C,"Majors/NRA",'Data - Monthly Metrics'!$D:$D,"Goal - Penetration %")-0.05)</formula>
    </cfRule>
    <cfRule type="expression" rank="0" priority="252" equalAverage="0" aboveAverage="0" dxfId="1" stopIfTrue="1" text="" percent="0" bottom="0">
      <formula>AND(ISNUMBER(L105),COUNTIFS('Data - Monthly Metrics'!$A:$A,$B$4,'Data - Monthly Metrics'!$B:$B,L$8,'Data - Monthly Metrics'!$C:$C,"Majors/NRA",'Data - Monthly Metrics'!$D:$D,"Goal - Penetration %")&gt;0)</formula>
    </cfRule>
  </conditionalFormatting>
  <conditionalFormatting sqref="N105">
    <cfRule type="expression" rank="0" priority="253" equalAverage="0" aboveAverage="0" dxfId="0" stopIfTrue="1" text="" percent="0" bottom="0">
      <formula>AND(ISNUMBER(N105),COUNTIFS('Data - Monthly Metrics'!$A:$A,$B$4,'Data - Monthly Metrics'!$B:$B,N$8,'Data - Monthly Metrics'!$C:$C,"Majors/NRA",'Data - Monthly Metrics'!$D:$D,"Goal - Penetration %")&gt;0,N105&gt;=SUMIFS('Data - Monthly Metrics'!$E:$E,'Data - Monthly Metrics'!$A:$A,$B$4,'Data - Monthly Metrics'!$B:$B,N$8,'Data - Monthly Metrics'!$C:$C,"Majors/NRA",'Data - Monthly Metrics'!$D:$D,"Goal - Penetration %"))</formula>
    </cfRule>
    <cfRule type="expression" rank="0" priority="254" equalAverage="0" aboveAverage="0" dxfId="2" stopIfTrue="1" text="" percent="0" bottom="0">
      <formula>AND(ISNUMBER(N105),COUNTIFS('Data - Monthly Metrics'!$A:$A,$B$4,'Data - Monthly Metrics'!$B:$B,N$8,'Data - Monthly Metrics'!$C:$C,"Majors/NRA",'Data - Monthly Metrics'!$D:$D,"Goal - Penetration %")&gt;0,N105&gt;=SUMIFS('Data - Monthly Metrics'!$E:$E,'Data - Monthly Metrics'!$A:$A,$B$4,'Data - Monthly Metrics'!$B:$B,N$8,'Data - Monthly Metrics'!$C:$C,"Majors/NRA",'Data - Monthly Metrics'!$D:$D,"Goal - Penetration %")-0.05)</formula>
    </cfRule>
    <cfRule type="expression" rank="0" priority="255" equalAverage="0" aboveAverage="0" dxfId="1" stopIfTrue="1" text="" percent="0" bottom="0">
      <formula>AND(ISNUMBER(N105),COUNTIFS('Data - Monthly Metrics'!$A:$A,$B$4,'Data - Monthly Metrics'!$B:$B,N$8,'Data - Monthly Metrics'!$C:$C,"Majors/NRA",'Data - Monthly Metrics'!$D:$D,"Goal - Penetration %")&gt;0)</formula>
    </cfRule>
  </conditionalFormatting>
  <conditionalFormatting sqref="O105">
    <cfRule type="expression" rank="0" priority="256" equalAverage="0" aboveAverage="0" dxfId="0" stopIfTrue="1" text="" percent="0" bottom="0">
      <formula>AND(ISNUMBER(O105),COUNTIFS('Data - Monthly Metrics'!$A:$A,$B$4,'Data - Monthly Metrics'!$B:$B,O$8,'Data - Monthly Metrics'!$C:$C,"Majors/NRA",'Data - Monthly Metrics'!$D:$D,"Goal - Penetration %")&gt;0,O105&gt;=SUMIFS('Data - Monthly Metrics'!$E:$E,'Data - Monthly Metrics'!$A:$A,$B$4,'Data - Monthly Metrics'!$B:$B,O$8,'Data - Monthly Metrics'!$C:$C,"Majors/NRA",'Data - Monthly Metrics'!$D:$D,"Goal - Penetration %"))</formula>
    </cfRule>
    <cfRule type="expression" rank="0" priority="257" equalAverage="0" aboveAverage="0" dxfId="2" stopIfTrue="1" text="" percent="0" bottom="0">
      <formula>AND(ISNUMBER(O105),COUNTIFS('Data - Monthly Metrics'!$A:$A,$B$4,'Data - Monthly Metrics'!$B:$B,O$8,'Data - Monthly Metrics'!$C:$C,"Majors/NRA",'Data - Monthly Metrics'!$D:$D,"Goal - Penetration %")&gt;0,O105&gt;=SUMIFS('Data - Monthly Metrics'!$E:$E,'Data - Monthly Metrics'!$A:$A,$B$4,'Data - Monthly Metrics'!$B:$B,O$8,'Data - Monthly Metrics'!$C:$C,"Majors/NRA",'Data - Monthly Metrics'!$D:$D,"Goal - Penetration %")-0.05)</formula>
    </cfRule>
    <cfRule type="expression" rank="0" priority="258" equalAverage="0" aboveAverage="0" dxfId="1" stopIfTrue="1" text="" percent="0" bottom="0">
      <formula>AND(ISNUMBER(O105),COUNTIFS('Data - Monthly Metrics'!$A:$A,$B$4,'Data - Monthly Metrics'!$B:$B,O$8,'Data - Monthly Metrics'!$C:$C,"Majors/NRA",'Data - Monthly Metrics'!$D:$D,"Goal - Penetration %")&gt;0)</formula>
    </cfRule>
  </conditionalFormatting>
  <conditionalFormatting sqref="P105">
    <cfRule type="expression" rank="0" priority="259" equalAverage="0" aboveAverage="0" dxfId="0" stopIfTrue="1" text="" percent="0" bottom="0">
      <formula>AND(ISNUMBER(P105),COUNTIFS('Data - Monthly Metrics'!$A:$A,$B$4,'Data - Monthly Metrics'!$B:$B,P$8,'Data - Monthly Metrics'!$C:$C,"Majors/NRA",'Data - Monthly Metrics'!$D:$D,"Goal - Penetration %")&gt;0,P105&gt;=SUMIFS('Data - Monthly Metrics'!$E:$E,'Data - Monthly Metrics'!$A:$A,$B$4,'Data - Monthly Metrics'!$B:$B,P$8,'Data - Monthly Metrics'!$C:$C,"Majors/NRA",'Data - Monthly Metrics'!$D:$D,"Goal - Penetration %"))</formula>
    </cfRule>
    <cfRule type="expression" rank="0" priority="260" equalAverage="0" aboveAverage="0" dxfId="2" stopIfTrue="1" text="" percent="0" bottom="0">
      <formula>AND(ISNUMBER(P105),COUNTIFS('Data - Monthly Metrics'!$A:$A,$B$4,'Data - Monthly Metrics'!$B:$B,P$8,'Data - Monthly Metrics'!$C:$C,"Majors/NRA",'Data - Monthly Metrics'!$D:$D,"Goal - Penetration %")&gt;0,P105&gt;=SUMIFS('Data - Monthly Metrics'!$E:$E,'Data - Monthly Metrics'!$A:$A,$B$4,'Data - Monthly Metrics'!$B:$B,P$8,'Data - Monthly Metrics'!$C:$C,"Majors/NRA",'Data - Monthly Metrics'!$D:$D,"Goal - Penetration %")-0.05)</formula>
    </cfRule>
    <cfRule type="expression" rank="0" priority="261" equalAverage="0" aboveAverage="0" dxfId="1" stopIfTrue="1" text="" percent="0" bottom="0">
      <formula>AND(ISNUMBER(P105),COUNTIFS('Data - Monthly Metrics'!$A:$A,$B$4,'Data - Monthly Metrics'!$B:$B,P$8,'Data - Monthly Metrics'!$C:$C,"Majors/NRA",'Data - Monthly Metrics'!$D:$D,"Goal - Penetration %")&gt;0)</formula>
    </cfRule>
  </conditionalFormatting>
  <conditionalFormatting sqref="B106">
    <cfRule type="expression" rank="0" priority="262" equalAverage="0" aboveAverage="0" dxfId="0" stopIfTrue="1" text="" percent="0" bottom="0">
      <formula>AND(ISNUMBER(B106),COUNTIFS('Data - Monthly Metrics'!$A:$A,$B$4-1,'Data - Monthly Metrics'!$B:$B,B$8,'Data - Monthly Metrics'!$C:$C,"Majors/NRA",'Data - Monthly Metrics'!$D:$D,"Goal - Penetration %")&gt;0,B106&gt;=SUMIFS('Data - Monthly Metrics'!$E:$E,'Data - Monthly Metrics'!$A:$A,$B$4-1,'Data - Monthly Metrics'!$B:$B,B$8,'Data - Monthly Metrics'!$C:$C,"Majors/NRA",'Data - Monthly Metrics'!$D:$D,"Goal - Penetration %"))</formula>
    </cfRule>
    <cfRule type="expression" rank="0" priority="263" equalAverage="0" aboveAverage="0" dxfId="2" stopIfTrue="1" text="" percent="0" bottom="0">
      <formula>AND(ISNUMBER(B106),COUNTIFS('Data - Monthly Metrics'!$A:$A,$B$4-1,'Data - Monthly Metrics'!$B:$B,B$8,'Data - Monthly Metrics'!$C:$C,"Majors/NRA",'Data - Monthly Metrics'!$D:$D,"Goal - Penetration %")&gt;0,B106&gt;=SUMIFS('Data - Monthly Metrics'!$E:$E,'Data - Monthly Metrics'!$A:$A,$B$4-1,'Data - Monthly Metrics'!$B:$B,B$8,'Data - Monthly Metrics'!$C:$C,"Majors/NRA",'Data - Monthly Metrics'!$D:$D,"Goal - Penetration %")-0.05)</formula>
    </cfRule>
    <cfRule type="expression" rank="0" priority="264" equalAverage="0" aboveAverage="0" dxfId="1" stopIfTrue="1" text="" percent="0" bottom="0">
      <formula>AND(ISNUMBER(B106),COUNTIFS('Data - Monthly Metrics'!$A:$A,$B$4-1,'Data - Monthly Metrics'!$B:$B,B$8,'Data - Monthly Metrics'!$C:$C,"Majors/NRA",'Data - Monthly Metrics'!$D:$D,"Goal - Penetration %")&gt;0)</formula>
    </cfRule>
  </conditionalFormatting>
  <conditionalFormatting sqref="C106">
    <cfRule type="expression" rank="0" priority="265" equalAverage="0" aboveAverage="0" dxfId="0" stopIfTrue="1" text="" percent="0" bottom="0">
      <formula>AND(ISNUMBER(C106),COUNTIFS('Data - Monthly Metrics'!$A:$A,$B$4-1,'Data - Monthly Metrics'!$B:$B,C$8,'Data - Monthly Metrics'!$C:$C,"Majors/NRA",'Data - Monthly Metrics'!$D:$D,"Goal - Penetration %")&gt;0,C106&gt;=SUMIFS('Data - Monthly Metrics'!$E:$E,'Data - Monthly Metrics'!$A:$A,$B$4-1,'Data - Monthly Metrics'!$B:$B,C$8,'Data - Monthly Metrics'!$C:$C,"Majors/NRA",'Data - Monthly Metrics'!$D:$D,"Goal - Penetration %"))</formula>
    </cfRule>
    <cfRule type="expression" rank="0" priority="266" equalAverage="0" aboveAverage="0" dxfId="2" stopIfTrue="1" text="" percent="0" bottom="0">
      <formula>AND(ISNUMBER(C106),COUNTIFS('Data - Monthly Metrics'!$A:$A,$B$4-1,'Data - Monthly Metrics'!$B:$B,C$8,'Data - Monthly Metrics'!$C:$C,"Majors/NRA",'Data - Monthly Metrics'!$D:$D,"Goal - Penetration %")&gt;0,C106&gt;=SUMIFS('Data - Monthly Metrics'!$E:$E,'Data - Monthly Metrics'!$A:$A,$B$4-1,'Data - Monthly Metrics'!$B:$B,C$8,'Data - Monthly Metrics'!$C:$C,"Majors/NRA",'Data - Monthly Metrics'!$D:$D,"Goal - Penetration %")-0.05)</formula>
    </cfRule>
    <cfRule type="expression" rank="0" priority="267" equalAverage="0" aboveAverage="0" dxfId="1" stopIfTrue="1" text="" percent="0" bottom="0">
      <formula>AND(ISNUMBER(C106),COUNTIFS('Data - Monthly Metrics'!$A:$A,$B$4-1,'Data - Monthly Metrics'!$B:$B,C$8,'Data - Monthly Metrics'!$C:$C,"Majors/NRA",'Data - Monthly Metrics'!$D:$D,"Goal - Penetration %")&gt;0)</formula>
    </cfRule>
  </conditionalFormatting>
  <conditionalFormatting sqref="D106">
    <cfRule type="expression" rank="0" priority="268" equalAverage="0" aboveAverage="0" dxfId="0" stopIfTrue="1" text="" percent="0" bottom="0">
      <formula>AND(ISNUMBER(D106),COUNTIFS('Data - Monthly Metrics'!$A:$A,$B$4-1,'Data - Monthly Metrics'!$B:$B,D$8,'Data - Monthly Metrics'!$C:$C,"Majors/NRA",'Data - Monthly Metrics'!$D:$D,"Goal - Penetration %")&gt;0,D106&gt;=SUMIFS('Data - Monthly Metrics'!$E:$E,'Data - Monthly Metrics'!$A:$A,$B$4-1,'Data - Monthly Metrics'!$B:$B,D$8,'Data - Monthly Metrics'!$C:$C,"Majors/NRA",'Data - Monthly Metrics'!$D:$D,"Goal - Penetration %"))</formula>
    </cfRule>
    <cfRule type="expression" rank="0" priority="269" equalAverage="0" aboveAverage="0" dxfId="2" stopIfTrue="1" text="" percent="0" bottom="0">
      <formula>AND(ISNUMBER(D106),COUNTIFS('Data - Monthly Metrics'!$A:$A,$B$4-1,'Data - Monthly Metrics'!$B:$B,D$8,'Data - Monthly Metrics'!$C:$C,"Majors/NRA",'Data - Monthly Metrics'!$D:$D,"Goal - Penetration %")&gt;0,D106&gt;=SUMIFS('Data - Monthly Metrics'!$E:$E,'Data - Monthly Metrics'!$A:$A,$B$4-1,'Data - Monthly Metrics'!$B:$B,D$8,'Data - Monthly Metrics'!$C:$C,"Majors/NRA",'Data - Monthly Metrics'!$D:$D,"Goal - Penetration %")-0.05)</formula>
    </cfRule>
    <cfRule type="expression" rank="0" priority="270" equalAverage="0" aboveAverage="0" dxfId="1" stopIfTrue="1" text="" percent="0" bottom="0">
      <formula>AND(ISNUMBER(D106),COUNTIFS('Data - Monthly Metrics'!$A:$A,$B$4-1,'Data - Monthly Metrics'!$B:$B,D$8,'Data - Monthly Metrics'!$C:$C,"Majors/NRA",'Data - Monthly Metrics'!$D:$D,"Goal - Penetration %")&gt;0)</formula>
    </cfRule>
  </conditionalFormatting>
  <conditionalFormatting sqref="F106">
    <cfRule type="expression" rank="0" priority="271" equalAverage="0" aboveAverage="0" dxfId="0" stopIfTrue="1" text="" percent="0" bottom="0">
      <formula>AND(ISNUMBER(F106),COUNTIFS('Data - Monthly Metrics'!$A:$A,$B$4,'Data - Monthly Metrics'!$B:$B,F$8,'Data - Monthly Metrics'!$C:$C,"Majors/NRA",'Data - Monthly Metrics'!$D:$D,"Goal - Penetration %")&gt;0,F106&gt;=SUMIFS('Data - Monthly Metrics'!$E:$E,'Data - Monthly Metrics'!$A:$A,$B$4,'Data - Monthly Metrics'!$B:$B,F$8,'Data - Monthly Metrics'!$C:$C,"Majors/NRA",'Data - Monthly Metrics'!$D:$D,"Goal - Penetration %"))</formula>
    </cfRule>
    <cfRule type="expression" rank="0" priority="272" equalAverage="0" aboveAverage="0" dxfId="2" stopIfTrue="1" text="" percent="0" bottom="0">
      <formula>AND(ISNUMBER(F106),COUNTIFS('Data - Monthly Metrics'!$A:$A,$B$4,'Data - Monthly Metrics'!$B:$B,F$8,'Data - Monthly Metrics'!$C:$C,"Majors/NRA",'Data - Monthly Metrics'!$D:$D,"Goal - Penetration %")&gt;0,F106&gt;=SUMIFS('Data - Monthly Metrics'!$E:$E,'Data - Monthly Metrics'!$A:$A,$B$4,'Data - Monthly Metrics'!$B:$B,F$8,'Data - Monthly Metrics'!$C:$C,"Majors/NRA",'Data - Monthly Metrics'!$D:$D,"Goal - Penetration %")-0.05)</formula>
    </cfRule>
    <cfRule type="expression" rank="0" priority="273" equalAverage="0" aboveAverage="0" dxfId="1" stopIfTrue="1" text="" percent="0" bottom="0">
      <formula>AND(ISNUMBER(F106),COUNTIFS('Data - Monthly Metrics'!$A:$A,$B$4,'Data - Monthly Metrics'!$B:$B,F$8,'Data - Monthly Metrics'!$C:$C,"Majors/NRA",'Data - Monthly Metrics'!$D:$D,"Goal - Penetration %")&gt;0)</formula>
    </cfRule>
  </conditionalFormatting>
  <conditionalFormatting sqref="G106">
    <cfRule type="expression" rank="0" priority="274" equalAverage="0" aboveAverage="0" dxfId="0" stopIfTrue="1" text="" percent="0" bottom="0">
      <formula>AND(ISNUMBER(G106),COUNTIFS('Data - Monthly Metrics'!$A:$A,$B$4,'Data - Monthly Metrics'!$B:$B,G$8,'Data - Monthly Metrics'!$C:$C,"Majors/NRA",'Data - Monthly Metrics'!$D:$D,"Goal - Penetration %")&gt;0,G106&gt;=SUMIFS('Data - Monthly Metrics'!$E:$E,'Data - Monthly Metrics'!$A:$A,$B$4,'Data - Monthly Metrics'!$B:$B,G$8,'Data - Monthly Metrics'!$C:$C,"Majors/NRA",'Data - Monthly Metrics'!$D:$D,"Goal - Penetration %"))</formula>
    </cfRule>
    <cfRule type="expression" rank="0" priority="275" equalAverage="0" aboveAverage="0" dxfId="2" stopIfTrue="1" text="" percent="0" bottom="0">
      <formula>AND(ISNUMBER(G106),COUNTIFS('Data - Monthly Metrics'!$A:$A,$B$4,'Data - Monthly Metrics'!$B:$B,G$8,'Data - Monthly Metrics'!$C:$C,"Majors/NRA",'Data - Monthly Metrics'!$D:$D,"Goal - Penetration %")&gt;0,G106&gt;=SUMIFS('Data - Monthly Metrics'!$E:$E,'Data - Monthly Metrics'!$A:$A,$B$4,'Data - Monthly Metrics'!$B:$B,G$8,'Data - Monthly Metrics'!$C:$C,"Majors/NRA",'Data - Monthly Metrics'!$D:$D,"Goal - Penetration %")-0.05)</formula>
    </cfRule>
    <cfRule type="expression" rank="0" priority="276" equalAverage="0" aboveAverage="0" dxfId="1" stopIfTrue="1" text="" percent="0" bottom="0">
      <formula>AND(ISNUMBER(G106),COUNTIFS('Data - Monthly Metrics'!$A:$A,$B$4,'Data - Monthly Metrics'!$B:$B,G$8,'Data - Monthly Metrics'!$C:$C,"Majors/NRA",'Data - Monthly Metrics'!$D:$D,"Goal - Penetration %")&gt;0)</formula>
    </cfRule>
  </conditionalFormatting>
  <conditionalFormatting sqref="H106">
    <cfRule type="expression" rank="0" priority="277" equalAverage="0" aboveAverage="0" dxfId="0" stopIfTrue="1" text="" percent="0" bottom="0">
      <formula>AND(ISNUMBER(H106),COUNTIFS('Data - Monthly Metrics'!$A:$A,$B$4,'Data - Monthly Metrics'!$B:$B,H$8,'Data - Monthly Metrics'!$C:$C,"Majors/NRA",'Data - Monthly Metrics'!$D:$D,"Goal - Penetration %")&gt;0,H106&gt;=SUMIFS('Data - Monthly Metrics'!$E:$E,'Data - Monthly Metrics'!$A:$A,$B$4,'Data - Monthly Metrics'!$B:$B,H$8,'Data - Monthly Metrics'!$C:$C,"Majors/NRA",'Data - Monthly Metrics'!$D:$D,"Goal - Penetration %"))</formula>
    </cfRule>
    <cfRule type="expression" rank="0" priority="278" equalAverage="0" aboveAverage="0" dxfId="2" stopIfTrue="1" text="" percent="0" bottom="0">
      <formula>AND(ISNUMBER(H106),COUNTIFS('Data - Monthly Metrics'!$A:$A,$B$4,'Data - Monthly Metrics'!$B:$B,H$8,'Data - Monthly Metrics'!$C:$C,"Majors/NRA",'Data - Monthly Metrics'!$D:$D,"Goal - Penetration %")&gt;0,H106&gt;=SUMIFS('Data - Monthly Metrics'!$E:$E,'Data - Monthly Metrics'!$A:$A,$B$4,'Data - Monthly Metrics'!$B:$B,H$8,'Data - Monthly Metrics'!$C:$C,"Majors/NRA",'Data - Monthly Metrics'!$D:$D,"Goal - Penetration %")-0.05)</formula>
    </cfRule>
    <cfRule type="expression" rank="0" priority="279" equalAverage="0" aboveAverage="0" dxfId="1" stopIfTrue="1" text="" percent="0" bottom="0">
      <formula>AND(ISNUMBER(H106),COUNTIFS('Data - Monthly Metrics'!$A:$A,$B$4,'Data - Monthly Metrics'!$B:$B,H$8,'Data - Monthly Metrics'!$C:$C,"Majors/NRA",'Data - Monthly Metrics'!$D:$D,"Goal - Penetration %")&gt;0)</formula>
    </cfRule>
  </conditionalFormatting>
  <conditionalFormatting sqref="J106">
    <cfRule type="expression" rank="0" priority="280" equalAverage="0" aboveAverage="0" dxfId="0" stopIfTrue="1" text="" percent="0" bottom="0">
      <formula>AND(ISNUMBER(J106),COUNTIFS('Data - Monthly Metrics'!$A:$A,$B$4,'Data - Monthly Metrics'!$B:$B,J$8,'Data - Monthly Metrics'!$C:$C,"Majors/NRA",'Data - Monthly Metrics'!$D:$D,"Goal - Penetration %")&gt;0,J106&gt;=SUMIFS('Data - Monthly Metrics'!$E:$E,'Data - Monthly Metrics'!$A:$A,$B$4,'Data - Monthly Metrics'!$B:$B,J$8,'Data - Monthly Metrics'!$C:$C,"Majors/NRA",'Data - Monthly Metrics'!$D:$D,"Goal - Penetration %"))</formula>
    </cfRule>
    <cfRule type="expression" rank="0" priority="281" equalAverage="0" aboveAverage="0" dxfId="2" stopIfTrue="1" text="" percent="0" bottom="0">
      <formula>AND(ISNUMBER(J106),COUNTIFS('Data - Monthly Metrics'!$A:$A,$B$4,'Data - Monthly Metrics'!$B:$B,J$8,'Data - Monthly Metrics'!$C:$C,"Majors/NRA",'Data - Monthly Metrics'!$D:$D,"Goal - Penetration %")&gt;0,J106&gt;=SUMIFS('Data - Monthly Metrics'!$E:$E,'Data - Monthly Metrics'!$A:$A,$B$4,'Data - Monthly Metrics'!$B:$B,J$8,'Data - Monthly Metrics'!$C:$C,"Majors/NRA",'Data - Monthly Metrics'!$D:$D,"Goal - Penetration %")-0.05)</formula>
    </cfRule>
    <cfRule type="expression" rank="0" priority="282" equalAverage="0" aboveAverage="0" dxfId="1" stopIfTrue="1" text="" percent="0" bottom="0">
      <formula>AND(ISNUMBER(J106),COUNTIFS('Data - Monthly Metrics'!$A:$A,$B$4,'Data - Monthly Metrics'!$B:$B,J$8,'Data - Monthly Metrics'!$C:$C,"Majors/NRA",'Data - Monthly Metrics'!$D:$D,"Goal - Penetration %")&gt;0)</formula>
    </cfRule>
  </conditionalFormatting>
  <conditionalFormatting sqref="K106">
    <cfRule type="expression" rank="0" priority="283" equalAverage="0" aboveAverage="0" dxfId="0" stopIfTrue="1" text="" percent="0" bottom="0">
      <formula>AND(ISNUMBER(K106),COUNTIFS('Data - Monthly Metrics'!$A:$A,$B$4,'Data - Monthly Metrics'!$B:$B,K$8,'Data - Monthly Metrics'!$C:$C,"Majors/NRA",'Data - Monthly Metrics'!$D:$D,"Goal - Penetration %")&gt;0,K106&gt;=SUMIFS('Data - Monthly Metrics'!$E:$E,'Data - Monthly Metrics'!$A:$A,$B$4,'Data - Monthly Metrics'!$B:$B,K$8,'Data - Monthly Metrics'!$C:$C,"Majors/NRA",'Data - Monthly Metrics'!$D:$D,"Goal - Penetration %"))</formula>
    </cfRule>
    <cfRule type="expression" rank="0" priority="284" equalAverage="0" aboveAverage="0" dxfId="2" stopIfTrue="1" text="" percent="0" bottom="0">
      <formula>AND(ISNUMBER(K106),COUNTIFS('Data - Monthly Metrics'!$A:$A,$B$4,'Data - Monthly Metrics'!$B:$B,K$8,'Data - Monthly Metrics'!$C:$C,"Majors/NRA",'Data - Monthly Metrics'!$D:$D,"Goal - Penetration %")&gt;0,K106&gt;=SUMIFS('Data - Monthly Metrics'!$E:$E,'Data - Monthly Metrics'!$A:$A,$B$4,'Data - Monthly Metrics'!$B:$B,K$8,'Data - Monthly Metrics'!$C:$C,"Majors/NRA",'Data - Monthly Metrics'!$D:$D,"Goal - Penetration %")-0.05)</formula>
    </cfRule>
    <cfRule type="expression" rank="0" priority="285" equalAverage="0" aboveAverage="0" dxfId="1" stopIfTrue="1" text="" percent="0" bottom="0">
      <formula>AND(ISNUMBER(K106),COUNTIFS('Data - Monthly Metrics'!$A:$A,$B$4,'Data - Monthly Metrics'!$B:$B,K$8,'Data - Monthly Metrics'!$C:$C,"Majors/NRA",'Data - Monthly Metrics'!$D:$D,"Goal - Penetration %")&gt;0)</formula>
    </cfRule>
  </conditionalFormatting>
  <conditionalFormatting sqref="L106">
    <cfRule type="expression" rank="0" priority="286" equalAverage="0" aboveAverage="0" dxfId="0" stopIfTrue="1" text="" percent="0" bottom="0">
      <formula>AND(ISNUMBER(L106),COUNTIFS('Data - Monthly Metrics'!$A:$A,$B$4,'Data - Monthly Metrics'!$B:$B,L$8,'Data - Monthly Metrics'!$C:$C,"Majors/NRA",'Data - Monthly Metrics'!$D:$D,"Goal - Penetration %")&gt;0,L106&gt;=SUMIFS('Data - Monthly Metrics'!$E:$E,'Data - Monthly Metrics'!$A:$A,$B$4,'Data - Monthly Metrics'!$B:$B,L$8,'Data - Monthly Metrics'!$C:$C,"Majors/NRA",'Data - Monthly Metrics'!$D:$D,"Goal - Penetration %"))</formula>
    </cfRule>
    <cfRule type="expression" rank="0" priority="287" equalAverage="0" aboveAverage="0" dxfId="2" stopIfTrue="1" text="" percent="0" bottom="0">
      <formula>AND(ISNUMBER(L106),COUNTIFS('Data - Monthly Metrics'!$A:$A,$B$4,'Data - Monthly Metrics'!$B:$B,L$8,'Data - Monthly Metrics'!$C:$C,"Majors/NRA",'Data - Monthly Metrics'!$D:$D,"Goal - Penetration %")&gt;0,L106&gt;=SUMIFS('Data - Monthly Metrics'!$E:$E,'Data - Monthly Metrics'!$A:$A,$B$4,'Data - Monthly Metrics'!$B:$B,L$8,'Data - Monthly Metrics'!$C:$C,"Majors/NRA",'Data - Monthly Metrics'!$D:$D,"Goal - Penetration %")-0.05)</formula>
    </cfRule>
    <cfRule type="expression" rank="0" priority="288" equalAverage="0" aboveAverage="0" dxfId="1" stopIfTrue="1" text="" percent="0" bottom="0">
      <formula>AND(ISNUMBER(L106),COUNTIFS('Data - Monthly Metrics'!$A:$A,$B$4,'Data - Monthly Metrics'!$B:$B,L$8,'Data - Monthly Metrics'!$C:$C,"Majors/NRA",'Data - Monthly Metrics'!$D:$D,"Goal - Penetration %")&gt;0)</formula>
    </cfRule>
  </conditionalFormatting>
  <conditionalFormatting sqref="N106">
    <cfRule type="expression" rank="0" priority="289" equalAverage="0" aboveAverage="0" dxfId="0" stopIfTrue="1" text="" percent="0" bottom="0">
      <formula>AND(ISNUMBER(N106),COUNTIFS('Data - Monthly Metrics'!$A:$A,$B$4,'Data - Monthly Metrics'!$B:$B,N$8,'Data - Monthly Metrics'!$C:$C,"Majors/NRA",'Data - Monthly Metrics'!$D:$D,"Goal - Penetration %")&gt;0,N106&gt;=SUMIFS('Data - Monthly Metrics'!$E:$E,'Data - Monthly Metrics'!$A:$A,$B$4,'Data - Monthly Metrics'!$B:$B,N$8,'Data - Monthly Metrics'!$C:$C,"Majors/NRA",'Data - Monthly Metrics'!$D:$D,"Goal - Penetration %"))</formula>
    </cfRule>
    <cfRule type="expression" rank="0" priority="290" equalAverage="0" aboveAverage="0" dxfId="2" stopIfTrue="1" text="" percent="0" bottom="0">
      <formula>AND(ISNUMBER(N106),COUNTIFS('Data - Monthly Metrics'!$A:$A,$B$4,'Data - Monthly Metrics'!$B:$B,N$8,'Data - Monthly Metrics'!$C:$C,"Majors/NRA",'Data - Monthly Metrics'!$D:$D,"Goal - Penetration %")&gt;0,N106&gt;=SUMIFS('Data - Monthly Metrics'!$E:$E,'Data - Monthly Metrics'!$A:$A,$B$4,'Data - Monthly Metrics'!$B:$B,N$8,'Data - Monthly Metrics'!$C:$C,"Majors/NRA",'Data - Monthly Metrics'!$D:$D,"Goal - Penetration %")-0.05)</formula>
    </cfRule>
    <cfRule type="expression" rank="0" priority="291" equalAverage="0" aboveAverage="0" dxfId="1" stopIfTrue="1" text="" percent="0" bottom="0">
      <formula>AND(ISNUMBER(N106),COUNTIFS('Data - Monthly Metrics'!$A:$A,$B$4,'Data - Monthly Metrics'!$B:$B,N$8,'Data - Monthly Metrics'!$C:$C,"Majors/NRA",'Data - Monthly Metrics'!$D:$D,"Goal - Penetration %")&gt;0)</formula>
    </cfRule>
  </conditionalFormatting>
  <conditionalFormatting sqref="O106">
    <cfRule type="expression" rank="0" priority="292" equalAverage="0" aboveAverage="0" dxfId="0" stopIfTrue="1" text="" percent="0" bottom="0">
      <formula>AND(ISNUMBER(O106),COUNTIFS('Data - Monthly Metrics'!$A:$A,$B$4,'Data - Monthly Metrics'!$B:$B,O$8,'Data - Monthly Metrics'!$C:$C,"Majors/NRA",'Data - Monthly Metrics'!$D:$D,"Goal - Penetration %")&gt;0,O106&gt;=SUMIFS('Data - Monthly Metrics'!$E:$E,'Data - Monthly Metrics'!$A:$A,$B$4,'Data - Monthly Metrics'!$B:$B,O$8,'Data - Monthly Metrics'!$C:$C,"Majors/NRA",'Data - Monthly Metrics'!$D:$D,"Goal - Penetration %"))</formula>
    </cfRule>
    <cfRule type="expression" rank="0" priority="293" equalAverage="0" aboveAverage="0" dxfId="2" stopIfTrue="1" text="" percent="0" bottom="0">
      <formula>AND(ISNUMBER(O106),COUNTIFS('Data - Monthly Metrics'!$A:$A,$B$4,'Data - Monthly Metrics'!$B:$B,O$8,'Data - Monthly Metrics'!$C:$C,"Majors/NRA",'Data - Monthly Metrics'!$D:$D,"Goal - Penetration %")&gt;0,O106&gt;=SUMIFS('Data - Monthly Metrics'!$E:$E,'Data - Monthly Metrics'!$A:$A,$B$4,'Data - Monthly Metrics'!$B:$B,O$8,'Data - Monthly Metrics'!$C:$C,"Majors/NRA",'Data - Monthly Metrics'!$D:$D,"Goal - Penetration %")-0.05)</formula>
    </cfRule>
    <cfRule type="expression" rank="0" priority="294" equalAverage="0" aboveAverage="0" dxfId="1" stopIfTrue="1" text="" percent="0" bottom="0">
      <formula>AND(ISNUMBER(O106),COUNTIFS('Data - Monthly Metrics'!$A:$A,$B$4,'Data - Monthly Metrics'!$B:$B,O$8,'Data - Monthly Metrics'!$C:$C,"Majors/NRA",'Data - Monthly Metrics'!$D:$D,"Goal - Penetration %")&gt;0)</formula>
    </cfRule>
  </conditionalFormatting>
  <conditionalFormatting sqref="P106">
    <cfRule type="expression" rank="0" priority="295" equalAverage="0" aboveAverage="0" dxfId="0" stopIfTrue="1" text="" percent="0" bottom="0">
      <formula>AND(ISNUMBER(P106),COUNTIFS('Data - Monthly Metrics'!$A:$A,$B$4,'Data - Monthly Metrics'!$B:$B,P$8,'Data - Monthly Metrics'!$C:$C,"Majors/NRA",'Data - Monthly Metrics'!$D:$D,"Goal - Penetration %")&gt;0,P106&gt;=SUMIFS('Data - Monthly Metrics'!$E:$E,'Data - Monthly Metrics'!$A:$A,$B$4,'Data - Monthly Metrics'!$B:$B,P$8,'Data - Monthly Metrics'!$C:$C,"Majors/NRA",'Data - Monthly Metrics'!$D:$D,"Goal - Penetration %"))</formula>
    </cfRule>
    <cfRule type="expression" rank="0" priority="296" equalAverage="0" aboveAverage="0" dxfId="2" stopIfTrue="1" text="" percent="0" bottom="0">
      <formula>AND(ISNUMBER(P106),COUNTIFS('Data - Monthly Metrics'!$A:$A,$B$4,'Data - Monthly Metrics'!$B:$B,P$8,'Data - Monthly Metrics'!$C:$C,"Majors/NRA",'Data - Monthly Metrics'!$D:$D,"Goal - Penetration %")&gt;0,P106&gt;=SUMIFS('Data - Monthly Metrics'!$E:$E,'Data - Monthly Metrics'!$A:$A,$B$4,'Data - Monthly Metrics'!$B:$B,P$8,'Data - Monthly Metrics'!$C:$C,"Majors/NRA",'Data - Monthly Metrics'!$D:$D,"Goal - Penetration %")-0.05)</formula>
    </cfRule>
    <cfRule type="expression" rank="0" priority="297" equalAverage="0" aboveAverage="0" dxfId="1" stopIfTrue="1" text="" percent="0" bottom="0">
      <formula>AND(ISNUMBER(P106),COUNTIFS('Data - Monthly Metrics'!$A:$A,$B$4,'Data - Monthly Metrics'!$B:$B,P$8,'Data - Monthly Metrics'!$C:$C,"Majors/NRA",'Data - Monthly Metrics'!$D:$D,"Goal - Penetration %")&gt;0)</formula>
    </cfRule>
  </conditionalFormatting>
  <conditionalFormatting sqref="B107">
    <cfRule type="expression" rank="0" priority="298" equalAverage="0" aboveAverage="0" dxfId="0" stopIfTrue="1" text="" percent="0" bottom="0">
      <formula>AND(ISNUMBER(B107),COUNTIFS('Data - Monthly Metrics'!$A:$A,$B$4-1,'Data - Monthly Metrics'!$B:$B,B$8,'Data - Monthly Metrics'!$C:$C,"Majors/NRA",'Data - Monthly Metrics'!$D:$D,"Goal - Penetration %")&gt;0,B107&gt;=SUMIFS('Data - Monthly Metrics'!$E:$E,'Data - Monthly Metrics'!$A:$A,$B$4-1,'Data - Monthly Metrics'!$B:$B,B$8,'Data - Monthly Metrics'!$C:$C,"Majors/NRA",'Data - Monthly Metrics'!$D:$D,"Goal - Penetration %"))</formula>
    </cfRule>
    <cfRule type="expression" rank="0" priority="299" equalAverage="0" aboveAverage="0" dxfId="2" stopIfTrue="1" text="" percent="0" bottom="0">
      <formula>AND(ISNUMBER(B107),COUNTIFS('Data - Monthly Metrics'!$A:$A,$B$4-1,'Data - Monthly Metrics'!$B:$B,B$8,'Data - Monthly Metrics'!$C:$C,"Majors/NRA",'Data - Monthly Metrics'!$D:$D,"Goal - Penetration %")&gt;0,B107&gt;=SUMIFS('Data - Monthly Metrics'!$E:$E,'Data - Monthly Metrics'!$A:$A,$B$4-1,'Data - Monthly Metrics'!$B:$B,B$8,'Data - Monthly Metrics'!$C:$C,"Majors/NRA",'Data - Monthly Metrics'!$D:$D,"Goal - Penetration %")-0.05)</formula>
    </cfRule>
    <cfRule type="expression" rank="0" priority="300" equalAverage="0" aboveAverage="0" dxfId="1" stopIfTrue="1" text="" percent="0" bottom="0">
      <formula>AND(ISNUMBER(B107),COUNTIFS('Data - Monthly Metrics'!$A:$A,$B$4-1,'Data - Monthly Metrics'!$B:$B,B$8,'Data - Monthly Metrics'!$C:$C,"Majors/NRA",'Data - Monthly Metrics'!$D:$D,"Goal - Penetration %")&gt;0)</formula>
    </cfRule>
  </conditionalFormatting>
  <conditionalFormatting sqref="C107">
    <cfRule type="expression" rank="0" priority="301" equalAverage="0" aboveAverage="0" dxfId="0" stopIfTrue="1" text="" percent="0" bottom="0">
      <formula>AND(ISNUMBER(C107),COUNTIFS('Data - Monthly Metrics'!$A:$A,$B$4-1,'Data - Monthly Metrics'!$B:$B,C$8,'Data - Monthly Metrics'!$C:$C,"Majors/NRA",'Data - Monthly Metrics'!$D:$D,"Goal - Penetration %")&gt;0,C107&gt;=SUMIFS('Data - Monthly Metrics'!$E:$E,'Data - Monthly Metrics'!$A:$A,$B$4-1,'Data - Monthly Metrics'!$B:$B,C$8,'Data - Monthly Metrics'!$C:$C,"Majors/NRA",'Data - Monthly Metrics'!$D:$D,"Goal - Penetration %"))</formula>
    </cfRule>
    <cfRule type="expression" rank="0" priority="302" equalAverage="0" aboveAverage="0" dxfId="2" stopIfTrue="1" text="" percent="0" bottom="0">
      <formula>AND(ISNUMBER(C107),COUNTIFS('Data - Monthly Metrics'!$A:$A,$B$4-1,'Data - Monthly Metrics'!$B:$B,C$8,'Data - Monthly Metrics'!$C:$C,"Majors/NRA",'Data - Monthly Metrics'!$D:$D,"Goal - Penetration %")&gt;0,C107&gt;=SUMIFS('Data - Monthly Metrics'!$E:$E,'Data - Monthly Metrics'!$A:$A,$B$4-1,'Data - Monthly Metrics'!$B:$B,C$8,'Data - Monthly Metrics'!$C:$C,"Majors/NRA",'Data - Monthly Metrics'!$D:$D,"Goal - Penetration %")-0.05)</formula>
    </cfRule>
    <cfRule type="expression" rank="0" priority="303" equalAverage="0" aboveAverage="0" dxfId="1" stopIfTrue="1" text="" percent="0" bottom="0">
      <formula>AND(ISNUMBER(C107),COUNTIFS('Data - Monthly Metrics'!$A:$A,$B$4-1,'Data - Monthly Metrics'!$B:$B,C$8,'Data - Monthly Metrics'!$C:$C,"Majors/NRA",'Data - Monthly Metrics'!$D:$D,"Goal - Penetration %")&gt;0)</formula>
    </cfRule>
  </conditionalFormatting>
  <conditionalFormatting sqref="D107">
    <cfRule type="expression" rank="0" priority="304" equalAverage="0" aboveAverage="0" dxfId="0" stopIfTrue="1" text="" percent="0" bottom="0">
      <formula>AND(ISNUMBER(D107),COUNTIFS('Data - Monthly Metrics'!$A:$A,$B$4-1,'Data - Monthly Metrics'!$B:$B,D$8,'Data - Monthly Metrics'!$C:$C,"Majors/NRA",'Data - Monthly Metrics'!$D:$D,"Goal - Penetration %")&gt;0,D107&gt;=SUMIFS('Data - Monthly Metrics'!$E:$E,'Data - Monthly Metrics'!$A:$A,$B$4-1,'Data - Monthly Metrics'!$B:$B,D$8,'Data - Monthly Metrics'!$C:$C,"Majors/NRA",'Data - Monthly Metrics'!$D:$D,"Goal - Penetration %"))</formula>
    </cfRule>
    <cfRule type="expression" rank="0" priority="305" equalAverage="0" aboveAverage="0" dxfId="2" stopIfTrue="1" text="" percent="0" bottom="0">
      <formula>AND(ISNUMBER(D107),COUNTIFS('Data - Monthly Metrics'!$A:$A,$B$4-1,'Data - Monthly Metrics'!$B:$B,D$8,'Data - Monthly Metrics'!$C:$C,"Majors/NRA",'Data - Monthly Metrics'!$D:$D,"Goal - Penetration %")&gt;0,D107&gt;=SUMIFS('Data - Monthly Metrics'!$E:$E,'Data - Monthly Metrics'!$A:$A,$B$4-1,'Data - Monthly Metrics'!$B:$B,D$8,'Data - Monthly Metrics'!$C:$C,"Majors/NRA",'Data - Monthly Metrics'!$D:$D,"Goal - Penetration %")-0.05)</formula>
    </cfRule>
    <cfRule type="expression" rank="0" priority="306" equalAverage="0" aboveAverage="0" dxfId="1" stopIfTrue="1" text="" percent="0" bottom="0">
      <formula>AND(ISNUMBER(D107),COUNTIFS('Data - Monthly Metrics'!$A:$A,$B$4-1,'Data - Monthly Metrics'!$B:$B,D$8,'Data - Monthly Metrics'!$C:$C,"Majors/NRA",'Data - Monthly Metrics'!$D:$D,"Goal - Penetration %")&gt;0)</formula>
    </cfRule>
  </conditionalFormatting>
  <conditionalFormatting sqref="F107">
    <cfRule type="expression" rank="0" priority="307" equalAverage="0" aboveAverage="0" dxfId="0" stopIfTrue="1" text="" percent="0" bottom="0">
      <formula>AND(ISNUMBER(F107),COUNTIFS('Data - Monthly Metrics'!$A:$A,$B$4,'Data - Monthly Metrics'!$B:$B,F$8,'Data - Monthly Metrics'!$C:$C,"Majors/NRA",'Data - Monthly Metrics'!$D:$D,"Goal - Penetration %")&gt;0,F107&gt;=SUMIFS('Data - Monthly Metrics'!$E:$E,'Data - Monthly Metrics'!$A:$A,$B$4,'Data - Monthly Metrics'!$B:$B,F$8,'Data - Monthly Metrics'!$C:$C,"Majors/NRA",'Data - Monthly Metrics'!$D:$D,"Goal - Penetration %"))</formula>
    </cfRule>
    <cfRule type="expression" rank="0" priority="308" equalAverage="0" aboveAverage="0" dxfId="2" stopIfTrue="1" text="" percent="0" bottom="0">
      <formula>AND(ISNUMBER(F107),COUNTIFS('Data - Monthly Metrics'!$A:$A,$B$4,'Data - Monthly Metrics'!$B:$B,F$8,'Data - Monthly Metrics'!$C:$C,"Majors/NRA",'Data - Monthly Metrics'!$D:$D,"Goal - Penetration %")&gt;0,F107&gt;=SUMIFS('Data - Monthly Metrics'!$E:$E,'Data - Monthly Metrics'!$A:$A,$B$4,'Data - Monthly Metrics'!$B:$B,F$8,'Data - Monthly Metrics'!$C:$C,"Majors/NRA",'Data - Monthly Metrics'!$D:$D,"Goal - Penetration %")-0.05)</formula>
    </cfRule>
    <cfRule type="expression" rank="0" priority="309" equalAverage="0" aboveAverage="0" dxfId="1" stopIfTrue="1" text="" percent="0" bottom="0">
      <formula>AND(ISNUMBER(F107),COUNTIFS('Data - Monthly Metrics'!$A:$A,$B$4,'Data - Monthly Metrics'!$B:$B,F$8,'Data - Monthly Metrics'!$C:$C,"Majors/NRA",'Data - Monthly Metrics'!$D:$D,"Goal - Penetration %")&gt;0)</formula>
    </cfRule>
  </conditionalFormatting>
  <conditionalFormatting sqref="G107">
    <cfRule type="expression" rank="0" priority="310" equalAverage="0" aboveAverage="0" dxfId="0" stopIfTrue="1" text="" percent="0" bottom="0">
      <formula>AND(ISNUMBER(G107),COUNTIFS('Data - Monthly Metrics'!$A:$A,$B$4,'Data - Monthly Metrics'!$B:$B,G$8,'Data - Monthly Metrics'!$C:$C,"Majors/NRA",'Data - Monthly Metrics'!$D:$D,"Goal - Penetration %")&gt;0,G107&gt;=SUMIFS('Data - Monthly Metrics'!$E:$E,'Data - Monthly Metrics'!$A:$A,$B$4,'Data - Monthly Metrics'!$B:$B,G$8,'Data - Monthly Metrics'!$C:$C,"Majors/NRA",'Data - Monthly Metrics'!$D:$D,"Goal - Penetration %"))</formula>
    </cfRule>
    <cfRule type="expression" rank="0" priority="311" equalAverage="0" aboveAverage="0" dxfId="2" stopIfTrue="1" text="" percent="0" bottom="0">
      <formula>AND(ISNUMBER(G107),COUNTIFS('Data - Monthly Metrics'!$A:$A,$B$4,'Data - Monthly Metrics'!$B:$B,G$8,'Data - Monthly Metrics'!$C:$C,"Majors/NRA",'Data - Monthly Metrics'!$D:$D,"Goal - Penetration %")&gt;0,G107&gt;=SUMIFS('Data - Monthly Metrics'!$E:$E,'Data - Monthly Metrics'!$A:$A,$B$4,'Data - Monthly Metrics'!$B:$B,G$8,'Data - Monthly Metrics'!$C:$C,"Majors/NRA",'Data - Monthly Metrics'!$D:$D,"Goal - Penetration %")-0.05)</formula>
    </cfRule>
    <cfRule type="expression" rank="0" priority="312" equalAverage="0" aboveAverage="0" dxfId="1" stopIfTrue="1" text="" percent="0" bottom="0">
      <formula>AND(ISNUMBER(G107),COUNTIFS('Data - Monthly Metrics'!$A:$A,$B$4,'Data - Monthly Metrics'!$B:$B,G$8,'Data - Monthly Metrics'!$C:$C,"Majors/NRA",'Data - Monthly Metrics'!$D:$D,"Goal - Penetration %")&gt;0)</formula>
    </cfRule>
  </conditionalFormatting>
  <conditionalFormatting sqref="H107">
    <cfRule type="expression" rank="0" priority="313" equalAverage="0" aboveAverage="0" dxfId="0" stopIfTrue="1" text="" percent="0" bottom="0">
      <formula>AND(ISNUMBER(H107),COUNTIFS('Data - Monthly Metrics'!$A:$A,$B$4,'Data - Monthly Metrics'!$B:$B,H$8,'Data - Monthly Metrics'!$C:$C,"Majors/NRA",'Data - Monthly Metrics'!$D:$D,"Goal - Penetration %")&gt;0,H107&gt;=SUMIFS('Data - Monthly Metrics'!$E:$E,'Data - Monthly Metrics'!$A:$A,$B$4,'Data - Monthly Metrics'!$B:$B,H$8,'Data - Monthly Metrics'!$C:$C,"Majors/NRA",'Data - Monthly Metrics'!$D:$D,"Goal - Penetration %"))</formula>
    </cfRule>
    <cfRule type="expression" rank="0" priority="314" equalAverage="0" aboveAverage="0" dxfId="2" stopIfTrue="1" text="" percent="0" bottom="0">
      <formula>AND(ISNUMBER(H107),COUNTIFS('Data - Monthly Metrics'!$A:$A,$B$4,'Data - Monthly Metrics'!$B:$B,H$8,'Data - Monthly Metrics'!$C:$C,"Majors/NRA",'Data - Monthly Metrics'!$D:$D,"Goal - Penetration %")&gt;0,H107&gt;=SUMIFS('Data - Monthly Metrics'!$E:$E,'Data - Monthly Metrics'!$A:$A,$B$4,'Data - Monthly Metrics'!$B:$B,H$8,'Data - Monthly Metrics'!$C:$C,"Majors/NRA",'Data - Monthly Metrics'!$D:$D,"Goal - Penetration %")-0.05)</formula>
    </cfRule>
    <cfRule type="expression" rank="0" priority="315" equalAverage="0" aboveAverage="0" dxfId="1" stopIfTrue="1" text="" percent="0" bottom="0">
      <formula>AND(ISNUMBER(H107),COUNTIFS('Data - Monthly Metrics'!$A:$A,$B$4,'Data - Monthly Metrics'!$B:$B,H$8,'Data - Monthly Metrics'!$C:$C,"Majors/NRA",'Data - Monthly Metrics'!$D:$D,"Goal - Penetration %")&gt;0)</formula>
    </cfRule>
  </conditionalFormatting>
  <conditionalFormatting sqref="J107">
    <cfRule type="expression" rank="0" priority="316" equalAverage="0" aboveAverage="0" dxfId="0" stopIfTrue="1" text="" percent="0" bottom="0">
      <formula>AND(ISNUMBER(J107),COUNTIFS('Data - Monthly Metrics'!$A:$A,$B$4,'Data - Monthly Metrics'!$B:$B,J$8,'Data - Monthly Metrics'!$C:$C,"Majors/NRA",'Data - Monthly Metrics'!$D:$D,"Goal - Penetration %")&gt;0,J107&gt;=SUMIFS('Data - Monthly Metrics'!$E:$E,'Data - Monthly Metrics'!$A:$A,$B$4,'Data - Monthly Metrics'!$B:$B,J$8,'Data - Monthly Metrics'!$C:$C,"Majors/NRA",'Data - Monthly Metrics'!$D:$D,"Goal - Penetration %"))</formula>
    </cfRule>
    <cfRule type="expression" rank="0" priority="317" equalAverage="0" aboveAverage="0" dxfId="2" stopIfTrue="1" text="" percent="0" bottom="0">
      <formula>AND(ISNUMBER(J107),COUNTIFS('Data - Monthly Metrics'!$A:$A,$B$4,'Data - Monthly Metrics'!$B:$B,J$8,'Data - Monthly Metrics'!$C:$C,"Majors/NRA",'Data - Monthly Metrics'!$D:$D,"Goal - Penetration %")&gt;0,J107&gt;=SUMIFS('Data - Monthly Metrics'!$E:$E,'Data - Monthly Metrics'!$A:$A,$B$4,'Data - Monthly Metrics'!$B:$B,J$8,'Data - Monthly Metrics'!$C:$C,"Majors/NRA",'Data - Monthly Metrics'!$D:$D,"Goal - Penetration %")-0.05)</formula>
    </cfRule>
    <cfRule type="expression" rank="0" priority="318" equalAverage="0" aboveAverage="0" dxfId="1" stopIfTrue="1" text="" percent="0" bottom="0">
      <formula>AND(ISNUMBER(J107),COUNTIFS('Data - Monthly Metrics'!$A:$A,$B$4,'Data - Monthly Metrics'!$B:$B,J$8,'Data - Monthly Metrics'!$C:$C,"Majors/NRA",'Data - Monthly Metrics'!$D:$D,"Goal - Penetration %")&gt;0)</formula>
    </cfRule>
  </conditionalFormatting>
  <conditionalFormatting sqref="K107">
    <cfRule type="expression" rank="0" priority="319" equalAverage="0" aboveAverage="0" dxfId="0" stopIfTrue="1" text="" percent="0" bottom="0">
      <formula>AND(ISNUMBER(K107),COUNTIFS('Data - Monthly Metrics'!$A:$A,$B$4,'Data - Monthly Metrics'!$B:$B,K$8,'Data - Monthly Metrics'!$C:$C,"Majors/NRA",'Data - Monthly Metrics'!$D:$D,"Goal - Penetration %")&gt;0,K107&gt;=SUMIFS('Data - Monthly Metrics'!$E:$E,'Data - Monthly Metrics'!$A:$A,$B$4,'Data - Monthly Metrics'!$B:$B,K$8,'Data - Monthly Metrics'!$C:$C,"Majors/NRA",'Data - Monthly Metrics'!$D:$D,"Goal - Penetration %"))</formula>
    </cfRule>
    <cfRule type="expression" rank="0" priority="320" equalAverage="0" aboveAverage="0" dxfId="2" stopIfTrue="1" text="" percent="0" bottom="0">
      <formula>AND(ISNUMBER(K107),COUNTIFS('Data - Monthly Metrics'!$A:$A,$B$4,'Data - Monthly Metrics'!$B:$B,K$8,'Data - Monthly Metrics'!$C:$C,"Majors/NRA",'Data - Monthly Metrics'!$D:$D,"Goal - Penetration %")&gt;0,K107&gt;=SUMIFS('Data - Monthly Metrics'!$E:$E,'Data - Monthly Metrics'!$A:$A,$B$4,'Data - Monthly Metrics'!$B:$B,K$8,'Data - Monthly Metrics'!$C:$C,"Majors/NRA",'Data - Monthly Metrics'!$D:$D,"Goal - Penetration %")-0.05)</formula>
    </cfRule>
    <cfRule type="expression" rank="0" priority="321" equalAverage="0" aboveAverage="0" dxfId="1" stopIfTrue="1" text="" percent="0" bottom="0">
      <formula>AND(ISNUMBER(K107),COUNTIFS('Data - Monthly Metrics'!$A:$A,$B$4,'Data - Monthly Metrics'!$B:$B,K$8,'Data - Monthly Metrics'!$C:$C,"Majors/NRA",'Data - Monthly Metrics'!$D:$D,"Goal - Penetration %")&gt;0)</formula>
    </cfRule>
  </conditionalFormatting>
  <conditionalFormatting sqref="L107">
    <cfRule type="expression" rank="0" priority="322" equalAverage="0" aboveAverage="0" dxfId="0" stopIfTrue="1" text="" percent="0" bottom="0">
      <formula>AND(ISNUMBER(L107),COUNTIFS('Data - Monthly Metrics'!$A:$A,$B$4,'Data - Monthly Metrics'!$B:$B,L$8,'Data - Monthly Metrics'!$C:$C,"Majors/NRA",'Data - Monthly Metrics'!$D:$D,"Goal - Penetration %")&gt;0,L107&gt;=SUMIFS('Data - Monthly Metrics'!$E:$E,'Data - Monthly Metrics'!$A:$A,$B$4,'Data - Monthly Metrics'!$B:$B,L$8,'Data - Monthly Metrics'!$C:$C,"Majors/NRA",'Data - Monthly Metrics'!$D:$D,"Goal - Penetration %"))</formula>
    </cfRule>
    <cfRule type="expression" rank="0" priority="323" equalAverage="0" aboveAverage="0" dxfId="2" stopIfTrue="1" text="" percent="0" bottom="0">
      <formula>AND(ISNUMBER(L107),COUNTIFS('Data - Monthly Metrics'!$A:$A,$B$4,'Data - Monthly Metrics'!$B:$B,L$8,'Data - Monthly Metrics'!$C:$C,"Majors/NRA",'Data - Monthly Metrics'!$D:$D,"Goal - Penetration %")&gt;0,L107&gt;=SUMIFS('Data - Monthly Metrics'!$E:$E,'Data - Monthly Metrics'!$A:$A,$B$4,'Data - Monthly Metrics'!$B:$B,L$8,'Data - Monthly Metrics'!$C:$C,"Majors/NRA",'Data - Monthly Metrics'!$D:$D,"Goal - Penetration %")-0.05)</formula>
    </cfRule>
    <cfRule type="expression" rank="0" priority="324" equalAverage="0" aboveAverage="0" dxfId="1" stopIfTrue="1" text="" percent="0" bottom="0">
      <formula>AND(ISNUMBER(L107),COUNTIFS('Data - Monthly Metrics'!$A:$A,$B$4,'Data - Monthly Metrics'!$B:$B,L$8,'Data - Monthly Metrics'!$C:$C,"Majors/NRA",'Data - Monthly Metrics'!$D:$D,"Goal - Penetration %")&gt;0)</formula>
    </cfRule>
  </conditionalFormatting>
  <conditionalFormatting sqref="N107">
    <cfRule type="expression" rank="0" priority="325" equalAverage="0" aboveAverage="0" dxfId="0" stopIfTrue="1" text="" percent="0" bottom="0">
      <formula>AND(ISNUMBER(N107),COUNTIFS('Data - Monthly Metrics'!$A:$A,$B$4,'Data - Monthly Metrics'!$B:$B,N$8,'Data - Monthly Metrics'!$C:$C,"Majors/NRA",'Data - Monthly Metrics'!$D:$D,"Goal - Penetration %")&gt;0,N107&gt;=SUMIFS('Data - Monthly Metrics'!$E:$E,'Data - Monthly Metrics'!$A:$A,$B$4,'Data - Monthly Metrics'!$B:$B,N$8,'Data - Monthly Metrics'!$C:$C,"Majors/NRA",'Data - Monthly Metrics'!$D:$D,"Goal - Penetration %"))</formula>
    </cfRule>
    <cfRule type="expression" rank="0" priority="326" equalAverage="0" aboveAverage="0" dxfId="2" stopIfTrue="1" text="" percent="0" bottom="0">
      <formula>AND(ISNUMBER(N107),COUNTIFS('Data - Monthly Metrics'!$A:$A,$B$4,'Data - Monthly Metrics'!$B:$B,N$8,'Data - Monthly Metrics'!$C:$C,"Majors/NRA",'Data - Monthly Metrics'!$D:$D,"Goal - Penetration %")&gt;0,N107&gt;=SUMIFS('Data - Monthly Metrics'!$E:$E,'Data - Monthly Metrics'!$A:$A,$B$4,'Data - Monthly Metrics'!$B:$B,N$8,'Data - Monthly Metrics'!$C:$C,"Majors/NRA",'Data - Monthly Metrics'!$D:$D,"Goal - Penetration %")-0.05)</formula>
    </cfRule>
    <cfRule type="expression" rank="0" priority="327" equalAverage="0" aboveAverage="0" dxfId="1" stopIfTrue="1" text="" percent="0" bottom="0">
      <formula>AND(ISNUMBER(N107),COUNTIFS('Data - Monthly Metrics'!$A:$A,$B$4,'Data - Monthly Metrics'!$B:$B,N$8,'Data - Monthly Metrics'!$C:$C,"Majors/NRA",'Data - Monthly Metrics'!$D:$D,"Goal - Penetration %")&gt;0)</formula>
    </cfRule>
  </conditionalFormatting>
  <conditionalFormatting sqref="O107">
    <cfRule type="expression" rank="0" priority="328" equalAverage="0" aboveAverage="0" dxfId="0" stopIfTrue="1" text="" percent="0" bottom="0">
      <formula>AND(ISNUMBER(O107),COUNTIFS('Data - Monthly Metrics'!$A:$A,$B$4,'Data - Monthly Metrics'!$B:$B,O$8,'Data - Monthly Metrics'!$C:$C,"Majors/NRA",'Data - Monthly Metrics'!$D:$D,"Goal - Penetration %")&gt;0,O107&gt;=SUMIFS('Data - Monthly Metrics'!$E:$E,'Data - Monthly Metrics'!$A:$A,$B$4,'Data - Monthly Metrics'!$B:$B,O$8,'Data - Monthly Metrics'!$C:$C,"Majors/NRA",'Data - Monthly Metrics'!$D:$D,"Goal - Penetration %"))</formula>
    </cfRule>
    <cfRule type="expression" rank="0" priority="329" equalAverage="0" aboveAverage="0" dxfId="2" stopIfTrue="1" text="" percent="0" bottom="0">
      <formula>AND(ISNUMBER(O107),COUNTIFS('Data - Monthly Metrics'!$A:$A,$B$4,'Data - Monthly Metrics'!$B:$B,O$8,'Data - Monthly Metrics'!$C:$C,"Majors/NRA",'Data - Monthly Metrics'!$D:$D,"Goal - Penetration %")&gt;0,O107&gt;=SUMIFS('Data - Monthly Metrics'!$E:$E,'Data - Monthly Metrics'!$A:$A,$B$4,'Data - Monthly Metrics'!$B:$B,O$8,'Data - Monthly Metrics'!$C:$C,"Majors/NRA",'Data - Monthly Metrics'!$D:$D,"Goal - Penetration %")-0.05)</formula>
    </cfRule>
    <cfRule type="expression" rank="0" priority="330" equalAverage="0" aboveAverage="0" dxfId="1" stopIfTrue="1" text="" percent="0" bottom="0">
      <formula>AND(ISNUMBER(O107),COUNTIFS('Data - Monthly Metrics'!$A:$A,$B$4,'Data - Monthly Metrics'!$B:$B,O$8,'Data - Monthly Metrics'!$C:$C,"Majors/NRA",'Data - Monthly Metrics'!$D:$D,"Goal - Penetration %")&gt;0)</formula>
    </cfRule>
  </conditionalFormatting>
  <conditionalFormatting sqref="P107">
    <cfRule type="expression" rank="0" priority="331" equalAverage="0" aboveAverage="0" dxfId="0" stopIfTrue="1" text="" percent="0" bottom="0">
      <formula>AND(ISNUMBER(P107),COUNTIFS('Data - Monthly Metrics'!$A:$A,$B$4,'Data - Monthly Metrics'!$B:$B,P$8,'Data - Monthly Metrics'!$C:$C,"Majors/NRA",'Data - Monthly Metrics'!$D:$D,"Goal - Penetration %")&gt;0,P107&gt;=SUMIFS('Data - Monthly Metrics'!$E:$E,'Data - Monthly Metrics'!$A:$A,$B$4,'Data - Monthly Metrics'!$B:$B,P$8,'Data - Monthly Metrics'!$C:$C,"Majors/NRA",'Data - Monthly Metrics'!$D:$D,"Goal - Penetration %"))</formula>
    </cfRule>
    <cfRule type="expression" rank="0" priority="332" equalAverage="0" aboveAverage="0" dxfId="2" stopIfTrue="1" text="" percent="0" bottom="0">
      <formula>AND(ISNUMBER(P107),COUNTIFS('Data - Monthly Metrics'!$A:$A,$B$4,'Data - Monthly Metrics'!$B:$B,P$8,'Data - Monthly Metrics'!$C:$C,"Majors/NRA",'Data - Monthly Metrics'!$D:$D,"Goal - Penetration %")&gt;0,P107&gt;=SUMIFS('Data - Monthly Metrics'!$E:$E,'Data - Monthly Metrics'!$A:$A,$B$4,'Data - Monthly Metrics'!$B:$B,P$8,'Data - Monthly Metrics'!$C:$C,"Majors/NRA",'Data - Monthly Metrics'!$D:$D,"Goal - Penetration %")-0.05)</formula>
    </cfRule>
    <cfRule type="expression" rank="0" priority="333" equalAverage="0" aboveAverage="0" dxfId="1" stopIfTrue="1" text="" percent="0" bottom="0">
      <formula>AND(ISNUMBER(P107),COUNTIFS('Data - Monthly Metrics'!$A:$A,$B$4,'Data - Monthly Metrics'!$B:$B,P$8,'Data - Monthly Metrics'!$C:$C,"Majors/NRA",'Data - Monthly Metrics'!$D:$D,"Goal - Penetration %")&gt;0)</formula>
    </cfRule>
  </conditionalFormatting>
  <conditionalFormatting sqref="B19">
    <cfRule type="expression" rank="0" priority="334" equalAverage="0" aboveAverage="0" dxfId="0" stopIfTrue="1" text="" percent="0" bottom="0">
      <formula>AND(ISNUMBER(B19),COUNTIFS('Data - Monthly Metrics'!$A:$A,$B$4-1,'Data - Monthly Metrics'!$B:$B,B$8,'Data - Monthly Metrics'!$C:$C,"Majors/NRA",'Data - Monthly Metrics'!$D:$D,"Goal - Retention %")&gt;0,B19&gt;=SUMIFS('Data - Monthly Metrics'!$E:$E,'Data - Monthly Metrics'!$A:$A,$B$4-1,'Data - Monthly Metrics'!$B:$B,B$8,'Data - Monthly Metrics'!$C:$C,"Majors/NRA",'Data - Monthly Metrics'!$D:$D,"Goal - Retention %"))</formula>
    </cfRule>
    <cfRule type="expression" rank="0" priority="335" equalAverage="0" aboveAverage="0" dxfId="2" stopIfTrue="1" text="" percent="0" bottom="0">
      <formula>AND(ISNUMBER(B19),COUNTIFS('Data - Monthly Metrics'!$A:$A,$B$4-1,'Data - Monthly Metrics'!$B:$B,B$8,'Data - Monthly Metrics'!$C:$C,"Majors/NRA",'Data - Monthly Metrics'!$D:$D,"Goal - Retention %")&gt;0,B19&gt;=SUMIFS('Data - Monthly Metrics'!$E:$E,'Data - Monthly Metrics'!$A:$A,$B$4-1,'Data - Monthly Metrics'!$B:$B,B$8,'Data - Monthly Metrics'!$C:$C,"Majors/NRA",'Data - Monthly Metrics'!$D:$D,"Goal - Retention %")-0.05)</formula>
    </cfRule>
    <cfRule type="expression" rank="0" priority="336" equalAverage="0" aboveAverage="0" dxfId="1" stopIfTrue="1" text="" percent="0" bottom="0">
      <formula>AND(ISNUMBER(B19),COUNTIFS('Data - Monthly Metrics'!$A:$A,$B$4-1,'Data - Monthly Metrics'!$B:$B,B$8,'Data - Monthly Metrics'!$C:$C,"Majors/NRA",'Data - Monthly Metrics'!$D:$D,"Goal - Retention %")&gt;0)</formula>
    </cfRule>
  </conditionalFormatting>
  <conditionalFormatting sqref="C19">
    <cfRule type="expression" rank="0" priority="337" equalAverage="0" aboveAverage="0" dxfId="0" stopIfTrue="1" text="" percent="0" bottom="0">
      <formula>AND(ISNUMBER(C19),COUNTIFS('Data - Monthly Metrics'!$A:$A,$B$4-1,'Data - Monthly Metrics'!$B:$B,C$8,'Data - Monthly Metrics'!$C:$C,"Majors/NRA",'Data - Monthly Metrics'!$D:$D,"Goal - Retention %")&gt;0,C19&gt;=SUMIFS('Data - Monthly Metrics'!$E:$E,'Data - Monthly Metrics'!$A:$A,$B$4-1,'Data - Monthly Metrics'!$B:$B,C$8,'Data - Monthly Metrics'!$C:$C,"Majors/NRA",'Data - Monthly Metrics'!$D:$D,"Goal - Retention %"))</formula>
    </cfRule>
    <cfRule type="expression" rank="0" priority="338" equalAverage="0" aboveAverage="0" dxfId="2" stopIfTrue="1" text="" percent="0" bottom="0">
      <formula>AND(ISNUMBER(C19),COUNTIFS('Data - Monthly Metrics'!$A:$A,$B$4-1,'Data - Monthly Metrics'!$B:$B,C$8,'Data - Monthly Metrics'!$C:$C,"Majors/NRA",'Data - Monthly Metrics'!$D:$D,"Goal - Retention %")&gt;0,C19&gt;=SUMIFS('Data - Monthly Metrics'!$E:$E,'Data - Monthly Metrics'!$A:$A,$B$4-1,'Data - Monthly Metrics'!$B:$B,C$8,'Data - Monthly Metrics'!$C:$C,"Majors/NRA",'Data - Monthly Metrics'!$D:$D,"Goal - Retention %")-0.05)</formula>
    </cfRule>
    <cfRule type="expression" rank="0" priority="339" equalAverage="0" aboveAverage="0" dxfId="1" stopIfTrue="1" text="" percent="0" bottom="0">
      <formula>AND(ISNUMBER(C19),COUNTIFS('Data - Monthly Metrics'!$A:$A,$B$4-1,'Data - Monthly Metrics'!$B:$B,C$8,'Data - Monthly Metrics'!$C:$C,"Majors/NRA",'Data - Monthly Metrics'!$D:$D,"Goal - Retention %")&gt;0)</formula>
    </cfRule>
  </conditionalFormatting>
  <conditionalFormatting sqref="D19">
    <cfRule type="expression" rank="0" priority="340" equalAverage="0" aboveAverage="0" dxfId="0" stopIfTrue="1" text="" percent="0" bottom="0">
      <formula>AND(ISNUMBER(D19),COUNTIFS('Data - Monthly Metrics'!$A:$A,$B$4-1,'Data - Monthly Metrics'!$B:$B,D$8,'Data - Monthly Metrics'!$C:$C,"Majors/NRA",'Data - Monthly Metrics'!$D:$D,"Goal - Retention %")&gt;0,D19&gt;=SUMIFS('Data - Monthly Metrics'!$E:$E,'Data - Monthly Metrics'!$A:$A,$B$4-1,'Data - Monthly Metrics'!$B:$B,D$8,'Data - Monthly Metrics'!$C:$C,"Majors/NRA",'Data - Monthly Metrics'!$D:$D,"Goal - Retention %"))</formula>
    </cfRule>
    <cfRule type="expression" rank="0" priority="341" equalAverage="0" aboveAverage="0" dxfId="2" stopIfTrue="1" text="" percent="0" bottom="0">
      <formula>AND(ISNUMBER(D19),COUNTIFS('Data - Monthly Metrics'!$A:$A,$B$4-1,'Data - Monthly Metrics'!$B:$B,D$8,'Data - Monthly Metrics'!$C:$C,"Majors/NRA",'Data - Monthly Metrics'!$D:$D,"Goal - Retention %")&gt;0,D19&gt;=SUMIFS('Data - Monthly Metrics'!$E:$E,'Data - Monthly Metrics'!$A:$A,$B$4-1,'Data - Monthly Metrics'!$B:$B,D$8,'Data - Monthly Metrics'!$C:$C,"Majors/NRA",'Data - Monthly Metrics'!$D:$D,"Goal - Retention %")-0.05)</formula>
    </cfRule>
    <cfRule type="expression" rank="0" priority="342" equalAverage="0" aboveAverage="0" dxfId="1" stopIfTrue="1" text="" percent="0" bottom="0">
      <formula>AND(ISNUMBER(D19),COUNTIFS('Data - Monthly Metrics'!$A:$A,$B$4-1,'Data - Monthly Metrics'!$B:$B,D$8,'Data - Monthly Metrics'!$C:$C,"Majors/NRA",'Data - Monthly Metrics'!$D:$D,"Goal - Retention %")&gt;0)</formula>
    </cfRule>
  </conditionalFormatting>
  <conditionalFormatting sqref="F19">
    <cfRule type="expression" rank="0" priority="343" equalAverage="0" aboveAverage="0" dxfId="0" stopIfTrue="1" text="" percent="0" bottom="0">
      <formula>AND(ISNUMBER(F19),COUNTIFS('Data - Monthly Metrics'!$A:$A,$B$4,'Data - Monthly Metrics'!$B:$B,F$8,'Data - Monthly Metrics'!$C:$C,"Majors/NRA",'Data - Monthly Metrics'!$D:$D,"Goal - Retention %")&gt;0,F19&gt;=SUMIFS('Data - Monthly Metrics'!$E:$E,'Data - Monthly Metrics'!$A:$A,$B$4,'Data - Monthly Metrics'!$B:$B,F$8,'Data - Monthly Metrics'!$C:$C,"Majors/NRA",'Data - Monthly Metrics'!$D:$D,"Goal - Retention %"))</formula>
    </cfRule>
    <cfRule type="expression" rank="0" priority="344" equalAverage="0" aboveAverage="0" dxfId="2" stopIfTrue="1" text="" percent="0" bottom="0">
      <formula>AND(ISNUMBER(F19),COUNTIFS('Data - Monthly Metrics'!$A:$A,$B$4,'Data - Monthly Metrics'!$B:$B,F$8,'Data - Monthly Metrics'!$C:$C,"Majors/NRA",'Data - Monthly Metrics'!$D:$D,"Goal - Retention %")&gt;0,F19&gt;=SUMIFS('Data - Monthly Metrics'!$E:$E,'Data - Monthly Metrics'!$A:$A,$B$4,'Data - Monthly Metrics'!$B:$B,F$8,'Data - Monthly Metrics'!$C:$C,"Majors/NRA",'Data - Monthly Metrics'!$D:$D,"Goal - Retention %")-0.05)</formula>
    </cfRule>
    <cfRule type="expression" rank="0" priority="345" equalAverage="0" aboveAverage="0" dxfId="1" stopIfTrue="1" text="" percent="0" bottom="0">
      <formula>AND(ISNUMBER(F19),COUNTIFS('Data - Monthly Metrics'!$A:$A,$B$4,'Data - Monthly Metrics'!$B:$B,F$8,'Data - Monthly Metrics'!$C:$C,"Majors/NRA",'Data - Monthly Metrics'!$D:$D,"Goal - Retention %")&gt;0)</formula>
    </cfRule>
  </conditionalFormatting>
  <conditionalFormatting sqref="G19">
    <cfRule type="expression" rank="0" priority="346" equalAverage="0" aboveAverage="0" dxfId="0" stopIfTrue="1" text="" percent="0" bottom="0">
      <formula>AND(ISNUMBER(G19),COUNTIFS('Data - Monthly Metrics'!$A:$A,$B$4,'Data - Monthly Metrics'!$B:$B,G$8,'Data - Monthly Metrics'!$C:$C,"Majors/NRA",'Data - Monthly Metrics'!$D:$D,"Goal - Retention %")&gt;0,G19&gt;=SUMIFS('Data - Monthly Metrics'!$E:$E,'Data - Monthly Metrics'!$A:$A,$B$4,'Data - Monthly Metrics'!$B:$B,G$8,'Data - Monthly Metrics'!$C:$C,"Majors/NRA",'Data - Monthly Metrics'!$D:$D,"Goal - Retention %"))</formula>
    </cfRule>
    <cfRule type="expression" rank="0" priority="347" equalAverage="0" aboveAverage="0" dxfId="2" stopIfTrue="1" text="" percent="0" bottom="0">
      <formula>AND(ISNUMBER(G19),COUNTIFS('Data - Monthly Metrics'!$A:$A,$B$4,'Data - Monthly Metrics'!$B:$B,G$8,'Data - Monthly Metrics'!$C:$C,"Majors/NRA",'Data - Monthly Metrics'!$D:$D,"Goal - Retention %")&gt;0,G19&gt;=SUMIFS('Data - Monthly Metrics'!$E:$E,'Data - Monthly Metrics'!$A:$A,$B$4,'Data - Monthly Metrics'!$B:$B,G$8,'Data - Monthly Metrics'!$C:$C,"Majors/NRA",'Data - Monthly Metrics'!$D:$D,"Goal - Retention %")-0.05)</formula>
    </cfRule>
    <cfRule type="expression" rank="0" priority="348" equalAverage="0" aboveAverage="0" dxfId="1" stopIfTrue="1" text="" percent="0" bottom="0">
      <formula>AND(ISNUMBER(G19),COUNTIFS('Data - Monthly Metrics'!$A:$A,$B$4,'Data - Monthly Metrics'!$B:$B,G$8,'Data - Monthly Metrics'!$C:$C,"Majors/NRA",'Data - Monthly Metrics'!$D:$D,"Goal - Retention %")&gt;0)</formula>
    </cfRule>
  </conditionalFormatting>
  <conditionalFormatting sqref="H19">
    <cfRule type="expression" rank="0" priority="349" equalAverage="0" aboveAverage="0" dxfId="0" stopIfTrue="1" text="" percent="0" bottom="0">
      <formula>AND(ISNUMBER(H19),COUNTIFS('Data - Monthly Metrics'!$A:$A,$B$4,'Data - Monthly Metrics'!$B:$B,H$8,'Data - Monthly Metrics'!$C:$C,"Majors/NRA",'Data - Monthly Metrics'!$D:$D,"Goal - Retention %")&gt;0,H19&gt;=SUMIFS('Data - Monthly Metrics'!$E:$E,'Data - Monthly Metrics'!$A:$A,$B$4,'Data - Monthly Metrics'!$B:$B,H$8,'Data - Monthly Metrics'!$C:$C,"Majors/NRA",'Data - Monthly Metrics'!$D:$D,"Goal - Retention %"))</formula>
    </cfRule>
    <cfRule type="expression" rank="0" priority="350" equalAverage="0" aboveAverage="0" dxfId="2" stopIfTrue="1" text="" percent="0" bottom="0">
      <formula>AND(ISNUMBER(H19),COUNTIFS('Data - Monthly Metrics'!$A:$A,$B$4,'Data - Monthly Metrics'!$B:$B,H$8,'Data - Monthly Metrics'!$C:$C,"Majors/NRA",'Data - Monthly Metrics'!$D:$D,"Goal - Retention %")&gt;0,H19&gt;=SUMIFS('Data - Monthly Metrics'!$E:$E,'Data - Monthly Metrics'!$A:$A,$B$4,'Data - Monthly Metrics'!$B:$B,H$8,'Data - Monthly Metrics'!$C:$C,"Majors/NRA",'Data - Monthly Metrics'!$D:$D,"Goal - Retention %")-0.05)</formula>
    </cfRule>
    <cfRule type="expression" rank="0" priority="351" equalAverage="0" aboveAverage="0" dxfId="1" stopIfTrue="1" text="" percent="0" bottom="0">
      <formula>AND(ISNUMBER(H19),COUNTIFS('Data - Monthly Metrics'!$A:$A,$B$4,'Data - Monthly Metrics'!$B:$B,H$8,'Data - Monthly Metrics'!$C:$C,"Majors/NRA",'Data - Monthly Metrics'!$D:$D,"Goal - Retention %")&gt;0)</formula>
    </cfRule>
  </conditionalFormatting>
  <conditionalFormatting sqref="J19">
    <cfRule type="expression" rank="0" priority="352" equalAverage="0" aboveAverage="0" dxfId="0" stopIfTrue="1" text="" percent="0" bottom="0">
      <formula>AND(ISNUMBER(J19),COUNTIFS('Data - Monthly Metrics'!$A:$A,$B$4,'Data - Monthly Metrics'!$B:$B,J$8,'Data - Monthly Metrics'!$C:$C,"Majors/NRA",'Data - Monthly Metrics'!$D:$D,"Goal - Retention %")&gt;0,J19&gt;=SUMIFS('Data - Monthly Metrics'!$E:$E,'Data - Monthly Metrics'!$A:$A,$B$4,'Data - Monthly Metrics'!$B:$B,J$8,'Data - Monthly Metrics'!$C:$C,"Majors/NRA",'Data - Monthly Metrics'!$D:$D,"Goal - Retention %"))</formula>
    </cfRule>
    <cfRule type="expression" rank="0" priority="353" equalAverage="0" aboveAverage="0" dxfId="2" stopIfTrue="1" text="" percent="0" bottom="0">
      <formula>AND(ISNUMBER(J19),COUNTIFS('Data - Monthly Metrics'!$A:$A,$B$4,'Data - Monthly Metrics'!$B:$B,J$8,'Data - Monthly Metrics'!$C:$C,"Majors/NRA",'Data - Monthly Metrics'!$D:$D,"Goal - Retention %")&gt;0,J19&gt;=SUMIFS('Data - Monthly Metrics'!$E:$E,'Data - Monthly Metrics'!$A:$A,$B$4,'Data - Monthly Metrics'!$B:$B,J$8,'Data - Monthly Metrics'!$C:$C,"Majors/NRA",'Data - Monthly Metrics'!$D:$D,"Goal - Retention %")-0.05)</formula>
    </cfRule>
    <cfRule type="expression" rank="0" priority="354" equalAverage="0" aboveAverage="0" dxfId="1" stopIfTrue="1" text="" percent="0" bottom="0">
      <formula>AND(ISNUMBER(J19),COUNTIFS('Data - Monthly Metrics'!$A:$A,$B$4,'Data - Monthly Metrics'!$B:$B,J$8,'Data - Monthly Metrics'!$C:$C,"Majors/NRA",'Data - Monthly Metrics'!$D:$D,"Goal - Retention %")&gt;0)</formula>
    </cfRule>
  </conditionalFormatting>
  <conditionalFormatting sqref="K19">
    <cfRule type="expression" rank="0" priority="355" equalAverage="0" aboveAverage="0" dxfId="0" stopIfTrue="1" text="" percent="0" bottom="0">
      <formula>AND(ISNUMBER(K19),COUNTIFS('Data - Monthly Metrics'!$A:$A,$B$4,'Data - Monthly Metrics'!$B:$B,K$8,'Data - Monthly Metrics'!$C:$C,"Majors/NRA",'Data - Monthly Metrics'!$D:$D,"Goal - Retention %")&gt;0,K19&gt;=SUMIFS('Data - Monthly Metrics'!$E:$E,'Data - Monthly Metrics'!$A:$A,$B$4,'Data - Monthly Metrics'!$B:$B,K$8,'Data - Monthly Metrics'!$C:$C,"Majors/NRA",'Data - Monthly Metrics'!$D:$D,"Goal - Retention %"))</formula>
    </cfRule>
    <cfRule type="expression" rank="0" priority="356" equalAverage="0" aboveAverage="0" dxfId="2" stopIfTrue="1" text="" percent="0" bottom="0">
      <formula>AND(ISNUMBER(K19),COUNTIFS('Data - Monthly Metrics'!$A:$A,$B$4,'Data - Monthly Metrics'!$B:$B,K$8,'Data - Monthly Metrics'!$C:$C,"Majors/NRA",'Data - Monthly Metrics'!$D:$D,"Goal - Retention %")&gt;0,K19&gt;=SUMIFS('Data - Monthly Metrics'!$E:$E,'Data - Monthly Metrics'!$A:$A,$B$4,'Data - Monthly Metrics'!$B:$B,K$8,'Data - Monthly Metrics'!$C:$C,"Majors/NRA",'Data - Monthly Metrics'!$D:$D,"Goal - Retention %")-0.05)</formula>
    </cfRule>
    <cfRule type="expression" rank="0" priority="357" equalAverage="0" aboveAverage="0" dxfId="1" stopIfTrue="1" text="" percent="0" bottom="0">
      <formula>AND(ISNUMBER(K19),COUNTIFS('Data - Monthly Metrics'!$A:$A,$B$4,'Data - Monthly Metrics'!$B:$B,K$8,'Data - Monthly Metrics'!$C:$C,"Majors/NRA",'Data - Monthly Metrics'!$D:$D,"Goal - Retention %")&gt;0)</formula>
    </cfRule>
  </conditionalFormatting>
  <conditionalFormatting sqref="L19">
    <cfRule type="expression" rank="0" priority="358" equalAverage="0" aboveAverage="0" dxfId="0" stopIfTrue="1" text="" percent="0" bottom="0">
      <formula>AND(ISNUMBER(L19),COUNTIFS('Data - Monthly Metrics'!$A:$A,$B$4,'Data - Monthly Metrics'!$B:$B,L$8,'Data - Monthly Metrics'!$C:$C,"Majors/NRA",'Data - Monthly Metrics'!$D:$D,"Goal - Retention %")&gt;0,L19&gt;=SUMIFS('Data - Monthly Metrics'!$E:$E,'Data - Monthly Metrics'!$A:$A,$B$4,'Data - Monthly Metrics'!$B:$B,L$8,'Data - Monthly Metrics'!$C:$C,"Majors/NRA",'Data - Monthly Metrics'!$D:$D,"Goal - Retention %"))</formula>
    </cfRule>
    <cfRule type="expression" rank="0" priority="359" equalAverage="0" aboveAverage="0" dxfId="2" stopIfTrue="1" text="" percent="0" bottom="0">
      <formula>AND(ISNUMBER(L19),COUNTIFS('Data - Monthly Metrics'!$A:$A,$B$4,'Data - Monthly Metrics'!$B:$B,L$8,'Data - Monthly Metrics'!$C:$C,"Majors/NRA",'Data - Monthly Metrics'!$D:$D,"Goal - Retention %")&gt;0,L19&gt;=SUMIFS('Data - Monthly Metrics'!$E:$E,'Data - Monthly Metrics'!$A:$A,$B$4,'Data - Monthly Metrics'!$B:$B,L$8,'Data - Monthly Metrics'!$C:$C,"Majors/NRA",'Data - Monthly Metrics'!$D:$D,"Goal - Retention %")-0.05)</formula>
    </cfRule>
    <cfRule type="expression" rank="0" priority="360" equalAverage="0" aboveAverage="0" dxfId="1" stopIfTrue="1" text="" percent="0" bottom="0">
      <formula>AND(ISNUMBER(L19),COUNTIFS('Data - Monthly Metrics'!$A:$A,$B$4,'Data - Monthly Metrics'!$B:$B,L$8,'Data - Monthly Metrics'!$C:$C,"Majors/NRA",'Data - Monthly Metrics'!$D:$D,"Goal - Retention %")&gt;0)</formula>
    </cfRule>
  </conditionalFormatting>
  <conditionalFormatting sqref="N19">
    <cfRule type="expression" rank="0" priority="361" equalAverage="0" aboveAverage="0" dxfId="0" stopIfTrue="1" text="" percent="0" bottom="0">
      <formula>AND(ISNUMBER(N19),COUNTIFS('Data - Monthly Metrics'!$A:$A,$B$4,'Data - Monthly Metrics'!$B:$B,N$8,'Data - Monthly Metrics'!$C:$C,"Majors/NRA",'Data - Monthly Metrics'!$D:$D,"Goal - Retention %")&gt;0,N19&gt;=SUMIFS('Data - Monthly Metrics'!$E:$E,'Data - Monthly Metrics'!$A:$A,$B$4,'Data - Monthly Metrics'!$B:$B,N$8,'Data - Monthly Metrics'!$C:$C,"Majors/NRA",'Data - Monthly Metrics'!$D:$D,"Goal - Retention %"))</formula>
    </cfRule>
    <cfRule type="expression" rank="0" priority="362" equalAverage="0" aboveAverage="0" dxfId="2" stopIfTrue="1" text="" percent="0" bottom="0">
      <formula>AND(ISNUMBER(N19),COUNTIFS('Data - Monthly Metrics'!$A:$A,$B$4,'Data - Monthly Metrics'!$B:$B,N$8,'Data - Monthly Metrics'!$C:$C,"Majors/NRA",'Data - Monthly Metrics'!$D:$D,"Goal - Retention %")&gt;0,N19&gt;=SUMIFS('Data - Monthly Metrics'!$E:$E,'Data - Monthly Metrics'!$A:$A,$B$4,'Data - Monthly Metrics'!$B:$B,N$8,'Data - Monthly Metrics'!$C:$C,"Majors/NRA",'Data - Monthly Metrics'!$D:$D,"Goal - Retention %")-0.05)</formula>
    </cfRule>
    <cfRule type="expression" rank="0" priority="363" equalAverage="0" aboveAverage="0" dxfId="1" stopIfTrue="1" text="" percent="0" bottom="0">
      <formula>AND(ISNUMBER(N19),COUNTIFS('Data - Monthly Metrics'!$A:$A,$B$4,'Data - Monthly Metrics'!$B:$B,N$8,'Data - Monthly Metrics'!$C:$C,"Majors/NRA",'Data - Monthly Metrics'!$D:$D,"Goal - Retention %")&gt;0)</formula>
    </cfRule>
  </conditionalFormatting>
  <conditionalFormatting sqref="O19">
    <cfRule type="expression" rank="0" priority="364" equalAverage="0" aboveAverage="0" dxfId="0" stopIfTrue="1" text="" percent="0" bottom="0">
      <formula>AND(ISNUMBER(O19),COUNTIFS('Data - Monthly Metrics'!$A:$A,$B$4,'Data - Monthly Metrics'!$B:$B,O$8,'Data - Monthly Metrics'!$C:$C,"Majors/NRA",'Data - Monthly Metrics'!$D:$D,"Goal - Retention %")&gt;0,O19&gt;=SUMIFS('Data - Monthly Metrics'!$E:$E,'Data - Monthly Metrics'!$A:$A,$B$4,'Data - Monthly Metrics'!$B:$B,O$8,'Data - Monthly Metrics'!$C:$C,"Majors/NRA",'Data - Monthly Metrics'!$D:$D,"Goal - Retention %"))</formula>
    </cfRule>
    <cfRule type="expression" rank="0" priority="365" equalAverage="0" aboveAverage="0" dxfId="2" stopIfTrue="1" text="" percent="0" bottom="0">
      <formula>AND(ISNUMBER(O19),COUNTIFS('Data - Monthly Metrics'!$A:$A,$B$4,'Data - Monthly Metrics'!$B:$B,O$8,'Data - Monthly Metrics'!$C:$C,"Majors/NRA",'Data - Monthly Metrics'!$D:$D,"Goal - Retention %")&gt;0,O19&gt;=SUMIFS('Data - Monthly Metrics'!$E:$E,'Data - Monthly Metrics'!$A:$A,$B$4,'Data - Monthly Metrics'!$B:$B,O$8,'Data - Monthly Metrics'!$C:$C,"Majors/NRA",'Data - Monthly Metrics'!$D:$D,"Goal - Retention %")-0.05)</formula>
    </cfRule>
    <cfRule type="expression" rank="0" priority="366" equalAverage="0" aboveAverage="0" dxfId="1" stopIfTrue="1" text="" percent="0" bottom="0">
      <formula>AND(ISNUMBER(O19),COUNTIFS('Data - Monthly Metrics'!$A:$A,$B$4,'Data - Monthly Metrics'!$B:$B,O$8,'Data - Monthly Metrics'!$C:$C,"Majors/NRA",'Data - Monthly Metrics'!$D:$D,"Goal - Retention %")&gt;0)</formula>
    </cfRule>
  </conditionalFormatting>
  <conditionalFormatting sqref="P19">
    <cfRule type="expression" rank="0" priority="367" equalAverage="0" aboveAverage="0" dxfId="0" stopIfTrue="1" text="" percent="0" bottom="0">
      <formula>AND(ISNUMBER(P19),COUNTIFS('Data - Monthly Metrics'!$A:$A,$B$4,'Data - Monthly Metrics'!$B:$B,P$8,'Data - Monthly Metrics'!$C:$C,"Majors/NRA",'Data - Monthly Metrics'!$D:$D,"Goal - Retention %")&gt;0,P19&gt;=SUMIFS('Data - Monthly Metrics'!$E:$E,'Data - Monthly Metrics'!$A:$A,$B$4,'Data - Monthly Metrics'!$B:$B,P$8,'Data - Monthly Metrics'!$C:$C,"Majors/NRA",'Data - Monthly Metrics'!$D:$D,"Goal - Retention %"))</formula>
    </cfRule>
    <cfRule type="expression" rank="0" priority="368" equalAverage="0" aboveAverage="0" dxfId="2" stopIfTrue="1" text="" percent="0" bottom="0">
      <formula>AND(ISNUMBER(P19),COUNTIFS('Data - Monthly Metrics'!$A:$A,$B$4,'Data - Monthly Metrics'!$B:$B,P$8,'Data - Monthly Metrics'!$C:$C,"Majors/NRA",'Data - Monthly Metrics'!$D:$D,"Goal - Retention %")&gt;0,P19&gt;=SUMIFS('Data - Monthly Metrics'!$E:$E,'Data - Monthly Metrics'!$A:$A,$B$4,'Data - Monthly Metrics'!$B:$B,P$8,'Data - Monthly Metrics'!$C:$C,"Majors/NRA",'Data - Monthly Metrics'!$D:$D,"Goal - Retention %")-0.05)</formula>
    </cfRule>
    <cfRule type="expression" rank="0" priority="369" equalAverage="0" aboveAverage="0" dxfId="1" stopIfTrue="1" text="" percent="0" bottom="0">
      <formula>AND(ISNUMBER(P19),COUNTIFS('Data - Monthly Metrics'!$A:$A,$B$4,'Data - Monthly Metrics'!$B:$B,P$8,'Data - Monthly Metrics'!$C:$C,"Majors/NRA",'Data - Monthly Metrics'!$D:$D,"Goal - Retention %")&gt;0)</formula>
    </cfRule>
  </conditionalFormatting>
  <conditionalFormatting sqref="B28">
    <cfRule type="expression" rank="0" priority="370" equalAverage="0" aboveAverage="0" dxfId="0" stopIfTrue="1" text="" percent="0" bottom="0">
      <formula>AND(ISNUMBER(B28),COUNTIFS('Data - Monthly Metrics'!$A:$A,$B$4-1,'Data - Monthly Metrics'!$B:$B,B$8,'Data - Monthly Metrics'!$C:$C,"Majors/NRA",'Data - Monthly Metrics'!$D:$D,"Goal - Retention %")&gt;0,B28&gt;=SUMIFS('Data - Monthly Metrics'!$E:$E,'Data - Monthly Metrics'!$A:$A,$B$4-1,'Data - Monthly Metrics'!$B:$B,B$8,'Data - Monthly Metrics'!$C:$C,"Majors/NRA",'Data - Monthly Metrics'!$D:$D,"Goal - Retention %"))</formula>
    </cfRule>
    <cfRule type="expression" rank="0" priority="371" equalAverage="0" aboveAverage="0" dxfId="2" stopIfTrue="1" text="" percent="0" bottom="0">
      <formula>AND(ISNUMBER(B28),COUNTIFS('Data - Monthly Metrics'!$A:$A,$B$4-1,'Data - Monthly Metrics'!$B:$B,B$8,'Data - Monthly Metrics'!$C:$C,"Majors/NRA",'Data - Monthly Metrics'!$D:$D,"Goal - Retention %")&gt;0,B28&gt;=SUMIFS('Data - Monthly Metrics'!$E:$E,'Data - Monthly Metrics'!$A:$A,$B$4-1,'Data - Monthly Metrics'!$B:$B,B$8,'Data - Monthly Metrics'!$C:$C,"Majors/NRA",'Data - Monthly Metrics'!$D:$D,"Goal - Retention %")-0.05)</formula>
    </cfRule>
    <cfRule type="expression" rank="0" priority="372" equalAverage="0" aboveAverage="0" dxfId="1" stopIfTrue="1" text="" percent="0" bottom="0">
      <formula>AND(ISNUMBER(B28),COUNTIFS('Data - Monthly Metrics'!$A:$A,$B$4-1,'Data - Monthly Metrics'!$B:$B,B$8,'Data - Monthly Metrics'!$C:$C,"Majors/NRA",'Data - Monthly Metrics'!$D:$D,"Goal - Retention %")&gt;0)</formula>
    </cfRule>
  </conditionalFormatting>
  <conditionalFormatting sqref="C28">
    <cfRule type="expression" rank="0" priority="373" equalAverage="0" aboveAverage="0" dxfId="0" stopIfTrue="1" text="" percent="0" bottom="0">
      <formula>AND(ISNUMBER(C28),COUNTIFS('Data - Monthly Metrics'!$A:$A,$B$4-1,'Data - Monthly Metrics'!$B:$B,C$8,'Data - Monthly Metrics'!$C:$C,"Majors/NRA",'Data - Monthly Metrics'!$D:$D,"Goal - Retention %")&gt;0,C28&gt;=SUMIFS('Data - Monthly Metrics'!$E:$E,'Data - Monthly Metrics'!$A:$A,$B$4-1,'Data - Monthly Metrics'!$B:$B,C$8,'Data - Monthly Metrics'!$C:$C,"Majors/NRA",'Data - Monthly Metrics'!$D:$D,"Goal - Retention %"))</formula>
    </cfRule>
    <cfRule type="expression" rank="0" priority="374" equalAverage="0" aboveAverage="0" dxfId="2" stopIfTrue="1" text="" percent="0" bottom="0">
      <formula>AND(ISNUMBER(C28),COUNTIFS('Data - Monthly Metrics'!$A:$A,$B$4-1,'Data - Monthly Metrics'!$B:$B,C$8,'Data - Monthly Metrics'!$C:$C,"Majors/NRA",'Data - Monthly Metrics'!$D:$D,"Goal - Retention %")&gt;0,C28&gt;=SUMIFS('Data - Monthly Metrics'!$E:$E,'Data - Monthly Metrics'!$A:$A,$B$4-1,'Data - Monthly Metrics'!$B:$B,C$8,'Data - Monthly Metrics'!$C:$C,"Majors/NRA",'Data - Monthly Metrics'!$D:$D,"Goal - Retention %")-0.05)</formula>
    </cfRule>
    <cfRule type="expression" rank="0" priority="375" equalAverage="0" aboveAverage="0" dxfId="1" stopIfTrue="1" text="" percent="0" bottom="0">
      <formula>AND(ISNUMBER(C28),COUNTIFS('Data - Monthly Metrics'!$A:$A,$B$4-1,'Data - Monthly Metrics'!$B:$B,C$8,'Data - Monthly Metrics'!$C:$C,"Majors/NRA",'Data - Monthly Metrics'!$D:$D,"Goal - Retention %")&gt;0)</formula>
    </cfRule>
  </conditionalFormatting>
  <conditionalFormatting sqref="D28">
    <cfRule type="expression" rank="0" priority="376" equalAverage="0" aboveAverage="0" dxfId="0" stopIfTrue="1" text="" percent="0" bottom="0">
      <formula>AND(ISNUMBER(D28),COUNTIFS('Data - Monthly Metrics'!$A:$A,$B$4-1,'Data - Monthly Metrics'!$B:$B,D$8,'Data - Monthly Metrics'!$C:$C,"Majors/NRA",'Data - Monthly Metrics'!$D:$D,"Goal - Retention %")&gt;0,D28&gt;=SUMIFS('Data - Monthly Metrics'!$E:$E,'Data - Monthly Metrics'!$A:$A,$B$4-1,'Data - Monthly Metrics'!$B:$B,D$8,'Data - Monthly Metrics'!$C:$C,"Majors/NRA",'Data - Monthly Metrics'!$D:$D,"Goal - Retention %"))</formula>
    </cfRule>
    <cfRule type="expression" rank="0" priority="377" equalAverage="0" aboveAverage="0" dxfId="2" stopIfTrue="1" text="" percent="0" bottom="0">
      <formula>AND(ISNUMBER(D28),COUNTIFS('Data - Monthly Metrics'!$A:$A,$B$4-1,'Data - Monthly Metrics'!$B:$B,D$8,'Data - Monthly Metrics'!$C:$C,"Majors/NRA",'Data - Monthly Metrics'!$D:$D,"Goal - Retention %")&gt;0,D28&gt;=SUMIFS('Data - Monthly Metrics'!$E:$E,'Data - Monthly Metrics'!$A:$A,$B$4-1,'Data - Monthly Metrics'!$B:$B,D$8,'Data - Monthly Metrics'!$C:$C,"Majors/NRA",'Data - Monthly Metrics'!$D:$D,"Goal - Retention %")-0.05)</formula>
    </cfRule>
    <cfRule type="expression" rank="0" priority="378" equalAverage="0" aboveAverage="0" dxfId="1" stopIfTrue="1" text="" percent="0" bottom="0">
      <formula>AND(ISNUMBER(D28),COUNTIFS('Data - Monthly Metrics'!$A:$A,$B$4-1,'Data - Monthly Metrics'!$B:$B,D$8,'Data - Monthly Metrics'!$C:$C,"Majors/NRA",'Data - Monthly Metrics'!$D:$D,"Goal - Retention %")&gt;0)</formula>
    </cfRule>
  </conditionalFormatting>
  <conditionalFormatting sqref="F28">
    <cfRule type="expression" rank="0" priority="379" equalAverage="0" aboveAverage="0" dxfId="0" stopIfTrue="1" text="" percent="0" bottom="0">
      <formula>AND(ISNUMBER(F28),COUNTIFS('Data - Monthly Metrics'!$A:$A,$B$4,'Data - Monthly Metrics'!$B:$B,F$8,'Data - Monthly Metrics'!$C:$C,"Majors/NRA",'Data - Monthly Metrics'!$D:$D,"Goal - Retention %")&gt;0,F28&gt;=SUMIFS('Data - Monthly Metrics'!$E:$E,'Data - Monthly Metrics'!$A:$A,$B$4,'Data - Monthly Metrics'!$B:$B,F$8,'Data - Monthly Metrics'!$C:$C,"Majors/NRA",'Data - Monthly Metrics'!$D:$D,"Goal - Retention %"))</formula>
    </cfRule>
    <cfRule type="expression" rank="0" priority="380" equalAverage="0" aboveAverage="0" dxfId="2" stopIfTrue="1" text="" percent="0" bottom="0">
      <formula>AND(ISNUMBER(F28),COUNTIFS('Data - Monthly Metrics'!$A:$A,$B$4,'Data - Monthly Metrics'!$B:$B,F$8,'Data - Monthly Metrics'!$C:$C,"Majors/NRA",'Data - Monthly Metrics'!$D:$D,"Goal - Retention %")&gt;0,F28&gt;=SUMIFS('Data - Monthly Metrics'!$E:$E,'Data - Monthly Metrics'!$A:$A,$B$4,'Data - Monthly Metrics'!$B:$B,F$8,'Data - Monthly Metrics'!$C:$C,"Majors/NRA",'Data - Monthly Metrics'!$D:$D,"Goal - Retention %")-0.05)</formula>
    </cfRule>
    <cfRule type="expression" rank="0" priority="381" equalAverage="0" aboveAverage="0" dxfId="1" stopIfTrue="1" text="" percent="0" bottom="0">
      <formula>AND(ISNUMBER(F28),COUNTIFS('Data - Monthly Metrics'!$A:$A,$B$4,'Data - Monthly Metrics'!$B:$B,F$8,'Data - Monthly Metrics'!$C:$C,"Majors/NRA",'Data - Monthly Metrics'!$D:$D,"Goal - Retention %")&gt;0)</formula>
    </cfRule>
  </conditionalFormatting>
  <conditionalFormatting sqref="G28">
    <cfRule type="expression" rank="0" priority="382" equalAverage="0" aboveAverage="0" dxfId="0" stopIfTrue="1" text="" percent="0" bottom="0">
      <formula>AND(ISNUMBER(G28),COUNTIFS('Data - Monthly Metrics'!$A:$A,$B$4,'Data - Monthly Metrics'!$B:$B,G$8,'Data - Monthly Metrics'!$C:$C,"Majors/NRA",'Data - Monthly Metrics'!$D:$D,"Goal - Retention %")&gt;0,G28&gt;=SUMIFS('Data - Monthly Metrics'!$E:$E,'Data - Monthly Metrics'!$A:$A,$B$4,'Data - Monthly Metrics'!$B:$B,G$8,'Data - Monthly Metrics'!$C:$C,"Majors/NRA",'Data - Monthly Metrics'!$D:$D,"Goal - Retention %"))</formula>
    </cfRule>
    <cfRule type="expression" rank="0" priority="383" equalAverage="0" aboveAverage="0" dxfId="2" stopIfTrue="1" text="" percent="0" bottom="0">
      <formula>AND(ISNUMBER(G28),COUNTIFS('Data - Monthly Metrics'!$A:$A,$B$4,'Data - Monthly Metrics'!$B:$B,G$8,'Data - Monthly Metrics'!$C:$C,"Majors/NRA",'Data - Monthly Metrics'!$D:$D,"Goal - Retention %")&gt;0,G28&gt;=SUMIFS('Data - Monthly Metrics'!$E:$E,'Data - Monthly Metrics'!$A:$A,$B$4,'Data - Monthly Metrics'!$B:$B,G$8,'Data - Monthly Metrics'!$C:$C,"Majors/NRA",'Data - Monthly Metrics'!$D:$D,"Goal - Retention %")-0.05)</formula>
    </cfRule>
    <cfRule type="expression" rank="0" priority="384" equalAverage="0" aboveAverage="0" dxfId="1" stopIfTrue="1" text="" percent="0" bottom="0">
      <formula>AND(ISNUMBER(G28),COUNTIFS('Data - Monthly Metrics'!$A:$A,$B$4,'Data - Monthly Metrics'!$B:$B,G$8,'Data - Monthly Metrics'!$C:$C,"Majors/NRA",'Data - Monthly Metrics'!$D:$D,"Goal - Retention %")&gt;0)</formula>
    </cfRule>
  </conditionalFormatting>
  <conditionalFormatting sqref="H28">
    <cfRule type="expression" rank="0" priority="385" equalAverage="0" aboveAverage="0" dxfId="0" stopIfTrue="1" text="" percent="0" bottom="0">
      <formula>AND(ISNUMBER(H28),COUNTIFS('Data - Monthly Metrics'!$A:$A,$B$4,'Data - Monthly Metrics'!$B:$B,H$8,'Data - Monthly Metrics'!$C:$C,"Majors/NRA",'Data - Monthly Metrics'!$D:$D,"Goal - Retention %")&gt;0,H28&gt;=SUMIFS('Data - Monthly Metrics'!$E:$E,'Data - Monthly Metrics'!$A:$A,$B$4,'Data - Monthly Metrics'!$B:$B,H$8,'Data - Monthly Metrics'!$C:$C,"Majors/NRA",'Data - Monthly Metrics'!$D:$D,"Goal - Retention %"))</formula>
    </cfRule>
    <cfRule type="expression" rank="0" priority="386" equalAverage="0" aboveAverage="0" dxfId="2" stopIfTrue="1" text="" percent="0" bottom="0">
      <formula>AND(ISNUMBER(H28),COUNTIFS('Data - Monthly Metrics'!$A:$A,$B$4,'Data - Monthly Metrics'!$B:$B,H$8,'Data - Monthly Metrics'!$C:$C,"Majors/NRA",'Data - Monthly Metrics'!$D:$D,"Goal - Retention %")&gt;0,H28&gt;=SUMIFS('Data - Monthly Metrics'!$E:$E,'Data - Monthly Metrics'!$A:$A,$B$4,'Data - Monthly Metrics'!$B:$B,H$8,'Data - Monthly Metrics'!$C:$C,"Majors/NRA",'Data - Monthly Metrics'!$D:$D,"Goal - Retention %")-0.05)</formula>
    </cfRule>
    <cfRule type="expression" rank="0" priority="387" equalAverage="0" aboveAverage="0" dxfId="1" stopIfTrue="1" text="" percent="0" bottom="0">
      <formula>AND(ISNUMBER(H28),COUNTIFS('Data - Monthly Metrics'!$A:$A,$B$4,'Data - Monthly Metrics'!$B:$B,H$8,'Data - Monthly Metrics'!$C:$C,"Majors/NRA",'Data - Monthly Metrics'!$D:$D,"Goal - Retention %")&gt;0)</formula>
    </cfRule>
  </conditionalFormatting>
  <conditionalFormatting sqref="J28">
    <cfRule type="expression" rank="0" priority="388" equalAverage="0" aboveAverage="0" dxfId="0" stopIfTrue="1" text="" percent="0" bottom="0">
      <formula>AND(ISNUMBER(J28),COUNTIFS('Data - Monthly Metrics'!$A:$A,$B$4,'Data - Monthly Metrics'!$B:$B,J$8,'Data - Monthly Metrics'!$C:$C,"Majors/NRA",'Data - Monthly Metrics'!$D:$D,"Goal - Retention %")&gt;0,J28&gt;=SUMIFS('Data - Monthly Metrics'!$E:$E,'Data - Monthly Metrics'!$A:$A,$B$4,'Data - Monthly Metrics'!$B:$B,J$8,'Data - Monthly Metrics'!$C:$C,"Majors/NRA",'Data - Monthly Metrics'!$D:$D,"Goal - Retention %"))</formula>
    </cfRule>
    <cfRule type="expression" rank="0" priority="389" equalAverage="0" aboveAverage="0" dxfId="2" stopIfTrue="1" text="" percent="0" bottom="0">
      <formula>AND(ISNUMBER(J28),COUNTIFS('Data - Monthly Metrics'!$A:$A,$B$4,'Data - Monthly Metrics'!$B:$B,J$8,'Data - Monthly Metrics'!$C:$C,"Majors/NRA",'Data - Monthly Metrics'!$D:$D,"Goal - Retention %")&gt;0,J28&gt;=SUMIFS('Data - Monthly Metrics'!$E:$E,'Data - Monthly Metrics'!$A:$A,$B$4,'Data - Monthly Metrics'!$B:$B,J$8,'Data - Monthly Metrics'!$C:$C,"Majors/NRA",'Data - Monthly Metrics'!$D:$D,"Goal - Retention %")-0.05)</formula>
    </cfRule>
    <cfRule type="expression" rank="0" priority="390" equalAverage="0" aboveAverage="0" dxfId="1" stopIfTrue="1" text="" percent="0" bottom="0">
      <formula>AND(ISNUMBER(J28),COUNTIFS('Data - Monthly Metrics'!$A:$A,$B$4,'Data - Monthly Metrics'!$B:$B,J$8,'Data - Monthly Metrics'!$C:$C,"Majors/NRA",'Data - Monthly Metrics'!$D:$D,"Goal - Retention %")&gt;0)</formula>
    </cfRule>
  </conditionalFormatting>
  <conditionalFormatting sqref="K28">
    <cfRule type="expression" rank="0" priority="391" equalAverage="0" aboveAverage="0" dxfId="0" stopIfTrue="1" text="" percent="0" bottom="0">
      <formula>AND(ISNUMBER(K28),COUNTIFS('Data - Monthly Metrics'!$A:$A,$B$4,'Data - Monthly Metrics'!$B:$B,K$8,'Data - Monthly Metrics'!$C:$C,"Majors/NRA",'Data - Monthly Metrics'!$D:$D,"Goal - Retention %")&gt;0,K28&gt;=SUMIFS('Data - Monthly Metrics'!$E:$E,'Data - Monthly Metrics'!$A:$A,$B$4,'Data - Monthly Metrics'!$B:$B,K$8,'Data - Monthly Metrics'!$C:$C,"Majors/NRA",'Data - Monthly Metrics'!$D:$D,"Goal - Retention %"))</formula>
    </cfRule>
    <cfRule type="expression" rank="0" priority="392" equalAverage="0" aboveAverage="0" dxfId="2" stopIfTrue="1" text="" percent="0" bottom="0">
      <formula>AND(ISNUMBER(K28),COUNTIFS('Data - Monthly Metrics'!$A:$A,$B$4,'Data - Monthly Metrics'!$B:$B,K$8,'Data - Monthly Metrics'!$C:$C,"Majors/NRA",'Data - Monthly Metrics'!$D:$D,"Goal - Retention %")&gt;0,K28&gt;=SUMIFS('Data - Monthly Metrics'!$E:$E,'Data - Monthly Metrics'!$A:$A,$B$4,'Data - Monthly Metrics'!$B:$B,K$8,'Data - Monthly Metrics'!$C:$C,"Majors/NRA",'Data - Monthly Metrics'!$D:$D,"Goal - Retention %")-0.05)</formula>
    </cfRule>
    <cfRule type="expression" rank="0" priority="393" equalAverage="0" aboveAverage="0" dxfId="1" stopIfTrue="1" text="" percent="0" bottom="0">
      <formula>AND(ISNUMBER(K28),COUNTIFS('Data - Monthly Metrics'!$A:$A,$B$4,'Data - Monthly Metrics'!$B:$B,K$8,'Data - Monthly Metrics'!$C:$C,"Majors/NRA",'Data - Monthly Metrics'!$D:$D,"Goal - Retention %")&gt;0)</formula>
    </cfRule>
  </conditionalFormatting>
  <conditionalFormatting sqref="L28">
    <cfRule type="expression" rank="0" priority="394" equalAverage="0" aboveAverage="0" dxfId="0" stopIfTrue="1" text="" percent="0" bottom="0">
      <formula>AND(ISNUMBER(L28),COUNTIFS('Data - Monthly Metrics'!$A:$A,$B$4,'Data - Monthly Metrics'!$B:$B,L$8,'Data - Monthly Metrics'!$C:$C,"Majors/NRA",'Data - Monthly Metrics'!$D:$D,"Goal - Retention %")&gt;0,L28&gt;=SUMIFS('Data - Monthly Metrics'!$E:$E,'Data - Monthly Metrics'!$A:$A,$B$4,'Data - Monthly Metrics'!$B:$B,L$8,'Data - Monthly Metrics'!$C:$C,"Majors/NRA",'Data - Monthly Metrics'!$D:$D,"Goal - Retention %"))</formula>
    </cfRule>
    <cfRule type="expression" rank="0" priority="395" equalAverage="0" aboveAverage="0" dxfId="2" stopIfTrue="1" text="" percent="0" bottom="0">
      <formula>AND(ISNUMBER(L28),COUNTIFS('Data - Monthly Metrics'!$A:$A,$B$4,'Data - Monthly Metrics'!$B:$B,L$8,'Data - Monthly Metrics'!$C:$C,"Majors/NRA",'Data - Monthly Metrics'!$D:$D,"Goal - Retention %")&gt;0,L28&gt;=SUMIFS('Data - Monthly Metrics'!$E:$E,'Data - Monthly Metrics'!$A:$A,$B$4,'Data - Monthly Metrics'!$B:$B,L$8,'Data - Monthly Metrics'!$C:$C,"Majors/NRA",'Data - Monthly Metrics'!$D:$D,"Goal - Retention %")-0.05)</formula>
    </cfRule>
    <cfRule type="expression" rank="0" priority="396" equalAverage="0" aboveAverage="0" dxfId="1" stopIfTrue="1" text="" percent="0" bottom="0">
      <formula>AND(ISNUMBER(L28),COUNTIFS('Data - Monthly Metrics'!$A:$A,$B$4,'Data - Monthly Metrics'!$B:$B,L$8,'Data - Monthly Metrics'!$C:$C,"Majors/NRA",'Data - Monthly Metrics'!$D:$D,"Goal - Retention %")&gt;0)</formula>
    </cfRule>
  </conditionalFormatting>
  <conditionalFormatting sqref="N28">
    <cfRule type="expression" rank="0" priority="397" equalAverage="0" aboveAverage="0" dxfId="0" stopIfTrue="1" text="" percent="0" bottom="0">
      <formula>AND(ISNUMBER(N28),COUNTIFS('Data - Monthly Metrics'!$A:$A,$B$4,'Data - Monthly Metrics'!$B:$B,N$8,'Data - Monthly Metrics'!$C:$C,"Majors/NRA",'Data - Monthly Metrics'!$D:$D,"Goal - Retention %")&gt;0,N28&gt;=SUMIFS('Data - Monthly Metrics'!$E:$E,'Data - Monthly Metrics'!$A:$A,$B$4,'Data - Monthly Metrics'!$B:$B,N$8,'Data - Monthly Metrics'!$C:$C,"Majors/NRA",'Data - Monthly Metrics'!$D:$D,"Goal - Retention %"))</formula>
    </cfRule>
    <cfRule type="expression" rank="0" priority="398" equalAverage="0" aboveAverage="0" dxfId="2" stopIfTrue="1" text="" percent="0" bottom="0">
      <formula>AND(ISNUMBER(N28),COUNTIFS('Data - Monthly Metrics'!$A:$A,$B$4,'Data - Monthly Metrics'!$B:$B,N$8,'Data - Monthly Metrics'!$C:$C,"Majors/NRA",'Data - Monthly Metrics'!$D:$D,"Goal - Retention %")&gt;0,N28&gt;=SUMIFS('Data - Monthly Metrics'!$E:$E,'Data - Monthly Metrics'!$A:$A,$B$4,'Data - Monthly Metrics'!$B:$B,N$8,'Data - Monthly Metrics'!$C:$C,"Majors/NRA",'Data - Monthly Metrics'!$D:$D,"Goal - Retention %")-0.05)</formula>
    </cfRule>
    <cfRule type="expression" rank="0" priority="399" equalAverage="0" aboveAverage="0" dxfId="1" stopIfTrue="1" text="" percent="0" bottom="0">
      <formula>AND(ISNUMBER(N28),COUNTIFS('Data - Monthly Metrics'!$A:$A,$B$4,'Data - Monthly Metrics'!$B:$B,N$8,'Data - Monthly Metrics'!$C:$C,"Majors/NRA",'Data - Monthly Metrics'!$D:$D,"Goal - Retention %")&gt;0)</formula>
    </cfRule>
  </conditionalFormatting>
  <conditionalFormatting sqref="O28">
    <cfRule type="expression" rank="0" priority="400" equalAverage="0" aboveAverage="0" dxfId="0" stopIfTrue="1" text="" percent="0" bottom="0">
      <formula>AND(ISNUMBER(O28),COUNTIFS('Data - Monthly Metrics'!$A:$A,$B$4,'Data - Monthly Metrics'!$B:$B,O$8,'Data - Monthly Metrics'!$C:$C,"Majors/NRA",'Data - Monthly Metrics'!$D:$D,"Goal - Retention %")&gt;0,O28&gt;=SUMIFS('Data - Monthly Metrics'!$E:$E,'Data - Monthly Metrics'!$A:$A,$B$4,'Data - Monthly Metrics'!$B:$B,O$8,'Data - Monthly Metrics'!$C:$C,"Majors/NRA",'Data - Monthly Metrics'!$D:$D,"Goal - Retention %"))</formula>
    </cfRule>
    <cfRule type="expression" rank="0" priority="401" equalAverage="0" aboveAverage="0" dxfId="2" stopIfTrue="1" text="" percent="0" bottom="0">
      <formula>AND(ISNUMBER(O28),COUNTIFS('Data - Monthly Metrics'!$A:$A,$B$4,'Data - Monthly Metrics'!$B:$B,O$8,'Data - Monthly Metrics'!$C:$C,"Majors/NRA",'Data - Monthly Metrics'!$D:$D,"Goal - Retention %")&gt;0,O28&gt;=SUMIFS('Data - Monthly Metrics'!$E:$E,'Data - Monthly Metrics'!$A:$A,$B$4,'Data - Monthly Metrics'!$B:$B,O$8,'Data - Monthly Metrics'!$C:$C,"Majors/NRA",'Data - Monthly Metrics'!$D:$D,"Goal - Retention %")-0.05)</formula>
    </cfRule>
    <cfRule type="expression" rank="0" priority="402" equalAverage="0" aboveAverage="0" dxfId="1" stopIfTrue="1" text="" percent="0" bottom="0">
      <formula>AND(ISNUMBER(O28),COUNTIFS('Data - Monthly Metrics'!$A:$A,$B$4,'Data - Monthly Metrics'!$B:$B,O$8,'Data - Monthly Metrics'!$C:$C,"Majors/NRA",'Data - Monthly Metrics'!$D:$D,"Goal - Retention %")&gt;0)</formula>
    </cfRule>
  </conditionalFormatting>
  <conditionalFormatting sqref="P28">
    <cfRule type="expression" rank="0" priority="403" equalAverage="0" aboveAverage="0" dxfId="0" stopIfTrue="1" text="" percent="0" bottom="0">
      <formula>AND(ISNUMBER(P28),COUNTIFS('Data - Monthly Metrics'!$A:$A,$B$4,'Data - Monthly Metrics'!$B:$B,P$8,'Data - Monthly Metrics'!$C:$C,"Majors/NRA",'Data - Monthly Metrics'!$D:$D,"Goal - Retention %")&gt;0,P28&gt;=SUMIFS('Data - Monthly Metrics'!$E:$E,'Data - Monthly Metrics'!$A:$A,$B$4,'Data - Monthly Metrics'!$B:$B,P$8,'Data - Monthly Metrics'!$C:$C,"Majors/NRA",'Data - Monthly Metrics'!$D:$D,"Goal - Retention %"))</formula>
    </cfRule>
    <cfRule type="expression" rank="0" priority="404" equalAverage="0" aboveAverage="0" dxfId="2" stopIfTrue="1" text="" percent="0" bottom="0">
      <formula>AND(ISNUMBER(P28),COUNTIFS('Data - Monthly Metrics'!$A:$A,$B$4,'Data - Monthly Metrics'!$B:$B,P$8,'Data - Monthly Metrics'!$C:$C,"Majors/NRA",'Data - Monthly Metrics'!$D:$D,"Goal - Retention %")&gt;0,P28&gt;=SUMIFS('Data - Monthly Metrics'!$E:$E,'Data - Monthly Metrics'!$A:$A,$B$4,'Data - Monthly Metrics'!$B:$B,P$8,'Data - Monthly Metrics'!$C:$C,"Majors/NRA",'Data - Monthly Metrics'!$D:$D,"Goal - Retention %")-0.05)</formula>
    </cfRule>
    <cfRule type="expression" rank="0" priority="405" equalAverage="0" aboveAverage="0" dxfId="1" stopIfTrue="1" text="" percent="0" bottom="0">
      <formula>AND(ISNUMBER(P28),COUNTIFS('Data - Monthly Metrics'!$A:$A,$B$4,'Data - Monthly Metrics'!$B:$B,P$8,'Data - Monthly Metrics'!$C:$C,"Majors/NRA",'Data - Monthly Metrics'!$D:$D,"Goal - Retention %")&gt;0)</formula>
    </cfRule>
  </conditionalFormatting>
  <conditionalFormatting sqref="B29">
    <cfRule type="expression" rank="0" priority="406" equalAverage="0" aboveAverage="0" dxfId="0" stopIfTrue="1" text="" percent="0" bottom="0">
      <formula>AND(ISNUMBER(B29),COUNTIFS('Data - Monthly Metrics'!$A:$A,$B$4-1,'Data - Monthly Metrics'!$B:$B,B$8,'Data - Monthly Metrics'!$C:$C,"Majors/NRA",'Data - Monthly Metrics'!$D:$D,"Goal - Penetration %")&gt;0,B29&gt;=SUMIFS('Data - Monthly Metrics'!$E:$E,'Data - Monthly Metrics'!$A:$A,$B$4-1,'Data - Monthly Metrics'!$B:$B,B$8,'Data - Monthly Metrics'!$C:$C,"Majors/NRA",'Data - Monthly Metrics'!$D:$D,"Goal - Penetration %"))</formula>
    </cfRule>
    <cfRule type="expression" rank="0" priority="407" equalAverage="0" aboveAverage="0" dxfId="2" stopIfTrue="1" text="" percent="0" bottom="0">
      <formula>AND(ISNUMBER(B29),COUNTIFS('Data - Monthly Metrics'!$A:$A,$B$4-1,'Data - Monthly Metrics'!$B:$B,B$8,'Data - Monthly Metrics'!$C:$C,"Majors/NRA",'Data - Monthly Metrics'!$D:$D,"Goal - Penetration %")&gt;0,B29&gt;=SUMIFS('Data - Monthly Metrics'!$E:$E,'Data - Monthly Metrics'!$A:$A,$B$4-1,'Data - Monthly Metrics'!$B:$B,B$8,'Data - Monthly Metrics'!$C:$C,"Majors/NRA",'Data - Monthly Metrics'!$D:$D,"Goal - Penetration %")-0.05)</formula>
    </cfRule>
    <cfRule type="expression" rank="0" priority="408" equalAverage="0" aboveAverage="0" dxfId="1" stopIfTrue="1" text="" percent="0" bottom="0">
      <formula>AND(ISNUMBER(B29),COUNTIFS('Data - Monthly Metrics'!$A:$A,$B$4-1,'Data - Monthly Metrics'!$B:$B,B$8,'Data - Monthly Metrics'!$C:$C,"Majors/NRA",'Data - Monthly Metrics'!$D:$D,"Goal - Penetration %")&gt;0)</formula>
    </cfRule>
  </conditionalFormatting>
  <conditionalFormatting sqref="C29">
    <cfRule type="expression" rank="0" priority="409" equalAverage="0" aboveAverage="0" dxfId="0" stopIfTrue="1" text="" percent="0" bottom="0">
      <formula>AND(ISNUMBER(C29),COUNTIFS('Data - Monthly Metrics'!$A:$A,$B$4-1,'Data - Monthly Metrics'!$B:$B,C$8,'Data - Monthly Metrics'!$C:$C,"Majors/NRA",'Data - Monthly Metrics'!$D:$D,"Goal - Penetration %")&gt;0,C29&gt;=SUMIFS('Data - Monthly Metrics'!$E:$E,'Data - Monthly Metrics'!$A:$A,$B$4-1,'Data - Monthly Metrics'!$B:$B,C$8,'Data - Monthly Metrics'!$C:$C,"Majors/NRA",'Data - Monthly Metrics'!$D:$D,"Goal - Penetration %"))</formula>
    </cfRule>
    <cfRule type="expression" rank="0" priority="410" equalAverage="0" aboveAverage="0" dxfId="2" stopIfTrue="1" text="" percent="0" bottom="0">
      <formula>AND(ISNUMBER(C29),COUNTIFS('Data - Monthly Metrics'!$A:$A,$B$4-1,'Data - Monthly Metrics'!$B:$B,C$8,'Data - Monthly Metrics'!$C:$C,"Majors/NRA",'Data - Monthly Metrics'!$D:$D,"Goal - Penetration %")&gt;0,C29&gt;=SUMIFS('Data - Monthly Metrics'!$E:$E,'Data - Monthly Metrics'!$A:$A,$B$4-1,'Data - Monthly Metrics'!$B:$B,C$8,'Data - Monthly Metrics'!$C:$C,"Majors/NRA",'Data - Monthly Metrics'!$D:$D,"Goal - Penetration %")-0.05)</formula>
    </cfRule>
    <cfRule type="expression" rank="0" priority="411" equalAverage="0" aboveAverage="0" dxfId="1" stopIfTrue="1" text="" percent="0" bottom="0">
      <formula>AND(ISNUMBER(C29),COUNTIFS('Data - Monthly Metrics'!$A:$A,$B$4-1,'Data - Monthly Metrics'!$B:$B,C$8,'Data - Monthly Metrics'!$C:$C,"Majors/NRA",'Data - Monthly Metrics'!$D:$D,"Goal - Penetration %")&gt;0)</formula>
    </cfRule>
  </conditionalFormatting>
  <conditionalFormatting sqref="D29">
    <cfRule type="expression" rank="0" priority="412" equalAverage="0" aboveAverage="0" dxfId="0" stopIfTrue="1" text="" percent="0" bottom="0">
      <formula>AND(ISNUMBER(D29),COUNTIFS('Data - Monthly Metrics'!$A:$A,$B$4-1,'Data - Monthly Metrics'!$B:$B,D$8,'Data - Monthly Metrics'!$C:$C,"Majors/NRA",'Data - Monthly Metrics'!$D:$D,"Goal - Penetration %")&gt;0,D29&gt;=SUMIFS('Data - Monthly Metrics'!$E:$E,'Data - Monthly Metrics'!$A:$A,$B$4-1,'Data - Monthly Metrics'!$B:$B,D$8,'Data - Monthly Metrics'!$C:$C,"Majors/NRA",'Data - Monthly Metrics'!$D:$D,"Goal - Penetration %"))</formula>
    </cfRule>
    <cfRule type="expression" rank="0" priority="413" equalAverage="0" aboveAverage="0" dxfId="2" stopIfTrue="1" text="" percent="0" bottom="0">
      <formula>AND(ISNUMBER(D29),COUNTIFS('Data - Monthly Metrics'!$A:$A,$B$4-1,'Data - Monthly Metrics'!$B:$B,D$8,'Data - Monthly Metrics'!$C:$C,"Majors/NRA",'Data - Monthly Metrics'!$D:$D,"Goal - Penetration %")&gt;0,D29&gt;=SUMIFS('Data - Monthly Metrics'!$E:$E,'Data - Monthly Metrics'!$A:$A,$B$4-1,'Data - Monthly Metrics'!$B:$B,D$8,'Data - Monthly Metrics'!$C:$C,"Majors/NRA",'Data - Monthly Metrics'!$D:$D,"Goal - Penetration %")-0.05)</formula>
    </cfRule>
    <cfRule type="expression" rank="0" priority="414" equalAverage="0" aboveAverage="0" dxfId="1" stopIfTrue="1" text="" percent="0" bottom="0">
      <formula>AND(ISNUMBER(D29),COUNTIFS('Data - Monthly Metrics'!$A:$A,$B$4-1,'Data - Monthly Metrics'!$B:$B,D$8,'Data - Monthly Metrics'!$C:$C,"Majors/NRA",'Data - Monthly Metrics'!$D:$D,"Goal - Penetration %")&gt;0)</formula>
    </cfRule>
  </conditionalFormatting>
  <conditionalFormatting sqref="F29">
    <cfRule type="expression" rank="0" priority="415" equalAverage="0" aboveAverage="0" dxfId="0" stopIfTrue="1" text="" percent="0" bottom="0">
      <formula>AND(ISNUMBER(F29),COUNTIFS('Data - Monthly Metrics'!$A:$A,$B$4,'Data - Monthly Metrics'!$B:$B,F$8,'Data - Monthly Metrics'!$C:$C,"Majors/NRA",'Data - Monthly Metrics'!$D:$D,"Goal - Penetration %")&gt;0,F29&gt;=SUMIFS('Data - Monthly Metrics'!$E:$E,'Data - Monthly Metrics'!$A:$A,$B$4,'Data - Monthly Metrics'!$B:$B,F$8,'Data - Monthly Metrics'!$C:$C,"Majors/NRA",'Data - Monthly Metrics'!$D:$D,"Goal - Penetration %"))</formula>
    </cfRule>
    <cfRule type="expression" rank="0" priority="416" equalAverage="0" aboveAverage="0" dxfId="2" stopIfTrue="1" text="" percent="0" bottom="0">
      <formula>AND(ISNUMBER(F29),COUNTIFS('Data - Monthly Metrics'!$A:$A,$B$4,'Data - Monthly Metrics'!$B:$B,F$8,'Data - Monthly Metrics'!$C:$C,"Majors/NRA",'Data - Monthly Metrics'!$D:$D,"Goal - Penetration %")&gt;0,F29&gt;=SUMIFS('Data - Monthly Metrics'!$E:$E,'Data - Monthly Metrics'!$A:$A,$B$4,'Data - Monthly Metrics'!$B:$B,F$8,'Data - Monthly Metrics'!$C:$C,"Majors/NRA",'Data - Monthly Metrics'!$D:$D,"Goal - Penetration %")-0.05)</formula>
    </cfRule>
    <cfRule type="expression" rank="0" priority="417" equalAverage="0" aboveAverage="0" dxfId="1" stopIfTrue="1" text="" percent="0" bottom="0">
      <formula>AND(ISNUMBER(F29),COUNTIFS('Data - Monthly Metrics'!$A:$A,$B$4,'Data - Monthly Metrics'!$B:$B,F$8,'Data - Monthly Metrics'!$C:$C,"Majors/NRA",'Data - Monthly Metrics'!$D:$D,"Goal - Penetration %")&gt;0)</formula>
    </cfRule>
  </conditionalFormatting>
  <conditionalFormatting sqref="G29">
    <cfRule type="expression" rank="0" priority="418" equalAverage="0" aboveAverage="0" dxfId="0" stopIfTrue="1" text="" percent="0" bottom="0">
      <formula>AND(ISNUMBER(G29),COUNTIFS('Data - Monthly Metrics'!$A:$A,$B$4,'Data - Monthly Metrics'!$B:$B,G$8,'Data - Monthly Metrics'!$C:$C,"Majors/NRA",'Data - Monthly Metrics'!$D:$D,"Goal - Penetration %")&gt;0,G29&gt;=SUMIFS('Data - Monthly Metrics'!$E:$E,'Data - Monthly Metrics'!$A:$A,$B$4,'Data - Monthly Metrics'!$B:$B,G$8,'Data - Monthly Metrics'!$C:$C,"Majors/NRA",'Data - Monthly Metrics'!$D:$D,"Goal - Penetration %"))</formula>
    </cfRule>
    <cfRule type="expression" rank="0" priority="419" equalAverage="0" aboveAverage="0" dxfId="2" stopIfTrue="1" text="" percent="0" bottom="0">
      <formula>AND(ISNUMBER(G29),COUNTIFS('Data - Monthly Metrics'!$A:$A,$B$4,'Data - Monthly Metrics'!$B:$B,G$8,'Data - Monthly Metrics'!$C:$C,"Majors/NRA",'Data - Monthly Metrics'!$D:$D,"Goal - Penetration %")&gt;0,G29&gt;=SUMIFS('Data - Monthly Metrics'!$E:$E,'Data - Monthly Metrics'!$A:$A,$B$4,'Data - Monthly Metrics'!$B:$B,G$8,'Data - Monthly Metrics'!$C:$C,"Majors/NRA",'Data - Monthly Metrics'!$D:$D,"Goal - Penetration %")-0.05)</formula>
    </cfRule>
    <cfRule type="expression" rank="0" priority="420" equalAverage="0" aboveAverage="0" dxfId="1" stopIfTrue="1" text="" percent="0" bottom="0">
      <formula>AND(ISNUMBER(G29),COUNTIFS('Data - Monthly Metrics'!$A:$A,$B$4,'Data - Monthly Metrics'!$B:$B,G$8,'Data - Monthly Metrics'!$C:$C,"Majors/NRA",'Data - Monthly Metrics'!$D:$D,"Goal - Penetration %")&gt;0)</formula>
    </cfRule>
  </conditionalFormatting>
  <conditionalFormatting sqref="H29">
    <cfRule type="expression" rank="0" priority="421" equalAverage="0" aboveAverage="0" dxfId="0" stopIfTrue="1" text="" percent="0" bottom="0">
      <formula>AND(ISNUMBER(H29),COUNTIFS('Data - Monthly Metrics'!$A:$A,$B$4,'Data - Monthly Metrics'!$B:$B,H$8,'Data - Monthly Metrics'!$C:$C,"Majors/NRA",'Data - Monthly Metrics'!$D:$D,"Goal - Penetration %")&gt;0,H29&gt;=SUMIFS('Data - Monthly Metrics'!$E:$E,'Data - Monthly Metrics'!$A:$A,$B$4,'Data - Monthly Metrics'!$B:$B,H$8,'Data - Monthly Metrics'!$C:$C,"Majors/NRA",'Data - Monthly Metrics'!$D:$D,"Goal - Penetration %"))</formula>
    </cfRule>
    <cfRule type="expression" rank="0" priority="422" equalAverage="0" aboveAverage="0" dxfId="2" stopIfTrue="1" text="" percent="0" bottom="0">
      <formula>AND(ISNUMBER(H29),COUNTIFS('Data - Monthly Metrics'!$A:$A,$B$4,'Data - Monthly Metrics'!$B:$B,H$8,'Data - Monthly Metrics'!$C:$C,"Majors/NRA",'Data - Monthly Metrics'!$D:$D,"Goal - Penetration %")&gt;0,H29&gt;=SUMIFS('Data - Monthly Metrics'!$E:$E,'Data - Monthly Metrics'!$A:$A,$B$4,'Data - Monthly Metrics'!$B:$B,H$8,'Data - Monthly Metrics'!$C:$C,"Majors/NRA",'Data - Monthly Metrics'!$D:$D,"Goal - Penetration %")-0.05)</formula>
    </cfRule>
    <cfRule type="expression" rank="0" priority="423" equalAverage="0" aboveAverage="0" dxfId="1" stopIfTrue="1" text="" percent="0" bottom="0">
      <formula>AND(ISNUMBER(H29),COUNTIFS('Data - Monthly Metrics'!$A:$A,$B$4,'Data - Monthly Metrics'!$B:$B,H$8,'Data - Monthly Metrics'!$C:$C,"Majors/NRA",'Data - Monthly Metrics'!$D:$D,"Goal - Penetration %")&gt;0)</formula>
    </cfRule>
  </conditionalFormatting>
  <conditionalFormatting sqref="J29">
    <cfRule type="expression" rank="0" priority="424" equalAverage="0" aboveAverage="0" dxfId="0" stopIfTrue="1" text="" percent="0" bottom="0">
      <formula>AND(ISNUMBER(J29),COUNTIFS('Data - Monthly Metrics'!$A:$A,$B$4,'Data - Monthly Metrics'!$B:$B,J$8,'Data - Monthly Metrics'!$C:$C,"Majors/NRA",'Data - Monthly Metrics'!$D:$D,"Goal - Penetration %")&gt;0,J29&gt;=SUMIFS('Data - Monthly Metrics'!$E:$E,'Data - Monthly Metrics'!$A:$A,$B$4,'Data - Monthly Metrics'!$B:$B,J$8,'Data - Monthly Metrics'!$C:$C,"Majors/NRA",'Data - Monthly Metrics'!$D:$D,"Goal - Penetration %"))</formula>
    </cfRule>
    <cfRule type="expression" rank="0" priority="425" equalAverage="0" aboveAverage="0" dxfId="2" stopIfTrue="1" text="" percent="0" bottom="0">
      <formula>AND(ISNUMBER(J29),COUNTIFS('Data - Monthly Metrics'!$A:$A,$B$4,'Data - Monthly Metrics'!$B:$B,J$8,'Data - Monthly Metrics'!$C:$C,"Majors/NRA",'Data - Monthly Metrics'!$D:$D,"Goal - Penetration %")&gt;0,J29&gt;=SUMIFS('Data - Monthly Metrics'!$E:$E,'Data - Monthly Metrics'!$A:$A,$B$4,'Data - Monthly Metrics'!$B:$B,J$8,'Data - Monthly Metrics'!$C:$C,"Majors/NRA",'Data - Monthly Metrics'!$D:$D,"Goal - Penetration %")-0.05)</formula>
    </cfRule>
    <cfRule type="expression" rank="0" priority="426" equalAverage="0" aboveAverage="0" dxfId="1" stopIfTrue="1" text="" percent="0" bottom="0">
      <formula>AND(ISNUMBER(J29),COUNTIFS('Data - Monthly Metrics'!$A:$A,$B$4,'Data - Monthly Metrics'!$B:$B,J$8,'Data - Monthly Metrics'!$C:$C,"Majors/NRA",'Data - Monthly Metrics'!$D:$D,"Goal - Penetration %")&gt;0)</formula>
    </cfRule>
  </conditionalFormatting>
  <conditionalFormatting sqref="K29">
    <cfRule type="expression" rank="0" priority="427" equalAverage="0" aboveAverage="0" dxfId="0" stopIfTrue="1" text="" percent="0" bottom="0">
      <formula>AND(ISNUMBER(K29),COUNTIFS('Data - Monthly Metrics'!$A:$A,$B$4,'Data - Monthly Metrics'!$B:$B,K$8,'Data - Monthly Metrics'!$C:$C,"Majors/NRA",'Data - Monthly Metrics'!$D:$D,"Goal - Penetration %")&gt;0,K29&gt;=SUMIFS('Data - Monthly Metrics'!$E:$E,'Data - Monthly Metrics'!$A:$A,$B$4,'Data - Monthly Metrics'!$B:$B,K$8,'Data - Monthly Metrics'!$C:$C,"Majors/NRA",'Data - Monthly Metrics'!$D:$D,"Goal - Penetration %"))</formula>
    </cfRule>
    <cfRule type="expression" rank="0" priority="428" equalAverage="0" aboveAverage="0" dxfId="2" stopIfTrue="1" text="" percent="0" bottom="0">
      <formula>AND(ISNUMBER(K29),COUNTIFS('Data - Monthly Metrics'!$A:$A,$B$4,'Data - Monthly Metrics'!$B:$B,K$8,'Data - Monthly Metrics'!$C:$C,"Majors/NRA",'Data - Monthly Metrics'!$D:$D,"Goal - Penetration %")&gt;0,K29&gt;=SUMIFS('Data - Monthly Metrics'!$E:$E,'Data - Monthly Metrics'!$A:$A,$B$4,'Data - Monthly Metrics'!$B:$B,K$8,'Data - Monthly Metrics'!$C:$C,"Majors/NRA",'Data - Monthly Metrics'!$D:$D,"Goal - Penetration %")-0.05)</formula>
    </cfRule>
    <cfRule type="expression" rank="0" priority="429" equalAverage="0" aboveAverage="0" dxfId="1" stopIfTrue="1" text="" percent="0" bottom="0">
      <formula>AND(ISNUMBER(K29),COUNTIFS('Data - Monthly Metrics'!$A:$A,$B$4,'Data - Monthly Metrics'!$B:$B,K$8,'Data - Monthly Metrics'!$C:$C,"Majors/NRA",'Data - Monthly Metrics'!$D:$D,"Goal - Penetration %")&gt;0)</formula>
    </cfRule>
  </conditionalFormatting>
  <conditionalFormatting sqref="L29">
    <cfRule type="expression" rank="0" priority="430" equalAverage="0" aboveAverage="0" dxfId="0" stopIfTrue="1" text="" percent="0" bottom="0">
      <formula>AND(ISNUMBER(L29),COUNTIFS('Data - Monthly Metrics'!$A:$A,$B$4,'Data - Monthly Metrics'!$B:$B,L$8,'Data - Monthly Metrics'!$C:$C,"Majors/NRA",'Data - Monthly Metrics'!$D:$D,"Goal - Penetration %")&gt;0,L29&gt;=SUMIFS('Data - Monthly Metrics'!$E:$E,'Data - Monthly Metrics'!$A:$A,$B$4,'Data - Monthly Metrics'!$B:$B,L$8,'Data - Monthly Metrics'!$C:$C,"Majors/NRA",'Data - Monthly Metrics'!$D:$D,"Goal - Penetration %"))</formula>
    </cfRule>
    <cfRule type="expression" rank="0" priority="431" equalAverage="0" aboveAverage="0" dxfId="2" stopIfTrue="1" text="" percent="0" bottom="0">
      <formula>AND(ISNUMBER(L29),COUNTIFS('Data - Monthly Metrics'!$A:$A,$B$4,'Data - Monthly Metrics'!$B:$B,L$8,'Data - Monthly Metrics'!$C:$C,"Majors/NRA",'Data - Monthly Metrics'!$D:$D,"Goal - Penetration %")&gt;0,L29&gt;=SUMIFS('Data - Monthly Metrics'!$E:$E,'Data - Monthly Metrics'!$A:$A,$B$4,'Data - Monthly Metrics'!$B:$B,L$8,'Data - Monthly Metrics'!$C:$C,"Majors/NRA",'Data - Monthly Metrics'!$D:$D,"Goal - Penetration %")-0.05)</formula>
    </cfRule>
    <cfRule type="expression" rank="0" priority="432" equalAverage="0" aboveAverage="0" dxfId="1" stopIfTrue="1" text="" percent="0" bottom="0">
      <formula>AND(ISNUMBER(L29),COUNTIFS('Data - Monthly Metrics'!$A:$A,$B$4,'Data - Monthly Metrics'!$B:$B,L$8,'Data - Monthly Metrics'!$C:$C,"Majors/NRA",'Data - Monthly Metrics'!$D:$D,"Goal - Penetration %")&gt;0)</formula>
    </cfRule>
  </conditionalFormatting>
  <conditionalFormatting sqref="N29">
    <cfRule type="expression" rank="0" priority="433" equalAverage="0" aboveAverage="0" dxfId="0" stopIfTrue="1" text="" percent="0" bottom="0">
      <formula>AND(ISNUMBER(N29),COUNTIFS('Data - Monthly Metrics'!$A:$A,$B$4,'Data - Monthly Metrics'!$B:$B,N$8,'Data - Monthly Metrics'!$C:$C,"Majors/NRA",'Data - Monthly Metrics'!$D:$D,"Goal - Penetration %")&gt;0,N29&gt;=SUMIFS('Data - Monthly Metrics'!$E:$E,'Data - Monthly Metrics'!$A:$A,$B$4,'Data - Monthly Metrics'!$B:$B,N$8,'Data - Monthly Metrics'!$C:$C,"Majors/NRA",'Data - Monthly Metrics'!$D:$D,"Goal - Penetration %"))</formula>
    </cfRule>
    <cfRule type="expression" rank="0" priority="434" equalAverage="0" aboveAverage="0" dxfId="2" stopIfTrue="1" text="" percent="0" bottom="0">
      <formula>AND(ISNUMBER(N29),COUNTIFS('Data - Monthly Metrics'!$A:$A,$B$4,'Data - Monthly Metrics'!$B:$B,N$8,'Data - Monthly Metrics'!$C:$C,"Majors/NRA",'Data - Monthly Metrics'!$D:$D,"Goal - Penetration %")&gt;0,N29&gt;=SUMIFS('Data - Monthly Metrics'!$E:$E,'Data - Monthly Metrics'!$A:$A,$B$4,'Data - Monthly Metrics'!$B:$B,N$8,'Data - Monthly Metrics'!$C:$C,"Majors/NRA",'Data - Monthly Metrics'!$D:$D,"Goal - Penetration %")-0.05)</formula>
    </cfRule>
    <cfRule type="expression" rank="0" priority="435" equalAverage="0" aboveAverage="0" dxfId="1" stopIfTrue="1" text="" percent="0" bottom="0">
      <formula>AND(ISNUMBER(N29),COUNTIFS('Data - Monthly Metrics'!$A:$A,$B$4,'Data - Monthly Metrics'!$B:$B,N$8,'Data - Monthly Metrics'!$C:$C,"Majors/NRA",'Data - Monthly Metrics'!$D:$D,"Goal - Penetration %")&gt;0)</formula>
    </cfRule>
  </conditionalFormatting>
  <conditionalFormatting sqref="O29">
    <cfRule type="expression" rank="0" priority="436" equalAverage="0" aboveAverage="0" dxfId="0" stopIfTrue="1" text="" percent="0" bottom="0">
      <formula>AND(ISNUMBER(O29),COUNTIFS('Data - Monthly Metrics'!$A:$A,$B$4,'Data - Monthly Metrics'!$B:$B,O$8,'Data - Monthly Metrics'!$C:$C,"Majors/NRA",'Data - Monthly Metrics'!$D:$D,"Goal - Penetration %")&gt;0,O29&gt;=SUMIFS('Data - Monthly Metrics'!$E:$E,'Data - Monthly Metrics'!$A:$A,$B$4,'Data - Monthly Metrics'!$B:$B,O$8,'Data - Monthly Metrics'!$C:$C,"Majors/NRA",'Data - Monthly Metrics'!$D:$D,"Goal - Penetration %"))</formula>
    </cfRule>
    <cfRule type="expression" rank="0" priority="437" equalAverage="0" aboveAverage="0" dxfId="2" stopIfTrue="1" text="" percent="0" bottom="0">
      <formula>AND(ISNUMBER(O29),COUNTIFS('Data - Monthly Metrics'!$A:$A,$B$4,'Data - Monthly Metrics'!$B:$B,O$8,'Data - Monthly Metrics'!$C:$C,"Majors/NRA",'Data - Monthly Metrics'!$D:$D,"Goal - Penetration %")&gt;0,O29&gt;=SUMIFS('Data - Monthly Metrics'!$E:$E,'Data - Monthly Metrics'!$A:$A,$B$4,'Data - Monthly Metrics'!$B:$B,O$8,'Data - Monthly Metrics'!$C:$C,"Majors/NRA",'Data - Monthly Metrics'!$D:$D,"Goal - Penetration %")-0.05)</formula>
    </cfRule>
    <cfRule type="expression" rank="0" priority="438" equalAverage="0" aboveAverage="0" dxfId="1" stopIfTrue="1" text="" percent="0" bottom="0">
      <formula>AND(ISNUMBER(O29),COUNTIFS('Data - Monthly Metrics'!$A:$A,$B$4,'Data - Monthly Metrics'!$B:$B,O$8,'Data - Monthly Metrics'!$C:$C,"Majors/NRA",'Data - Monthly Metrics'!$D:$D,"Goal - Penetration %")&gt;0)</formula>
    </cfRule>
  </conditionalFormatting>
  <conditionalFormatting sqref="P29">
    <cfRule type="expression" rank="0" priority="439" equalAverage="0" aboveAverage="0" dxfId="0" stopIfTrue="1" text="" percent="0" bottom="0">
      <formula>AND(ISNUMBER(P29),COUNTIFS('Data - Monthly Metrics'!$A:$A,$B$4,'Data - Monthly Metrics'!$B:$B,P$8,'Data - Monthly Metrics'!$C:$C,"Majors/NRA",'Data - Monthly Metrics'!$D:$D,"Goal - Penetration %")&gt;0,P29&gt;=SUMIFS('Data - Monthly Metrics'!$E:$E,'Data - Monthly Metrics'!$A:$A,$B$4,'Data - Monthly Metrics'!$B:$B,P$8,'Data - Monthly Metrics'!$C:$C,"Majors/NRA",'Data - Monthly Metrics'!$D:$D,"Goal - Penetration %"))</formula>
    </cfRule>
    <cfRule type="expression" rank="0" priority="440" equalAverage="0" aboveAverage="0" dxfId="2" stopIfTrue="1" text="" percent="0" bottom="0">
      <formula>AND(ISNUMBER(P29),COUNTIFS('Data - Monthly Metrics'!$A:$A,$B$4,'Data - Monthly Metrics'!$B:$B,P$8,'Data - Monthly Metrics'!$C:$C,"Majors/NRA",'Data - Monthly Metrics'!$D:$D,"Goal - Penetration %")&gt;0,P29&gt;=SUMIFS('Data - Monthly Metrics'!$E:$E,'Data - Monthly Metrics'!$A:$A,$B$4,'Data - Monthly Metrics'!$B:$B,P$8,'Data - Monthly Metrics'!$C:$C,"Majors/NRA",'Data - Monthly Metrics'!$D:$D,"Goal - Penetration %")-0.05)</formula>
    </cfRule>
    <cfRule type="expression" rank="0" priority="441" equalAverage="0" aboveAverage="0" dxfId="1" stopIfTrue="1" text="" percent="0" bottom="0">
      <formula>AND(ISNUMBER(P29),COUNTIFS('Data - Monthly Metrics'!$A:$A,$B$4,'Data - Monthly Metrics'!$B:$B,P$8,'Data - Monthly Metrics'!$C:$C,"Majors/NRA",'Data - Monthly Metrics'!$D:$D,"Goal - Penetration %")&gt;0)</formula>
    </cfRule>
  </conditionalFormatting>
  <conditionalFormatting sqref="B30">
    <cfRule type="expression" rank="0" priority="442" equalAverage="0" aboveAverage="0" dxfId="0" stopIfTrue="1" text="" percent="0" bottom="0">
      <formula>AND(ISNUMBER(B30),COUNTIFS('Data - Monthly Metrics'!$A:$A,$B$4-1,'Data - Monthly Metrics'!$B:$B,B$8,'Data - Monthly Metrics'!$C:$C,"Majors/NRA",'Data - Monthly Metrics'!$D:$D,"Goal - Penetration %")&gt;0,B30&gt;=SUMIFS('Data - Monthly Metrics'!$E:$E,'Data - Monthly Metrics'!$A:$A,$B$4-1,'Data - Monthly Metrics'!$B:$B,B$8,'Data - Monthly Metrics'!$C:$C,"Majors/NRA",'Data - Monthly Metrics'!$D:$D,"Goal - Penetration %"))</formula>
    </cfRule>
    <cfRule type="expression" rank="0" priority="443" equalAverage="0" aboveAverage="0" dxfId="2" stopIfTrue="1" text="" percent="0" bottom="0">
      <formula>AND(ISNUMBER(B30),COUNTIFS('Data - Monthly Metrics'!$A:$A,$B$4-1,'Data - Monthly Metrics'!$B:$B,B$8,'Data - Monthly Metrics'!$C:$C,"Majors/NRA",'Data - Monthly Metrics'!$D:$D,"Goal - Penetration %")&gt;0,B30&gt;=SUMIFS('Data - Monthly Metrics'!$E:$E,'Data - Monthly Metrics'!$A:$A,$B$4-1,'Data - Monthly Metrics'!$B:$B,B$8,'Data - Monthly Metrics'!$C:$C,"Majors/NRA",'Data - Monthly Metrics'!$D:$D,"Goal - Penetration %")-0.05)</formula>
    </cfRule>
    <cfRule type="expression" rank="0" priority="444" equalAverage="0" aboveAverage="0" dxfId="1" stopIfTrue="1" text="" percent="0" bottom="0">
      <formula>AND(ISNUMBER(B30),COUNTIFS('Data - Monthly Metrics'!$A:$A,$B$4-1,'Data - Monthly Metrics'!$B:$B,B$8,'Data - Monthly Metrics'!$C:$C,"Majors/NRA",'Data - Monthly Metrics'!$D:$D,"Goal - Penetration %")&gt;0)</formula>
    </cfRule>
  </conditionalFormatting>
  <conditionalFormatting sqref="C30">
    <cfRule type="expression" rank="0" priority="445" equalAverage="0" aboveAverage="0" dxfId="0" stopIfTrue="1" text="" percent="0" bottom="0">
      <formula>AND(ISNUMBER(C30),COUNTIFS('Data - Monthly Metrics'!$A:$A,$B$4-1,'Data - Monthly Metrics'!$B:$B,C$8,'Data - Monthly Metrics'!$C:$C,"Majors/NRA",'Data - Monthly Metrics'!$D:$D,"Goal - Penetration %")&gt;0,C30&gt;=SUMIFS('Data - Monthly Metrics'!$E:$E,'Data - Monthly Metrics'!$A:$A,$B$4-1,'Data - Monthly Metrics'!$B:$B,C$8,'Data - Monthly Metrics'!$C:$C,"Majors/NRA",'Data - Monthly Metrics'!$D:$D,"Goal - Penetration %"))</formula>
    </cfRule>
    <cfRule type="expression" rank="0" priority="446" equalAverage="0" aboveAverage="0" dxfId="2" stopIfTrue="1" text="" percent="0" bottom="0">
      <formula>AND(ISNUMBER(C30),COUNTIFS('Data - Monthly Metrics'!$A:$A,$B$4-1,'Data - Monthly Metrics'!$B:$B,C$8,'Data - Monthly Metrics'!$C:$C,"Majors/NRA",'Data - Monthly Metrics'!$D:$D,"Goal - Penetration %")&gt;0,C30&gt;=SUMIFS('Data - Monthly Metrics'!$E:$E,'Data - Monthly Metrics'!$A:$A,$B$4-1,'Data - Monthly Metrics'!$B:$B,C$8,'Data - Monthly Metrics'!$C:$C,"Majors/NRA",'Data - Monthly Metrics'!$D:$D,"Goal - Penetration %")-0.05)</formula>
    </cfRule>
    <cfRule type="expression" rank="0" priority="447" equalAverage="0" aboveAverage="0" dxfId="1" stopIfTrue="1" text="" percent="0" bottom="0">
      <formula>AND(ISNUMBER(C30),COUNTIFS('Data - Monthly Metrics'!$A:$A,$B$4-1,'Data - Monthly Metrics'!$B:$B,C$8,'Data - Monthly Metrics'!$C:$C,"Majors/NRA",'Data - Monthly Metrics'!$D:$D,"Goal - Penetration %")&gt;0)</formula>
    </cfRule>
  </conditionalFormatting>
  <conditionalFormatting sqref="D30">
    <cfRule type="expression" rank="0" priority="448" equalAverage="0" aboveAverage="0" dxfId="0" stopIfTrue="1" text="" percent="0" bottom="0">
      <formula>AND(ISNUMBER(D30),COUNTIFS('Data - Monthly Metrics'!$A:$A,$B$4-1,'Data - Monthly Metrics'!$B:$B,D$8,'Data - Monthly Metrics'!$C:$C,"Majors/NRA",'Data - Monthly Metrics'!$D:$D,"Goal - Penetration %")&gt;0,D30&gt;=SUMIFS('Data - Monthly Metrics'!$E:$E,'Data - Monthly Metrics'!$A:$A,$B$4-1,'Data - Monthly Metrics'!$B:$B,D$8,'Data - Monthly Metrics'!$C:$C,"Majors/NRA",'Data - Monthly Metrics'!$D:$D,"Goal - Penetration %"))</formula>
    </cfRule>
    <cfRule type="expression" rank="0" priority="449" equalAverage="0" aboveAverage="0" dxfId="2" stopIfTrue="1" text="" percent="0" bottom="0">
      <formula>AND(ISNUMBER(D30),COUNTIFS('Data - Monthly Metrics'!$A:$A,$B$4-1,'Data - Monthly Metrics'!$B:$B,D$8,'Data - Monthly Metrics'!$C:$C,"Majors/NRA",'Data - Monthly Metrics'!$D:$D,"Goal - Penetration %")&gt;0,D30&gt;=SUMIFS('Data - Monthly Metrics'!$E:$E,'Data - Monthly Metrics'!$A:$A,$B$4-1,'Data - Monthly Metrics'!$B:$B,D$8,'Data - Monthly Metrics'!$C:$C,"Majors/NRA",'Data - Monthly Metrics'!$D:$D,"Goal - Penetration %")-0.05)</formula>
    </cfRule>
    <cfRule type="expression" rank="0" priority="450" equalAverage="0" aboveAverage="0" dxfId="1" stopIfTrue="1" text="" percent="0" bottom="0">
      <formula>AND(ISNUMBER(D30),COUNTIFS('Data - Monthly Metrics'!$A:$A,$B$4-1,'Data - Monthly Metrics'!$B:$B,D$8,'Data - Monthly Metrics'!$C:$C,"Majors/NRA",'Data - Monthly Metrics'!$D:$D,"Goal - Penetration %")&gt;0)</formula>
    </cfRule>
  </conditionalFormatting>
  <conditionalFormatting sqref="F30">
    <cfRule type="expression" rank="0" priority="451" equalAverage="0" aboveAverage="0" dxfId="0" stopIfTrue="1" text="" percent="0" bottom="0">
      <formula>AND(ISNUMBER(F30),COUNTIFS('Data - Monthly Metrics'!$A:$A,$B$4,'Data - Monthly Metrics'!$B:$B,F$8,'Data - Monthly Metrics'!$C:$C,"Majors/NRA",'Data - Monthly Metrics'!$D:$D,"Goal - Penetration %")&gt;0,F30&gt;=SUMIFS('Data - Monthly Metrics'!$E:$E,'Data - Monthly Metrics'!$A:$A,$B$4,'Data - Monthly Metrics'!$B:$B,F$8,'Data - Monthly Metrics'!$C:$C,"Majors/NRA",'Data - Monthly Metrics'!$D:$D,"Goal - Penetration %"))</formula>
    </cfRule>
    <cfRule type="expression" rank="0" priority="452" equalAverage="0" aboveAverage="0" dxfId="2" stopIfTrue="1" text="" percent="0" bottom="0">
      <formula>AND(ISNUMBER(F30),COUNTIFS('Data - Monthly Metrics'!$A:$A,$B$4,'Data - Monthly Metrics'!$B:$B,F$8,'Data - Monthly Metrics'!$C:$C,"Majors/NRA",'Data - Monthly Metrics'!$D:$D,"Goal - Penetration %")&gt;0,F30&gt;=SUMIFS('Data - Monthly Metrics'!$E:$E,'Data - Monthly Metrics'!$A:$A,$B$4,'Data - Monthly Metrics'!$B:$B,F$8,'Data - Monthly Metrics'!$C:$C,"Majors/NRA",'Data - Monthly Metrics'!$D:$D,"Goal - Penetration %")-0.05)</formula>
    </cfRule>
    <cfRule type="expression" rank="0" priority="453" equalAverage="0" aboveAverage="0" dxfId="1" stopIfTrue="1" text="" percent="0" bottom="0">
      <formula>AND(ISNUMBER(F30),COUNTIFS('Data - Monthly Metrics'!$A:$A,$B$4,'Data - Monthly Metrics'!$B:$B,F$8,'Data - Monthly Metrics'!$C:$C,"Majors/NRA",'Data - Monthly Metrics'!$D:$D,"Goal - Penetration %")&gt;0)</formula>
    </cfRule>
  </conditionalFormatting>
  <conditionalFormatting sqref="G30">
    <cfRule type="expression" rank="0" priority="454" equalAverage="0" aboveAverage="0" dxfId="0" stopIfTrue="1" text="" percent="0" bottom="0">
      <formula>AND(ISNUMBER(G30),COUNTIFS('Data - Monthly Metrics'!$A:$A,$B$4,'Data - Monthly Metrics'!$B:$B,G$8,'Data - Monthly Metrics'!$C:$C,"Majors/NRA",'Data - Monthly Metrics'!$D:$D,"Goal - Penetration %")&gt;0,G30&gt;=SUMIFS('Data - Monthly Metrics'!$E:$E,'Data - Monthly Metrics'!$A:$A,$B$4,'Data - Monthly Metrics'!$B:$B,G$8,'Data - Monthly Metrics'!$C:$C,"Majors/NRA",'Data - Monthly Metrics'!$D:$D,"Goal - Penetration %"))</formula>
    </cfRule>
    <cfRule type="expression" rank="0" priority="455" equalAverage="0" aboveAverage="0" dxfId="2" stopIfTrue="1" text="" percent="0" bottom="0">
      <formula>AND(ISNUMBER(G30),COUNTIFS('Data - Monthly Metrics'!$A:$A,$B$4,'Data - Monthly Metrics'!$B:$B,G$8,'Data - Monthly Metrics'!$C:$C,"Majors/NRA",'Data - Monthly Metrics'!$D:$D,"Goal - Penetration %")&gt;0,G30&gt;=SUMIFS('Data - Monthly Metrics'!$E:$E,'Data - Monthly Metrics'!$A:$A,$B$4,'Data - Monthly Metrics'!$B:$B,G$8,'Data - Monthly Metrics'!$C:$C,"Majors/NRA",'Data - Monthly Metrics'!$D:$D,"Goal - Penetration %")-0.05)</formula>
    </cfRule>
    <cfRule type="expression" rank="0" priority="456" equalAverage="0" aboveAverage="0" dxfId="1" stopIfTrue="1" text="" percent="0" bottom="0">
      <formula>AND(ISNUMBER(G30),COUNTIFS('Data - Monthly Metrics'!$A:$A,$B$4,'Data - Monthly Metrics'!$B:$B,G$8,'Data - Monthly Metrics'!$C:$C,"Majors/NRA",'Data - Monthly Metrics'!$D:$D,"Goal - Penetration %")&gt;0)</formula>
    </cfRule>
  </conditionalFormatting>
  <conditionalFormatting sqref="H30">
    <cfRule type="expression" rank="0" priority="457" equalAverage="0" aboveAverage="0" dxfId="0" stopIfTrue="1" text="" percent="0" bottom="0">
      <formula>AND(ISNUMBER(H30),COUNTIFS('Data - Monthly Metrics'!$A:$A,$B$4,'Data - Monthly Metrics'!$B:$B,H$8,'Data - Monthly Metrics'!$C:$C,"Majors/NRA",'Data - Monthly Metrics'!$D:$D,"Goal - Penetration %")&gt;0,H30&gt;=SUMIFS('Data - Monthly Metrics'!$E:$E,'Data - Monthly Metrics'!$A:$A,$B$4,'Data - Monthly Metrics'!$B:$B,H$8,'Data - Monthly Metrics'!$C:$C,"Majors/NRA",'Data - Monthly Metrics'!$D:$D,"Goal - Penetration %"))</formula>
    </cfRule>
    <cfRule type="expression" rank="0" priority="458" equalAverage="0" aboveAverage="0" dxfId="2" stopIfTrue="1" text="" percent="0" bottom="0">
      <formula>AND(ISNUMBER(H30),COUNTIFS('Data - Monthly Metrics'!$A:$A,$B$4,'Data - Monthly Metrics'!$B:$B,H$8,'Data - Monthly Metrics'!$C:$C,"Majors/NRA",'Data - Monthly Metrics'!$D:$D,"Goal - Penetration %")&gt;0,H30&gt;=SUMIFS('Data - Monthly Metrics'!$E:$E,'Data - Monthly Metrics'!$A:$A,$B$4,'Data - Monthly Metrics'!$B:$B,H$8,'Data - Monthly Metrics'!$C:$C,"Majors/NRA",'Data - Monthly Metrics'!$D:$D,"Goal - Penetration %")-0.05)</formula>
    </cfRule>
    <cfRule type="expression" rank="0" priority="459" equalAverage="0" aboveAverage="0" dxfId="1" stopIfTrue="1" text="" percent="0" bottom="0">
      <formula>AND(ISNUMBER(H30),COUNTIFS('Data - Monthly Metrics'!$A:$A,$B$4,'Data - Monthly Metrics'!$B:$B,H$8,'Data - Monthly Metrics'!$C:$C,"Majors/NRA",'Data - Monthly Metrics'!$D:$D,"Goal - Penetration %")&gt;0)</formula>
    </cfRule>
  </conditionalFormatting>
  <conditionalFormatting sqref="J30">
    <cfRule type="expression" rank="0" priority="460" equalAverage="0" aboveAverage="0" dxfId="0" stopIfTrue="1" text="" percent="0" bottom="0">
      <formula>AND(ISNUMBER(J30),COUNTIFS('Data - Monthly Metrics'!$A:$A,$B$4,'Data - Monthly Metrics'!$B:$B,J$8,'Data - Monthly Metrics'!$C:$C,"Majors/NRA",'Data - Monthly Metrics'!$D:$D,"Goal - Penetration %")&gt;0,J30&gt;=SUMIFS('Data - Monthly Metrics'!$E:$E,'Data - Monthly Metrics'!$A:$A,$B$4,'Data - Monthly Metrics'!$B:$B,J$8,'Data - Monthly Metrics'!$C:$C,"Majors/NRA",'Data - Monthly Metrics'!$D:$D,"Goal - Penetration %"))</formula>
    </cfRule>
    <cfRule type="expression" rank="0" priority="461" equalAverage="0" aboveAverage="0" dxfId="2" stopIfTrue="1" text="" percent="0" bottom="0">
      <formula>AND(ISNUMBER(J30),COUNTIFS('Data - Monthly Metrics'!$A:$A,$B$4,'Data - Monthly Metrics'!$B:$B,J$8,'Data - Monthly Metrics'!$C:$C,"Majors/NRA",'Data - Monthly Metrics'!$D:$D,"Goal - Penetration %")&gt;0,J30&gt;=SUMIFS('Data - Monthly Metrics'!$E:$E,'Data - Monthly Metrics'!$A:$A,$B$4,'Data - Monthly Metrics'!$B:$B,J$8,'Data - Monthly Metrics'!$C:$C,"Majors/NRA",'Data - Monthly Metrics'!$D:$D,"Goal - Penetration %")-0.05)</formula>
    </cfRule>
    <cfRule type="expression" rank="0" priority="462" equalAverage="0" aboveAverage="0" dxfId="1" stopIfTrue="1" text="" percent="0" bottom="0">
      <formula>AND(ISNUMBER(J30),COUNTIFS('Data - Monthly Metrics'!$A:$A,$B$4,'Data - Monthly Metrics'!$B:$B,J$8,'Data - Monthly Metrics'!$C:$C,"Majors/NRA",'Data - Monthly Metrics'!$D:$D,"Goal - Penetration %")&gt;0)</formula>
    </cfRule>
  </conditionalFormatting>
  <conditionalFormatting sqref="K30">
    <cfRule type="expression" rank="0" priority="463" equalAverage="0" aboveAverage="0" dxfId="0" stopIfTrue="1" text="" percent="0" bottom="0">
      <formula>AND(ISNUMBER(K30),COUNTIFS('Data - Monthly Metrics'!$A:$A,$B$4,'Data - Monthly Metrics'!$B:$B,K$8,'Data - Monthly Metrics'!$C:$C,"Majors/NRA",'Data - Monthly Metrics'!$D:$D,"Goal - Penetration %")&gt;0,K30&gt;=SUMIFS('Data - Monthly Metrics'!$E:$E,'Data - Monthly Metrics'!$A:$A,$B$4,'Data - Monthly Metrics'!$B:$B,K$8,'Data - Monthly Metrics'!$C:$C,"Majors/NRA",'Data - Monthly Metrics'!$D:$D,"Goal - Penetration %"))</formula>
    </cfRule>
    <cfRule type="expression" rank="0" priority="464" equalAverage="0" aboveAverage="0" dxfId="2" stopIfTrue="1" text="" percent="0" bottom="0">
      <formula>AND(ISNUMBER(K30),COUNTIFS('Data - Monthly Metrics'!$A:$A,$B$4,'Data - Monthly Metrics'!$B:$B,K$8,'Data - Monthly Metrics'!$C:$C,"Majors/NRA",'Data - Monthly Metrics'!$D:$D,"Goal - Penetration %")&gt;0,K30&gt;=SUMIFS('Data - Monthly Metrics'!$E:$E,'Data - Monthly Metrics'!$A:$A,$B$4,'Data - Monthly Metrics'!$B:$B,K$8,'Data - Monthly Metrics'!$C:$C,"Majors/NRA",'Data - Monthly Metrics'!$D:$D,"Goal - Penetration %")-0.05)</formula>
    </cfRule>
    <cfRule type="expression" rank="0" priority="465" equalAverage="0" aboveAverage="0" dxfId="1" stopIfTrue="1" text="" percent="0" bottom="0">
      <formula>AND(ISNUMBER(K30),COUNTIFS('Data - Monthly Metrics'!$A:$A,$B$4,'Data - Monthly Metrics'!$B:$B,K$8,'Data - Monthly Metrics'!$C:$C,"Majors/NRA",'Data - Monthly Metrics'!$D:$D,"Goal - Penetration %")&gt;0)</formula>
    </cfRule>
  </conditionalFormatting>
  <conditionalFormatting sqref="L30">
    <cfRule type="expression" rank="0" priority="466" equalAverage="0" aboveAverage="0" dxfId="0" stopIfTrue="1" text="" percent="0" bottom="0">
      <formula>AND(ISNUMBER(L30),COUNTIFS('Data - Monthly Metrics'!$A:$A,$B$4,'Data - Monthly Metrics'!$B:$B,L$8,'Data - Monthly Metrics'!$C:$C,"Majors/NRA",'Data - Monthly Metrics'!$D:$D,"Goal - Penetration %")&gt;0,L30&gt;=SUMIFS('Data - Monthly Metrics'!$E:$E,'Data - Monthly Metrics'!$A:$A,$B$4,'Data - Monthly Metrics'!$B:$B,L$8,'Data - Monthly Metrics'!$C:$C,"Majors/NRA",'Data - Monthly Metrics'!$D:$D,"Goal - Penetration %"))</formula>
    </cfRule>
    <cfRule type="expression" rank="0" priority="467" equalAverage="0" aboveAverage="0" dxfId="2" stopIfTrue="1" text="" percent="0" bottom="0">
      <formula>AND(ISNUMBER(L30),COUNTIFS('Data - Monthly Metrics'!$A:$A,$B$4,'Data - Monthly Metrics'!$B:$B,L$8,'Data - Monthly Metrics'!$C:$C,"Majors/NRA",'Data - Monthly Metrics'!$D:$D,"Goal - Penetration %")&gt;0,L30&gt;=SUMIFS('Data - Monthly Metrics'!$E:$E,'Data - Monthly Metrics'!$A:$A,$B$4,'Data - Monthly Metrics'!$B:$B,L$8,'Data - Monthly Metrics'!$C:$C,"Majors/NRA",'Data - Monthly Metrics'!$D:$D,"Goal - Penetration %")-0.05)</formula>
    </cfRule>
    <cfRule type="expression" rank="0" priority="468" equalAverage="0" aboveAverage="0" dxfId="1" stopIfTrue="1" text="" percent="0" bottom="0">
      <formula>AND(ISNUMBER(L30),COUNTIFS('Data - Monthly Metrics'!$A:$A,$B$4,'Data - Monthly Metrics'!$B:$B,L$8,'Data - Monthly Metrics'!$C:$C,"Majors/NRA",'Data - Monthly Metrics'!$D:$D,"Goal - Penetration %")&gt;0)</formula>
    </cfRule>
  </conditionalFormatting>
  <conditionalFormatting sqref="N30">
    <cfRule type="expression" rank="0" priority="469" equalAverage="0" aboveAverage="0" dxfId="0" stopIfTrue="1" text="" percent="0" bottom="0">
      <formula>AND(ISNUMBER(N30),COUNTIFS('Data - Monthly Metrics'!$A:$A,$B$4,'Data - Monthly Metrics'!$B:$B,N$8,'Data - Monthly Metrics'!$C:$C,"Majors/NRA",'Data - Monthly Metrics'!$D:$D,"Goal - Penetration %")&gt;0,N30&gt;=SUMIFS('Data - Monthly Metrics'!$E:$E,'Data - Monthly Metrics'!$A:$A,$B$4,'Data - Monthly Metrics'!$B:$B,N$8,'Data - Monthly Metrics'!$C:$C,"Majors/NRA",'Data - Monthly Metrics'!$D:$D,"Goal - Penetration %"))</formula>
    </cfRule>
    <cfRule type="expression" rank="0" priority="470" equalAverage="0" aboveAverage="0" dxfId="2" stopIfTrue="1" text="" percent="0" bottom="0">
      <formula>AND(ISNUMBER(N30),COUNTIFS('Data - Monthly Metrics'!$A:$A,$B$4,'Data - Monthly Metrics'!$B:$B,N$8,'Data - Monthly Metrics'!$C:$C,"Majors/NRA",'Data - Monthly Metrics'!$D:$D,"Goal - Penetration %")&gt;0,N30&gt;=SUMIFS('Data - Monthly Metrics'!$E:$E,'Data - Monthly Metrics'!$A:$A,$B$4,'Data - Monthly Metrics'!$B:$B,N$8,'Data - Monthly Metrics'!$C:$C,"Majors/NRA",'Data - Monthly Metrics'!$D:$D,"Goal - Penetration %")-0.05)</formula>
    </cfRule>
    <cfRule type="expression" rank="0" priority="471" equalAverage="0" aboveAverage="0" dxfId="1" stopIfTrue="1" text="" percent="0" bottom="0">
      <formula>AND(ISNUMBER(N30),COUNTIFS('Data - Monthly Metrics'!$A:$A,$B$4,'Data - Monthly Metrics'!$B:$B,N$8,'Data - Monthly Metrics'!$C:$C,"Majors/NRA",'Data - Monthly Metrics'!$D:$D,"Goal - Penetration %")&gt;0)</formula>
    </cfRule>
  </conditionalFormatting>
  <conditionalFormatting sqref="O30">
    <cfRule type="expression" rank="0" priority="472" equalAverage="0" aboveAverage="0" dxfId="0" stopIfTrue="1" text="" percent="0" bottom="0">
      <formula>AND(ISNUMBER(O30),COUNTIFS('Data - Monthly Metrics'!$A:$A,$B$4,'Data - Monthly Metrics'!$B:$B,O$8,'Data - Monthly Metrics'!$C:$C,"Majors/NRA",'Data - Monthly Metrics'!$D:$D,"Goal - Penetration %")&gt;0,O30&gt;=SUMIFS('Data - Monthly Metrics'!$E:$E,'Data - Monthly Metrics'!$A:$A,$B$4,'Data - Monthly Metrics'!$B:$B,O$8,'Data - Monthly Metrics'!$C:$C,"Majors/NRA",'Data - Monthly Metrics'!$D:$D,"Goal - Penetration %"))</formula>
    </cfRule>
    <cfRule type="expression" rank="0" priority="473" equalAverage="0" aboveAverage="0" dxfId="2" stopIfTrue="1" text="" percent="0" bottom="0">
      <formula>AND(ISNUMBER(O30),COUNTIFS('Data - Monthly Metrics'!$A:$A,$B$4,'Data - Monthly Metrics'!$B:$B,O$8,'Data - Monthly Metrics'!$C:$C,"Majors/NRA",'Data - Monthly Metrics'!$D:$D,"Goal - Penetration %")&gt;0,O30&gt;=SUMIFS('Data - Monthly Metrics'!$E:$E,'Data - Monthly Metrics'!$A:$A,$B$4,'Data - Monthly Metrics'!$B:$B,O$8,'Data - Monthly Metrics'!$C:$C,"Majors/NRA",'Data - Monthly Metrics'!$D:$D,"Goal - Penetration %")-0.05)</formula>
    </cfRule>
    <cfRule type="expression" rank="0" priority="474" equalAverage="0" aboveAverage="0" dxfId="1" stopIfTrue="1" text="" percent="0" bottom="0">
      <formula>AND(ISNUMBER(O30),COUNTIFS('Data - Monthly Metrics'!$A:$A,$B$4,'Data - Monthly Metrics'!$B:$B,O$8,'Data - Monthly Metrics'!$C:$C,"Majors/NRA",'Data - Monthly Metrics'!$D:$D,"Goal - Penetration %")&gt;0)</formula>
    </cfRule>
  </conditionalFormatting>
  <conditionalFormatting sqref="P30">
    <cfRule type="expression" rank="0" priority="475" equalAverage="0" aboveAverage="0" dxfId="0" stopIfTrue="1" text="" percent="0" bottom="0">
      <formula>AND(ISNUMBER(P30),COUNTIFS('Data - Monthly Metrics'!$A:$A,$B$4,'Data - Monthly Metrics'!$B:$B,P$8,'Data - Monthly Metrics'!$C:$C,"Majors/NRA",'Data - Monthly Metrics'!$D:$D,"Goal - Penetration %")&gt;0,P30&gt;=SUMIFS('Data - Monthly Metrics'!$E:$E,'Data - Monthly Metrics'!$A:$A,$B$4,'Data - Monthly Metrics'!$B:$B,P$8,'Data - Monthly Metrics'!$C:$C,"Majors/NRA",'Data - Monthly Metrics'!$D:$D,"Goal - Penetration %"))</formula>
    </cfRule>
    <cfRule type="expression" rank="0" priority="476" equalAverage="0" aboveAverage="0" dxfId="2" stopIfTrue="1" text="" percent="0" bottom="0">
      <formula>AND(ISNUMBER(P30),COUNTIFS('Data - Monthly Metrics'!$A:$A,$B$4,'Data - Monthly Metrics'!$B:$B,P$8,'Data - Monthly Metrics'!$C:$C,"Majors/NRA",'Data - Monthly Metrics'!$D:$D,"Goal - Penetration %")&gt;0,P30&gt;=SUMIFS('Data - Monthly Metrics'!$E:$E,'Data - Monthly Metrics'!$A:$A,$B$4,'Data - Monthly Metrics'!$B:$B,P$8,'Data - Monthly Metrics'!$C:$C,"Majors/NRA",'Data - Monthly Metrics'!$D:$D,"Goal - Penetration %")-0.05)</formula>
    </cfRule>
    <cfRule type="expression" rank="0" priority="477" equalAverage="0" aboveAverage="0" dxfId="1" stopIfTrue="1" text="" percent="0" bottom="0">
      <formula>AND(ISNUMBER(P30),COUNTIFS('Data - Monthly Metrics'!$A:$A,$B$4,'Data - Monthly Metrics'!$B:$B,P$8,'Data - Monthly Metrics'!$C:$C,"Majors/NRA",'Data - Monthly Metrics'!$D:$D,"Goal - Penetration %")&gt;0)</formula>
    </cfRule>
  </conditionalFormatting>
  <conditionalFormatting sqref="B31">
    <cfRule type="expression" rank="0" priority="478" equalAverage="0" aboveAverage="0" dxfId="0" stopIfTrue="1" text="" percent="0" bottom="0">
      <formula>AND(ISNUMBER(B31),COUNTIFS('Data - Monthly Metrics'!$A:$A,$B$4-1,'Data - Monthly Metrics'!$B:$B,B$8,'Data - Monthly Metrics'!$C:$C,"Majors/NRA",'Data - Monthly Metrics'!$D:$D,"Goal - Penetration %")&gt;0,B31&gt;=SUMIFS('Data - Monthly Metrics'!$E:$E,'Data - Monthly Metrics'!$A:$A,$B$4-1,'Data - Monthly Metrics'!$B:$B,B$8,'Data - Monthly Metrics'!$C:$C,"Majors/NRA",'Data - Monthly Metrics'!$D:$D,"Goal - Penetration %"))</formula>
    </cfRule>
    <cfRule type="expression" rank="0" priority="479" equalAverage="0" aboveAverage="0" dxfId="2" stopIfTrue="1" text="" percent="0" bottom="0">
      <formula>AND(ISNUMBER(B31),COUNTIFS('Data - Monthly Metrics'!$A:$A,$B$4-1,'Data - Monthly Metrics'!$B:$B,B$8,'Data - Monthly Metrics'!$C:$C,"Majors/NRA",'Data - Monthly Metrics'!$D:$D,"Goal - Penetration %")&gt;0,B31&gt;=SUMIFS('Data - Monthly Metrics'!$E:$E,'Data - Monthly Metrics'!$A:$A,$B$4-1,'Data - Monthly Metrics'!$B:$B,B$8,'Data - Monthly Metrics'!$C:$C,"Majors/NRA",'Data - Monthly Metrics'!$D:$D,"Goal - Penetration %")-0.05)</formula>
    </cfRule>
    <cfRule type="expression" rank="0" priority="480" equalAverage="0" aboveAverage="0" dxfId="1" stopIfTrue="1" text="" percent="0" bottom="0">
      <formula>AND(ISNUMBER(B31),COUNTIFS('Data - Monthly Metrics'!$A:$A,$B$4-1,'Data - Monthly Metrics'!$B:$B,B$8,'Data - Monthly Metrics'!$C:$C,"Majors/NRA",'Data - Monthly Metrics'!$D:$D,"Goal - Penetration %")&gt;0)</formula>
    </cfRule>
  </conditionalFormatting>
  <conditionalFormatting sqref="C31">
    <cfRule type="expression" rank="0" priority="481" equalAverage="0" aboveAverage="0" dxfId="0" stopIfTrue="1" text="" percent="0" bottom="0">
      <formula>AND(ISNUMBER(C31),COUNTIFS('Data - Monthly Metrics'!$A:$A,$B$4-1,'Data - Monthly Metrics'!$B:$B,C$8,'Data - Monthly Metrics'!$C:$C,"Majors/NRA",'Data - Monthly Metrics'!$D:$D,"Goal - Penetration %")&gt;0,C31&gt;=SUMIFS('Data - Monthly Metrics'!$E:$E,'Data - Monthly Metrics'!$A:$A,$B$4-1,'Data - Monthly Metrics'!$B:$B,C$8,'Data - Monthly Metrics'!$C:$C,"Majors/NRA",'Data - Monthly Metrics'!$D:$D,"Goal - Penetration %"))</formula>
    </cfRule>
    <cfRule type="expression" rank="0" priority="482" equalAverage="0" aboveAverage="0" dxfId="2" stopIfTrue="1" text="" percent="0" bottom="0">
      <formula>AND(ISNUMBER(C31),COUNTIFS('Data - Monthly Metrics'!$A:$A,$B$4-1,'Data - Monthly Metrics'!$B:$B,C$8,'Data - Monthly Metrics'!$C:$C,"Majors/NRA",'Data - Monthly Metrics'!$D:$D,"Goal - Penetration %")&gt;0,C31&gt;=SUMIFS('Data - Monthly Metrics'!$E:$E,'Data - Monthly Metrics'!$A:$A,$B$4-1,'Data - Monthly Metrics'!$B:$B,C$8,'Data - Monthly Metrics'!$C:$C,"Majors/NRA",'Data - Monthly Metrics'!$D:$D,"Goal - Penetration %")-0.05)</formula>
    </cfRule>
    <cfRule type="expression" rank="0" priority="483" equalAverage="0" aboveAverage="0" dxfId="1" stopIfTrue="1" text="" percent="0" bottom="0">
      <formula>AND(ISNUMBER(C31),COUNTIFS('Data - Monthly Metrics'!$A:$A,$B$4-1,'Data - Monthly Metrics'!$B:$B,C$8,'Data - Monthly Metrics'!$C:$C,"Majors/NRA",'Data - Monthly Metrics'!$D:$D,"Goal - Penetration %")&gt;0)</formula>
    </cfRule>
  </conditionalFormatting>
  <conditionalFormatting sqref="D31">
    <cfRule type="expression" rank="0" priority="484" equalAverage="0" aboveAverage="0" dxfId="0" stopIfTrue="1" text="" percent="0" bottom="0">
      <formula>AND(ISNUMBER(D31),COUNTIFS('Data - Monthly Metrics'!$A:$A,$B$4-1,'Data - Monthly Metrics'!$B:$B,D$8,'Data - Monthly Metrics'!$C:$C,"Majors/NRA",'Data - Monthly Metrics'!$D:$D,"Goal - Penetration %")&gt;0,D31&gt;=SUMIFS('Data - Monthly Metrics'!$E:$E,'Data - Monthly Metrics'!$A:$A,$B$4-1,'Data - Monthly Metrics'!$B:$B,D$8,'Data - Monthly Metrics'!$C:$C,"Majors/NRA",'Data - Monthly Metrics'!$D:$D,"Goal - Penetration %"))</formula>
    </cfRule>
    <cfRule type="expression" rank="0" priority="485" equalAverage="0" aboveAverage="0" dxfId="2" stopIfTrue="1" text="" percent="0" bottom="0">
      <formula>AND(ISNUMBER(D31),COUNTIFS('Data - Monthly Metrics'!$A:$A,$B$4-1,'Data - Monthly Metrics'!$B:$B,D$8,'Data - Monthly Metrics'!$C:$C,"Majors/NRA",'Data - Monthly Metrics'!$D:$D,"Goal - Penetration %")&gt;0,D31&gt;=SUMIFS('Data - Monthly Metrics'!$E:$E,'Data - Monthly Metrics'!$A:$A,$B$4-1,'Data - Monthly Metrics'!$B:$B,D$8,'Data - Monthly Metrics'!$C:$C,"Majors/NRA",'Data - Monthly Metrics'!$D:$D,"Goal - Penetration %")-0.05)</formula>
    </cfRule>
    <cfRule type="expression" rank="0" priority="486" equalAverage="0" aboveAverage="0" dxfId="1" stopIfTrue="1" text="" percent="0" bottom="0">
      <formula>AND(ISNUMBER(D31),COUNTIFS('Data - Monthly Metrics'!$A:$A,$B$4-1,'Data - Monthly Metrics'!$B:$B,D$8,'Data - Monthly Metrics'!$C:$C,"Majors/NRA",'Data - Monthly Metrics'!$D:$D,"Goal - Penetration %")&gt;0)</formula>
    </cfRule>
  </conditionalFormatting>
  <conditionalFormatting sqref="F31">
    <cfRule type="expression" rank="0" priority="487" equalAverage="0" aboveAverage="0" dxfId="0" stopIfTrue="1" text="" percent="0" bottom="0">
      <formula>AND(ISNUMBER(F31),COUNTIFS('Data - Monthly Metrics'!$A:$A,$B$4,'Data - Monthly Metrics'!$B:$B,F$8,'Data - Monthly Metrics'!$C:$C,"Majors/NRA",'Data - Monthly Metrics'!$D:$D,"Goal - Penetration %")&gt;0,F31&gt;=SUMIFS('Data - Monthly Metrics'!$E:$E,'Data - Monthly Metrics'!$A:$A,$B$4,'Data - Monthly Metrics'!$B:$B,F$8,'Data - Monthly Metrics'!$C:$C,"Majors/NRA",'Data - Monthly Metrics'!$D:$D,"Goal - Penetration %"))</formula>
    </cfRule>
    <cfRule type="expression" rank="0" priority="488" equalAverage="0" aboveAverage="0" dxfId="2" stopIfTrue="1" text="" percent="0" bottom="0">
      <formula>AND(ISNUMBER(F31),COUNTIFS('Data - Monthly Metrics'!$A:$A,$B$4,'Data - Monthly Metrics'!$B:$B,F$8,'Data - Monthly Metrics'!$C:$C,"Majors/NRA",'Data - Monthly Metrics'!$D:$D,"Goal - Penetration %")&gt;0,F31&gt;=SUMIFS('Data - Monthly Metrics'!$E:$E,'Data - Monthly Metrics'!$A:$A,$B$4,'Data - Monthly Metrics'!$B:$B,F$8,'Data - Monthly Metrics'!$C:$C,"Majors/NRA",'Data - Monthly Metrics'!$D:$D,"Goal - Penetration %")-0.05)</formula>
    </cfRule>
    <cfRule type="expression" rank="0" priority="489" equalAverage="0" aboveAverage="0" dxfId="1" stopIfTrue="1" text="" percent="0" bottom="0">
      <formula>AND(ISNUMBER(F31),COUNTIFS('Data - Monthly Metrics'!$A:$A,$B$4,'Data - Monthly Metrics'!$B:$B,F$8,'Data - Monthly Metrics'!$C:$C,"Majors/NRA",'Data - Monthly Metrics'!$D:$D,"Goal - Penetration %")&gt;0)</formula>
    </cfRule>
  </conditionalFormatting>
  <conditionalFormatting sqref="G31">
    <cfRule type="expression" rank="0" priority="490" equalAverage="0" aboveAverage="0" dxfId="0" stopIfTrue="1" text="" percent="0" bottom="0">
      <formula>AND(ISNUMBER(G31),COUNTIFS('Data - Monthly Metrics'!$A:$A,$B$4,'Data - Monthly Metrics'!$B:$B,G$8,'Data - Monthly Metrics'!$C:$C,"Majors/NRA",'Data - Monthly Metrics'!$D:$D,"Goal - Penetration %")&gt;0,G31&gt;=SUMIFS('Data - Monthly Metrics'!$E:$E,'Data - Monthly Metrics'!$A:$A,$B$4,'Data - Monthly Metrics'!$B:$B,G$8,'Data - Monthly Metrics'!$C:$C,"Majors/NRA",'Data - Monthly Metrics'!$D:$D,"Goal - Penetration %"))</formula>
    </cfRule>
    <cfRule type="expression" rank="0" priority="491" equalAverage="0" aboveAverage="0" dxfId="2" stopIfTrue="1" text="" percent="0" bottom="0">
      <formula>AND(ISNUMBER(G31),COUNTIFS('Data - Monthly Metrics'!$A:$A,$B$4,'Data - Monthly Metrics'!$B:$B,G$8,'Data - Monthly Metrics'!$C:$C,"Majors/NRA",'Data - Monthly Metrics'!$D:$D,"Goal - Penetration %")&gt;0,G31&gt;=SUMIFS('Data - Monthly Metrics'!$E:$E,'Data - Monthly Metrics'!$A:$A,$B$4,'Data - Monthly Metrics'!$B:$B,G$8,'Data - Monthly Metrics'!$C:$C,"Majors/NRA",'Data - Monthly Metrics'!$D:$D,"Goal - Penetration %")-0.05)</formula>
    </cfRule>
    <cfRule type="expression" rank="0" priority="492" equalAverage="0" aboveAverage="0" dxfId="1" stopIfTrue="1" text="" percent="0" bottom="0">
      <formula>AND(ISNUMBER(G31),COUNTIFS('Data - Monthly Metrics'!$A:$A,$B$4,'Data - Monthly Metrics'!$B:$B,G$8,'Data - Monthly Metrics'!$C:$C,"Majors/NRA",'Data - Monthly Metrics'!$D:$D,"Goal - Penetration %")&gt;0)</formula>
    </cfRule>
  </conditionalFormatting>
  <conditionalFormatting sqref="H31">
    <cfRule type="expression" rank="0" priority="493" equalAverage="0" aboveAverage="0" dxfId="0" stopIfTrue="1" text="" percent="0" bottom="0">
      <formula>AND(ISNUMBER(H31),COUNTIFS('Data - Monthly Metrics'!$A:$A,$B$4,'Data - Monthly Metrics'!$B:$B,H$8,'Data - Monthly Metrics'!$C:$C,"Majors/NRA",'Data - Monthly Metrics'!$D:$D,"Goal - Penetration %")&gt;0,H31&gt;=SUMIFS('Data - Monthly Metrics'!$E:$E,'Data - Monthly Metrics'!$A:$A,$B$4,'Data - Monthly Metrics'!$B:$B,H$8,'Data - Monthly Metrics'!$C:$C,"Majors/NRA",'Data - Monthly Metrics'!$D:$D,"Goal - Penetration %"))</formula>
    </cfRule>
    <cfRule type="expression" rank="0" priority="494" equalAverage="0" aboveAverage="0" dxfId="2" stopIfTrue="1" text="" percent="0" bottom="0">
      <formula>AND(ISNUMBER(H31),COUNTIFS('Data - Monthly Metrics'!$A:$A,$B$4,'Data - Monthly Metrics'!$B:$B,H$8,'Data - Monthly Metrics'!$C:$C,"Majors/NRA",'Data - Monthly Metrics'!$D:$D,"Goal - Penetration %")&gt;0,H31&gt;=SUMIFS('Data - Monthly Metrics'!$E:$E,'Data - Monthly Metrics'!$A:$A,$B$4,'Data - Monthly Metrics'!$B:$B,H$8,'Data - Monthly Metrics'!$C:$C,"Majors/NRA",'Data - Monthly Metrics'!$D:$D,"Goal - Penetration %")-0.05)</formula>
    </cfRule>
    <cfRule type="expression" rank="0" priority="495" equalAverage="0" aboveAverage="0" dxfId="1" stopIfTrue="1" text="" percent="0" bottom="0">
      <formula>AND(ISNUMBER(H31),COUNTIFS('Data - Monthly Metrics'!$A:$A,$B$4,'Data - Monthly Metrics'!$B:$B,H$8,'Data - Monthly Metrics'!$C:$C,"Majors/NRA",'Data - Monthly Metrics'!$D:$D,"Goal - Penetration %")&gt;0)</formula>
    </cfRule>
  </conditionalFormatting>
  <conditionalFormatting sqref="J31">
    <cfRule type="expression" rank="0" priority="496" equalAverage="0" aboveAverage="0" dxfId="0" stopIfTrue="1" text="" percent="0" bottom="0">
      <formula>AND(ISNUMBER(J31),COUNTIFS('Data - Monthly Metrics'!$A:$A,$B$4,'Data - Monthly Metrics'!$B:$B,J$8,'Data - Monthly Metrics'!$C:$C,"Majors/NRA",'Data - Monthly Metrics'!$D:$D,"Goal - Penetration %")&gt;0,J31&gt;=SUMIFS('Data - Monthly Metrics'!$E:$E,'Data - Monthly Metrics'!$A:$A,$B$4,'Data - Monthly Metrics'!$B:$B,J$8,'Data - Monthly Metrics'!$C:$C,"Majors/NRA",'Data - Monthly Metrics'!$D:$D,"Goal - Penetration %"))</formula>
    </cfRule>
    <cfRule type="expression" rank="0" priority="497" equalAverage="0" aboveAverage="0" dxfId="2" stopIfTrue="1" text="" percent="0" bottom="0">
      <formula>AND(ISNUMBER(J31),COUNTIFS('Data - Monthly Metrics'!$A:$A,$B$4,'Data - Monthly Metrics'!$B:$B,J$8,'Data - Monthly Metrics'!$C:$C,"Majors/NRA",'Data - Monthly Metrics'!$D:$D,"Goal - Penetration %")&gt;0,J31&gt;=SUMIFS('Data - Monthly Metrics'!$E:$E,'Data - Monthly Metrics'!$A:$A,$B$4,'Data - Monthly Metrics'!$B:$B,J$8,'Data - Monthly Metrics'!$C:$C,"Majors/NRA",'Data - Monthly Metrics'!$D:$D,"Goal - Penetration %")-0.05)</formula>
    </cfRule>
    <cfRule type="expression" rank="0" priority="498" equalAverage="0" aboveAverage="0" dxfId="1" stopIfTrue="1" text="" percent="0" bottom="0">
      <formula>AND(ISNUMBER(J31),COUNTIFS('Data - Monthly Metrics'!$A:$A,$B$4,'Data - Monthly Metrics'!$B:$B,J$8,'Data - Monthly Metrics'!$C:$C,"Majors/NRA",'Data - Monthly Metrics'!$D:$D,"Goal - Penetration %")&gt;0)</formula>
    </cfRule>
  </conditionalFormatting>
  <conditionalFormatting sqref="K31">
    <cfRule type="expression" rank="0" priority="499" equalAverage="0" aboveAverage="0" dxfId="0" stopIfTrue="1" text="" percent="0" bottom="0">
      <formula>AND(ISNUMBER(K31),COUNTIFS('Data - Monthly Metrics'!$A:$A,$B$4,'Data - Monthly Metrics'!$B:$B,K$8,'Data - Monthly Metrics'!$C:$C,"Majors/NRA",'Data - Monthly Metrics'!$D:$D,"Goal - Penetration %")&gt;0,K31&gt;=SUMIFS('Data - Monthly Metrics'!$E:$E,'Data - Monthly Metrics'!$A:$A,$B$4,'Data - Monthly Metrics'!$B:$B,K$8,'Data - Monthly Metrics'!$C:$C,"Majors/NRA",'Data - Monthly Metrics'!$D:$D,"Goal - Penetration %"))</formula>
    </cfRule>
    <cfRule type="expression" rank="0" priority="500" equalAverage="0" aboveAverage="0" dxfId="2" stopIfTrue="1" text="" percent="0" bottom="0">
      <formula>AND(ISNUMBER(K31),COUNTIFS('Data - Monthly Metrics'!$A:$A,$B$4,'Data - Monthly Metrics'!$B:$B,K$8,'Data - Monthly Metrics'!$C:$C,"Majors/NRA",'Data - Monthly Metrics'!$D:$D,"Goal - Penetration %")&gt;0,K31&gt;=SUMIFS('Data - Monthly Metrics'!$E:$E,'Data - Monthly Metrics'!$A:$A,$B$4,'Data - Monthly Metrics'!$B:$B,K$8,'Data - Monthly Metrics'!$C:$C,"Majors/NRA",'Data - Monthly Metrics'!$D:$D,"Goal - Penetration %")-0.05)</formula>
    </cfRule>
    <cfRule type="expression" rank="0" priority="501" equalAverage="0" aboveAverage="0" dxfId="1" stopIfTrue="1" text="" percent="0" bottom="0">
      <formula>AND(ISNUMBER(K31),COUNTIFS('Data - Monthly Metrics'!$A:$A,$B$4,'Data - Monthly Metrics'!$B:$B,K$8,'Data - Monthly Metrics'!$C:$C,"Majors/NRA",'Data - Monthly Metrics'!$D:$D,"Goal - Penetration %")&gt;0)</formula>
    </cfRule>
  </conditionalFormatting>
  <conditionalFormatting sqref="L31">
    <cfRule type="expression" rank="0" priority="502" equalAverage="0" aboveAverage="0" dxfId="0" stopIfTrue="1" text="" percent="0" bottom="0">
      <formula>AND(ISNUMBER(L31),COUNTIFS('Data - Monthly Metrics'!$A:$A,$B$4,'Data - Monthly Metrics'!$B:$B,L$8,'Data - Monthly Metrics'!$C:$C,"Majors/NRA",'Data - Monthly Metrics'!$D:$D,"Goal - Penetration %")&gt;0,L31&gt;=SUMIFS('Data - Monthly Metrics'!$E:$E,'Data - Monthly Metrics'!$A:$A,$B$4,'Data - Monthly Metrics'!$B:$B,L$8,'Data - Monthly Metrics'!$C:$C,"Majors/NRA",'Data - Monthly Metrics'!$D:$D,"Goal - Penetration %"))</formula>
    </cfRule>
    <cfRule type="expression" rank="0" priority="503" equalAverage="0" aboveAverage="0" dxfId="2" stopIfTrue="1" text="" percent="0" bottom="0">
      <formula>AND(ISNUMBER(L31),COUNTIFS('Data - Monthly Metrics'!$A:$A,$B$4,'Data - Monthly Metrics'!$B:$B,L$8,'Data - Monthly Metrics'!$C:$C,"Majors/NRA",'Data - Monthly Metrics'!$D:$D,"Goal - Penetration %")&gt;0,L31&gt;=SUMIFS('Data - Monthly Metrics'!$E:$E,'Data - Monthly Metrics'!$A:$A,$B$4,'Data - Monthly Metrics'!$B:$B,L$8,'Data - Monthly Metrics'!$C:$C,"Majors/NRA",'Data - Monthly Metrics'!$D:$D,"Goal - Penetration %")-0.05)</formula>
    </cfRule>
    <cfRule type="expression" rank="0" priority="504" equalAverage="0" aboveAverage="0" dxfId="1" stopIfTrue="1" text="" percent="0" bottom="0">
      <formula>AND(ISNUMBER(L31),COUNTIFS('Data - Monthly Metrics'!$A:$A,$B$4,'Data - Monthly Metrics'!$B:$B,L$8,'Data - Monthly Metrics'!$C:$C,"Majors/NRA",'Data - Monthly Metrics'!$D:$D,"Goal - Penetration %")&gt;0)</formula>
    </cfRule>
  </conditionalFormatting>
  <conditionalFormatting sqref="N31">
    <cfRule type="expression" rank="0" priority="505" equalAverage="0" aboveAverage="0" dxfId="0" stopIfTrue="1" text="" percent="0" bottom="0">
      <formula>AND(ISNUMBER(N31),COUNTIFS('Data - Monthly Metrics'!$A:$A,$B$4,'Data - Monthly Metrics'!$B:$B,N$8,'Data - Monthly Metrics'!$C:$C,"Majors/NRA",'Data - Monthly Metrics'!$D:$D,"Goal - Penetration %")&gt;0,N31&gt;=SUMIFS('Data - Monthly Metrics'!$E:$E,'Data - Monthly Metrics'!$A:$A,$B$4,'Data - Monthly Metrics'!$B:$B,N$8,'Data - Monthly Metrics'!$C:$C,"Majors/NRA",'Data - Monthly Metrics'!$D:$D,"Goal - Penetration %"))</formula>
    </cfRule>
    <cfRule type="expression" rank="0" priority="506" equalAverage="0" aboveAverage="0" dxfId="2" stopIfTrue="1" text="" percent="0" bottom="0">
      <formula>AND(ISNUMBER(N31),COUNTIFS('Data - Monthly Metrics'!$A:$A,$B$4,'Data - Monthly Metrics'!$B:$B,N$8,'Data - Monthly Metrics'!$C:$C,"Majors/NRA",'Data - Monthly Metrics'!$D:$D,"Goal - Penetration %")&gt;0,N31&gt;=SUMIFS('Data - Monthly Metrics'!$E:$E,'Data - Monthly Metrics'!$A:$A,$B$4,'Data - Monthly Metrics'!$B:$B,N$8,'Data - Monthly Metrics'!$C:$C,"Majors/NRA",'Data - Monthly Metrics'!$D:$D,"Goal - Penetration %")-0.05)</formula>
    </cfRule>
    <cfRule type="expression" rank="0" priority="507" equalAverage="0" aboveAverage="0" dxfId="1" stopIfTrue="1" text="" percent="0" bottom="0">
      <formula>AND(ISNUMBER(N31),COUNTIFS('Data - Monthly Metrics'!$A:$A,$B$4,'Data - Monthly Metrics'!$B:$B,N$8,'Data - Monthly Metrics'!$C:$C,"Majors/NRA",'Data - Monthly Metrics'!$D:$D,"Goal - Penetration %")&gt;0)</formula>
    </cfRule>
  </conditionalFormatting>
  <conditionalFormatting sqref="O31">
    <cfRule type="expression" rank="0" priority="508" equalAverage="0" aboveAverage="0" dxfId="0" stopIfTrue="1" text="" percent="0" bottom="0">
      <formula>AND(ISNUMBER(O31),COUNTIFS('Data - Monthly Metrics'!$A:$A,$B$4,'Data - Monthly Metrics'!$B:$B,O$8,'Data - Monthly Metrics'!$C:$C,"Majors/NRA",'Data - Monthly Metrics'!$D:$D,"Goal - Penetration %")&gt;0,O31&gt;=SUMIFS('Data - Monthly Metrics'!$E:$E,'Data - Monthly Metrics'!$A:$A,$B$4,'Data - Monthly Metrics'!$B:$B,O$8,'Data - Monthly Metrics'!$C:$C,"Majors/NRA",'Data - Monthly Metrics'!$D:$D,"Goal - Penetration %"))</formula>
    </cfRule>
    <cfRule type="expression" rank="0" priority="509" equalAverage="0" aboveAverage="0" dxfId="2" stopIfTrue="1" text="" percent="0" bottom="0">
      <formula>AND(ISNUMBER(O31),COUNTIFS('Data - Monthly Metrics'!$A:$A,$B$4,'Data - Monthly Metrics'!$B:$B,O$8,'Data - Monthly Metrics'!$C:$C,"Majors/NRA",'Data - Monthly Metrics'!$D:$D,"Goal - Penetration %")&gt;0,O31&gt;=SUMIFS('Data - Monthly Metrics'!$E:$E,'Data - Monthly Metrics'!$A:$A,$B$4,'Data - Monthly Metrics'!$B:$B,O$8,'Data - Monthly Metrics'!$C:$C,"Majors/NRA",'Data - Monthly Metrics'!$D:$D,"Goal - Penetration %")-0.05)</formula>
    </cfRule>
    <cfRule type="expression" rank="0" priority="510" equalAverage="0" aboveAverage="0" dxfId="1" stopIfTrue="1" text="" percent="0" bottom="0">
      <formula>AND(ISNUMBER(O31),COUNTIFS('Data - Monthly Metrics'!$A:$A,$B$4,'Data - Monthly Metrics'!$B:$B,O$8,'Data - Monthly Metrics'!$C:$C,"Majors/NRA",'Data - Monthly Metrics'!$D:$D,"Goal - Penetration %")&gt;0)</formula>
    </cfRule>
  </conditionalFormatting>
  <conditionalFormatting sqref="P31">
    <cfRule type="expression" rank="0" priority="511" equalAverage="0" aboveAverage="0" dxfId="0" stopIfTrue="1" text="" percent="0" bottom="0">
      <formula>AND(ISNUMBER(P31),COUNTIFS('Data - Monthly Metrics'!$A:$A,$B$4,'Data - Monthly Metrics'!$B:$B,P$8,'Data - Monthly Metrics'!$C:$C,"Majors/NRA",'Data - Monthly Metrics'!$D:$D,"Goal - Penetration %")&gt;0,P31&gt;=SUMIFS('Data - Monthly Metrics'!$E:$E,'Data - Monthly Metrics'!$A:$A,$B$4,'Data - Monthly Metrics'!$B:$B,P$8,'Data - Monthly Metrics'!$C:$C,"Majors/NRA",'Data - Monthly Metrics'!$D:$D,"Goal - Penetration %"))</formula>
    </cfRule>
    <cfRule type="expression" rank="0" priority="512" equalAverage="0" aboveAverage="0" dxfId="2" stopIfTrue="1" text="" percent="0" bottom="0">
      <formula>AND(ISNUMBER(P31),COUNTIFS('Data - Monthly Metrics'!$A:$A,$B$4,'Data - Monthly Metrics'!$B:$B,P$8,'Data - Monthly Metrics'!$C:$C,"Majors/NRA",'Data - Monthly Metrics'!$D:$D,"Goal - Penetration %")&gt;0,P31&gt;=SUMIFS('Data - Monthly Metrics'!$E:$E,'Data - Monthly Metrics'!$A:$A,$B$4,'Data - Monthly Metrics'!$B:$B,P$8,'Data - Monthly Metrics'!$C:$C,"Majors/NRA",'Data - Monthly Metrics'!$D:$D,"Goal - Penetration %")-0.05)</formula>
    </cfRule>
    <cfRule type="expression" rank="0" priority="513" equalAverage="0" aboveAverage="0" dxfId="1" stopIfTrue="1" text="" percent="0" bottom="0">
      <formula>AND(ISNUMBER(P31),COUNTIFS('Data - Monthly Metrics'!$A:$A,$B$4,'Data - Monthly Metrics'!$B:$B,P$8,'Data - Monthly Metrics'!$C:$C,"Majors/NRA",'Data - Monthly Metrics'!$D:$D,"Goal - Penetration %")&gt;0)</formula>
    </cfRule>
  </conditionalFormatting>
  <conditionalFormatting sqref="B54:R54">
    <cfRule type="expression" rank="0" priority="514" equalAverage="0" aboveAverage="0" dxfId="0" text="" percent="0" bottom="0">
      <formula>B54="On Track"</formula>
    </cfRule>
    <cfRule type="expression" rank="0" priority="515" equalAverage="0" aboveAverage="0" dxfId="2" text="" percent="0" bottom="0">
      <formula>B54="Watch"</formula>
    </cfRule>
    <cfRule type="expression" rank="0" priority="516" equalAverage="0" aboveAverage="0" dxfId="1" text="" percent="0" bottom="0">
      <formula>B54="At Risk"</formula>
    </cfRule>
  </conditionalFormatting>
  <conditionalFormatting sqref="B94:R94">
    <cfRule type="expression" rank="0" priority="517" equalAverage="0" aboveAverage="0" dxfId="0" text="" percent="0" bottom="0">
      <formula>B94="On Track"</formula>
    </cfRule>
    <cfRule type="expression" rank="0" priority="518" equalAverage="0" aboveAverage="0" dxfId="2" text="" percent="0" bottom="0">
      <formula>B94="Watch"</formula>
    </cfRule>
    <cfRule type="expression" rank="0" priority="519" equalAverage="0" aboveAverage="0" dxfId="1" text="" percent="0" bottom="0">
      <formula>B94="At Risk"</formula>
    </cfRule>
  </conditionalFormatting>
  <conditionalFormatting sqref="B71:R71">
    <cfRule type="expression" rank="0" priority="520" equalAverage="0" aboveAverage="0" dxfId="0" text="" percent="0" bottom="0">
      <formula>B71="On Track"</formula>
    </cfRule>
    <cfRule type="expression" rank="0" priority="521" equalAverage="0" aboveAverage="0" dxfId="2" text="" percent="0" bottom="0">
      <formula>B71="Watch"</formula>
    </cfRule>
    <cfRule type="expression" rank="0" priority="522" equalAverage="0" aboveAverage="0" dxfId="1" text="" percent="0" bottom="0">
      <formula>B71="At Risk"</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customHeight="0" zeroHeight="0" outlineLevelRow="0"/>
  <cols>
    <col width="50" customWidth="1" style="81" min="1" max="1"/>
    <col width="12" customWidth="1" style="81" min="2" max="2"/>
    <col width="16" customWidth="1" style="81" min="3" max="3"/>
  </cols>
  <sheetData>
    <row r="1" ht="30" customHeight="1" s="82">
      <c r="A1" s="83" t="inlineStr">
        <is>
          <t>Metrics — Master List</t>
        </is>
      </c>
    </row>
    <row r="3" ht="14.25" customHeight="1" s="82">
      <c r="A3" s="88" t="inlineStr">
        <is>
          <t>Metric Name</t>
        </is>
      </c>
      <c r="B3" s="88" t="inlineStr">
        <is>
          <t>Type</t>
        </is>
      </c>
      <c r="C3" s="88" t="inlineStr">
        <is>
          <t>Category</t>
        </is>
      </c>
    </row>
    <row r="4" ht="14.25" customHeight="1" s="82">
      <c r="A4" s="90" t="inlineStr">
        <is>
          <t>Goal - New Sales Revenue ($)</t>
        </is>
      </c>
      <c r="B4" s="90" t="inlineStr">
        <is>
          <t>currency</t>
        </is>
      </c>
      <c r="C4" s="90" t="inlineStr">
        <is>
          <t>goal</t>
        </is>
      </c>
    </row>
    <row r="5" ht="14.25" customHeight="1" s="82">
      <c r="A5" s="95" t="inlineStr">
        <is>
          <t>Goal - New Members (#)</t>
        </is>
      </c>
      <c r="B5" s="95" t="inlineStr">
        <is>
          <t>count</t>
        </is>
      </c>
      <c r="C5" s="95" t="inlineStr">
        <is>
          <t>goal</t>
        </is>
      </c>
    </row>
    <row r="6" ht="14.25" customHeight="1" s="82">
      <c r="A6" s="90" t="inlineStr">
        <is>
          <t>Goal - Retention %</t>
        </is>
      </c>
      <c r="B6" s="90" t="inlineStr">
        <is>
          <t>pct</t>
        </is>
      </c>
      <c r="C6" s="90" t="inlineStr">
        <is>
          <t>goal</t>
        </is>
      </c>
    </row>
    <row r="7" ht="14.25" customHeight="1" s="82">
      <c r="A7" s="95" t="inlineStr">
        <is>
          <t>New Sales Revenue - Target ($)</t>
        </is>
      </c>
      <c r="B7" s="95" t="inlineStr">
        <is>
          <t>currency</t>
        </is>
      </c>
      <c r="C7" s="95" t="inlineStr">
        <is>
          <t>sales</t>
        </is>
      </c>
    </row>
    <row r="8" ht="14.25" customHeight="1" s="82">
      <c r="A8" s="90" t="inlineStr">
        <is>
          <t>New Sales Revenue - Non-Target ($)</t>
        </is>
      </c>
      <c r="B8" s="90" t="inlineStr">
        <is>
          <t>currency</t>
        </is>
      </c>
      <c r="C8" s="90" t="inlineStr">
        <is>
          <t>sales</t>
        </is>
      </c>
    </row>
    <row r="9" ht="14.25" customHeight="1" s="82">
      <c r="A9" s="95" t="inlineStr">
        <is>
          <t>New Members - Target (#)</t>
        </is>
      </c>
      <c r="B9" s="95" t="inlineStr">
        <is>
          <t>count</t>
        </is>
      </c>
      <c r="C9" s="95" t="inlineStr">
        <is>
          <t>sales</t>
        </is>
      </c>
    </row>
    <row r="10" ht="14.25" customHeight="1" s="82">
      <c r="A10" s="90" t="inlineStr">
        <is>
          <t>New Members - Non-Target (#)</t>
        </is>
      </c>
      <c r="B10" s="90" t="inlineStr">
        <is>
          <t>count</t>
        </is>
      </c>
      <c r="C10" s="90" t="inlineStr">
        <is>
          <t>sales</t>
        </is>
      </c>
    </row>
    <row r="11" ht="14.25" customHeight="1" s="82">
      <c r="A11" s="95" t="inlineStr">
        <is>
          <t>Billables - Hospitality Target (#)</t>
        </is>
      </c>
      <c r="B11" s="95" t="inlineStr">
        <is>
          <t>count</t>
        </is>
      </c>
      <c r="C11" s="95" t="inlineStr">
        <is>
          <t>billables</t>
        </is>
      </c>
    </row>
    <row r="12" ht="14.25" customHeight="1" s="82">
      <c r="A12" s="90" t="inlineStr">
        <is>
          <t>Billables - Hospitality Non-Target (#)</t>
        </is>
      </c>
      <c r="B12" s="90" t="inlineStr">
        <is>
          <t>count</t>
        </is>
      </c>
      <c r="C12" s="90" t="inlineStr">
        <is>
          <t>billables</t>
        </is>
      </c>
    </row>
    <row r="13" ht="14.25" customHeight="1" s="82">
      <c r="A13" s="95" t="inlineStr">
        <is>
          <t>Billables - Allied (#)</t>
        </is>
      </c>
      <c r="B13" s="95" t="inlineStr">
        <is>
          <t>count</t>
        </is>
      </c>
      <c r="C13" s="95" t="inlineStr">
        <is>
          <t>billables</t>
        </is>
      </c>
    </row>
    <row r="14" ht="14.25" customHeight="1" s="82">
      <c r="A14" s="90" t="inlineStr">
        <is>
          <t>Members Up for Renewal - Target (#)</t>
        </is>
      </c>
      <c r="B14" s="90" t="inlineStr">
        <is>
          <t>count</t>
        </is>
      </c>
      <c r="C14" s="90" t="inlineStr">
        <is>
          <t>retention</t>
        </is>
      </c>
    </row>
    <row r="15" ht="14.25" customHeight="1" s="82">
      <c r="A15" s="95" t="inlineStr">
        <is>
          <t>Members Retained - Target (#)</t>
        </is>
      </c>
      <c r="B15" s="95" t="inlineStr">
        <is>
          <t>count</t>
        </is>
      </c>
      <c r="C15" s="95" t="inlineStr">
        <is>
          <t>retention</t>
        </is>
      </c>
    </row>
    <row r="16" ht="14.25" customHeight="1" s="82">
      <c r="A16" s="90" t="inlineStr">
        <is>
          <t>Revenue Up for Renewal - Target ($)</t>
        </is>
      </c>
      <c r="B16" s="90" t="inlineStr">
        <is>
          <t>currency</t>
        </is>
      </c>
      <c r="C16" s="90" t="inlineStr">
        <is>
          <t>retention</t>
        </is>
      </c>
    </row>
    <row r="17" ht="14.25" customHeight="1" s="82">
      <c r="A17" s="95" t="inlineStr">
        <is>
          <t>Revenue Retained - Target ($)</t>
        </is>
      </c>
      <c r="B17" s="95" t="inlineStr">
        <is>
          <t>currency</t>
        </is>
      </c>
      <c r="C17" s="95" t="inlineStr">
        <is>
          <t>retention</t>
        </is>
      </c>
    </row>
    <row r="18" ht="14.25" customHeight="1" s="82">
      <c r="A18" s="90" t="inlineStr">
        <is>
          <t>Members Up for Renewal - Non-Target (#)</t>
        </is>
      </c>
      <c r="B18" s="90" t="inlineStr">
        <is>
          <t>count</t>
        </is>
      </c>
      <c r="C18" s="90" t="inlineStr">
        <is>
          <t>retention</t>
        </is>
      </c>
    </row>
    <row r="19" ht="14.25" customHeight="1" s="82">
      <c r="A19" s="95" t="inlineStr">
        <is>
          <t>Members Retained - Non-Target (#)</t>
        </is>
      </c>
      <c r="B19" s="95" t="inlineStr">
        <is>
          <t>count</t>
        </is>
      </c>
      <c r="C19" s="95" t="inlineStr">
        <is>
          <t>retention</t>
        </is>
      </c>
    </row>
    <row r="20" ht="14.25" customHeight="1" s="82">
      <c r="A20" s="90" t="inlineStr">
        <is>
          <t>Revenue Up for Renewal - Non-Target ($)</t>
        </is>
      </c>
      <c r="B20" s="90" t="inlineStr">
        <is>
          <t>currency</t>
        </is>
      </c>
      <c r="C20" s="90" t="inlineStr">
        <is>
          <t>retention</t>
        </is>
      </c>
    </row>
    <row r="21" ht="14.25" customHeight="1" s="82">
      <c r="A21" s="95" t="inlineStr">
        <is>
          <t>Revenue Retained - Non-Target ($)</t>
        </is>
      </c>
      <c r="B21" s="95" t="inlineStr">
        <is>
          <t>currency</t>
        </is>
      </c>
      <c r="C21" s="95" t="inlineStr">
        <is>
          <t>retention</t>
        </is>
      </c>
    </row>
    <row r="22" ht="14.25" customHeight="1" s="82">
      <c r="A22" s="90" t="inlineStr">
        <is>
          <t>Drops - Target (#)</t>
        </is>
      </c>
      <c r="B22" s="90" t="inlineStr">
        <is>
          <t>count</t>
        </is>
      </c>
      <c r="C22" s="90" t="inlineStr">
        <is>
          <t>drops</t>
        </is>
      </c>
    </row>
    <row r="23" ht="14.25" customHeight="1" s="82">
      <c r="A23" s="95" t="inlineStr">
        <is>
          <t>Drops - Non-Target (#)</t>
        </is>
      </c>
      <c r="B23" s="95" t="inlineStr">
        <is>
          <t>count</t>
        </is>
      </c>
      <c r="C23" s="95" t="inlineStr">
        <is>
          <t>drops</t>
        </is>
      </c>
    </row>
    <row r="24" ht="14.25" customHeight="1" s="82">
      <c r="A24" s="90" t="inlineStr">
        <is>
          <t>Dropped Revenue - Target ($)</t>
        </is>
      </c>
      <c r="B24" s="90" t="inlineStr">
        <is>
          <t>currency</t>
        </is>
      </c>
      <c r="C24" s="90" t="inlineStr">
        <is>
          <t>drops</t>
        </is>
      </c>
    </row>
    <row r="25" ht="14.25" customHeight="1" s="82">
      <c r="A25" s="95" t="inlineStr">
        <is>
          <t>Dropped Revenue - Non-Target ($)</t>
        </is>
      </c>
      <c r="B25" s="95" t="inlineStr">
        <is>
          <t>currency</t>
        </is>
      </c>
      <c r="C25" s="95" t="inlineStr">
        <is>
          <t>drops</t>
        </is>
      </c>
    </row>
    <row r="26" ht="14.25" customHeight="1" s="82">
      <c r="A26" s="90" t="inlineStr">
        <is>
          <t>Closed Businesses - Target (#)</t>
        </is>
      </c>
      <c r="B26" s="90" t="inlineStr">
        <is>
          <t>count</t>
        </is>
      </c>
      <c r="C26" s="90" t="inlineStr">
        <is>
          <t>closed</t>
        </is>
      </c>
    </row>
    <row r="27" ht="14.25" customHeight="1" s="82">
      <c r="A27" s="95" t="inlineStr">
        <is>
          <t>Closed Businesses - Non-Target (#)</t>
        </is>
      </c>
      <c r="B27" s="95" t="inlineStr">
        <is>
          <t>count</t>
        </is>
      </c>
      <c r="C27" s="95" t="inlineStr">
        <is>
          <t>closed</t>
        </is>
      </c>
    </row>
    <row r="28" ht="14.25" customHeight="1" s="82">
      <c r="A28" s="90" t="inlineStr">
        <is>
          <t>Total Target Locations - Restaurant (#)</t>
        </is>
      </c>
      <c r="B28" s="90" t="inlineStr">
        <is>
          <t>count</t>
        </is>
      </c>
      <c r="C28" s="90" t="inlineStr">
        <is>
          <t>penetration</t>
        </is>
      </c>
    </row>
    <row r="29" ht="14.25" customHeight="1" s="82">
      <c r="A29" s="95" t="inlineStr">
        <is>
          <t>Total Target Locations - Lodging (#)</t>
        </is>
      </c>
      <c r="B29" s="95" t="inlineStr">
        <is>
          <t>count</t>
        </is>
      </c>
      <c r="C29" s="95" t="inlineStr">
        <is>
          <t>penetration</t>
        </is>
      </c>
    </row>
    <row r="30" ht="14.25" customHeight="1" s="82">
      <c r="A30" s="90" t="inlineStr">
        <is>
          <t>Target Members - Restaurant (#)</t>
        </is>
      </c>
      <c r="B30" s="90" t="inlineStr">
        <is>
          <t>count</t>
        </is>
      </c>
      <c r="C30" s="90" t="inlineStr">
        <is>
          <t>penetration</t>
        </is>
      </c>
    </row>
    <row r="31" ht="14.25" customHeight="1" s="82">
      <c r="A31" s="95" t="inlineStr">
        <is>
          <t>Target Members - Lodging (#)</t>
        </is>
      </c>
      <c r="B31" s="95" t="inlineStr">
        <is>
          <t>count</t>
        </is>
      </c>
      <c r="C31" s="95" t="inlineStr">
        <is>
          <t>penetration</t>
        </is>
      </c>
    </row>
    <row r="32" ht="14.25" customHeight="1" s="82">
      <c r="A32" s="90" t="inlineStr">
        <is>
          <t>Penetration - Restaurant %</t>
        </is>
      </c>
      <c r="B32" s="90" t="inlineStr">
        <is>
          <t>pct</t>
        </is>
      </c>
      <c r="C32" s="90" t="inlineStr">
        <is>
          <t>penetration</t>
        </is>
      </c>
    </row>
    <row r="33" ht="14.25" customHeight="1" s="82">
      <c r="A33" s="95" t="inlineStr">
        <is>
          <t>Penetration - Lodging %</t>
        </is>
      </c>
      <c r="B33" s="95" t="inlineStr">
        <is>
          <t>pct</t>
        </is>
      </c>
      <c r="C33" s="95" t="inlineStr">
        <is>
          <t>penetration</t>
        </is>
      </c>
    </row>
    <row r="34" ht="14.25" customHeight="1" s="82">
      <c r="A34" s="90" t="inlineStr">
        <is>
          <t>Penetration - Combined %</t>
        </is>
      </c>
      <c r="B34" s="90" t="inlineStr">
        <is>
          <t>pct</t>
        </is>
      </c>
      <c r="C34" s="90" t="inlineStr">
        <is>
          <t>penetration</t>
        </is>
      </c>
    </row>
    <row r="35" ht="14.25" customHeight="1" s="82">
      <c r="A35" s="81" t="inlineStr">
        <is>
          <t>Penetration - Restaurant Non-Target %</t>
        </is>
      </c>
    </row>
    <row r="36" ht="14.25" customHeight="1" s="82">
      <c r="A36" s="81" t="inlineStr">
        <is>
          <t>Penetration - Lodging Non-Target %</t>
        </is>
      </c>
    </row>
    <row r="37" ht="14.25" customHeight="1" s="82">
      <c r="A37" s="81" t="inlineStr">
        <is>
          <t>Penetration - Combined Non-Target %</t>
        </is>
      </c>
    </row>
    <row r="38" ht="14.25" customHeight="1" s="82">
      <c r="A38" s="95" t="n"/>
      <c r="B38" s="95" t="n"/>
      <c r="C38" s="95" t="n"/>
    </row>
    <row r="39">
      <c r="A39" s="81" t="inlineStr">
        <is>
          <t>New Members - BOB (#)</t>
        </is>
      </c>
      <c r="B39" s="81" t="inlineStr">
        <is>
          <t>count</t>
        </is>
      </c>
      <c r="C39" s="81" t="inlineStr">
        <is>
          <t>sales</t>
        </is>
      </c>
    </row>
    <row r="40">
      <c r="A40" s="81" t="inlineStr">
        <is>
          <t>New Sales Revenue - BOB/Promo ($)</t>
        </is>
      </c>
      <c r="B40" s="81" t="inlineStr">
        <is>
          <t>currency</t>
        </is>
      </c>
      <c r="C40" s="81" t="inlineStr">
        <is>
          <t>sales</t>
        </is>
      </c>
    </row>
    <row r="41">
      <c r="A41" s="81" t="inlineStr">
        <is>
          <t>Retention - BOB (#)</t>
        </is>
      </c>
      <c r="B41" s="81" t="inlineStr">
        <is>
          <t>count</t>
        </is>
      </c>
      <c r="C41" s="81" t="inlineStr">
        <is>
          <t>retention</t>
        </is>
      </c>
    </row>
    <row r="42">
      <c r="A42" s="81" t="inlineStr">
        <is>
          <t>Retention - BOB ($)</t>
        </is>
      </c>
      <c r="B42" s="81" t="inlineStr">
        <is>
          <t>currency</t>
        </is>
      </c>
      <c r="C42" s="81" t="inlineStr">
        <is>
          <t>retention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FFC00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4.25" customHeight="1" zeroHeight="0" outlineLevelRow="0"/>
  <cols>
    <col width="8" customWidth="1" style="81" min="1" max="2"/>
    <col width="18" customWidth="1" style="81" min="3" max="3"/>
    <col width="50" customWidth="1" style="81" min="4" max="4"/>
    <col width="14" customWidth="1" style="81" min="5" max="5"/>
    <col width="30" customWidth="1" style="81" min="6" max="6"/>
  </cols>
  <sheetData>
    <row r="1" ht="30" customHeight="1" s="82">
      <c r="A1" s="83" t="inlineStr">
        <is>
          <t>Monthly Metrics — Long-Form Data Engine</t>
        </is>
      </c>
    </row>
    <row r="2" ht="14.25" customHeight="1" s="82">
      <c r="A2" s="84" t="inlineStr">
        <is>
          <t>One row per Year × Month × Territory × Metric. Tech team populates column E.</t>
        </is>
      </c>
    </row>
    <row r="4" ht="14.25" customHeight="1" s="82">
      <c r="A4" s="88" t="inlineStr">
        <is>
          <t>Year</t>
        </is>
      </c>
      <c r="B4" s="88" t="inlineStr">
        <is>
          <t>Month</t>
        </is>
      </c>
      <c r="C4" s="88" t="inlineStr">
        <is>
          <t>Territory</t>
        </is>
      </c>
      <c r="D4" s="88" t="inlineStr">
        <is>
          <t>Metric</t>
        </is>
      </c>
      <c r="E4" s="88" t="inlineStr">
        <is>
          <t>Value</t>
        </is>
      </c>
      <c r="F4" s="88" t="inlineStr">
        <is>
          <t>Notes</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FFC000"/>
    <outlinePr summaryBelow="1" summaryRight="1"/>
    <pageSetUpPr fitToPage="0"/>
  </sheetPr>
  <dimension ref="A1:L50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14" customWidth="1" style="81" min="1" max="1"/>
    <col width="28" customWidth="1" style="81" min="2" max="2"/>
    <col width="18" customWidth="1" style="81" min="3" max="3"/>
    <col width="22" customWidth="1" style="81" min="4" max="4"/>
    <col width="16" customWidth="1" style="81" min="5" max="5"/>
    <col width="12" customWidth="1" style="81" min="6" max="9"/>
    <col width="26" customWidth="1" style="81" min="10" max="10"/>
    <col width="16" customWidth="1" style="81" min="11" max="11"/>
    <col width="14" customWidth="1" style="81" min="12" max="12"/>
  </cols>
  <sheetData>
    <row r="1" ht="30" customHeight="1" s="82">
      <c r="A1" s="83" t="inlineStr">
        <is>
          <t>Drops — Detail List</t>
        </is>
      </c>
    </row>
    <row r="3" ht="22.5" customHeight="1" s="82">
      <c r="A3" s="88" t="inlineStr">
        <is>
          <t>Account ID</t>
        </is>
      </c>
      <c r="B3" s="88" t="inlineStr">
        <is>
          <t>Account Name</t>
        </is>
      </c>
      <c r="C3" s="88" t="inlineStr">
        <is>
          <t>Territory</t>
        </is>
      </c>
      <c r="D3" s="88" t="inlineStr">
        <is>
          <t>Territory Manager</t>
        </is>
      </c>
      <c r="E3" s="88" t="inlineStr">
        <is>
          <t>Business Type</t>
        </is>
      </c>
      <c r="F3" s="88" t="inlineStr">
        <is>
          <t>Employee Count</t>
        </is>
      </c>
      <c r="G3" s="88" t="inlineStr">
        <is>
          <t>Target (Y/N)</t>
        </is>
      </c>
      <c r="H3" s="88" t="inlineStr">
        <is>
          <t>Renewal Year</t>
        </is>
      </c>
      <c r="I3" s="88" t="inlineStr">
        <is>
          <t>Renewal Month</t>
        </is>
      </c>
      <c r="J3" s="88" t="inlineStr">
        <is>
          <t>Drop Reason</t>
        </is>
      </c>
      <c r="K3" s="88" t="inlineStr">
        <is>
          <t>Amount Billed ($)</t>
        </is>
      </c>
      <c r="L3" s="88" t="inlineStr">
        <is>
          <t>Drop Date</t>
        </is>
      </c>
    </row>
    <row r="4" ht="14.25" customHeight="1" s="82">
      <c r="A4" s="154" t="n"/>
      <c r="B4" s="154" t="n"/>
      <c r="C4" s="154" t="n"/>
      <c r="D4" s="154" t="n"/>
      <c r="E4" s="154" t="n"/>
      <c r="F4" s="154" t="n"/>
      <c r="G4" s="154" t="n"/>
      <c r="H4" s="155" t="n"/>
      <c r="I4" s="154" t="n"/>
      <c r="J4" s="154" t="n"/>
      <c r="K4" s="156" t="n"/>
      <c r="L4" s="157" t="n"/>
    </row>
    <row r="5" ht="14.25" customHeight="1" s="82">
      <c r="A5" s="158" t="n"/>
      <c r="B5" s="158" t="n"/>
      <c r="C5" s="158" t="n"/>
      <c r="D5" s="158" t="n"/>
      <c r="E5" s="158" t="n"/>
      <c r="F5" s="158" t="n"/>
      <c r="G5" s="158" t="n"/>
      <c r="H5" s="159" t="n"/>
      <c r="I5" s="158" t="n"/>
      <c r="J5" s="158" t="n"/>
      <c r="K5" s="160" t="n"/>
      <c r="L5" s="161" t="n"/>
    </row>
    <row r="6" ht="14.25" customHeight="1" s="82">
      <c r="A6" s="154" t="n"/>
      <c r="B6" s="154" t="n"/>
      <c r="C6" s="154" t="n"/>
      <c r="D6" s="154" t="n"/>
      <c r="E6" s="154" t="n"/>
      <c r="F6" s="154" t="n"/>
      <c r="G6" s="154" t="n"/>
      <c r="H6" s="155" t="n"/>
      <c r="I6" s="154" t="n"/>
      <c r="J6" s="154" t="n"/>
      <c r="K6" s="156" t="n"/>
      <c r="L6" s="157" t="n"/>
    </row>
    <row r="7" ht="14.25" customHeight="1" s="82">
      <c r="A7" s="158" t="n"/>
      <c r="B7" s="158" t="n"/>
      <c r="C7" s="158" t="n"/>
      <c r="D7" s="158" t="n"/>
      <c r="E7" s="158" t="n"/>
      <c r="F7" s="158" t="n"/>
      <c r="G7" s="158" t="n"/>
      <c r="H7" s="159" t="n"/>
      <c r="I7" s="158" t="n"/>
      <c r="J7" s="158" t="n"/>
      <c r="K7" s="160" t="n"/>
      <c r="L7" s="161" t="n"/>
    </row>
    <row r="8" ht="14.25" customHeight="1" s="82">
      <c r="A8" s="154" t="n"/>
      <c r="B8" s="154" t="n"/>
      <c r="C8" s="154" t="n"/>
      <c r="D8" s="154" t="n"/>
      <c r="E8" s="154" t="n"/>
      <c r="F8" s="154" t="n"/>
      <c r="G8" s="154" t="n"/>
      <c r="H8" s="155" t="n"/>
      <c r="I8" s="154" t="n"/>
      <c r="J8" s="154" t="n"/>
      <c r="K8" s="156" t="n"/>
      <c r="L8" s="157" t="n"/>
    </row>
    <row r="9" ht="14.25" customHeight="1" s="82">
      <c r="A9" s="158" t="n"/>
      <c r="B9" s="158" t="n"/>
      <c r="C9" s="158" t="n"/>
      <c r="D9" s="158" t="n"/>
      <c r="E9" s="158" t="n"/>
      <c r="F9" s="158" t="n"/>
      <c r="G9" s="158" t="n"/>
      <c r="H9" s="159" t="n"/>
      <c r="I9" s="158" t="n"/>
      <c r="J9" s="158" t="n"/>
      <c r="K9" s="160" t="n"/>
      <c r="L9" s="161" t="n"/>
    </row>
    <row r="10" ht="14.25" customHeight="1" s="82">
      <c r="A10" s="154" t="n"/>
      <c r="B10" s="154" t="n"/>
      <c r="C10" s="154" t="n"/>
      <c r="D10" s="154" t="n"/>
      <c r="E10" s="154" t="n"/>
      <c r="F10" s="154" t="n"/>
      <c r="G10" s="154" t="n"/>
      <c r="H10" s="155" t="n"/>
      <c r="I10" s="154" t="n"/>
      <c r="J10" s="154" t="n"/>
      <c r="K10" s="156" t="n"/>
      <c r="L10" s="157" t="n"/>
    </row>
    <row r="11" ht="14.25" customHeight="1" s="82">
      <c r="A11" s="158" t="n"/>
      <c r="B11" s="158" t="n"/>
      <c r="C11" s="158" t="n"/>
      <c r="D11" s="158" t="n"/>
      <c r="E11" s="158" t="n"/>
      <c r="F11" s="158" t="n"/>
      <c r="G11" s="158" t="n"/>
      <c r="H11" s="159" t="n"/>
      <c r="I11" s="158" t="n"/>
      <c r="J11" s="158" t="n"/>
      <c r="K11" s="160" t="n"/>
      <c r="L11" s="161" t="n"/>
    </row>
    <row r="12" ht="14.25" customHeight="1" s="82">
      <c r="A12" s="154" t="n"/>
      <c r="B12" s="154" t="n"/>
      <c r="C12" s="154" t="n"/>
      <c r="D12" s="154" t="n"/>
      <c r="E12" s="154" t="n"/>
      <c r="F12" s="154" t="n"/>
      <c r="G12" s="154" t="n"/>
      <c r="H12" s="155" t="n"/>
      <c r="I12" s="154" t="n"/>
      <c r="J12" s="154" t="n"/>
      <c r="K12" s="156" t="n"/>
      <c r="L12" s="157" t="n"/>
    </row>
    <row r="13" ht="14.25" customHeight="1" s="82">
      <c r="A13" s="158" t="n"/>
      <c r="B13" s="158" t="n"/>
      <c r="C13" s="158" t="n"/>
      <c r="D13" s="158" t="n"/>
      <c r="E13" s="158" t="n"/>
      <c r="F13" s="158" t="n"/>
      <c r="G13" s="158" t="n"/>
      <c r="H13" s="159" t="n"/>
      <c r="I13" s="158" t="n"/>
      <c r="J13" s="158" t="n"/>
      <c r="K13" s="160" t="n"/>
      <c r="L13" s="161" t="n"/>
    </row>
    <row r="14" ht="14.25" customHeight="1" s="82">
      <c r="A14" s="154" t="n"/>
      <c r="B14" s="154" t="n"/>
      <c r="C14" s="154" t="n"/>
      <c r="D14" s="154" t="n"/>
      <c r="E14" s="154" t="n"/>
      <c r="F14" s="154" t="n"/>
      <c r="G14" s="154" t="n"/>
      <c r="H14" s="155" t="n"/>
      <c r="I14" s="154" t="n"/>
      <c r="J14" s="154" t="n"/>
      <c r="K14" s="156" t="n"/>
      <c r="L14" s="157" t="n"/>
    </row>
    <row r="15" ht="14.25" customHeight="1" s="82">
      <c r="A15" s="158" t="n"/>
      <c r="B15" s="158" t="n"/>
      <c r="C15" s="158" t="n"/>
      <c r="D15" s="158" t="n"/>
      <c r="E15" s="158" t="n"/>
      <c r="F15" s="158" t="n"/>
      <c r="G15" s="158" t="n"/>
      <c r="H15" s="159" t="n"/>
      <c r="I15" s="158" t="n"/>
      <c r="J15" s="158" t="n"/>
      <c r="K15" s="160" t="n"/>
      <c r="L15" s="161" t="n"/>
    </row>
    <row r="16" ht="14.25" customHeight="1" s="82">
      <c r="A16" s="154" t="n"/>
      <c r="B16" s="154" t="n"/>
      <c r="C16" s="154" t="n"/>
      <c r="D16" s="154" t="n"/>
      <c r="E16" s="154" t="n"/>
      <c r="F16" s="154" t="n"/>
      <c r="G16" s="154" t="n"/>
      <c r="H16" s="155" t="n"/>
      <c r="I16" s="154" t="n"/>
      <c r="J16" s="154" t="n"/>
      <c r="K16" s="156" t="n"/>
      <c r="L16" s="157" t="n"/>
    </row>
    <row r="17" ht="14.25" customHeight="1" s="82">
      <c r="A17" s="158" t="n"/>
      <c r="B17" s="158" t="n"/>
      <c r="C17" s="158" t="n"/>
      <c r="D17" s="158" t="n"/>
      <c r="E17" s="158" t="n"/>
      <c r="F17" s="158" t="n"/>
      <c r="G17" s="158" t="n"/>
      <c r="H17" s="159" t="n"/>
      <c r="I17" s="158" t="n"/>
      <c r="J17" s="158" t="n"/>
      <c r="K17" s="160" t="n"/>
      <c r="L17" s="161" t="n"/>
    </row>
    <row r="18" ht="14.25" customHeight="1" s="82">
      <c r="A18" s="154" t="n"/>
      <c r="B18" s="154" t="n"/>
      <c r="C18" s="154" t="n"/>
      <c r="D18" s="154" t="n"/>
      <c r="E18" s="154" t="n"/>
      <c r="F18" s="154" t="n"/>
      <c r="G18" s="154" t="n"/>
      <c r="H18" s="155" t="n"/>
      <c r="I18" s="154" t="n"/>
      <c r="J18" s="154" t="n"/>
      <c r="K18" s="156" t="n"/>
      <c r="L18" s="157" t="n"/>
    </row>
    <row r="19" ht="14.25" customHeight="1" s="82">
      <c r="A19" s="158" t="n"/>
      <c r="B19" s="158" t="n"/>
      <c r="C19" s="158" t="n"/>
      <c r="D19" s="158" t="n"/>
      <c r="E19" s="158" t="n"/>
      <c r="F19" s="158" t="n"/>
      <c r="G19" s="158" t="n"/>
      <c r="H19" s="159" t="n"/>
      <c r="I19" s="158" t="n"/>
      <c r="J19" s="158" t="n"/>
      <c r="K19" s="160" t="n"/>
      <c r="L19" s="161" t="n"/>
    </row>
    <row r="20" ht="14.25" customHeight="1" s="82">
      <c r="A20" s="154" t="n"/>
      <c r="B20" s="154" t="n"/>
      <c r="C20" s="154" t="n"/>
      <c r="D20" s="154" t="n"/>
      <c r="E20" s="154" t="n"/>
      <c r="F20" s="154" t="n"/>
      <c r="G20" s="154" t="n"/>
      <c r="H20" s="155" t="n"/>
      <c r="I20" s="154" t="n"/>
      <c r="J20" s="154" t="n"/>
      <c r="K20" s="156" t="n"/>
      <c r="L20" s="157" t="n"/>
    </row>
    <row r="21" ht="14.25" customHeight="1" s="82">
      <c r="A21" s="158" t="n"/>
      <c r="B21" s="158" t="n"/>
      <c r="C21" s="158" t="n"/>
      <c r="D21" s="158" t="n"/>
      <c r="E21" s="158" t="n"/>
      <c r="F21" s="158" t="n"/>
      <c r="G21" s="158" t="n"/>
      <c r="H21" s="159" t="n"/>
      <c r="I21" s="158" t="n"/>
      <c r="J21" s="158" t="n"/>
      <c r="K21" s="160" t="n"/>
      <c r="L21" s="161" t="n"/>
    </row>
    <row r="22" ht="14.25" customHeight="1" s="82">
      <c r="A22" s="154" t="n"/>
      <c r="B22" s="154" t="n"/>
      <c r="C22" s="154" t="n"/>
      <c r="D22" s="154" t="n"/>
      <c r="E22" s="154" t="n"/>
      <c r="F22" s="154" t="n"/>
      <c r="G22" s="154" t="n"/>
      <c r="H22" s="155" t="n"/>
      <c r="I22" s="154" t="n"/>
      <c r="J22" s="154" t="n"/>
      <c r="K22" s="156" t="n"/>
      <c r="L22" s="157" t="n"/>
    </row>
    <row r="23" ht="14.25" customHeight="1" s="82">
      <c r="A23" s="158" t="n"/>
      <c r="B23" s="158" t="n"/>
      <c r="C23" s="158" t="n"/>
      <c r="D23" s="158" t="n"/>
      <c r="E23" s="158" t="n"/>
      <c r="F23" s="158" t="n"/>
      <c r="G23" s="158" t="n"/>
      <c r="H23" s="159" t="n"/>
      <c r="I23" s="158" t="n"/>
      <c r="J23" s="158" t="n"/>
      <c r="K23" s="160" t="n"/>
      <c r="L23" s="161" t="n"/>
    </row>
    <row r="24" ht="14.25" customHeight="1" s="82">
      <c r="A24" s="154" t="n"/>
      <c r="B24" s="154" t="n"/>
      <c r="C24" s="154" t="n"/>
      <c r="D24" s="154" t="n"/>
      <c r="E24" s="154" t="n"/>
      <c r="F24" s="154" t="n"/>
      <c r="G24" s="154" t="n"/>
      <c r="H24" s="155" t="n"/>
      <c r="I24" s="154" t="n"/>
      <c r="J24" s="154" t="n"/>
      <c r="K24" s="156" t="n"/>
      <c r="L24" s="157" t="n"/>
    </row>
    <row r="25" ht="14.25" customHeight="1" s="82">
      <c r="A25" s="158" t="n"/>
      <c r="B25" s="158" t="n"/>
      <c r="C25" s="158" t="n"/>
      <c r="D25" s="158" t="n"/>
      <c r="E25" s="158" t="n"/>
      <c r="F25" s="158" t="n"/>
      <c r="G25" s="158" t="n"/>
      <c r="H25" s="159" t="n"/>
      <c r="I25" s="158" t="n"/>
      <c r="J25" s="158" t="n"/>
      <c r="K25" s="160" t="n"/>
      <c r="L25" s="161" t="n"/>
    </row>
    <row r="26" ht="14.25" customHeight="1" s="82">
      <c r="A26" s="154" t="n"/>
      <c r="B26" s="154" t="n"/>
      <c r="C26" s="154" t="n"/>
      <c r="D26" s="154" t="n"/>
      <c r="E26" s="154" t="n"/>
      <c r="F26" s="154" t="n"/>
      <c r="G26" s="154" t="n"/>
      <c r="H26" s="155" t="n"/>
      <c r="I26" s="154" t="n"/>
      <c r="J26" s="154" t="n"/>
      <c r="K26" s="156" t="n"/>
      <c r="L26" s="157" t="n"/>
    </row>
    <row r="27" ht="14.25" customHeight="1" s="82">
      <c r="A27" s="158" t="n"/>
      <c r="B27" s="158" t="n"/>
      <c r="C27" s="158" t="n"/>
      <c r="D27" s="158" t="n"/>
      <c r="E27" s="158" t="n"/>
      <c r="F27" s="158" t="n"/>
      <c r="G27" s="158" t="n"/>
      <c r="H27" s="159" t="n"/>
      <c r="I27" s="158" t="n"/>
      <c r="J27" s="158" t="n"/>
      <c r="K27" s="160" t="n"/>
      <c r="L27" s="161" t="n"/>
    </row>
    <row r="28" ht="14.25" customHeight="1" s="82">
      <c r="A28" s="154" t="n"/>
      <c r="B28" s="154" t="n"/>
      <c r="C28" s="154" t="n"/>
      <c r="D28" s="154" t="n"/>
      <c r="E28" s="154" t="n"/>
      <c r="F28" s="154" t="n"/>
      <c r="G28" s="154" t="n"/>
      <c r="H28" s="155" t="n"/>
      <c r="I28" s="154" t="n"/>
      <c r="J28" s="154" t="n"/>
      <c r="K28" s="156" t="n"/>
      <c r="L28" s="157" t="n"/>
    </row>
    <row r="29" ht="14.25" customHeight="1" s="82">
      <c r="A29" s="158" t="n"/>
      <c r="B29" s="158" t="n"/>
      <c r="C29" s="158" t="n"/>
      <c r="D29" s="158" t="n"/>
      <c r="E29" s="158" t="n"/>
      <c r="F29" s="158" t="n"/>
      <c r="G29" s="158" t="n"/>
      <c r="H29" s="159" t="n"/>
      <c r="I29" s="158" t="n"/>
      <c r="J29" s="158" t="n"/>
      <c r="K29" s="160" t="n"/>
      <c r="L29" s="161" t="n"/>
    </row>
    <row r="30" ht="14.25" customHeight="1" s="82">
      <c r="A30" s="154" t="n"/>
      <c r="B30" s="154" t="n"/>
      <c r="C30" s="154" t="n"/>
      <c r="D30" s="154" t="n"/>
      <c r="E30" s="154" t="n"/>
      <c r="F30" s="154" t="n"/>
      <c r="G30" s="154" t="n"/>
      <c r="H30" s="155" t="n"/>
      <c r="I30" s="154" t="n"/>
      <c r="J30" s="154" t="n"/>
      <c r="K30" s="156" t="n"/>
      <c r="L30" s="157" t="n"/>
    </row>
    <row r="31" ht="14.25" customHeight="1" s="82">
      <c r="A31" s="158" t="n"/>
      <c r="B31" s="158" t="n"/>
      <c r="C31" s="158" t="n"/>
      <c r="D31" s="158" t="n"/>
      <c r="E31" s="158" t="n"/>
      <c r="F31" s="158" t="n"/>
      <c r="G31" s="158" t="n"/>
      <c r="H31" s="159" t="n"/>
      <c r="I31" s="158" t="n"/>
      <c r="J31" s="158" t="n"/>
      <c r="K31" s="160" t="n"/>
      <c r="L31" s="161" t="n"/>
    </row>
    <row r="32" ht="14.25" customHeight="1" s="82">
      <c r="A32" s="154" t="n"/>
      <c r="B32" s="154" t="n"/>
      <c r="C32" s="154" t="n"/>
      <c r="D32" s="154" t="n"/>
      <c r="E32" s="154" t="n"/>
      <c r="F32" s="154" t="n"/>
      <c r="G32" s="154" t="n"/>
      <c r="H32" s="155" t="n"/>
      <c r="I32" s="154" t="n"/>
      <c r="J32" s="154" t="n"/>
      <c r="K32" s="156" t="n"/>
      <c r="L32" s="157" t="n"/>
    </row>
    <row r="33" ht="14.25" customHeight="1" s="82">
      <c r="A33" s="158" t="n"/>
      <c r="B33" s="158" t="n"/>
      <c r="C33" s="158" t="n"/>
      <c r="D33" s="158" t="n"/>
      <c r="E33" s="158" t="n"/>
      <c r="F33" s="158" t="n"/>
      <c r="G33" s="158" t="n"/>
      <c r="H33" s="159" t="n"/>
      <c r="I33" s="158" t="n"/>
      <c r="J33" s="158" t="n"/>
      <c r="K33" s="160" t="n"/>
      <c r="L33" s="161" t="n"/>
    </row>
    <row r="34" ht="14.25" customHeight="1" s="82">
      <c r="A34" s="154" t="n"/>
      <c r="B34" s="154" t="n"/>
      <c r="C34" s="154" t="n"/>
      <c r="D34" s="154" t="n"/>
      <c r="E34" s="154" t="n"/>
      <c r="F34" s="154" t="n"/>
      <c r="G34" s="154" t="n"/>
      <c r="H34" s="155" t="n"/>
      <c r="I34" s="154" t="n"/>
      <c r="J34" s="154" t="n"/>
      <c r="K34" s="156" t="n"/>
      <c r="L34" s="157" t="n"/>
    </row>
    <row r="35" ht="14.25" customHeight="1" s="82">
      <c r="A35" s="158" t="n"/>
      <c r="B35" s="158" t="n"/>
      <c r="C35" s="158" t="n"/>
      <c r="D35" s="158" t="n"/>
      <c r="E35" s="158" t="n"/>
      <c r="F35" s="158" t="n"/>
      <c r="G35" s="158" t="n"/>
      <c r="H35" s="159" t="n"/>
      <c r="I35" s="158" t="n"/>
      <c r="J35" s="158" t="n"/>
      <c r="K35" s="160" t="n"/>
      <c r="L35" s="161" t="n"/>
    </row>
    <row r="36" ht="14.25" customHeight="1" s="82">
      <c r="A36" s="154" t="n"/>
      <c r="B36" s="154" t="n"/>
      <c r="C36" s="154" t="n"/>
      <c r="D36" s="154" t="n"/>
      <c r="E36" s="154" t="n"/>
      <c r="F36" s="154" t="n"/>
      <c r="G36" s="154" t="n"/>
      <c r="H36" s="155" t="n"/>
      <c r="I36" s="154" t="n"/>
      <c r="J36" s="154" t="n"/>
      <c r="K36" s="156" t="n"/>
      <c r="L36" s="157" t="n"/>
    </row>
    <row r="37" ht="14.25" customHeight="1" s="82">
      <c r="A37" s="158" t="n"/>
      <c r="B37" s="158" t="n"/>
      <c r="C37" s="158" t="n"/>
      <c r="D37" s="158" t="n"/>
      <c r="E37" s="158" t="n"/>
      <c r="F37" s="158" t="n"/>
      <c r="G37" s="158" t="n"/>
      <c r="H37" s="159" t="n"/>
      <c r="I37" s="158" t="n"/>
      <c r="J37" s="158" t="n"/>
      <c r="K37" s="160" t="n"/>
      <c r="L37" s="161" t="n"/>
    </row>
    <row r="38" ht="14.25" customHeight="1" s="82">
      <c r="A38" s="154" t="n"/>
      <c r="B38" s="154" t="n"/>
      <c r="C38" s="154" t="n"/>
      <c r="D38" s="154" t="n"/>
      <c r="E38" s="154" t="n"/>
      <c r="F38" s="154" t="n"/>
      <c r="G38" s="154" t="n"/>
      <c r="H38" s="155" t="n"/>
      <c r="I38" s="154" t="n"/>
      <c r="J38" s="154" t="n"/>
      <c r="K38" s="156" t="n"/>
      <c r="L38" s="157" t="n"/>
    </row>
    <row r="39" ht="14.25" customHeight="1" s="82">
      <c r="A39" s="158" t="n"/>
      <c r="B39" s="158" t="n"/>
      <c r="C39" s="158" t="n"/>
      <c r="D39" s="158" t="n"/>
      <c r="E39" s="158" t="n"/>
      <c r="F39" s="158" t="n"/>
      <c r="G39" s="158" t="n"/>
      <c r="H39" s="159" t="n"/>
      <c r="I39" s="158" t="n"/>
      <c r="J39" s="158" t="n"/>
      <c r="K39" s="160" t="n"/>
      <c r="L39" s="161" t="n"/>
    </row>
    <row r="40" ht="14.25" customHeight="1" s="82">
      <c r="A40" s="154" t="n"/>
      <c r="B40" s="154" t="n"/>
      <c r="C40" s="154" t="n"/>
      <c r="D40" s="154" t="n"/>
      <c r="E40" s="154" t="n"/>
      <c r="F40" s="154" t="n"/>
      <c r="G40" s="154" t="n"/>
      <c r="H40" s="155" t="n"/>
      <c r="I40" s="154" t="n"/>
      <c r="J40" s="154" t="n"/>
      <c r="K40" s="156" t="n"/>
      <c r="L40" s="157" t="n"/>
    </row>
    <row r="41" ht="14.25" customHeight="1" s="82">
      <c r="A41" s="158" t="n"/>
      <c r="B41" s="158" t="n"/>
      <c r="C41" s="158" t="n"/>
      <c r="D41" s="158" t="n"/>
      <c r="E41" s="158" t="n"/>
      <c r="F41" s="158" t="n"/>
      <c r="G41" s="158" t="n"/>
      <c r="H41" s="159" t="n"/>
      <c r="I41" s="158" t="n"/>
      <c r="J41" s="158" t="n"/>
      <c r="K41" s="160" t="n"/>
      <c r="L41" s="161" t="n"/>
    </row>
    <row r="42" ht="14.25" customHeight="1" s="82">
      <c r="A42" s="154" t="n"/>
      <c r="B42" s="154" t="n"/>
      <c r="C42" s="154" t="n"/>
      <c r="D42" s="154" t="n"/>
      <c r="E42" s="154" t="n"/>
      <c r="F42" s="154" t="n"/>
      <c r="G42" s="154" t="n"/>
      <c r="H42" s="155" t="n"/>
      <c r="I42" s="154" t="n"/>
      <c r="J42" s="154" t="n"/>
      <c r="K42" s="156" t="n"/>
      <c r="L42" s="157" t="n"/>
    </row>
    <row r="43" ht="14.25" customHeight="1" s="82">
      <c r="A43" s="158" t="n"/>
      <c r="B43" s="158" t="n"/>
      <c r="C43" s="158" t="n"/>
      <c r="D43" s="158" t="n"/>
      <c r="E43" s="158" t="n"/>
      <c r="F43" s="158" t="n"/>
      <c r="G43" s="158" t="n"/>
      <c r="H43" s="159" t="n"/>
      <c r="I43" s="158" t="n"/>
      <c r="J43" s="158" t="n"/>
      <c r="K43" s="160" t="n"/>
      <c r="L43" s="161" t="n"/>
    </row>
    <row r="44" ht="14.25" customHeight="1" s="82">
      <c r="A44" s="154" t="n"/>
      <c r="B44" s="154" t="n"/>
      <c r="C44" s="154" t="n"/>
      <c r="D44" s="154" t="n"/>
      <c r="E44" s="154" t="n"/>
      <c r="F44" s="154" t="n"/>
      <c r="G44" s="154" t="n"/>
      <c r="H44" s="155" t="n"/>
      <c r="I44" s="154" t="n"/>
      <c r="J44" s="154" t="n"/>
      <c r="K44" s="156" t="n"/>
      <c r="L44" s="157" t="n"/>
    </row>
    <row r="45" ht="14.25" customHeight="1" s="82">
      <c r="A45" s="158" t="n"/>
      <c r="B45" s="158" t="n"/>
      <c r="C45" s="158" t="n"/>
      <c r="D45" s="158" t="n"/>
      <c r="E45" s="158" t="n"/>
      <c r="F45" s="158" t="n"/>
      <c r="G45" s="158" t="n"/>
      <c r="H45" s="159" t="n"/>
      <c r="I45" s="158" t="n"/>
      <c r="J45" s="158" t="n"/>
      <c r="K45" s="160" t="n"/>
      <c r="L45" s="161" t="n"/>
    </row>
    <row r="46" ht="14.25" customHeight="1" s="82">
      <c r="A46" s="154" t="n"/>
      <c r="B46" s="154" t="n"/>
      <c r="C46" s="154" t="n"/>
      <c r="D46" s="154" t="n"/>
      <c r="E46" s="154" t="n"/>
      <c r="F46" s="154" t="n"/>
      <c r="G46" s="154" t="n"/>
      <c r="H46" s="155" t="n"/>
      <c r="I46" s="154" t="n"/>
      <c r="J46" s="154" t="n"/>
      <c r="K46" s="156" t="n"/>
      <c r="L46" s="157" t="n"/>
    </row>
    <row r="47" ht="14.25" customHeight="1" s="82">
      <c r="A47" s="158" t="n"/>
      <c r="B47" s="158" t="n"/>
      <c r="C47" s="158" t="n"/>
      <c r="D47" s="158" t="n"/>
      <c r="E47" s="158" t="n"/>
      <c r="F47" s="158" t="n"/>
      <c r="G47" s="158" t="n"/>
      <c r="H47" s="159" t="n"/>
      <c r="I47" s="158" t="n"/>
      <c r="J47" s="158" t="n"/>
      <c r="K47" s="160" t="n"/>
      <c r="L47" s="161" t="n"/>
    </row>
    <row r="48" ht="14.25" customHeight="1" s="82">
      <c r="A48" s="154" t="n"/>
      <c r="B48" s="154" t="n"/>
      <c r="C48" s="154" t="n"/>
      <c r="D48" s="154" t="n"/>
      <c r="E48" s="154" t="n"/>
      <c r="F48" s="154" t="n"/>
      <c r="G48" s="154" t="n"/>
      <c r="H48" s="155" t="n"/>
      <c r="I48" s="154" t="n"/>
      <c r="J48" s="154" t="n"/>
      <c r="K48" s="156" t="n"/>
      <c r="L48" s="157" t="n"/>
    </row>
    <row r="49" ht="14.25" customHeight="1" s="82">
      <c r="A49" s="158" t="n"/>
      <c r="B49" s="158" t="n"/>
      <c r="C49" s="158" t="n"/>
      <c r="D49" s="158" t="n"/>
      <c r="E49" s="158" t="n"/>
      <c r="F49" s="158" t="n"/>
      <c r="G49" s="158" t="n"/>
      <c r="H49" s="159" t="n"/>
      <c r="I49" s="158" t="n"/>
      <c r="J49" s="158" t="n"/>
      <c r="K49" s="160" t="n"/>
      <c r="L49" s="161" t="n"/>
    </row>
    <row r="50" ht="14.25" customHeight="1" s="82">
      <c r="A50" s="154" t="n"/>
      <c r="B50" s="154" t="n"/>
      <c r="C50" s="154" t="n"/>
      <c r="D50" s="154" t="n"/>
      <c r="E50" s="154" t="n"/>
      <c r="F50" s="154" t="n"/>
      <c r="G50" s="154" t="n"/>
      <c r="H50" s="155" t="n"/>
      <c r="I50" s="154" t="n"/>
      <c r="J50" s="154" t="n"/>
      <c r="K50" s="156" t="n"/>
      <c r="L50" s="157" t="n"/>
    </row>
    <row r="51" ht="14.25" customHeight="1" s="82">
      <c r="A51" s="158" t="n"/>
      <c r="B51" s="158" t="n"/>
      <c r="C51" s="158" t="n"/>
      <c r="D51" s="158" t="n"/>
      <c r="E51" s="158" t="n"/>
      <c r="F51" s="158" t="n"/>
      <c r="G51" s="158" t="n"/>
      <c r="H51" s="159" t="n"/>
      <c r="I51" s="158" t="n"/>
      <c r="J51" s="158" t="n"/>
      <c r="K51" s="160" t="n"/>
      <c r="L51" s="161" t="n"/>
    </row>
    <row r="52" ht="14.25" customHeight="1" s="82">
      <c r="A52" s="154" t="n"/>
      <c r="B52" s="154" t="n"/>
      <c r="C52" s="154" t="n"/>
      <c r="D52" s="154" t="n"/>
      <c r="E52" s="154" t="n"/>
      <c r="F52" s="154" t="n"/>
      <c r="G52" s="154" t="n"/>
      <c r="H52" s="155" t="n"/>
      <c r="I52" s="154" t="n"/>
      <c r="J52" s="154" t="n"/>
      <c r="K52" s="156" t="n"/>
      <c r="L52" s="157" t="n"/>
    </row>
    <row r="53" ht="14.25" customHeight="1" s="82">
      <c r="A53" s="158" t="n"/>
      <c r="B53" s="158" t="n"/>
      <c r="C53" s="158" t="n"/>
      <c r="D53" s="158" t="n"/>
      <c r="E53" s="158" t="n"/>
      <c r="F53" s="158" t="n"/>
      <c r="G53" s="158" t="n"/>
      <c r="H53" s="159" t="n"/>
      <c r="I53" s="158" t="n"/>
      <c r="J53" s="158" t="n"/>
      <c r="K53" s="160" t="n"/>
      <c r="L53" s="161" t="n"/>
    </row>
    <row r="54" ht="14.25" customHeight="1" s="82">
      <c r="A54" s="154" t="n"/>
      <c r="B54" s="154" t="n"/>
      <c r="C54" s="154" t="n"/>
      <c r="D54" s="154" t="n"/>
      <c r="E54" s="154" t="n"/>
      <c r="F54" s="154" t="n"/>
      <c r="G54" s="154" t="n"/>
      <c r="H54" s="155" t="n"/>
      <c r="I54" s="154" t="n"/>
      <c r="J54" s="154" t="n"/>
      <c r="K54" s="156" t="n"/>
      <c r="L54" s="157" t="n"/>
    </row>
    <row r="55" ht="14.25" customHeight="1" s="82">
      <c r="A55" s="158" t="n"/>
      <c r="B55" s="158" t="n"/>
      <c r="C55" s="158" t="n"/>
      <c r="D55" s="158" t="n"/>
      <c r="E55" s="158" t="n"/>
      <c r="F55" s="158" t="n"/>
      <c r="G55" s="158" t="n"/>
      <c r="H55" s="159" t="n"/>
      <c r="I55" s="158" t="n"/>
      <c r="J55" s="158" t="n"/>
      <c r="K55" s="160" t="n"/>
      <c r="L55" s="161" t="n"/>
    </row>
    <row r="56" ht="14.25" customHeight="1" s="82">
      <c r="A56" s="154" t="n"/>
      <c r="B56" s="154" t="n"/>
      <c r="C56" s="154" t="n"/>
      <c r="D56" s="154" t="n"/>
      <c r="E56" s="154" t="n"/>
      <c r="F56" s="154" t="n"/>
      <c r="G56" s="154" t="n"/>
      <c r="H56" s="155" t="n"/>
      <c r="I56" s="154" t="n"/>
      <c r="J56" s="154" t="n"/>
      <c r="K56" s="156" t="n"/>
      <c r="L56" s="157" t="n"/>
    </row>
    <row r="57" ht="14.25" customHeight="1" s="82">
      <c r="A57" s="158" t="n"/>
      <c r="B57" s="158" t="n"/>
      <c r="C57" s="158" t="n"/>
      <c r="D57" s="158" t="n"/>
      <c r="E57" s="158" t="n"/>
      <c r="F57" s="158" t="n"/>
      <c r="G57" s="158" t="n"/>
      <c r="H57" s="159" t="n"/>
      <c r="I57" s="158" t="n"/>
      <c r="J57" s="158" t="n"/>
      <c r="K57" s="160" t="n"/>
      <c r="L57" s="161" t="n"/>
    </row>
    <row r="58" ht="14.25" customHeight="1" s="82">
      <c r="A58" s="154" t="n"/>
      <c r="B58" s="154" t="n"/>
      <c r="C58" s="154" t="n"/>
      <c r="D58" s="154" t="n"/>
      <c r="E58" s="154" t="n"/>
      <c r="F58" s="154" t="n"/>
      <c r="G58" s="154" t="n"/>
      <c r="H58" s="155" t="n"/>
      <c r="I58" s="154" t="n"/>
      <c r="J58" s="154" t="n"/>
      <c r="K58" s="156" t="n"/>
      <c r="L58" s="157" t="n"/>
    </row>
    <row r="59" ht="14.25" customHeight="1" s="82">
      <c r="A59" s="158" t="n"/>
      <c r="B59" s="158" t="n"/>
      <c r="C59" s="158" t="n"/>
      <c r="D59" s="158" t="n"/>
      <c r="E59" s="158" t="n"/>
      <c r="F59" s="158" t="n"/>
      <c r="G59" s="158" t="n"/>
      <c r="H59" s="159" t="n"/>
      <c r="I59" s="158" t="n"/>
      <c r="J59" s="158" t="n"/>
      <c r="K59" s="160" t="n"/>
      <c r="L59" s="161" t="n"/>
    </row>
    <row r="60" ht="14.25" customHeight="1" s="82">
      <c r="A60" s="154" t="n"/>
      <c r="B60" s="154" t="n"/>
      <c r="C60" s="154" t="n"/>
      <c r="D60" s="154" t="n"/>
      <c r="E60" s="154" t="n"/>
      <c r="F60" s="154" t="n"/>
      <c r="G60" s="154" t="n"/>
      <c r="H60" s="155" t="n"/>
      <c r="I60" s="154" t="n"/>
      <c r="J60" s="154" t="n"/>
      <c r="K60" s="156" t="n"/>
      <c r="L60" s="157" t="n"/>
    </row>
    <row r="61" ht="14.25" customHeight="1" s="82">
      <c r="A61" s="158" t="n"/>
      <c r="B61" s="158" t="n"/>
      <c r="C61" s="158" t="n"/>
      <c r="D61" s="158" t="n"/>
      <c r="E61" s="158" t="n"/>
      <c r="F61" s="158" t="n"/>
      <c r="G61" s="158" t="n"/>
      <c r="H61" s="159" t="n"/>
      <c r="I61" s="158" t="n"/>
      <c r="J61" s="158" t="n"/>
      <c r="K61" s="160" t="n"/>
      <c r="L61" s="161" t="n"/>
    </row>
    <row r="62" ht="14.25" customHeight="1" s="82">
      <c r="A62" s="154" t="n"/>
      <c r="B62" s="154" t="n"/>
      <c r="C62" s="154" t="n"/>
      <c r="D62" s="154" t="n"/>
      <c r="E62" s="154" t="n"/>
      <c r="F62" s="154" t="n"/>
      <c r="G62" s="154" t="n"/>
      <c r="H62" s="155" t="n"/>
      <c r="I62" s="154" t="n"/>
      <c r="J62" s="154" t="n"/>
      <c r="K62" s="156" t="n"/>
      <c r="L62" s="157" t="n"/>
    </row>
    <row r="63" ht="14.25" customHeight="1" s="82">
      <c r="A63" s="158" t="n"/>
      <c r="B63" s="158" t="n"/>
      <c r="C63" s="158" t="n"/>
      <c r="D63" s="158" t="n"/>
      <c r="E63" s="158" t="n"/>
      <c r="F63" s="158" t="n"/>
      <c r="G63" s="158" t="n"/>
      <c r="H63" s="159" t="n"/>
      <c r="I63" s="158" t="n"/>
      <c r="J63" s="158" t="n"/>
      <c r="K63" s="160" t="n"/>
      <c r="L63" s="161" t="n"/>
    </row>
    <row r="64" ht="14.25" customHeight="1" s="82">
      <c r="A64" s="154" t="n"/>
      <c r="B64" s="154" t="n"/>
      <c r="C64" s="154" t="n"/>
      <c r="D64" s="154" t="n"/>
      <c r="E64" s="154" t="n"/>
      <c r="F64" s="154" t="n"/>
      <c r="G64" s="154" t="n"/>
      <c r="H64" s="155" t="n"/>
      <c r="I64" s="154" t="n"/>
      <c r="J64" s="154" t="n"/>
      <c r="K64" s="156" t="n"/>
      <c r="L64" s="157" t="n"/>
    </row>
    <row r="65" ht="14.25" customHeight="1" s="82">
      <c r="A65" s="158" t="n"/>
      <c r="B65" s="158" t="n"/>
      <c r="C65" s="158" t="n"/>
      <c r="D65" s="158" t="n"/>
      <c r="E65" s="158" t="n"/>
      <c r="F65" s="158" t="n"/>
      <c r="G65" s="158" t="n"/>
      <c r="H65" s="159" t="n"/>
      <c r="I65" s="158" t="n"/>
      <c r="J65" s="158" t="n"/>
      <c r="K65" s="160" t="n"/>
      <c r="L65" s="161" t="n"/>
    </row>
    <row r="66" ht="14.25" customHeight="1" s="82">
      <c r="A66" s="154" t="n"/>
      <c r="B66" s="154" t="n"/>
      <c r="C66" s="154" t="n"/>
      <c r="D66" s="154" t="n"/>
      <c r="E66" s="154" t="n"/>
      <c r="F66" s="154" t="n"/>
      <c r="G66" s="154" t="n"/>
      <c r="H66" s="155" t="n"/>
      <c r="I66" s="154" t="n"/>
      <c r="J66" s="154" t="n"/>
      <c r="K66" s="156" t="n"/>
      <c r="L66" s="157" t="n"/>
    </row>
    <row r="67" ht="14.25" customHeight="1" s="82">
      <c r="A67" s="158" t="n"/>
      <c r="B67" s="158" t="n"/>
      <c r="C67" s="158" t="n"/>
      <c r="D67" s="158" t="n"/>
      <c r="E67" s="158" t="n"/>
      <c r="F67" s="158" t="n"/>
      <c r="G67" s="158" t="n"/>
      <c r="H67" s="159" t="n"/>
      <c r="I67" s="158" t="n"/>
      <c r="J67" s="158" t="n"/>
      <c r="K67" s="160" t="n"/>
      <c r="L67" s="161" t="n"/>
    </row>
    <row r="68" ht="14.25" customHeight="1" s="82">
      <c r="A68" s="154" t="n"/>
      <c r="B68" s="154" t="n"/>
      <c r="C68" s="154" t="n"/>
      <c r="D68" s="154" t="n"/>
      <c r="E68" s="154" t="n"/>
      <c r="F68" s="154" t="n"/>
      <c r="G68" s="154" t="n"/>
      <c r="H68" s="155" t="n"/>
      <c r="I68" s="154" t="n"/>
      <c r="J68" s="154" t="n"/>
      <c r="K68" s="156" t="n"/>
      <c r="L68" s="157" t="n"/>
    </row>
    <row r="69" ht="14.25" customHeight="1" s="82">
      <c r="A69" s="158" t="n"/>
      <c r="B69" s="158" t="n"/>
      <c r="C69" s="158" t="n"/>
      <c r="D69" s="158" t="n"/>
      <c r="E69" s="158" t="n"/>
      <c r="F69" s="158" t="n"/>
      <c r="G69" s="158" t="n"/>
      <c r="H69" s="159" t="n"/>
      <c r="I69" s="158" t="n"/>
      <c r="J69" s="158" t="n"/>
      <c r="K69" s="160" t="n"/>
      <c r="L69" s="161" t="n"/>
    </row>
    <row r="70" ht="14.25" customHeight="1" s="82">
      <c r="A70" s="154" t="n"/>
      <c r="B70" s="154" t="n"/>
      <c r="C70" s="154" t="n"/>
      <c r="D70" s="154" t="n"/>
      <c r="E70" s="154" t="n"/>
      <c r="F70" s="154" t="n"/>
      <c r="G70" s="154" t="n"/>
      <c r="H70" s="155" t="n"/>
      <c r="I70" s="154" t="n"/>
      <c r="J70" s="154" t="n"/>
      <c r="K70" s="156" t="n"/>
      <c r="L70" s="157" t="n"/>
    </row>
    <row r="71" ht="14.25" customHeight="1" s="82">
      <c r="A71" s="158" t="n"/>
      <c r="B71" s="158" t="n"/>
      <c r="C71" s="158" t="n"/>
      <c r="D71" s="158" t="n"/>
      <c r="E71" s="158" t="n"/>
      <c r="F71" s="158" t="n"/>
      <c r="G71" s="158" t="n"/>
      <c r="H71" s="159" t="n"/>
      <c r="I71" s="158" t="n"/>
      <c r="J71" s="158" t="n"/>
      <c r="K71" s="160" t="n"/>
      <c r="L71" s="161" t="n"/>
    </row>
    <row r="72" ht="14.25" customHeight="1" s="82">
      <c r="A72" s="154" t="n"/>
      <c r="B72" s="154" t="n"/>
      <c r="C72" s="154" t="n"/>
      <c r="D72" s="154" t="n"/>
      <c r="E72" s="154" t="n"/>
      <c r="F72" s="154" t="n"/>
      <c r="G72" s="154" t="n"/>
      <c r="H72" s="155" t="n"/>
      <c r="I72" s="154" t="n"/>
      <c r="J72" s="154" t="n"/>
      <c r="K72" s="156" t="n"/>
      <c r="L72" s="157" t="n"/>
    </row>
    <row r="73" ht="14.25" customHeight="1" s="82">
      <c r="A73" s="158" t="n"/>
      <c r="B73" s="158" t="n"/>
      <c r="C73" s="158" t="n"/>
      <c r="D73" s="158" t="n"/>
      <c r="E73" s="158" t="n"/>
      <c r="F73" s="158" t="n"/>
      <c r="G73" s="158" t="n"/>
      <c r="H73" s="159" t="n"/>
      <c r="I73" s="158" t="n"/>
      <c r="J73" s="158" t="n"/>
      <c r="K73" s="160" t="n"/>
      <c r="L73" s="161" t="n"/>
    </row>
    <row r="74" ht="14.25" customHeight="1" s="82">
      <c r="A74" s="154" t="n"/>
      <c r="B74" s="154" t="n"/>
      <c r="C74" s="154" t="n"/>
      <c r="D74" s="154" t="n"/>
      <c r="E74" s="154" t="n"/>
      <c r="F74" s="154" t="n"/>
      <c r="G74" s="154" t="n"/>
      <c r="H74" s="155" t="n"/>
      <c r="I74" s="154" t="n"/>
      <c r="J74" s="154" t="n"/>
      <c r="K74" s="156" t="n"/>
      <c r="L74" s="157" t="n"/>
    </row>
    <row r="75" ht="14.25" customHeight="1" s="82">
      <c r="A75" s="158" t="n"/>
      <c r="B75" s="158" t="n"/>
      <c r="C75" s="158" t="n"/>
      <c r="D75" s="158" t="n"/>
      <c r="E75" s="158" t="n"/>
      <c r="F75" s="158" t="n"/>
      <c r="G75" s="158" t="n"/>
      <c r="H75" s="159" t="n"/>
      <c r="I75" s="158" t="n"/>
      <c r="J75" s="158" t="n"/>
      <c r="K75" s="160" t="n"/>
      <c r="L75" s="161" t="n"/>
    </row>
    <row r="76" ht="14.25" customHeight="1" s="82">
      <c r="A76" s="154" t="n"/>
      <c r="B76" s="154" t="n"/>
      <c r="C76" s="154" t="n"/>
      <c r="D76" s="154" t="n"/>
      <c r="E76" s="154" t="n"/>
      <c r="F76" s="154" t="n"/>
      <c r="G76" s="154" t="n"/>
      <c r="H76" s="155" t="n"/>
      <c r="I76" s="154" t="n"/>
      <c r="J76" s="154" t="n"/>
      <c r="K76" s="156" t="n"/>
      <c r="L76" s="157" t="n"/>
    </row>
    <row r="77" ht="14.25" customHeight="1" s="82">
      <c r="A77" s="158" t="n"/>
      <c r="B77" s="158" t="n"/>
      <c r="C77" s="158" t="n"/>
      <c r="D77" s="158" t="n"/>
      <c r="E77" s="158" t="n"/>
      <c r="F77" s="158" t="n"/>
      <c r="G77" s="158" t="n"/>
      <c r="H77" s="159" t="n"/>
      <c r="I77" s="158" t="n"/>
      <c r="J77" s="158" t="n"/>
      <c r="K77" s="160" t="n"/>
      <c r="L77" s="161" t="n"/>
    </row>
    <row r="78" ht="14.25" customHeight="1" s="82">
      <c r="A78" s="154" t="n"/>
      <c r="B78" s="154" t="n"/>
      <c r="C78" s="154" t="n"/>
      <c r="D78" s="154" t="n"/>
      <c r="E78" s="154" t="n"/>
      <c r="F78" s="154" t="n"/>
      <c r="G78" s="154" t="n"/>
      <c r="H78" s="155" t="n"/>
      <c r="I78" s="154" t="n"/>
      <c r="J78" s="154" t="n"/>
      <c r="K78" s="156" t="n"/>
      <c r="L78" s="157" t="n"/>
    </row>
    <row r="79" ht="14.25" customHeight="1" s="82">
      <c r="A79" s="158" t="n"/>
      <c r="B79" s="158" t="n"/>
      <c r="C79" s="158" t="n"/>
      <c r="D79" s="158" t="n"/>
      <c r="E79" s="158" t="n"/>
      <c r="F79" s="158" t="n"/>
      <c r="G79" s="158" t="n"/>
      <c r="H79" s="159" t="n"/>
      <c r="I79" s="158" t="n"/>
      <c r="J79" s="158" t="n"/>
      <c r="K79" s="160" t="n"/>
      <c r="L79" s="161" t="n"/>
    </row>
    <row r="80" ht="14.25" customHeight="1" s="82">
      <c r="A80" s="154" t="n"/>
      <c r="B80" s="154" t="n"/>
      <c r="C80" s="154" t="n"/>
      <c r="D80" s="154" t="n"/>
      <c r="E80" s="154" t="n"/>
      <c r="F80" s="154" t="n"/>
      <c r="G80" s="154" t="n"/>
      <c r="H80" s="155" t="n"/>
      <c r="I80" s="154" t="n"/>
      <c r="J80" s="154" t="n"/>
      <c r="K80" s="156" t="n"/>
      <c r="L80" s="157" t="n"/>
    </row>
    <row r="81" ht="14.25" customHeight="1" s="82">
      <c r="A81" s="158" t="n"/>
      <c r="B81" s="158" t="n"/>
      <c r="C81" s="158" t="n"/>
      <c r="D81" s="158" t="n"/>
      <c r="E81" s="158" t="n"/>
      <c r="F81" s="158" t="n"/>
      <c r="G81" s="158" t="n"/>
      <c r="H81" s="159" t="n"/>
      <c r="I81" s="158" t="n"/>
      <c r="J81" s="158" t="n"/>
      <c r="K81" s="160" t="n"/>
      <c r="L81" s="161" t="n"/>
    </row>
    <row r="82" ht="14.25" customHeight="1" s="82">
      <c r="A82" s="154" t="n"/>
      <c r="B82" s="154" t="n"/>
      <c r="C82" s="154" t="n"/>
      <c r="D82" s="154" t="n"/>
      <c r="E82" s="154" t="n"/>
      <c r="F82" s="154" t="n"/>
      <c r="G82" s="154" t="n"/>
      <c r="H82" s="155" t="n"/>
      <c r="I82" s="154" t="n"/>
      <c r="J82" s="154" t="n"/>
      <c r="K82" s="156" t="n"/>
      <c r="L82" s="157" t="n"/>
    </row>
    <row r="83" ht="14.25" customHeight="1" s="82">
      <c r="A83" s="158" t="n"/>
      <c r="B83" s="158" t="n"/>
      <c r="C83" s="158" t="n"/>
      <c r="D83" s="158" t="n"/>
      <c r="E83" s="158" t="n"/>
      <c r="F83" s="158" t="n"/>
      <c r="G83" s="158" t="n"/>
      <c r="H83" s="159" t="n"/>
      <c r="I83" s="158" t="n"/>
      <c r="J83" s="158" t="n"/>
      <c r="K83" s="160" t="n"/>
      <c r="L83" s="161" t="n"/>
    </row>
    <row r="84" ht="14.25" customHeight="1" s="82">
      <c r="A84" s="154" t="n"/>
      <c r="B84" s="154" t="n"/>
      <c r="C84" s="154" t="n"/>
      <c r="D84" s="154" t="n"/>
      <c r="E84" s="154" t="n"/>
      <c r="F84" s="154" t="n"/>
      <c r="G84" s="154" t="n"/>
      <c r="H84" s="155" t="n"/>
      <c r="I84" s="154" t="n"/>
      <c r="J84" s="154" t="n"/>
      <c r="K84" s="156" t="n"/>
      <c r="L84" s="157" t="n"/>
    </row>
    <row r="85" ht="14.25" customHeight="1" s="82">
      <c r="A85" s="158" t="n"/>
      <c r="B85" s="158" t="n"/>
      <c r="C85" s="158" t="n"/>
      <c r="D85" s="158" t="n"/>
      <c r="E85" s="158" t="n"/>
      <c r="F85" s="158" t="n"/>
      <c r="G85" s="158" t="n"/>
      <c r="H85" s="159" t="n"/>
      <c r="I85" s="158" t="n"/>
      <c r="J85" s="158" t="n"/>
      <c r="K85" s="160" t="n"/>
      <c r="L85" s="161" t="n"/>
    </row>
    <row r="86" ht="14.25" customHeight="1" s="82">
      <c r="A86" s="154" t="n"/>
      <c r="B86" s="154" t="n"/>
      <c r="C86" s="154" t="n"/>
      <c r="D86" s="154" t="n"/>
      <c r="E86" s="154" t="n"/>
      <c r="F86" s="154" t="n"/>
      <c r="G86" s="154" t="n"/>
      <c r="H86" s="155" t="n"/>
      <c r="I86" s="154" t="n"/>
      <c r="J86" s="154" t="n"/>
      <c r="K86" s="156" t="n"/>
      <c r="L86" s="157" t="n"/>
    </row>
    <row r="87" ht="14.25" customHeight="1" s="82">
      <c r="A87" s="158" t="n"/>
      <c r="B87" s="158" t="n"/>
      <c r="C87" s="158" t="n"/>
      <c r="D87" s="158" t="n"/>
      <c r="E87" s="158" t="n"/>
      <c r="F87" s="158" t="n"/>
      <c r="G87" s="158" t="n"/>
      <c r="H87" s="159" t="n"/>
      <c r="I87" s="158" t="n"/>
      <c r="J87" s="158" t="n"/>
      <c r="K87" s="160" t="n"/>
      <c r="L87" s="161" t="n"/>
    </row>
    <row r="88" ht="14.25" customHeight="1" s="82">
      <c r="A88" s="154" t="n"/>
      <c r="B88" s="154" t="n"/>
      <c r="C88" s="154" t="n"/>
      <c r="D88" s="154" t="n"/>
      <c r="E88" s="154" t="n"/>
      <c r="F88" s="154" t="n"/>
      <c r="G88" s="154" t="n"/>
      <c r="H88" s="155" t="n"/>
      <c r="I88" s="154" t="n"/>
      <c r="J88" s="154" t="n"/>
      <c r="K88" s="156" t="n"/>
      <c r="L88" s="157" t="n"/>
    </row>
    <row r="89" ht="14.25" customHeight="1" s="82">
      <c r="A89" s="158" t="n"/>
      <c r="B89" s="158" t="n"/>
      <c r="C89" s="158" t="n"/>
      <c r="D89" s="158" t="n"/>
      <c r="E89" s="158" t="n"/>
      <c r="F89" s="158" t="n"/>
      <c r="G89" s="158" t="n"/>
      <c r="H89" s="159" t="n"/>
      <c r="I89" s="158" t="n"/>
      <c r="J89" s="158" t="n"/>
      <c r="K89" s="160" t="n"/>
      <c r="L89" s="161" t="n"/>
    </row>
    <row r="90" ht="14.25" customHeight="1" s="82">
      <c r="A90" s="154" t="n"/>
      <c r="B90" s="154" t="n"/>
      <c r="C90" s="154" t="n"/>
      <c r="D90" s="154" t="n"/>
      <c r="E90" s="154" t="n"/>
      <c r="F90" s="154" t="n"/>
      <c r="G90" s="154" t="n"/>
      <c r="H90" s="155" t="n"/>
      <c r="I90" s="154" t="n"/>
      <c r="J90" s="154" t="n"/>
      <c r="K90" s="156" t="n"/>
      <c r="L90" s="157" t="n"/>
    </row>
    <row r="91" ht="14.25" customHeight="1" s="82">
      <c r="A91" s="158" t="n"/>
      <c r="B91" s="158" t="n"/>
      <c r="C91" s="158" t="n"/>
      <c r="D91" s="158" t="n"/>
      <c r="E91" s="158" t="n"/>
      <c r="F91" s="158" t="n"/>
      <c r="G91" s="158" t="n"/>
      <c r="H91" s="159" t="n"/>
      <c r="I91" s="158" t="n"/>
      <c r="J91" s="158" t="n"/>
      <c r="K91" s="160" t="n"/>
      <c r="L91" s="161" t="n"/>
    </row>
    <row r="92" ht="14.25" customHeight="1" s="82">
      <c r="A92" s="154" t="n"/>
      <c r="B92" s="154" t="n"/>
      <c r="C92" s="154" t="n"/>
      <c r="D92" s="154" t="n"/>
      <c r="E92" s="154" t="n"/>
      <c r="F92" s="154" t="n"/>
      <c r="G92" s="154" t="n"/>
      <c r="H92" s="155" t="n"/>
      <c r="I92" s="154" t="n"/>
      <c r="J92" s="154" t="n"/>
      <c r="K92" s="156" t="n"/>
      <c r="L92" s="157" t="n"/>
    </row>
    <row r="93" ht="14.25" customHeight="1" s="82">
      <c r="A93" s="158" t="n"/>
      <c r="B93" s="158" t="n"/>
      <c r="C93" s="158" t="n"/>
      <c r="D93" s="158" t="n"/>
      <c r="E93" s="158" t="n"/>
      <c r="F93" s="158" t="n"/>
      <c r="G93" s="158" t="n"/>
      <c r="H93" s="159" t="n"/>
      <c r="I93" s="158" t="n"/>
      <c r="J93" s="158" t="n"/>
      <c r="K93" s="160" t="n"/>
      <c r="L93" s="161" t="n"/>
    </row>
    <row r="94" ht="14.25" customHeight="1" s="82">
      <c r="A94" s="154" t="n"/>
      <c r="B94" s="154" t="n"/>
      <c r="C94" s="154" t="n"/>
      <c r="D94" s="154" t="n"/>
      <c r="E94" s="154" t="n"/>
      <c r="F94" s="154" t="n"/>
      <c r="G94" s="154" t="n"/>
      <c r="H94" s="155" t="n"/>
      <c r="I94" s="154" t="n"/>
      <c r="J94" s="154" t="n"/>
      <c r="K94" s="156" t="n"/>
      <c r="L94" s="157" t="n"/>
    </row>
    <row r="95" ht="14.25" customHeight="1" s="82">
      <c r="A95" s="158" t="n"/>
      <c r="B95" s="158" t="n"/>
      <c r="C95" s="158" t="n"/>
      <c r="D95" s="158" t="n"/>
      <c r="E95" s="158" t="n"/>
      <c r="F95" s="158" t="n"/>
      <c r="G95" s="158" t="n"/>
      <c r="H95" s="159" t="n"/>
      <c r="I95" s="158" t="n"/>
      <c r="J95" s="158" t="n"/>
      <c r="K95" s="160" t="n"/>
      <c r="L95" s="161" t="n"/>
    </row>
    <row r="96" ht="14.25" customHeight="1" s="82">
      <c r="A96" s="154" t="n"/>
      <c r="B96" s="154" t="n"/>
      <c r="C96" s="154" t="n"/>
      <c r="D96" s="154" t="n"/>
      <c r="E96" s="154" t="n"/>
      <c r="F96" s="154" t="n"/>
      <c r="G96" s="154" t="n"/>
      <c r="H96" s="155" t="n"/>
      <c r="I96" s="154" t="n"/>
      <c r="J96" s="154" t="n"/>
      <c r="K96" s="156" t="n"/>
      <c r="L96" s="157" t="n"/>
    </row>
    <row r="97" ht="14.25" customHeight="1" s="82">
      <c r="A97" s="158" t="n"/>
      <c r="B97" s="158" t="n"/>
      <c r="C97" s="158" t="n"/>
      <c r="D97" s="158" t="n"/>
      <c r="E97" s="158" t="n"/>
      <c r="F97" s="158" t="n"/>
      <c r="G97" s="158" t="n"/>
      <c r="H97" s="159" t="n"/>
      <c r="I97" s="158" t="n"/>
      <c r="J97" s="158" t="n"/>
      <c r="K97" s="160" t="n"/>
      <c r="L97" s="161" t="n"/>
    </row>
    <row r="98" ht="14.25" customHeight="1" s="82">
      <c r="A98" s="154" t="n"/>
      <c r="B98" s="154" t="n"/>
      <c r="C98" s="154" t="n"/>
      <c r="D98" s="154" t="n"/>
      <c r="E98" s="154" t="n"/>
      <c r="F98" s="154" t="n"/>
      <c r="G98" s="154" t="n"/>
      <c r="H98" s="155" t="n"/>
      <c r="I98" s="154" t="n"/>
      <c r="J98" s="154" t="n"/>
      <c r="K98" s="156" t="n"/>
      <c r="L98" s="157" t="n"/>
    </row>
    <row r="99" ht="14.25" customHeight="1" s="82">
      <c r="A99" s="158" t="n"/>
      <c r="B99" s="158" t="n"/>
      <c r="C99" s="158" t="n"/>
      <c r="D99" s="158" t="n"/>
      <c r="E99" s="158" t="n"/>
      <c r="F99" s="158" t="n"/>
      <c r="G99" s="158" t="n"/>
      <c r="H99" s="159" t="n"/>
      <c r="I99" s="158" t="n"/>
      <c r="J99" s="158" t="n"/>
      <c r="K99" s="160" t="n"/>
      <c r="L99" s="161" t="n"/>
    </row>
    <row r="100" ht="14.25" customHeight="1" s="82">
      <c r="A100" s="154" t="n"/>
      <c r="B100" s="154" t="n"/>
      <c r="C100" s="154" t="n"/>
      <c r="D100" s="154" t="n"/>
      <c r="E100" s="154" t="n"/>
      <c r="F100" s="154" t="n"/>
      <c r="G100" s="154" t="n"/>
      <c r="H100" s="155" t="n"/>
      <c r="I100" s="154" t="n"/>
      <c r="J100" s="154" t="n"/>
      <c r="K100" s="156" t="n"/>
      <c r="L100" s="157" t="n"/>
    </row>
    <row r="101" ht="14.25" customHeight="1" s="82">
      <c r="A101" s="158" t="n"/>
      <c r="B101" s="158" t="n"/>
      <c r="C101" s="158" t="n"/>
      <c r="D101" s="158" t="n"/>
      <c r="E101" s="158" t="n"/>
      <c r="F101" s="158" t="n"/>
      <c r="G101" s="158" t="n"/>
      <c r="H101" s="159" t="n"/>
      <c r="I101" s="158" t="n"/>
      <c r="J101" s="158" t="n"/>
      <c r="K101" s="160" t="n"/>
      <c r="L101" s="161" t="n"/>
    </row>
    <row r="102" ht="14.25" customHeight="1" s="82">
      <c r="A102" s="154" t="n"/>
      <c r="B102" s="154" t="n"/>
      <c r="C102" s="154" t="n"/>
      <c r="D102" s="154" t="n"/>
      <c r="E102" s="154" t="n"/>
      <c r="F102" s="154" t="n"/>
      <c r="G102" s="154" t="n"/>
      <c r="H102" s="155" t="n"/>
      <c r="I102" s="154" t="n"/>
      <c r="J102" s="154" t="n"/>
      <c r="K102" s="156" t="n"/>
      <c r="L102" s="157" t="n"/>
    </row>
    <row r="103" ht="14.25" customHeight="1" s="82">
      <c r="A103" s="158" t="n"/>
      <c r="B103" s="158" t="n"/>
      <c r="C103" s="158" t="n"/>
      <c r="D103" s="158" t="n"/>
      <c r="E103" s="158" t="n"/>
      <c r="F103" s="158" t="n"/>
      <c r="G103" s="158" t="n"/>
      <c r="H103" s="159" t="n"/>
      <c r="I103" s="158" t="n"/>
      <c r="J103" s="158" t="n"/>
      <c r="K103" s="160" t="n"/>
      <c r="L103" s="161" t="n"/>
    </row>
    <row r="104" ht="14.25" customHeight="1" s="82">
      <c r="A104" s="154" t="n"/>
      <c r="B104" s="154" t="n"/>
      <c r="C104" s="154" t="n"/>
      <c r="D104" s="154" t="n"/>
      <c r="E104" s="154" t="n"/>
      <c r="F104" s="154" t="n"/>
      <c r="G104" s="154" t="n"/>
      <c r="H104" s="155" t="n"/>
      <c r="I104" s="154" t="n"/>
      <c r="J104" s="154" t="n"/>
      <c r="K104" s="156" t="n"/>
      <c r="L104" s="157" t="n"/>
    </row>
    <row r="105" ht="14.25" customHeight="1" s="82">
      <c r="A105" s="158" t="n"/>
      <c r="B105" s="158" t="n"/>
      <c r="C105" s="158" t="n"/>
      <c r="D105" s="158" t="n"/>
      <c r="E105" s="158" t="n"/>
      <c r="F105" s="158" t="n"/>
      <c r="G105" s="158" t="n"/>
      <c r="H105" s="159" t="n"/>
      <c r="I105" s="158" t="n"/>
      <c r="J105" s="158" t="n"/>
      <c r="K105" s="160" t="n"/>
      <c r="L105" s="161" t="n"/>
    </row>
    <row r="106" ht="14.25" customHeight="1" s="82">
      <c r="A106" s="154" t="n"/>
      <c r="B106" s="154" t="n"/>
      <c r="C106" s="154" t="n"/>
      <c r="D106" s="154" t="n"/>
      <c r="E106" s="154" t="n"/>
      <c r="F106" s="154" t="n"/>
      <c r="G106" s="154" t="n"/>
      <c r="H106" s="155" t="n"/>
      <c r="I106" s="154" t="n"/>
      <c r="J106" s="154" t="n"/>
      <c r="K106" s="156" t="n"/>
      <c r="L106" s="157" t="n"/>
    </row>
    <row r="107" ht="14.25" customHeight="1" s="82">
      <c r="A107" s="158" t="n"/>
      <c r="B107" s="158" t="n"/>
      <c r="C107" s="158" t="n"/>
      <c r="D107" s="158" t="n"/>
      <c r="E107" s="158" t="n"/>
      <c r="F107" s="158" t="n"/>
      <c r="G107" s="158" t="n"/>
      <c r="H107" s="159" t="n"/>
      <c r="I107" s="158" t="n"/>
      <c r="J107" s="158" t="n"/>
      <c r="K107" s="160" t="n"/>
      <c r="L107" s="161" t="n"/>
    </row>
    <row r="108" ht="14.25" customHeight="1" s="82">
      <c r="A108" s="154" t="n"/>
      <c r="B108" s="154" t="n"/>
      <c r="C108" s="154" t="n"/>
      <c r="D108" s="154" t="n"/>
      <c r="E108" s="154" t="n"/>
      <c r="F108" s="154" t="n"/>
      <c r="G108" s="154" t="n"/>
      <c r="H108" s="155" t="n"/>
      <c r="I108" s="154" t="n"/>
      <c r="J108" s="154" t="n"/>
      <c r="K108" s="156" t="n"/>
      <c r="L108" s="157" t="n"/>
    </row>
    <row r="109" ht="14.25" customHeight="1" s="82">
      <c r="A109" s="158" t="n"/>
      <c r="B109" s="158" t="n"/>
      <c r="C109" s="158" t="n"/>
      <c r="D109" s="158" t="n"/>
      <c r="E109" s="158" t="n"/>
      <c r="F109" s="158" t="n"/>
      <c r="G109" s="158" t="n"/>
      <c r="H109" s="159" t="n"/>
      <c r="I109" s="158" t="n"/>
      <c r="J109" s="158" t="n"/>
      <c r="K109" s="160" t="n"/>
      <c r="L109" s="161" t="n"/>
    </row>
    <row r="110" ht="14.25" customHeight="1" s="82">
      <c r="A110" s="154" t="n"/>
      <c r="B110" s="154" t="n"/>
      <c r="C110" s="154" t="n"/>
      <c r="D110" s="154" t="n"/>
      <c r="E110" s="154" t="n"/>
      <c r="F110" s="154" t="n"/>
      <c r="G110" s="154" t="n"/>
      <c r="H110" s="155" t="n"/>
      <c r="I110" s="154" t="n"/>
      <c r="J110" s="154" t="n"/>
      <c r="K110" s="156" t="n"/>
      <c r="L110" s="157" t="n"/>
    </row>
    <row r="111" ht="14.25" customHeight="1" s="82">
      <c r="A111" s="158" t="n"/>
      <c r="B111" s="158" t="n"/>
      <c r="C111" s="158" t="n"/>
      <c r="D111" s="158" t="n"/>
      <c r="E111" s="158" t="n"/>
      <c r="F111" s="158" t="n"/>
      <c r="G111" s="158" t="n"/>
      <c r="H111" s="159" t="n"/>
      <c r="I111" s="158" t="n"/>
      <c r="J111" s="158" t="n"/>
      <c r="K111" s="160" t="n"/>
      <c r="L111" s="161" t="n"/>
    </row>
    <row r="112" ht="14.25" customHeight="1" s="82">
      <c r="A112" s="154" t="n"/>
      <c r="B112" s="154" t="n"/>
      <c r="C112" s="154" t="n"/>
      <c r="D112" s="154" t="n"/>
      <c r="E112" s="154" t="n"/>
      <c r="F112" s="154" t="n"/>
      <c r="G112" s="154" t="n"/>
      <c r="H112" s="155" t="n"/>
      <c r="I112" s="154" t="n"/>
      <c r="J112" s="154" t="n"/>
      <c r="K112" s="156" t="n"/>
      <c r="L112" s="157" t="n"/>
    </row>
    <row r="113" ht="14.25" customHeight="1" s="82">
      <c r="A113" s="158" t="n"/>
      <c r="B113" s="158" t="n"/>
      <c r="C113" s="158" t="n"/>
      <c r="D113" s="158" t="n"/>
      <c r="E113" s="158" t="n"/>
      <c r="F113" s="158" t="n"/>
      <c r="G113" s="158" t="n"/>
      <c r="H113" s="159" t="n"/>
      <c r="I113" s="158" t="n"/>
      <c r="J113" s="158" t="n"/>
      <c r="K113" s="160" t="n"/>
      <c r="L113" s="161" t="n"/>
    </row>
    <row r="114" ht="14.25" customHeight="1" s="82">
      <c r="A114" s="154" t="n"/>
      <c r="B114" s="154" t="n"/>
      <c r="C114" s="154" t="n"/>
      <c r="D114" s="154" t="n"/>
      <c r="E114" s="154" t="n"/>
      <c r="F114" s="154" t="n"/>
      <c r="G114" s="154" t="n"/>
      <c r="H114" s="155" t="n"/>
      <c r="I114" s="154" t="n"/>
      <c r="J114" s="154" t="n"/>
      <c r="K114" s="156" t="n"/>
      <c r="L114" s="157" t="n"/>
    </row>
    <row r="115" ht="14.25" customHeight="1" s="82">
      <c r="A115" s="158" t="n"/>
      <c r="B115" s="158" t="n"/>
      <c r="C115" s="158" t="n"/>
      <c r="D115" s="158" t="n"/>
      <c r="E115" s="158" t="n"/>
      <c r="F115" s="158" t="n"/>
      <c r="G115" s="158" t="n"/>
      <c r="H115" s="159" t="n"/>
      <c r="I115" s="158" t="n"/>
      <c r="J115" s="158" t="n"/>
      <c r="K115" s="160" t="n"/>
      <c r="L115" s="161" t="n"/>
    </row>
    <row r="116" ht="14.25" customHeight="1" s="82">
      <c r="A116" s="154" t="n"/>
      <c r="B116" s="154" t="n"/>
      <c r="C116" s="154" t="n"/>
      <c r="D116" s="154" t="n"/>
      <c r="E116" s="154" t="n"/>
      <c r="F116" s="154" t="n"/>
      <c r="G116" s="154" t="n"/>
      <c r="H116" s="155" t="n"/>
      <c r="I116" s="154" t="n"/>
      <c r="J116" s="154" t="n"/>
      <c r="K116" s="156" t="n"/>
      <c r="L116" s="157" t="n"/>
    </row>
    <row r="117" ht="14.25" customHeight="1" s="82">
      <c r="A117" s="158" t="n"/>
      <c r="B117" s="158" t="n"/>
      <c r="C117" s="158" t="n"/>
      <c r="D117" s="158" t="n"/>
      <c r="E117" s="158" t="n"/>
      <c r="F117" s="158" t="n"/>
      <c r="G117" s="158" t="n"/>
      <c r="H117" s="159" t="n"/>
      <c r="I117" s="158" t="n"/>
      <c r="J117" s="158" t="n"/>
      <c r="K117" s="160" t="n"/>
      <c r="L117" s="161" t="n"/>
    </row>
    <row r="118" ht="14.25" customHeight="1" s="82">
      <c r="A118" s="154" t="n"/>
      <c r="B118" s="154" t="n"/>
      <c r="C118" s="154" t="n"/>
      <c r="D118" s="154" t="n"/>
      <c r="E118" s="154" t="n"/>
      <c r="F118" s="154" t="n"/>
      <c r="G118" s="154" t="n"/>
      <c r="H118" s="155" t="n"/>
      <c r="I118" s="154" t="n"/>
      <c r="J118" s="154" t="n"/>
      <c r="K118" s="156" t="n"/>
      <c r="L118" s="157" t="n"/>
    </row>
    <row r="119" ht="14.25" customHeight="1" s="82">
      <c r="A119" s="158" t="n"/>
      <c r="B119" s="158" t="n"/>
      <c r="C119" s="158" t="n"/>
      <c r="D119" s="158" t="n"/>
      <c r="E119" s="158" t="n"/>
      <c r="F119" s="158" t="n"/>
      <c r="G119" s="158" t="n"/>
      <c r="H119" s="159" t="n"/>
      <c r="I119" s="158" t="n"/>
      <c r="J119" s="158" t="n"/>
      <c r="K119" s="160" t="n"/>
      <c r="L119" s="161" t="n"/>
    </row>
    <row r="120" ht="14.25" customHeight="1" s="82">
      <c r="A120" s="154" t="n"/>
      <c r="B120" s="154" t="n"/>
      <c r="C120" s="154" t="n"/>
      <c r="D120" s="154" t="n"/>
      <c r="E120" s="154" t="n"/>
      <c r="F120" s="154" t="n"/>
      <c r="G120" s="154" t="n"/>
      <c r="H120" s="155" t="n"/>
      <c r="I120" s="154" t="n"/>
      <c r="J120" s="154" t="n"/>
      <c r="K120" s="156" t="n"/>
      <c r="L120" s="157" t="n"/>
    </row>
    <row r="121" ht="14.25" customHeight="1" s="82">
      <c r="A121" s="158" t="n"/>
      <c r="B121" s="158" t="n"/>
      <c r="C121" s="158" t="n"/>
      <c r="D121" s="158" t="n"/>
      <c r="E121" s="158" t="n"/>
      <c r="F121" s="158" t="n"/>
      <c r="G121" s="158" t="n"/>
      <c r="H121" s="159" t="n"/>
      <c r="I121" s="158" t="n"/>
      <c r="J121" s="158" t="n"/>
      <c r="K121" s="160" t="n"/>
      <c r="L121" s="161" t="n"/>
    </row>
    <row r="122" ht="14.25" customHeight="1" s="82">
      <c r="A122" s="154" t="n"/>
      <c r="B122" s="154" t="n"/>
      <c r="C122" s="154" t="n"/>
      <c r="D122" s="154" t="n"/>
      <c r="E122" s="154" t="n"/>
      <c r="F122" s="154" t="n"/>
      <c r="G122" s="154" t="n"/>
      <c r="H122" s="155" t="n"/>
      <c r="I122" s="154" t="n"/>
      <c r="J122" s="154" t="n"/>
      <c r="K122" s="156" t="n"/>
      <c r="L122" s="157" t="n"/>
    </row>
    <row r="123" ht="14.25" customHeight="1" s="82">
      <c r="A123" s="158" t="n"/>
      <c r="B123" s="158" t="n"/>
      <c r="C123" s="158" t="n"/>
      <c r="D123" s="158" t="n"/>
      <c r="E123" s="158" t="n"/>
      <c r="F123" s="158" t="n"/>
      <c r="G123" s="158" t="n"/>
      <c r="H123" s="159" t="n"/>
      <c r="I123" s="158" t="n"/>
      <c r="J123" s="158" t="n"/>
      <c r="K123" s="160" t="n"/>
      <c r="L123" s="161" t="n"/>
    </row>
    <row r="124" ht="14.25" customHeight="1" s="82">
      <c r="A124" s="154" t="n"/>
      <c r="B124" s="154" t="n"/>
      <c r="C124" s="154" t="n"/>
      <c r="D124" s="154" t="n"/>
      <c r="E124" s="154" t="n"/>
      <c r="F124" s="154" t="n"/>
      <c r="G124" s="154" t="n"/>
      <c r="H124" s="155" t="n"/>
      <c r="I124" s="154" t="n"/>
      <c r="J124" s="154" t="n"/>
      <c r="K124" s="156" t="n"/>
      <c r="L124" s="157" t="n"/>
    </row>
    <row r="125" ht="14.25" customHeight="1" s="82">
      <c r="A125" s="158" t="n"/>
      <c r="B125" s="158" t="n"/>
      <c r="C125" s="158" t="n"/>
      <c r="D125" s="158" t="n"/>
      <c r="E125" s="158" t="n"/>
      <c r="F125" s="158" t="n"/>
      <c r="G125" s="158" t="n"/>
      <c r="H125" s="159" t="n"/>
      <c r="I125" s="158" t="n"/>
      <c r="J125" s="158" t="n"/>
      <c r="K125" s="160" t="n"/>
      <c r="L125" s="161" t="n"/>
    </row>
    <row r="126" ht="14.25" customHeight="1" s="82">
      <c r="A126" s="154" t="n"/>
      <c r="B126" s="154" t="n"/>
      <c r="C126" s="154" t="n"/>
      <c r="D126" s="154" t="n"/>
      <c r="E126" s="154" t="n"/>
      <c r="F126" s="154" t="n"/>
      <c r="G126" s="154" t="n"/>
      <c r="H126" s="155" t="n"/>
      <c r="I126" s="154" t="n"/>
      <c r="J126" s="154" t="n"/>
      <c r="K126" s="156" t="n"/>
      <c r="L126" s="157" t="n"/>
    </row>
    <row r="127" ht="14.25" customHeight="1" s="82">
      <c r="A127" s="158" t="n"/>
      <c r="B127" s="158" t="n"/>
      <c r="C127" s="158" t="n"/>
      <c r="D127" s="158" t="n"/>
      <c r="E127" s="158" t="n"/>
      <c r="F127" s="158" t="n"/>
      <c r="G127" s="158" t="n"/>
      <c r="H127" s="159" t="n"/>
      <c r="I127" s="158" t="n"/>
      <c r="J127" s="158" t="n"/>
      <c r="K127" s="160" t="n"/>
      <c r="L127" s="161" t="n"/>
    </row>
    <row r="128" ht="14.25" customHeight="1" s="82">
      <c r="A128" s="154" t="n"/>
      <c r="B128" s="154" t="n"/>
      <c r="C128" s="154" t="n"/>
      <c r="D128" s="154" t="n"/>
      <c r="E128" s="154" t="n"/>
      <c r="F128" s="154" t="n"/>
      <c r="G128" s="154" t="n"/>
      <c r="H128" s="155" t="n"/>
      <c r="I128" s="154" t="n"/>
      <c r="J128" s="154" t="n"/>
      <c r="K128" s="156" t="n"/>
      <c r="L128" s="157" t="n"/>
    </row>
    <row r="129" ht="14.25" customHeight="1" s="82">
      <c r="A129" s="158" t="n"/>
      <c r="B129" s="158" t="n"/>
      <c r="C129" s="158" t="n"/>
      <c r="D129" s="158" t="n"/>
      <c r="E129" s="158" t="n"/>
      <c r="F129" s="158" t="n"/>
      <c r="G129" s="158" t="n"/>
      <c r="H129" s="159" t="n"/>
      <c r="I129" s="158" t="n"/>
      <c r="J129" s="158" t="n"/>
      <c r="K129" s="160" t="n"/>
      <c r="L129" s="161" t="n"/>
    </row>
    <row r="130" ht="14.25" customHeight="1" s="82">
      <c r="A130" s="154" t="n"/>
      <c r="B130" s="154" t="n"/>
      <c r="C130" s="154" t="n"/>
      <c r="D130" s="154" t="n"/>
      <c r="E130" s="154" t="n"/>
      <c r="F130" s="154" t="n"/>
      <c r="G130" s="154" t="n"/>
      <c r="H130" s="155" t="n"/>
      <c r="I130" s="154" t="n"/>
      <c r="J130" s="154" t="n"/>
      <c r="K130" s="156" t="n"/>
      <c r="L130" s="157" t="n"/>
    </row>
    <row r="131" ht="14.25" customHeight="1" s="82">
      <c r="A131" s="158" t="n"/>
      <c r="B131" s="158" t="n"/>
      <c r="C131" s="158" t="n"/>
      <c r="D131" s="158" t="n"/>
      <c r="E131" s="158" t="n"/>
      <c r="F131" s="158" t="n"/>
      <c r="G131" s="158" t="n"/>
      <c r="H131" s="159" t="n"/>
      <c r="I131" s="158" t="n"/>
      <c r="J131" s="158" t="n"/>
      <c r="K131" s="160" t="n"/>
      <c r="L131" s="161" t="n"/>
    </row>
    <row r="132" ht="14.25" customHeight="1" s="82">
      <c r="A132" s="154" t="n"/>
      <c r="B132" s="154" t="n"/>
      <c r="C132" s="154" t="n"/>
      <c r="D132" s="154" t="n"/>
      <c r="E132" s="154" t="n"/>
      <c r="F132" s="154" t="n"/>
      <c r="G132" s="154" t="n"/>
      <c r="H132" s="155" t="n"/>
      <c r="I132" s="154" t="n"/>
      <c r="J132" s="154" t="n"/>
      <c r="K132" s="156" t="n"/>
      <c r="L132" s="157" t="n"/>
    </row>
    <row r="133" ht="14.25" customHeight="1" s="82">
      <c r="A133" s="158" t="n"/>
      <c r="B133" s="158" t="n"/>
      <c r="C133" s="158" t="n"/>
      <c r="D133" s="158" t="n"/>
      <c r="E133" s="158" t="n"/>
      <c r="F133" s="158" t="n"/>
      <c r="G133" s="158" t="n"/>
      <c r="H133" s="159" t="n"/>
      <c r="I133" s="158" t="n"/>
      <c r="J133" s="158" t="n"/>
      <c r="K133" s="160" t="n"/>
      <c r="L133" s="161" t="n"/>
    </row>
    <row r="134" ht="14.25" customHeight="1" s="82">
      <c r="A134" s="154" t="n"/>
      <c r="B134" s="154" t="n"/>
      <c r="C134" s="154" t="n"/>
      <c r="D134" s="154" t="n"/>
      <c r="E134" s="154" t="n"/>
      <c r="F134" s="154" t="n"/>
      <c r="G134" s="154" t="n"/>
      <c r="H134" s="155" t="n"/>
      <c r="I134" s="154" t="n"/>
      <c r="J134" s="154" t="n"/>
      <c r="K134" s="156" t="n"/>
      <c r="L134" s="157" t="n"/>
    </row>
    <row r="135" ht="14.25" customHeight="1" s="82">
      <c r="A135" s="158" t="n"/>
      <c r="B135" s="158" t="n"/>
      <c r="C135" s="158" t="n"/>
      <c r="D135" s="158" t="n"/>
      <c r="E135" s="158" t="n"/>
      <c r="F135" s="158" t="n"/>
      <c r="G135" s="158" t="n"/>
      <c r="H135" s="159" t="n"/>
      <c r="I135" s="158" t="n"/>
      <c r="J135" s="158" t="n"/>
      <c r="K135" s="160" t="n"/>
      <c r="L135" s="161" t="n"/>
    </row>
    <row r="136" ht="14.25" customHeight="1" s="82">
      <c r="A136" s="154" t="n"/>
      <c r="B136" s="154" t="n"/>
      <c r="C136" s="154" t="n"/>
      <c r="D136" s="154" t="n"/>
      <c r="E136" s="154" t="n"/>
      <c r="F136" s="154" t="n"/>
      <c r="G136" s="154" t="n"/>
      <c r="H136" s="155" t="n"/>
      <c r="I136" s="154" t="n"/>
      <c r="J136" s="154" t="n"/>
      <c r="K136" s="156" t="n"/>
      <c r="L136" s="157" t="n"/>
    </row>
    <row r="137" ht="14.25" customHeight="1" s="82">
      <c r="A137" s="158" t="n"/>
      <c r="B137" s="158" t="n"/>
      <c r="C137" s="158" t="n"/>
      <c r="D137" s="158" t="n"/>
      <c r="E137" s="158" t="n"/>
      <c r="F137" s="158" t="n"/>
      <c r="G137" s="158" t="n"/>
      <c r="H137" s="159" t="n"/>
      <c r="I137" s="158" t="n"/>
      <c r="J137" s="158" t="n"/>
      <c r="K137" s="160" t="n"/>
      <c r="L137" s="161" t="n"/>
    </row>
    <row r="138" ht="14.25" customHeight="1" s="82">
      <c r="A138" s="154" t="n"/>
      <c r="B138" s="154" t="n"/>
      <c r="C138" s="154" t="n"/>
      <c r="D138" s="154" t="n"/>
      <c r="E138" s="154" t="n"/>
      <c r="F138" s="154" t="n"/>
      <c r="G138" s="154" t="n"/>
      <c r="H138" s="155" t="n"/>
      <c r="I138" s="154" t="n"/>
      <c r="J138" s="154" t="n"/>
      <c r="K138" s="156" t="n"/>
      <c r="L138" s="157" t="n"/>
    </row>
    <row r="139" ht="14.25" customHeight="1" s="82">
      <c r="A139" s="158" t="n"/>
      <c r="B139" s="158" t="n"/>
      <c r="C139" s="158" t="n"/>
      <c r="D139" s="158" t="n"/>
      <c r="E139" s="158" t="n"/>
      <c r="F139" s="158" t="n"/>
      <c r="G139" s="158" t="n"/>
      <c r="H139" s="159" t="n"/>
      <c r="I139" s="158" t="n"/>
      <c r="J139" s="158" t="n"/>
      <c r="K139" s="160" t="n"/>
      <c r="L139" s="161" t="n"/>
    </row>
    <row r="140" ht="14.25" customHeight="1" s="82">
      <c r="A140" s="154" t="n"/>
      <c r="B140" s="154" t="n"/>
      <c r="C140" s="154" t="n"/>
      <c r="D140" s="154" t="n"/>
      <c r="E140" s="154" t="n"/>
      <c r="F140" s="154" t="n"/>
      <c r="G140" s="154" t="n"/>
      <c r="H140" s="155" t="n"/>
      <c r="I140" s="154" t="n"/>
      <c r="J140" s="154" t="n"/>
      <c r="K140" s="156" t="n"/>
      <c r="L140" s="157" t="n"/>
    </row>
    <row r="141" ht="14.25" customHeight="1" s="82">
      <c r="A141" s="158" t="n"/>
      <c r="B141" s="158" t="n"/>
      <c r="C141" s="158" t="n"/>
      <c r="D141" s="158" t="n"/>
      <c r="E141" s="158" t="n"/>
      <c r="F141" s="158" t="n"/>
      <c r="G141" s="158" t="n"/>
      <c r="H141" s="159" t="n"/>
      <c r="I141" s="158" t="n"/>
      <c r="J141" s="158" t="n"/>
      <c r="K141" s="160" t="n"/>
      <c r="L141" s="161" t="n"/>
    </row>
    <row r="142" ht="14.25" customHeight="1" s="82">
      <c r="A142" s="154" t="n"/>
      <c r="B142" s="154" t="n"/>
      <c r="C142" s="154" t="n"/>
      <c r="D142" s="154" t="n"/>
      <c r="E142" s="154" t="n"/>
      <c r="F142" s="154" t="n"/>
      <c r="G142" s="154" t="n"/>
      <c r="H142" s="155" t="n"/>
      <c r="I142" s="154" t="n"/>
      <c r="J142" s="154" t="n"/>
      <c r="K142" s="156" t="n"/>
      <c r="L142" s="157" t="n"/>
    </row>
    <row r="143" ht="14.25" customHeight="1" s="82">
      <c r="A143" s="158" t="n"/>
      <c r="B143" s="158" t="n"/>
      <c r="C143" s="158" t="n"/>
      <c r="D143" s="158" t="n"/>
      <c r="E143" s="158" t="n"/>
      <c r="F143" s="158" t="n"/>
      <c r="G143" s="158" t="n"/>
      <c r="H143" s="159" t="n"/>
      <c r="I143" s="158" t="n"/>
      <c r="J143" s="158" t="n"/>
      <c r="K143" s="160" t="n"/>
      <c r="L143" s="161" t="n"/>
    </row>
    <row r="144" ht="14.25" customHeight="1" s="82">
      <c r="A144" s="154" t="n"/>
      <c r="B144" s="154" t="n"/>
      <c r="C144" s="154" t="n"/>
      <c r="D144" s="154" t="n"/>
      <c r="E144" s="154" t="n"/>
      <c r="F144" s="154" t="n"/>
      <c r="G144" s="154" t="n"/>
      <c r="H144" s="155" t="n"/>
      <c r="I144" s="154" t="n"/>
      <c r="J144" s="154" t="n"/>
      <c r="K144" s="156" t="n"/>
      <c r="L144" s="157" t="n"/>
    </row>
    <row r="145" ht="14.25" customHeight="1" s="82">
      <c r="A145" s="158" t="n"/>
      <c r="B145" s="158" t="n"/>
      <c r="C145" s="158" t="n"/>
      <c r="D145" s="158" t="n"/>
      <c r="E145" s="158" t="n"/>
      <c r="F145" s="158" t="n"/>
      <c r="G145" s="158" t="n"/>
      <c r="H145" s="159" t="n"/>
      <c r="I145" s="158" t="n"/>
      <c r="J145" s="158" t="n"/>
      <c r="K145" s="160" t="n"/>
      <c r="L145" s="161" t="n"/>
    </row>
    <row r="146" ht="14.25" customHeight="1" s="82">
      <c r="A146" s="154" t="n"/>
      <c r="B146" s="154" t="n"/>
      <c r="C146" s="154" t="n"/>
      <c r="D146" s="154" t="n"/>
      <c r="E146" s="154" t="n"/>
      <c r="F146" s="154" t="n"/>
      <c r="G146" s="154" t="n"/>
      <c r="H146" s="155" t="n"/>
      <c r="I146" s="154" t="n"/>
      <c r="J146" s="154" t="n"/>
      <c r="K146" s="156" t="n"/>
      <c r="L146" s="157" t="n"/>
    </row>
    <row r="147" ht="14.25" customHeight="1" s="82">
      <c r="A147" s="158" t="n"/>
      <c r="B147" s="158" t="n"/>
      <c r="C147" s="158" t="n"/>
      <c r="D147" s="158" t="n"/>
      <c r="E147" s="158" t="n"/>
      <c r="F147" s="158" t="n"/>
      <c r="G147" s="158" t="n"/>
      <c r="H147" s="159" t="n"/>
      <c r="I147" s="158" t="n"/>
      <c r="J147" s="158" t="n"/>
      <c r="K147" s="160" t="n"/>
      <c r="L147" s="161" t="n"/>
    </row>
    <row r="148" ht="14.25" customHeight="1" s="82">
      <c r="A148" s="154" t="n"/>
      <c r="B148" s="154" t="n"/>
      <c r="C148" s="154" t="n"/>
      <c r="D148" s="154" t="n"/>
      <c r="E148" s="154" t="n"/>
      <c r="F148" s="154" t="n"/>
      <c r="G148" s="154" t="n"/>
      <c r="H148" s="155" t="n"/>
      <c r="I148" s="154" t="n"/>
      <c r="J148" s="154" t="n"/>
      <c r="K148" s="156" t="n"/>
      <c r="L148" s="157" t="n"/>
    </row>
    <row r="149" ht="14.25" customHeight="1" s="82">
      <c r="A149" s="158" t="n"/>
      <c r="B149" s="158" t="n"/>
      <c r="C149" s="158" t="n"/>
      <c r="D149" s="158" t="n"/>
      <c r="E149" s="158" t="n"/>
      <c r="F149" s="158" t="n"/>
      <c r="G149" s="158" t="n"/>
      <c r="H149" s="159" t="n"/>
      <c r="I149" s="158" t="n"/>
      <c r="J149" s="158" t="n"/>
      <c r="K149" s="160" t="n"/>
      <c r="L149" s="161" t="n"/>
    </row>
    <row r="150" ht="14.25" customHeight="1" s="82">
      <c r="A150" s="154" t="n"/>
      <c r="B150" s="154" t="n"/>
      <c r="C150" s="154" t="n"/>
      <c r="D150" s="154" t="n"/>
      <c r="E150" s="154" t="n"/>
      <c r="F150" s="154" t="n"/>
      <c r="G150" s="154" t="n"/>
      <c r="H150" s="155" t="n"/>
      <c r="I150" s="154" t="n"/>
      <c r="J150" s="154" t="n"/>
      <c r="K150" s="156" t="n"/>
      <c r="L150" s="157" t="n"/>
    </row>
    <row r="151" ht="14.25" customHeight="1" s="82">
      <c r="A151" s="158" t="n"/>
      <c r="B151" s="158" t="n"/>
      <c r="C151" s="158" t="n"/>
      <c r="D151" s="158" t="n"/>
      <c r="E151" s="158" t="n"/>
      <c r="F151" s="158" t="n"/>
      <c r="G151" s="158" t="n"/>
      <c r="H151" s="159" t="n"/>
      <c r="I151" s="158" t="n"/>
      <c r="J151" s="158" t="n"/>
      <c r="K151" s="160" t="n"/>
      <c r="L151" s="161" t="n"/>
    </row>
    <row r="152" ht="14.25" customHeight="1" s="82">
      <c r="A152" s="154" t="n"/>
      <c r="B152" s="154" t="n"/>
      <c r="C152" s="154" t="n"/>
      <c r="D152" s="154" t="n"/>
      <c r="E152" s="154" t="n"/>
      <c r="F152" s="154" t="n"/>
      <c r="G152" s="154" t="n"/>
      <c r="H152" s="155" t="n"/>
      <c r="I152" s="154" t="n"/>
      <c r="J152" s="154" t="n"/>
      <c r="K152" s="156" t="n"/>
      <c r="L152" s="157" t="n"/>
    </row>
    <row r="153" ht="14.25" customHeight="1" s="82">
      <c r="A153" s="158" t="n"/>
      <c r="B153" s="158" t="n"/>
      <c r="C153" s="158" t="n"/>
      <c r="D153" s="158" t="n"/>
      <c r="E153" s="158" t="n"/>
      <c r="F153" s="158" t="n"/>
      <c r="G153" s="158" t="n"/>
      <c r="H153" s="159" t="n"/>
      <c r="I153" s="158" t="n"/>
      <c r="J153" s="158" t="n"/>
      <c r="K153" s="160" t="n"/>
      <c r="L153" s="161" t="n"/>
    </row>
    <row r="154" ht="14.25" customHeight="1" s="82">
      <c r="A154" s="154" t="n"/>
      <c r="B154" s="154" t="n"/>
      <c r="C154" s="154" t="n"/>
      <c r="D154" s="154" t="n"/>
      <c r="E154" s="154" t="n"/>
      <c r="F154" s="154" t="n"/>
      <c r="G154" s="154" t="n"/>
      <c r="H154" s="155" t="n"/>
      <c r="I154" s="154" t="n"/>
      <c r="J154" s="154" t="n"/>
      <c r="K154" s="156" t="n"/>
      <c r="L154" s="157" t="n"/>
    </row>
    <row r="155" ht="14.25" customHeight="1" s="82">
      <c r="A155" s="158" t="n"/>
      <c r="B155" s="158" t="n"/>
      <c r="C155" s="158" t="n"/>
      <c r="D155" s="158" t="n"/>
      <c r="E155" s="158" t="n"/>
      <c r="F155" s="158" t="n"/>
      <c r="G155" s="158" t="n"/>
      <c r="H155" s="159" t="n"/>
      <c r="I155" s="158" t="n"/>
      <c r="J155" s="158" t="n"/>
      <c r="K155" s="160" t="n"/>
      <c r="L155" s="161" t="n"/>
    </row>
    <row r="156" ht="14.25" customHeight="1" s="82">
      <c r="A156" s="154" t="n"/>
      <c r="B156" s="154" t="n"/>
      <c r="C156" s="154" t="n"/>
      <c r="D156" s="154" t="n"/>
      <c r="E156" s="154" t="n"/>
      <c r="F156" s="154" t="n"/>
      <c r="G156" s="154" t="n"/>
      <c r="H156" s="155" t="n"/>
      <c r="I156" s="154" t="n"/>
      <c r="J156" s="154" t="n"/>
      <c r="K156" s="156" t="n"/>
      <c r="L156" s="157" t="n"/>
    </row>
    <row r="157" ht="14.25" customHeight="1" s="82">
      <c r="A157" s="158" t="n"/>
      <c r="B157" s="158" t="n"/>
      <c r="C157" s="158" t="n"/>
      <c r="D157" s="158" t="n"/>
      <c r="E157" s="158" t="n"/>
      <c r="F157" s="158" t="n"/>
      <c r="G157" s="158" t="n"/>
      <c r="H157" s="159" t="n"/>
      <c r="I157" s="158" t="n"/>
      <c r="J157" s="158" t="n"/>
      <c r="K157" s="160" t="n"/>
      <c r="L157" s="161" t="n"/>
    </row>
    <row r="158" ht="14.25" customHeight="1" s="82">
      <c r="A158" s="154" t="n"/>
      <c r="B158" s="154" t="n"/>
      <c r="C158" s="154" t="n"/>
      <c r="D158" s="154" t="n"/>
      <c r="E158" s="154" t="n"/>
      <c r="F158" s="154" t="n"/>
      <c r="G158" s="154" t="n"/>
      <c r="H158" s="155" t="n"/>
      <c r="I158" s="154" t="n"/>
      <c r="J158" s="154" t="n"/>
      <c r="K158" s="156" t="n"/>
      <c r="L158" s="157" t="n"/>
    </row>
    <row r="159" ht="14.25" customHeight="1" s="82">
      <c r="A159" s="158" t="n"/>
      <c r="B159" s="158" t="n"/>
      <c r="C159" s="158" t="n"/>
      <c r="D159" s="158" t="n"/>
      <c r="E159" s="158" t="n"/>
      <c r="F159" s="158" t="n"/>
      <c r="G159" s="158" t="n"/>
      <c r="H159" s="159" t="n"/>
      <c r="I159" s="158" t="n"/>
      <c r="J159" s="158" t="n"/>
      <c r="K159" s="160" t="n"/>
      <c r="L159" s="161" t="n"/>
    </row>
    <row r="160" ht="14.25" customHeight="1" s="82">
      <c r="A160" s="154" t="n"/>
      <c r="B160" s="154" t="n"/>
      <c r="C160" s="154" t="n"/>
      <c r="D160" s="154" t="n"/>
      <c r="E160" s="154" t="n"/>
      <c r="F160" s="154" t="n"/>
      <c r="G160" s="154" t="n"/>
      <c r="H160" s="155" t="n"/>
      <c r="I160" s="154" t="n"/>
      <c r="J160" s="154" t="n"/>
      <c r="K160" s="156" t="n"/>
      <c r="L160" s="157" t="n"/>
    </row>
    <row r="161" ht="14.25" customHeight="1" s="82">
      <c r="A161" s="158" t="n"/>
      <c r="B161" s="158" t="n"/>
      <c r="C161" s="158" t="n"/>
      <c r="D161" s="158" t="n"/>
      <c r="E161" s="158" t="n"/>
      <c r="F161" s="158" t="n"/>
      <c r="G161" s="158" t="n"/>
      <c r="H161" s="159" t="n"/>
      <c r="I161" s="158" t="n"/>
      <c r="J161" s="158" t="n"/>
      <c r="K161" s="160" t="n"/>
      <c r="L161" s="161" t="n"/>
    </row>
    <row r="162" ht="14.25" customHeight="1" s="82">
      <c r="A162" s="154" t="n"/>
      <c r="B162" s="154" t="n"/>
      <c r="C162" s="154" t="n"/>
      <c r="D162" s="154" t="n"/>
      <c r="E162" s="154" t="n"/>
      <c r="F162" s="154" t="n"/>
      <c r="G162" s="154" t="n"/>
      <c r="H162" s="155" t="n"/>
      <c r="I162" s="154" t="n"/>
      <c r="J162" s="154" t="n"/>
      <c r="K162" s="156" t="n"/>
      <c r="L162" s="157" t="n"/>
    </row>
    <row r="163" ht="14.25" customHeight="1" s="82">
      <c r="A163" s="158" t="n"/>
      <c r="B163" s="158" t="n"/>
      <c r="C163" s="158" t="n"/>
      <c r="D163" s="158" t="n"/>
      <c r="E163" s="158" t="n"/>
      <c r="F163" s="158" t="n"/>
      <c r="G163" s="158" t="n"/>
      <c r="H163" s="159" t="n"/>
      <c r="I163" s="158" t="n"/>
      <c r="J163" s="158" t="n"/>
      <c r="K163" s="160" t="n"/>
      <c r="L163" s="161" t="n"/>
    </row>
    <row r="164" ht="14.25" customHeight="1" s="82">
      <c r="A164" s="154" t="n"/>
      <c r="B164" s="154" t="n"/>
      <c r="C164" s="154" t="n"/>
      <c r="D164" s="154" t="n"/>
      <c r="E164" s="154" t="n"/>
      <c r="F164" s="154" t="n"/>
      <c r="G164" s="154" t="n"/>
      <c r="H164" s="155" t="n"/>
      <c r="I164" s="154" t="n"/>
      <c r="J164" s="154" t="n"/>
      <c r="K164" s="156" t="n"/>
      <c r="L164" s="157" t="n"/>
    </row>
    <row r="165" ht="14.25" customHeight="1" s="82">
      <c r="A165" s="158" t="n"/>
      <c r="B165" s="158" t="n"/>
      <c r="C165" s="158" t="n"/>
      <c r="D165" s="158" t="n"/>
      <c r="E165" s="158" t="n"/>
      <c r="F165" s="158" t="n"/>
      <c r="G165" s="158" t="n"/>
      <c r="H165" s="159" t="n"/>
      <c r="I165" s="158" t="n"/>
      <c r="J165" s="158" t="n"/>
      <c r="K165" s="160" t="n"/>
      <c r="L165" s="161" t="n"/>
    </row>
    <row r="166" ht="14.25" customHeight="1" s="82">
      <c r="A166" s="154" t="n"/>
      <c r="B166" s="154" t="n"/>
      <c r="C166" s="154" t="n"/>
      <c r="D166" s="154" t="n"/>
      <c r="E166" s="154" t="n"/>
      <c r="F166" s="154" t="n"/>
      <c r="G166" s="154" t="n"/>
      <c r="H166" s="155" t="n"/>
      <c r="I166" s="154" t="n"/>
      <c r="J166" s="154" t="n"/>
      <c r="K166" s="156" t="n"/>
      <c r="L166" s="157" t="n"/>
    </row>
    <row r="167" ht="14.25" customHeight="1" s="82">
      <c r="A167" s="158" t="n"/>
      <c r="B167" s="158" t="n"/>
      <c r="C167" s="158" t="n"/>
      <c r="D167" s="158" t="n"/>
      <c r="E167" s="158" t="n"/>
      <c r="F167" s="158" t="n"/>
      <c r="G167" s="158" t="n"/>
      <c r="H167" s="159" t="n"/>
      <c r="I167" s="158" t="n"/>
      <c r="J167" s="158" t="n"/>
      <c r="K167" s="160" t="n"/>
      <c r="L167" s="161" t="n"/>
    </row>
    <row r="168" ht="14.25" customHeight="1" s="82">
      <c r="A168" s="154" t="n"/>
      <c r="B168" s="154" t="n"/>
      <c r="C168" s="154" t="n"/>
      <c r="D168" s="154" t="n"/>
      <c r="E168" s="154" t="n"/>
      <c r="F168" s="154" t="n"/>
      <c r="G168" s="154" t="n"/>
      <c r="H168" s="155" t="n"/>
      <c r="I168" s="154" t="n"/>
      <c r="J168" s="154" t="n"/>
      <c r="K168" s="156" t="n"/>
      <c r="L168" s="157" t="n"/>
    </row>
    <row r="169" ht="14.25" customHeight="1" s="82">
      <c r="A169" s="158" t="n"/>
      <c r="B169" s="158" t="n"/>
      <c r="C169" s="158" t="n"/>
      <c r="D169" s="158" t="n"/>
      <c r="E169" s="158" t="n"/>
      <c r="F169" s="158" t="n"/>
      <c r="G169" s="158" t="n"/>
      <c r="H169" s="159" t="n"/>
      <c r="I169" s="158" t="n"/>
      <c r="J169" s="158" t="n"/>
      <c r="K169" s="160" t="n"/>
      <c r="L169" s="161" t="n"/>
    </row>
    <row r="170" ht="14.25" customHeight="1" s="82">
      <c r="A170" s="154" t="n"/>
      <c r="B170" s="154" t="n"/>
      <c r="C170" s="154" t="n"/>
      <c r="D170" s="154" t="n"/>
      <c r="E170" s="154" t="n"/>
      <c r="F170" s="154" t="n"/>
      <c r="G170" s="154" t="n"/>
      <c r="H170" s="155" t="n"/>
      <c r="I170" s="154" t="n"/>
      <c r="J170" s="154" t="n"/>
      <c r="K170" s="156" t="n"/>
      <c r="L170" s="157" t="n"/>
    </row>
    <row r="171" ht="14.25" customHeight="1" s="82">
      <c r="A171" s="158" t="n"/>
      <c r="B171" s="158" t="n"/>
      <c r="C171" s="158" t="n"/>
      <c r="D171" s="158" t="n"/>
      <c r="E171" s="158" t="n"/>
      <c r="F171" s="158" t="n"/>
      <c r="G171" s="158" t="n"/>
      <c r="H171" s="159" t="n"/>
      <c r="I171" s="158" t="n"/>
      <c r="J171" s="158" t="n"/>
      <c r="K171" s="160" t="n"/>
      <c r="L171" s="161" t="n"/>
    </row>
    <row r="172" ht="14.25" customHeight="1" s="82">
      <c r="A172" s="154" t="n"/>
      <c r="B172" s="154" t="n"/>
      <c r="C172" s="154" t="n"/>
      <c r="D172" s="154" t="n"/>
      <c r="E172" s="154" t="n"/>
      <c r="F172" s="154" t="n"/>
      <c r="G172" s="154" t="n"/>
      <c r="H172" s="155" t="n"/>
      <c r="I172" s="154" t="n"/>
      <c r="J172" s="154" t="n"/>
      <c r="K172" s="156" t="n"/>
      <c r="L172" s="157" t="n"/>
    </row>
    <row r="173" ht="14.25" customHeight="1" s="82">
      <c r="A173" s="158" t="n"/>
      <c r="B173" s="158" t="n"/>
      <c r="C173" s="158" t="n"/>
      <c r="D173" s="158" t="n"/>
      <c r="E173" s="158" t="n"/>
      <c r="F173" s="158" t="n"/>
      <c r="G173" s="158" t="n"/>
      <c r="H173" s="159" t="n"/>
      <c r="I173" s="158" t="n"/>
      <c r="J173" s="158" t="n"/>
      <c r="K173" s="160" t="n"/>
      <c r="L173" s="161" t="n"/>
    </row>
    <row r="174" ht="14.25" customHeight="1" s="82">
      <c r="A174" s="154" t="n"/>
      <c r="B174" s="154" t="n"/>
      <c r="C174" s="154" t="n"/>
      <c r="D174" s="154" t="n"/>
      <c r="E174" s="154" t="n"/>
      <c r="F174" s="154" t="n"/>
      <c r="G174" s="154" t="n"/>
      <c r="H174" s="155" t="n"/>
      <c r="I174" s="154" t="n"/>
      <c r="J174" s="154" t="n"/>
      <c r="K174" s="156" t="n"/>
      <c r="L174" s="157" t="n"/>
    </row>
    <row r="175" ht="14.25" customHeight="1" s="82">
      <c r="A175" s="158" t="n"/>
      <c r="B175" s="158" t="n"/>
      <c r="C175" s="158" t="n"/>
      <c r="D175" s="158" t="n"/>
      <c r="E175" s="158" t="n"/>
      <c r="F175" s="158" t="n"/>
      <c r="G175" s="158" t="n"/>
      <c r="H175" s="159" t="n"/>
      <c r="I175" s="158" t="n"/>
      <c r="J175" s="158" t="n"/>
      <c r="K175" s="160" t="n"/>
      <c r="L175" s="161" t="n"/>
    </row>
    <row r="176" ht="14.25" customHeight="1" s="82">
      <c r="A176" s="154" t="n"/>
      <c r="B176" s="154" t="n"/>
      <c r="C176" s="154" t="n"/>
      <c r="D176" s="154" t="n"/>
      <c r="E176" s="154" t="n"/>
      <c r="F176" s="154" t="n"/>
      <c r="G176" s="154" t="n"/>
      <c r="H176" s="155" t="n"/>
      <c r="I176" s="154" t="n"/>
      <c r="J176" s="154" t="n"/>
      <c r="K176" s="156" t="n"/>
      <c r="L176" s="157" t="n"/>
    </row>
    <row r="177" ht="14.25" customHeight="1" s="82">
      <c r="A177" s="158" t="n"/>
      <c r="B177" s="158" t="n"/>
      <c r="C177" s="158" t="n"/>
      <c r="D177" s="158" t="n"/>
      <c r="E177" s="158" t="n"/>
      <c r="F177" s="158" t="n"/>
      <c r="G177" s="158" t="n"/>
      <c r="H177" s="159" t="n"/>
      <c r="I177" s="158" t="n"/>
      <c r="J177" s="158" t="n"/>
      <c r="K177" s="160" t="n"/>
      <c r="L177" s="161" t="n"/>
    </row>
    <row r="178" ht="14.25" customHeight="1" s="82">
      <c r="A178" s="154" t="n"/>
      <c r="B178" s="154" t="n"/>
      <c r="C178" s="154" t="n"/>
      <c r="D178" s="154" t="n"/>
      <c r="E178" s="154" t="n"/>
      <c r="F178" s="154" t="n"/>
      <c r="G178" s="154" t="n"/>
      <c r="H178" s="155" t="n"/>
      <c r="I178" s="154" t="n"/>
      <c r="J178" s="154" t="n"/>
      <c r="K178" s="156" t="n"/>
      <c r="L178" s="157" t="n"/>
    </row>
    <row r="179" ht="14.25" customHeight="1" s="82">
      <c r="A179" s="158" t="n"/>
      <c r="B179" s="158" t="n"/>
      <c r="C179" s="158" t="n"/>
      <c r="D179" s="158" t="n"/>
      <c r="E179" s="158" t="n"/>
      <c r="F179" s="158" t="n"/>
      <c r="G179" s="158" t="n"/>
      <c r="H179" s="159" t="n"/>
      <c r="I179" s="158" t="n"/>
      <c r="J179" s="158" t="n"/>
      <c r="K179" s="160" t="n"/>
      <c r="L179" s="161" t="n"/>
    </row>
    <row r="180" ht="14.25" customHeight="1" s="82">
      <c r="A180" s="154" t="n"/>
      <c r="B180" s="154" t="n"/>
      <c r="C180" s="154" t="n"/>
      <c r="D180" s="154" t="n"/>
      <c r="E180" s="154" t="n"/>
      <c r="F180" s="154" t="n"/>
      <c r="G180" s="154" t="n"/>
      <c r="H180" s="155" t="n"/>
      <c r="I180" s="154" t="n"/>
      <c r="J180" s="154" t="n"/>
      <c r="K180" s="156" t="n"/>
      <c r="L180" s="157" t="n"/>
    </row>
    <row r="181" ht="14.25" customHeight="1" s="82">
      <c r="A181" s="158" t="n"/>
      <c r="B181" s="158" t="n"/>
      <c r="C181" s="158" t="n"/>
      <c r="D181" s="158" t="n"/>
      <c r="E181" s="158" t="n"/>
      <c r="F181" s="158" t="n"/>
      <c r="G181" s="158" t="n"/>
      <c r="H181" s="159" t="n"/>
      <c r="I181" s="158" t="n"/>
      <c r="J181" s="158" t="n"/>
      <c r="K181" s="160" t="n"/>
      <c r="L181" s="161" t="n"/>
    </row>
    <row r="182" ht="14.25" customHeight="1" s="82">
      <c r="A182" s="154" t="n"/>
      <c r="B182" s="154" t="n"/>
      <c r="C182" s="154" t="n"/>
      <c r="D182" s="154" t="n"/>
      <c r="E182" s="154" t="n"/>
      <c r="F182" s="154" t="n"/>
      <c r="G182" s="154" t="n"/>
      <c r="H182" s="155" t="n"/>
      <c r="I182" s="154" t="n"/>
      <c r="J182" s="154" t="n"/>
      <c r="K182" s="156" t="n"/>
      <c r="L182" s="157" t="n"/>
    </row>
    <row r="183" ht="14.25" customHeight="1" s="82">
      <c r="A183" s="158" t="n"/>
      <c r="B183" s="158" t="n"/>
      <c r="C183" s="158" t="n"/>
      <c r="D183" s="158" t="n"/>
      <c r="E183" s="158" t="n"/>
      <c r="F183" s="158" t="n"/>
      <c r="G183" s="158" t="n"/>
      <c r="H183" s="159" t="n"/>
      <c r="I183" s="158" t="n"/>
      <c r="J183" s="158" t="n"/>
      <c r="K183" s="160" t="n"/>
      <c r="L183" s="161" t="n"/>
    </row>
    <row r="184" ht="14.25" customHeight="1" s="82">
      <c r="A184" s="154" t="n"/>
      <c r="B184" s="154" t="n"/>
      <c r="C184" s="154" t="n"/>
      <c r="D184" s="154" t="n"/>
      <c r="E184" s="154" t="n"/>
      <c r="F184" s="154" t="n"/>
      <c r="G184" s="154" t="n"/>
      <c r="H184" s="155" t="n"/>
      <c r="I184" s="154" t="n"/>
      <c r="J184" s="154" t="n"/>
      <c r="K184" s="156" t="n"/>
      <c r="L184" s="157" t="n"/>
    </row>
    <row r="185" ht="14.25" customHeight="1" s="82">
      <c r="A185" s="158" t="n"/>
      <c r="B185" s="158" t="n"/>
      <c r="C185" s="158" t="n"/>
      <c r="D185" s="158" t="n"/>
      <c r="E185" s="158" t="n"/>
      <c r="F185" s="158" t="n"/>
      <c r="G185" s="158" t="n"/>
      <c r="H185" s="159" t="n"/>
      <c r="I185" s="158" t="n"/>
      <c r="J185" s="158" t="n"/>
      <c r="K185" s="160" t="n"/>
      <c r="L185" s="161" t="n"/>
    </row>
    <row r="186" ht="14.25" customHeight="1" s="82">
      <c r="A186" s="154" t="n"/>
      <c r="B186" s="154" t="n"/>
      <c r="C186" s="154" t="n"/>
      <c r="D186" s="154" t="n"/>
      <c r="E186" s="154" t="n"/>
      <c r="F186" s="154" t="n"/>
      <c r="G186" s="154" t="n"/>
      <c r="H186" s="155" t="n"/>
      <c r="I186" s="154" t="n"/>
      <c r="J186" s="154" t="n"/>
      <c r="K186" s="156" t="n"/>
      <c r="L186" s="157" t="n"/>
    </row>
    <row r="187" ht="14.25" customHeight="1" s="82">
      <c r="A187" s="158" t="n"/>
      <c r="B187" s="158" t="n"/>
      <c r="C187" s="158" t="n"/>
      <c r="D187" s="158" t="n"/>
      <c r="E187" s="158" t="n"/>
      <c r="F187" s="158" t="n"/>
      <c r="G187" s="158" t="n"/>
      <c r="H187" s="159" t="n"/>
      <c r="I187" s="158" t="n"/>
      <c r="J187" s="158" t="n"/>
      <c r="K187" s="160" t="n"/>
      <c r="L187" s="161" t="n"/>
    </row>
    <row r="188" ht="14.25" customHeight="1" s="82">
      <c r="A188" s="154" t="n"/>
      <c r="B188" s="154" t="n"/>
      <c r="C188" s="154" t="n"/>
      <c r="D188" s="154" t="n"/>
      <c r="E188" s="154" t="n"/>
      <c r="F188" s="154" t="n"/>
      <c r="G188" s="154" t="n"/>
      <c r="H188" s="155" t="n"/>
      <c r="I188" s="154" t="n"/>
      <c r="J188" s="154" t="n"/>
      <c r="K188" s="156" t="n"/>
      <c r="L188" s="157" t="n"/>
    </row>
    <row r="189" ht="14.25" customHeight="1" s="82">
      <c r="A189" s="158" t="n"/>
      <c r="B189" s="158" t="n"/>
      <c r="C189" s="158" t="n"/>
      <c r="D189" s="158" t="n"/>
      <c r="E189" s="158" t="n"/>
      <c r="F189" s="158" t="n"/>
      <c r="G189" s="158" t="n"/>
      <c r="H189" s="159" t="n"/>
      <c r="I189" s="158" t="n"/>
      <c r="J189" s="158" t="n"/>
      <c r="K189" s="160" t="n"/>
      <c r="L189" s="161" t="n"/>
    </row>
    <row r="190" ht="14.25" customHeight="1" s="82">
      <c r="A190" s="154" t="n"/>
      <c r="B190" s="154" t="n"/>
      <c r="C190" s="154" t="n"/>
      <c r="D190" s="154" t="n"/>
      <c r="E190" s="154" t="n"/>
      <c r="F190" s="154" t="n"/>
      <c r="G190" s="154" t="n"/>
      <c r="H190" s="155" t="n"/>
      <c r="I190" s="154" t="n"/>
      <c r="J190" s="154" t="n"/>
      <c r="K190" s="156" t="n"/>
      <c r="L190" s="157" t="n"/>
    </row>
    <row r="191" ht="14.25" customHeight="1" s="82">
      <c r="A191" s="158" t="n"/>
      <c r="B191" s="158" t="n"/>
      <c r="C191" s="158" t="n"/>
      <c r="D191" s="158" t="n"/>
      <c r="E191" s="158" t="n"/>
      <c r="F191" s="158" t="n"/>
      <c r="G191" s="158" t="n"/>
      <c r="H191" s="159" t="n"/>
      <c r="I191" s="158" t="n"/>
      <c r="J191" s="158" t="n"/>
      <c r="K191" s="160" t="n"/>
      <c r="L191" s="161" t="n"/>
    </row>
    <row r="192" ht="14.25" customHeight="1" s="82">
      <c r="A192" s="154" t="n"/>
      <c r="B192" s="154" t="n"/>
      <c r="C192" s="154" t="n"/>
      <c r="D192" s="154" t="n"/>
      <c r="E192" s="154" t="n"/>
      <c r="F192" s="154" t="n"/>
      <c r="G192" s="154" t="n"/>
      <c r="H192" s="155" t="n"/>
      <c r="I192" s="154" t="n"/>
      <c r="J192" s="154" t="n"/>
      <c r="K192" s="156" t="n"/>
      <c r="L192" s="157" t="n"/>
    </row>
    <row r="193" ht="14.25" customHeight="1" s="82">
      <c r="A193" s="158" t="n"/>
      <c r="B193" s="158" t="n"/>
      <c r="C193" s="158" t="n"/>
      <c r="D193" s="158" t="n"/>
      <c r="E193" s="158" t="n"/>
      <c r="F193" s="158" t="n"/>
      <c r="G193" s="158" t="n"/>
      <c r="H193" s="159" t="n"/>
      <c r="I193" s="158" t="n"/>
      <c r="J193" s="158" t="n"/>
      <c r="K193" s="160" t="n"/>
      <c r="L193" s="161" t="n"/>
    </row>
    <row r="194" ht="14.25" customHeight="1" s="82">
      <c r="A194" s="154" t="n"/>
      <c r="B194" s="154" t="n"/>
      <c r="C194" s="154" t="n"/>
      <c r="D194" s="154" t="n"/>
      <c r="E194" s="154" t="n"/>
      <c r="F194" s="154" t="n"/>
      <c r="G194" s="154" t="n"/>
      <c r="H194" s="155" t="n"/>
      <c r="I194" s="154" t="n"/>
      <c r="J194" s="154" t="n"/>
      <c r="K194" s="156" t="n"/>
      <c r="L194" s="157" t="n"/>
    </row>
    <row r="195" ht="14.25" customHeight="1" s="82">
      <c r="A195" s="158" t="n"/>
      <c r="B195" s="158" t="n"/>
      <c r="C195" s="158" t="n"/>
      <c r="D195" s="158" t="n"/>
      <c r="E195" s="158" t="n"/>
      <c r="F195" s="158" t="n"/>
      <c r="G195" s="158" t="n"/>
      <c r="H195" s="159" t="n"/>
      <c r="I195" s="158" t="n"/>
      <c r="J195" s="158" t="n"/>
      <c r="K195" s="160" t="n"/>
      <c r="L195" s="161" t="n"/>
    </row>
    <row r="196" ht="14.25" customHeight="1" s="82">
      <c r="A196" s="154" t="n"/>
      <c r="B196" s="154" t="n"/>
      <c r="C196" s="154" t="n"/>
      <c r="D196" s="154" t="n"/>
      <c r="E196" s="154" t="n"/>
      <c r="F196" s="154" t="n"/>
      <c r="G196" s="154" t="n"/>
      <c r="H196" s="155" t="n"/>
      <c r="I196" s="154" t="n"/>
      <c r="J196" s="154" t="n"/>
      <c r="K196" s="156" t="n"/>
      <c r="L196" s="157" t="n"/>
    </row>
    <row r="197" ht="14.25" customHeight="1" s="82">
      <c r="A197" s="158" t="n"/>
      <c r="B197" s="158" t="n"/>
      <c r="C197" s="158" t="n"/>
      <c r="D197" s="158" t="n"/>
      <c r="E197" s="158" t="n"/>
      <c r="F197" s="158" t="n"/>
      <c r="G197" s="158" t="n"/>
      <c r="H197" s="159" t="n"/>
      <c r="I197" s="158" t="n"/>
      <c r="J197" s="158" t="n"/>
      <c r="K197" s="160" t="n"/>
      <c r="L197" s="161" t="n"/>
    </row>
    <row r="198" ht="14.25" customHeight="1" s="82">
      <c r="A198" s="154" t="n"/>
      <c r="B198" s="154" t="n"/>
      <c r="C198" s="154" t="n"/>
      <c r="D198" s="154" t="n"/>
      <c r="E198" s="154" t="n"/>
      <c r="F198" s="154" t="n"/>
      <c r="G198" s="154" t="n"/>
      <c r="H198" s="155" t="n"/>
      <c r="I198" s="154" t="n"/>
      <c r="J198" s="154" t="n"/>
      <c r="K198" s="156" t="n"/>
      <c r="L198" s="157" t="n"/>
    </row>
    <row r="199" ht="14.25" customHeight="1" s="82">
      <c r="A199" s="158" t="n"/>
      <c r="B199" s="158" t="n"/>
      <c r="C199" s="158" t="n"/>
      <c r="D199" s="158" t="n"/>
      <c r="E199" s="158" t="n"/>
      <c r="F199" s="158" t="n"/>
      <c r="G199" s="158" t="n"/>
      <c r="H199" s="159" t="n"/>
      <c r="I199" s="158" t="n"/>
      <c r="J199" s="158" t="n"/>
      <c r="K199" s="160" t="n"/>
      <c r="L199" s="161" t="n"/>
    </row>
    <row r="200" ht="14.25" customHeight="1" s="82">
      <c r="A200" s="154" t="n"/>
      <c r="B200" s="154" t="n"/>
      <c r="C200" s="154" t="n"/>
      <c r="D200" s="154" t="n"/>
      <c r="E200" s="154" t="n"/>
      <c r="F200" s="154" t="n"/>
      <c r="G200" s="154" t="n"/>
      <c r="H200" s="155" t="n"/>
      <c r="I200" s="154" t="n"/>
      <c r="J200" s="154" t="n"/>
      <c r="K200" s="156" t="n"/>
      <c r="L200" s="157" t="n"/>
    </row>
    <row r="201" ht="14.25" customHeight="1" s="82">
      <c r="A201" s="158" t="n"/>
      <c r="B201" s="158" t="n"/>
      <c r="C201" s="158" t="n"/>
      <c r="D201" s="158" t="n"/>
      <c r="E201" s="158" t="n"/>
      <c r="F201" s="158" t="n"/>
      <c r="G201" s="158" t="n"/>
      <c r="H201" s="159" t="n"/>
      <c r="I201" s="158" t="n"/>
      <c r="J201" s="158" t="n"/>
      <c r="K201" s="160" t="n"/>
      <c r="L201" s="161" t="n"/>
    </row>
    <row r="202" ht="14.25" customHeight="1" s="82">
      <c r="A202" s="154" t="n"/>
      <c r="B202" s="154" t="n"/>
      <c r="C202" s="154" t="n"/>
      <c r="D202" s="154" t="n"/>
      <c r="E202" s="154" t="n"/>
      <c r="F202" s="154" t="n"/>
      <c r="G202" s="154" t="n"/>
      <c r="H202" s="155" t="n"/>
      <c r="I202" s="154" t="n"/>
      <c r="J202" s="154" t="n"/>
      <c r="K202" s="156" t="n"/>
      <c r="L202" s="157" t="n"/>
    </row>
    <row r="203" ht="14.25" customHeight="1" s="82">
      <c r="A203" s="158" t="n"/>
      <c r="B203" s="158" t="n"/>
      <c r="C203" s="158" t="n"/>
      <c r="D203" s="158" t="n"/>
      <c r="E203" s="158" t="n"/>
      <c r="F203" s="158" t="n"/>
      <c r="G203" s="158" t="n"/>
      <c r="H203" s="159" t="n"/>
      <c r="I203" s="158" t="n"/>
      <c r="J203" s="158" t="n"/>
      <c r="K203" s="160" t="n"/>
      <c r="L203" s="161" t="n"/>
    </row>
    <row r="204" ht="14.25" customHeight="1" s="82">
      <c r="A204" s="154" t="n"/>
      <c r="B204" s="154" t="n"/>
      <c r="C204" s="154" t="n"/>
      <c r="D204" s="154" t="n"/>
      <c r="E204" s="154" t="n"/>
      <c r="F204" s="154" t="n"/>
      <c r="G204" s="154" t="n"/>
      <c r="H204" s="155" t="n"/>
      <c r="I204" s="154" t="n"/>
      <c r="J204" s="154" t="n"/>
      <c r="K204" s="156" t="n"/>
      <c r="L204" s="157" t="n"/>
    </row>
    <row r="205" ht="14.25" customHeight="1" s="82">
      <c r="A205" s="158" t="n"/>
      <c r="B205" s="158" t="n"/>
      <c r="C205" s="158" t="n"/>
      <c r="D205" s="158" t="n"/>
      <c r="E205" s="158" t="n"/>
      <c r="F205" s="158" t="n"/>
      <c r="G205" s="158" t="n"/>
      <c r="H205" s="159" t="n"/>
      <c r="I205" s="158" t="n"/>
      <c r="J205" s="158" t="n"/>
      <c r="K205" s="160" t="n"/>
      <c r="L205" s="161" t="n"/>
    </row>
    <row r="206" ht="14.25" customHeight="1" s="82">
      <c r="A206" s="154" t="n"/>
      <c r="B206" s="154" t="n"/>
      <c r="C206" s="154" t="n"/>
      <c r="D206" s="154" t="n"/>
      <c r="E206" s="154" t="n"/>
      <c r="F206" s="154" t="n"/>
      <c r="G206" s="154" t="n"/>
      <c r="H206" s="155" t="n"/>
      <c r="I206" s="154" t="n"/>
      <c r="J206" s="154" t="n"/>
      <c r="K206" s="156" t="n"/>
      <c r="L206" s="157" t="n"/>
    </row>
    <row r="207" ht="14.25" customHeight="1" s="82">
      <c r="A207" s="158" t="n"/>
      <c r="B207" s="158" t="n"/>
      <c r="C207" s="158" t="n"/>
      <c r="D207" s="158" t="n"/>
      <c r="E207" s="158" t="n"/>
      <c r="F207" s="158" t="n"/>
      <c r="G207" s="158" t="n"/>
      <c r="H207" s="159" t="n"/>
      <c r="I207" s="158" t="n"/>
      <c r="J207" s="158" t="n"/>
      <c r="K207" s="160" t="n"/>
      <c r="L207" s="161" t="n"/>
    </row>
    <row r="208" ht="14.25" customHeight="1" s="82">
      <c r="A208" s="154" t="n"/>
      <c r="B208" s="154" t="n"/>
      <c r="C208" s="154" t="n"/>
      <c r="D208" s="154" t="n"/>
      <c r="E208" s="154" t="n"/>
      <c r="F208" s="154" t="n"/>
      <c r="G208" s="154" t="n"/>
      <c r="H208" s="155" t="n"/>
      <c r="I208" s="154" t="n"/>
      <c r="J208" s="154" t="n"/>
      <c r="K208" s="156" t="n"/>
      <c r="L208" s="157" t="n"/>
    </row>
    <row r="209" ht="14.25" customHeight="1" s="82">
      <c r="A209" s="158" t="n"/>
      <c r="B209" s="158" t="n"/>
      <c r="C209" s="158" t="n"/>
      <c r="D209" s="158" t="n"/>
      <c r="E209" s="158" t="n"/>
      <c r="F209" s="158" t="n"/>
      <c r="G209" s="158" t="n"/>
      <c r="H209" s="159" t="n"/>
      <c r="I209" s="158" t="n"/>
      <c r="J209" s="158" t="n"/>
      <c r="K209" s="160" t="n"/>
      <c r="L209" s="161" t="n"/>
    </row>
    <row r="210" ht="14.25" customHeight="1" s="82">
      <c r="A210" s="154" t="n"/>
      <c r="B210" s="154" t="n"/>
      <c r="C210" s="154" t="n"/>
      <c r="D210" s="154" t="n"/>
      <c r="E210" s="154" t="n"/>
      <c r="F210" s="154" t="n"/>
      <c r="G210" s="154" t="n"/>
      <c r="H210" s="155" t="n"/>
      <c r="I210" s="154" t="n"/>
      <c r="J210" s="154" t="n"/>
      <c r="K210" s="156" t="n"/>
      <c r="L210" s="157" t="n"/>
    </row>
    <row r="211" ht="14.25" customHeight="1" s="82">
      <c r="A211" s="158" t="n"/>
      <c r="B211" s="158" t="n"/>
      <c r="C211" s="158" t="n"/>
      <c r="D211" s="158" t="n"/>
      <c r="E211" s="158" t="n"/>
      <c r="F211" s="158" t="n"/>
      <c r="G211" s="158" t="n"/>
      <c r="H211" s="159" t="n"/>
      <c r="I211" s="158" t="n"/>
      <c r="J211" s="158" t="n"/>
      <c r="K211" s="160" t="n"/>
      <c r="L211" s="161" t="n"/>
    </row>
    <row r="212" ht="14.25" customHeight="1" s="82">
      <c r="A212" s="154" t="n"/>
      <c r="B212" s="154" t="n"/>
      <c r="C212" s="154" t="n"/>
      <c r="D212" s="154" t="n"/>
      <c r="E212" s="154" t="n"/>
      <c r="F212" s="154" t="n"/>
      <c r="G212" s="154" t="n"/>
      <c r="H212" s="155" t="n"/>
      <c r="I212" s="154" t="n"/>
      <c r="J212" s="154" t="n"/>
      <c r="K212" s="156" t="n"/>
      <c r="L212" s="157" t="n"/>
    </row>
    <row r="213" ht="14.25" customHeight="1" s="82">
      <c r="A213" s="158" t="n"/>
      <c r="B213" s="158" t="n"/>
      <c r="C213" s="158" t="n"/>
      <c r="D213" s="158" t="n"/>
      <c r="E213" s="158" t="n"/>
      <c r="F213" s="158" t="n"/>
      <c r="G213" s="158" t="n"/>
      <c r="H213" s="159" t="n"/>
      <c r="I213" s="158" t="n"/>
      <c r="J213" s="158" t="n"/>
      <c r="K213" s="160" t="n"/>
      <c r="L213" s="161" t="n"/>
    </row>
    <row r="214" ht="14.25" customHeight="1" s="82">
      <c r="A214" s="154" t="n"/>
      <c r="B214" s="154" t="n"/>
      <c r="C214" s="154" t="n"/>
      <c r="D214" s="154" t="n"/>
      <c r="E214" s="154" t="n"/>
      <c r="F214" s="154" t="n"/>
      <c r="G214" s="154" t="n"/>
      <c r="H214" s="155" t="n"/>
      <c r="I214" s="154" t="n"/>
      <c r="J214" s="154" t="n"/>
      <c r="K214" s="156" t="n"/>
      <c r="L214" s="157" t="n"/>
    </row>
    <row r="215" ht="14.25" customHeight="1" s="82">
      <c r="A215" s="158" t="n"/>
      <c r="B215" s="158" t="n"/>
      <c r="C215" s="158" t="n"/>
      <c r="D215" s="158" t="n"/>
      <c r="E215" s="158" t="n"/>
      <c r="F215" s="158" t="n"/>
      <c r="G215" s="158" t="n"/>
      <c r="H215" s="159" t="n"/>
      <c r="I215" s="158" t="n"/>
      <c r="J215" s="158" t="n"/>
      <c r="K215" s="160" t="n"/>
      <c r="L215" s="161" t="n"/>
    </row>
    <row r="216" ht="14.25" customHeight="1" s="82">
      <c r="A216" s="154" t="n"/>
      <c r="B216" s="154" t="n"/>
      <c r="C216" s="154" t="n"/>
      <c r="D216" s="154" t="n"/>
      <c r="E216" s="154" t="n"/>
      <c r="F216" s="154" t="n"/>
      <c r="G216" s="154" t="n"/>
      <c r="H216" s="155" t="n"/>
      <c r="I216" s="154" t="n"/>
      <c r="J216" s="154" t="n"/>
      <c r="K216" s="156" t="n"/>
      <c r="L216" s="157" t="n"/>
    </row>
    <row r="217" ht="14.25" customHeight="1" s="82">
      <c r="A217" s="158" t="n"/>
      <c r="B217" s="158" t="n"/>
      <c r="C217" s="158" t="n"/>
      <c r="D217" s="158" t="n"/>
      <c r="E217" s="158" t="n"/>
      <c r="F217" s="158" t="n"/>
      <c r="G217" s="158" t="n"/>
      <c r="H217" s="159" t="n"/>
      <c r="I217" s="158" t="n"/>
      <c r="J217" s="158" t="n"/>
      <c r="K217" s="160" t="n"/>
      <c r="L217" s="161" t="n"/>
    </row>
    <row r="218" ht="14.25" customHeight="1" s="82">
      <c r="A218" s="154" t="n"/>
      <c r="B218" s="154" t="n"/>
      <c r="C218" s="154" t="n"/>
      <c r="D218" s="154" t="n"/>
      <c r="E218" s="154" t="n"/>
      <c r="F218" s="154" t="n"/>
      <c r="G218" s="154" t="n"/>
      <c r="H218" s="155" t="n"/>
      <c r="I218" s="154" t="n"/>
      <c r="J218" s="154" t="n"/>
      <c r="K218" s="156" t="n"/>
      <c r="L218" s="157" t="n"/>
    </row>
    <row r="219" ht="14.25" customHeight="1" s="82">
      <c r="A219" s="158" t="n"/>
      <c r="B219" s="158" t="n"/>
      <c r="C219" s="158" t="n"/>
      <c r="D219" s="158" t="n"/>
      <c r="E219" s="158" t="n"/>
      <c r="F219" s="158" t="n"/>
      <c r="G219" s="158" t="n"/>
      <c r="H219" s="159" t="n"/>
      <c r="I219" s="158" t="n"/>
      <c r="J219" s="158" t="n"/>
      <c r="K219" s="160" t="n"/>
      <c r="L219" s="161" t="n"/>
    </row>
    <row r="220" ht="14.25" customHeight="1" s="82">
      <c r="A220" s="154" t="n"/>
      <c r="B220" s="154" t="n"/>
      <c r="C220" s="154" t="n"/>
      <c r="D220" s="154" t="n"/>
      <c r="E220" s="154" t="n"/>
      <c r="F220" s="154" t="n"/>
      <c r="G220" s="154" t="n"/>
      <c r="H220" s="155" t="n"/>
      <c r="I220" s="154" t="n"/>
      <c r="J220" s="154" t="n"/>
      <c r="K220" s="156" t="n"/>
      <c r="L220" s="157" t="n"/>
    </row>
    <row r="221" ht="14.25" customHeight="1" s="82">
      <c r="A221" s="158" t="n"/>
      <c r="B221" s="158" t="n"/>
      <c r="C221" s="158" t="n"/>
      <c r="D221" s="158" t="n"/>
      <c r="E221" s="158" t="n"/>
      <c r="F221" s="158" t="n"/>
      <c r="G221" s="158" t="n"/>
      <c r="H221" s="159" t="n"/>
      <c r="I221" s="158" t="n"/>
      <c r="J221" s="158" t="n"/>
      <c r="K221" s="160" t="n"/>
      <c r="L221" s="161" t="n"/>
    </row>
    <row r="222" ht="14.25" customHeight="1" s="82">
      <c r="A222" s="154" t="n"/>
      <c r="B222" s="154" t="n"/>
      <c r="C222" s="154" t="n"/>
      <c r="D222" s="154" t="n"/>
      <c r="E222" s="154" t="n"/>
      <c r="F222" s="154" t="n"/>
      <c r="G222" s="154" t="n"/>
      <c r="H222" s="155" t="n"/>
      <c r="I222" s="154" t="n"/>
      <c r="J222" s="154" t="n"/>
      <c r="K222" s="156" t="n"/>
      <c r="L222" s="157" t="n"/>
    </row>
    <row r="223" ht="14.25" customHeight="1" s="82">
      <c r="A223" s="158" t="n"/>
      <c r="B223" s="158" t="n"/>
      <c r="C223" s="158" t="n"/>
      <c r="D223" s="158" t="n"/>
      <c r="E223" s="158" t="n"/>
      <c r="F223" s="158" t="n"/>
      <c r="G223" s="158" t="n"/>
      <c r="H223" s="159" t="n"/>
      <c r="I223" s="158" t="n"/>
      <c r="J223" s="158" t="n"/>
      <c r="K223" s="160" t="n"/>
      <c r="L223" s="161" t="n"/>
    </row>
    <row r="224" ht="14.25" customHeight="1" s="82">
      <c r="A224" s="154" t="n"/>
      <c r="B224" s="154" t="n"/>
      <c r="C224" s="154" t="n"/>
      <c r="D224" s="154" t="n"/>
      <c r="E224" s="154" t="n"/>
      <c r="F224" s="154" t="n"/>
      <c r="G224" s="154" t="n"/>
      <c r="H224" s="155" t="n"/>
      <c r="I224" s="154" t="n"/>
      <c r="J224" s="154" t="n"/>
      <c r="K224" s="156" t="n"/>
      <c r="L224" s="157" t="n"/>
    </row>
    <row r="225" ht="14.25" customHeight="1" s="82">
      <c r="A225" s="158" t="n"/>
      <c r="B225" s="158" t="n"/>
      <c r="C225" s="158" t="n"/>
      <c r="D225" s="158" t="n"/>
      <c r="E225" s="158" t="n"/>
      <c r="F225" s="158" t="n"/>
      <c r="G225" s="158" t="n"/>
      <c r="H225" s="159" t="n"/>
      <c r="I225" s="158" t="n"/>
      <c r="J225" s="158" t="n"/>
      <c r="K225" s="160" t="n"/>
      <c r="L225" s="161" t="n"/>
    </row>
    <row r="226" ht="14.25" customHeight="1" s="82">
      <c r="A226" s="154" t="n"/>
      <c r="B226" s="154" t="n"/>
      <c r="C226" s="154" t="n"/>
      <c r="D226" s="154" t="n"/>
      <c r="E226" s="154" t="n"/>
      <c r="F226" s="154" t="n"/>
      <c r="G226" s="154" t="n"/>
      <c r="H226" s="155" t="n"/>
      <c r="I226" s="154" t="n"/>
      <c r="J226" s="154" t="n"/>
      <c r="K226" s="156" t="n"/>
      <c r="L226" s="157" t="n"/>
    </row>
    <row r="227" ht="14.25" customHeight="1" s="82">
      <c r="A227" s="158" t="n"/>
      <c r="B227" s="158" t="n"/>
      <c r="C227" s="158" t="n"/>
      <c r="D227" s="158" t="n"/>
      <c r="E227" s="158" t="n"/>
      <c r="F227" s="158" t="n"/>
      <c r="G227" s="158" t="n"/>
      <c r="H227" s="159" t="n"/>
      <c r="I227" s="158" t="n"/>
      <c r="J227" s="158" t="n"/>
      <c r="K227" s="160" t="n"/>
      <c r="L227" s="161" t="n"/>
    </row>
    <row r="228" ht="14.25" customHeight="1" s="82">
      <c r="A228" s="154" t="n"/>
      <c r="B228" s="154" t="n"/>
      <c r="C228" s="154" t="n"/>
      <c r="D228" s="154" t="n"/>
      <c r="E228" s="154" t="n"/>
      <c r="F228" s="154" t="n"/>
      <c r="G228" s="154" t="n"/>
      <c r="H228" s="155" t="n"/>
      <c r="I228" s="154" t="n"/>
      <c r="J228" s="154" t="n"/>
      <c r="K228" s="156" t="n"/>
      <c r="L228" s="157" t="n"/>
    </row>
    <row r="229" ht="14.25" customHeight="1" s="82">
      <c r="A229" s="158" t="n"/>
      <c r="B229" s="158" t="n"/>
      <c r="C229" s="158" t="n"/>
      <c r="D229" s="158" t="n"/>
      <c r="E229" s="158" t="n"/>
      <c r="F229" s="158" t="n"/>
      <c r="G229" s="158" t="n"/>
      <c r="H229" s="159" t="n"/>
      <c r="I229" s="158" t="n"/>
      <c r="J229" s="158" t="n"/>
      <c r="K229" s="160" t="n"/>
      <c r="L229" s="161" t="n"/>
    </row>
    <row r="230" ht="14.25" customHeight="1" s="82">
      <c r="A230" s="154" t="n"/>
      <c r="B230" s="154" t="n"/>
      <c r="C230" s="154" t="n"/>
      <c r="D230" s="154" t="n"/>
      <c r="E230" s="154" t="n"/>
      <c r="F230" s="154" t="n"/>
      <c r="G230" s="154" t="n"/>
      <c r="H230" s="155" t="n"/>
      <c r="I230" s="154" t="n"/>
      <c r="J230" s="154" t="n"/>
      <c r="K230" s="156" t="n"/>
      <c r="L230" s="157" t="n"/>
    </row>
    <row r="231" ht="14.25" customHeight="1" s="82">
      <c r="A231" s="158" t="n"/>
      <c r="B231" s="158" t="n"/>
      <c r="C231" s="158" t="n"/>
      <c r="D231" s="158" t="n"/>
      <c r="E231" s="158" t="n"/>
      <c r="F231" s="158" t="n"/>
      <c r="G231" s="158" t="n"/>
      <c r="H231" s="159" t="n"/>
      <c r="I231" s="158" t="n"/>
      <c r="J231" s="158" t="n"/>
      <c r="K231" s="160" t="n"/>
      <c r="L231" s="161" t="n"/>
    </row>
    <row r="232" ht="14.25" customHeight="1" s="82">
      <c r="A232" s="154" t="n"/>
      <c r="B232" s="154" t="n"/>
      <c r="C232" s="154" t="n"/>
      <c r="D232" s="154" t="n"/>
      <c r="E232" s="154" t="n"/>
      <c r="F232" s="154" t="n"/>
      <c r="G232" s="154" t="n"/>
      <c r="H232" s="155" t="n"/>
      <c r="I232" s="154" t="n"/>
      <c r="J232" s="154" t="n"/>
      <c r="K232" s="156" t="n"/>
      <c r="L232" s="157" t="n"/>
    </row>
    <row r="233" ht="14.25" customHeight="1" s="82">
      <c r="A233" s="158" t="n"/>
      <c r="B233" s="158" t="n"/>
      <c r="C233" s="158" t="n"/>
      <c r="D233" s="158" t="n"/>
      <c r="E233" s="158" t="n"/>
      <c r="F233" s="158" t="n"/>
      <c r="G233" s="158" t="n"/>
      <c r="H233" s="159" t="n"/>
      <c r="I233" s="158" t="n"/>
      <c r="J233" s="158" t="n"/>
      <c r="K233" s="160" t="n"/>
      <c r="L233" s="161" t="n"/>
    </row>
    <row r="234" ht="14.25" customHeight="1" s="82">
      <c r="A234" s="154" t="n"/>
      <c r="B234" s="154" t="n"/>
      <c r="C234" s="154" t="n"/>
      <c r="D234" s="154" t="n"/>
      <c r="E234" s="154" t="n"/>
      <c r="F234" s="154" t="n"/>
      <c r="G234" s="154" t="n"/>
      <c r="H234" s="155" t="n"/>
      <c r="I234" s="154" t="n"/>
      <c r="J234" s="154" t="n"/>
      <c r="K234" s="156" t="n"/>
      <c r="L234" s="157" t="n"/>
    </row>
    <row r="235" ht="14.25" customHeight="1" s="82">
      <c r="A235" s="158" t="n"/>
      <c r="B235" s="158" t="n"/>
      <c r="C235" s="158" t="n"/>
      <c r="D235" s="158" t="n"/>
      <c r="E235" s="158" t="n"/>
      <c r="F235" s="158" t="n"/>
      <c r="G235" s="158" t="n"/>
      <c r="H235" s="159" t="n"/>
      <c r="I235" s="158" t="n"/>
      <c r="J235" s="158" t="n"/>
      <c r="K235" s="160" t="n"/>
      <c r="L235" s="161" t="n"/>
    </row>
    <row r="236" ht="14.25" customHeight="1" s="82">
      <c r="A236" s="154" t="n"/>
      <c r="B236" s="154" t="n"/>
      <c r="C236" s="154" t="n"/>
      <c r="D236" s="154" t="n"/>
      <c r="E236" s="154" t="n"/>
      <c r="F236" s="154" t="n"/>
      <c r="G236" s="154" t="n"/>
      <c r="H236" s="155" t="n"/>
      <c r="I236" s="154" t="n"/>
      <c r="J236" s="154" t="n"/>
      <c r="K236" s="156" t="n"/>
      <c r="L236" s="157" t="n"/>
    </row>
    <row r="237" ht="14.25" customHeight="1" s="82">
      <c r="A237" s="158" t="n"/>
      <c r="B237" s="158" t="n"/>
      <c r="C237" s="158" t="n"/>
      <c r="D237" s="158" t="n"/>
      <c r="E237" s="158" t="n"/>
      <c r="F237" s="158" t="n"/>
      <c r="G237" s="158" t="n"/>
      <c r="H237" s="159" t="n"/>
      <c r="I237" s="158" t="n"/>
      <c r="J237" s="158" t="n"/>
      <c r="K237" s="160" t="n"/>
      <c r="L237" s="161" t="n"/>
    </row>
    <row r="238" ht="14.25" customHeight="1" s="82">
      <c r="A238" s="154" t="n"/>
      <c r="B238" s="154" t="n"/>
      <c r="C238" s="154" t="n"/>
      <c r="D238" s="154" t="n"/>
      <c r="E238" s="154" t="n"/>
      <c r="F238" s="154" t="n"/>
      <c r="G238" s="154" t="n"/>
      <c r="H238" s="155" t="n"/>
      <c r="I238" s="154" t="n"/>
      <c r="J238" s="154" t="n"/>
      <c r="K238" s="156" t="n"/>
      <c r="L238" s="157" t="n"/>
    </row>
    <row r="239" ht="14.25" customHeight="1" s="82">
      <c r="A239" s="158" t="n"/>
      <c r="B239" s="158" t="n"/>
      <c r="C239" s="158" t="n"/>
      <c r="D239" s="158" t="n"/>
      <c r="E239" s="158" t="n"/>
      <c r="F239" s="158" t="n"/>
      <c r="G239" s="158" t="n"/>
      <c r="H239" s="159" t="n"/>
      <c r="I239" s="158" t="n"/>
      <c r="J239" s="158" t="n"/>
      <c r="K239" s="160" t="n"/>
      <c r="L239" s="161" t="n"/>
    </row>
    <row r="240" ht="14.25" customHeight="1" s="82">
      <c r="A240" s="154" t="n"/>
      <c r="B240" s="154" t="n"/>
      <c r="C240" s="154" t="n"/>
      <c r="D240" s="154" t="n"/>
      <c r="E240" s="154" t="n"/>
      <c r="F240" s="154" t="n"/>
      <c r="G240" s="154" t="n"/>
      <c r="H240" s="155" t="n"/>
      <c r="I240" s="154" t="n"/>
      <c r="J240" s="154" t="n"/>
      <c r="K240" s="156" t="n"/>
      <c r="L240" s="157" t="n"/>
    </row>
    <row r="241" ht="14.25" customHeight="1" s="82">
      <c r="A241" s="158" t="n"/>
      <c r="B241" s="158" t="n"/>
      <c r="C241" s="158" t="n"/>
      <c r="D241" s="158" t="n"/>
      <c r="E241" s="158" t="n"/>
      <c r="F241" s="158" t="n"/>
      <c r="G241" s="158" t="n"/>
      <c r="H241" s="159" t="n"/>
      <c r="I241" s="158" t="n"/>
      <c r="J241" s="158" t="n"/>
      <c r="K241" s="160" t="n"/>
      <c r="L241" s="161" t="n"/>
    </row>
    <row r="242" ht="14.25" customHeight="1" s="82">
      <c r="A242" s="154" t="n"/>
      <c r="B242" s="154" t="n"/>
      <c r="C242" s="154" t="n"/>
      <c r="D242" s="154" t="n"/>
      <c r="E242" s="154" t="n"/>
      <c r="F242" s="154" t="n"/>
      <c r="G242" s="154" t="n"/>
      <c r="H242" s="155" t="n"/>
      <c r="I242" s="154" t="n"/>
      <c r="J242" s="154" t="n"/>
      <c r="K242" s="156" t="n"/>
      <c r="L242" s="157" t="n"/>
    </row>
    <row r="243" ht="14.25" customHeight="1" s="82">
      <c r="A243" s="158" t="n"/>
      <c r="B243" s="158" t="n"/>
      <c r="C243" s="158" t="n"/>
      <c r="D243" s="158" t="n"/>
      <c r="E243" s="158" t="n"/>
      <c r="F243" s="158" t="n"/>
      <c r="G243" s="158" t="n"/>
      <c r="H243" s="159" t="n"/>
      <c r="I243" s="158" t="n"/>
      <c r="J243" s="158" t="n"/>
      <c r="K243" s="160" t="n"/>
      <c r="L243" s="161" t="n"/>
    </row>
    <row r="244" ht="14.25" customHeight="1" s="82">
      <c r="A244" s="154" t="n"/>
      <c r="B244" s="154" t="n"/>
      <c r="C244" s="154" t="n"/>
      <c r="D244" s="154" t="n"/>
      <c r="E244" s="154" t="n"/>
      <c r="F244" s="154" t="n"/>
      <c r="G244" s="154" t="n"/>
      <c r="H244" s="155" t="n"/>
      <c r="I244" s="154" t="n"/>
      <c r="J244" s="154" t="n"/>
      <c r="K244" s="156" t="n"/>
      <c r="L244" s="157" t="n"/>
    </row>
    <row r="245" ht="14.25" customHeight="1" s="82">
      <c r="A245" s="158" t="n"/>
      <c r="B245" s="158" t="n"/>
      <c r="C245" s="158" t="n"/>
      <c r="D245" s="158" t="n"/>
      <c r="E245" s="158" t="n"/>
      <c r="F245" s="158" t="n"/>
      <c r="G245" s="158" t="n"/>
      <c r="H245" s="159" t="n"/>
      <c r="I245" s="158" t="n"/>
      <c r="J245" s="158" t="n"/>
      <c r="K245" s="160" t="n"/>
      <c r="L245" s="161" t="n"/>
    </row>
    <row r="246" ht="14.25" customHeight="1" s="82">
      <c r="A246" s="154" t="n"/>
      <c r="B246" s="154" t="n"/>
      <c r="C246" s="154" t="n"/>
      <c r="D246" s="154" t="n"/>
      <c r="E246" s="154" t="n"/>
      <c r="F246" s="154" t="n"/>
      <c r="G246" s="154" t="n"/>
      <c r="H246" s="155" t="n"/>
      <c r="I246" s="154" t="n"/>
      <c r="J246" s="154" t="n"/>
      <c r="K246" s="156" t="n"/>
      <c r="L246" s="157" t="n"/>
    </row>
    <row r="247" ht="14.25" customHeight="1" s="82">
      <c r="A247" s="158" t="n"/>
      <c r="B247" s="158" t="n"/>
      <c r="C247" s="158" t="n"/>
      <c r="D247" s="158" t="n"/>
      <c r="E247" s="158" t="n"/>
      <c r="F247" s="158" t="n"/>
      <c r="G247" s="158" t="n"/>
      <c r="H247" s="159" t="n"/>
      <c r="I247" s="158" t="n"/>
      <c r="J247" s="158" t="n"/>
      <c r="K247" s="160" t="n"/>
      <c r="L247" s="161" t="n"/>
    </row>
    <row r="248" ht="14.25" customHeight="1" s="82">
      <c r="A248" s="154" t="n"/>
      <c r="B248" s="154" t="n"/>
      <c r="C248" s="154" t="n"/>
      <c r="D248" s="154" t="n"/>
      <c r="E248" s="154" t="n"/>
      <c r="F248" s="154" t="n"/>
      <c r="G248" s="154" t="n"/>
      <c r="H248" s="155" t="n"/>
      <c r="I248" s="154" t="n"/>
      <c r="J248" s="154" t="n"/>
      <c r="K248" s="156" t="n"/>
      <c r="L248" s="157" t="n"/>
    </row>
    <row r="249" ht="14.25" customHeight="1" s="82">
      <c r="A249" s="158" t="n"/>
      <c r="B249" s="158" t="n"/>
      <c r="C249" s="158" t="n"/>
      <c r="D249" s="158" t="n"/>
      <c r="E249" s="158" t="n"/>
      <c r="F249" s="158" t="n"/>
      <c r="G249" s="158" t="n"/>
      <c r="H249" s="159" t="n"/>
      <c r="I249" s="158" t="n"/>
      <c r="J249" s="158" t="n"/>
      <c r="K249" s="160" t="n"/>
      <c r="L249" s="161" t="n"/>
    </row>
    <row r="250" ht="14.25" customHeight="1" s="82">
      <c r="A250" s="154" t="n"/>
      <c r="B250" s="154" t="n"/>
      <c r="C250" s="154" t="n"/>
      <c r="D250" s="154" t="n"/>
      <c r="E250" s="154" t="n"/>
      <c r="F250" s="154" t="n"/>
      <c r="G250" s="154" t="n"/>
      <c r="H250" s="155" t="n"/>
      <c r="I250" s="154" t="n"/>
      <c r="J250" s="154" t="n"/>
      <c r="K250" s="156" t="n"/>
      <c r="L250" s="157" t="n"/>
    </row>
    <row r="251" ht="14.25" customHeight="1" s="82">
      <c r="A251" s="158" t="n"/>
      <c r="B251" s="158" t="n"/>
      <c r="C251" s="158" t="n"/>
      <c r="D251" s="158" t="n"/>
      <c r="E251" s="158" t="n"/>
      <c r="F251" s="158" t="n"/>
      <c r="G251" s="158" t="n"/>
      <c r="H251" s="159" t="n"/>
      <c r="I251" s="158" t="n"/>
      <c r="J251" s="158" t="n"/>
      <c r="K251" s="160" t="n"/>
      <c r="L251" s="161" t="n"/>
    </row>
    <row r="252" ht="14.25" customHeight="1" s="82">
      <c r="A252" s="154" t="n"/>
      <c r="B252" s="154" t="n"/>
      <c r="C252" s="154" t="n"/>
      <c r="D252" s="154" t="n"/>
      <c r="E252" s="154" t="n"/>
      <c r="F252" s="154" t="n"/>
      <c r="G252" s="154" t="n"/>
      <c r="H252" s="155" t="n"/>
      <c r="I252" s="154" t="n"/>
      <c r="J252" s="154" t="n"/>
      <c r="K252" s="156" t="n"/>
      <c r="L252" s="157" t="n"/>
    </row>
    <row r="253" ht="14.25" customHeight="1" s="82">
      <c r="A253" s="158" t="n"/>
      <c r="B253" s="158" t="n"/>
      <c r="C253" s="158" t="n"/>
      <c r="D253" s="158" t="n"/>
      <c r="E253" s="158" t="n"/>
      <c r="F253" s="158" t="n"/>
      <c r="G253" s="158" t="n"/>
      <c r="H253" s="159" t="n"/>
      <c r="I253" s="158" t="n"/>
      <c r="J253" s="158" t="n"/>
      <c r="K253" s="160" t="n"/>
      <c r="L253" s="161" t="n"/>
    </row>
    <row r="254" ht="14.25" customHeight="1" s="82">
      <c r="A254" s="154" t="n"/>
      <c r="B254" s="154" t="n"/>
      <c r="C254" s="154" t="n"/>
      <c r="D254" s="154" t="n"/>
      <c r="E254" s="154" t="n"/>
      <c r="F254" s="154" t="n"/>
      <c r="G254" s="154" t="n"/>
      <c r="H254" s="155" t="n"/>
      <c r="I254" s="154" t="n"/>
      <c r="J254" s="154" t="n"/>
      <c r="K254" s="156" t="n"/>
      <c r="L254" s="157" t="n"/>
    </row>
    <row r="255" ht="14.25" customHeight="1" s="82">
      <c r="A255" s="158" t="n"/>
      <c r="B255" s="158" t="n"/>
      <c r="C255" s="158" t="n"/>
      <c r="D255" s="158" t="n"/>
      <c r="E255" s="158" t="n"/>
      <c r="F255" s="158" t="n"/>
      <c r="G255" s="158" t="n"/>
      <c r="H255" s="159" t="n"/>
      <c r="I255" s="158" t="n"/>
      <c r="J255" s="158" t="n"/>
      <c r="K255" s="160" t="n"/>
      <c r="L255" s="161" t="n"/>
    </row>
    <row r="256" ht="14.25" customHeight="1" s="82">
      <c r="A256" s="154" t="n"/>
      <c r="B256" s="154" t="n"/>
      <c r="C256" s="154" t="n"/>
      <c r="D256" s="154" t="n"/>
      <c r="E256" s="154" t="n"/>
      <c r="F256" s="154" t="n"/>
      <c r="G256" s="154" t="n"/>
      <c r="H256" s="155" t="n"/>
      <c r="I256" s="154" t="n"/>
      <c r="J256" s="154" t="n"/>
      <c r="K256" s="156" t="n"/>
      <c r="L256" s="157" t="n"/>
    </row>
    <row r="257" ht="14.25" customHeight="1" s="82">
      <c r="A257" s="158" t="n"/>
      <c r="B257" s="158" t="n"/>
      <c r="C257" s="158" t="n"/>
      <c r="D257" s="158" t="n"/>
      <c r="E257" s="158" t="n"/>
      <c r="F257" s="158" t="n"/>
      <c r="G257" s="158" t="n"/>
      <c r="H257" s="159" t="n"/>
      <c r="I257" s="158" t="n"/>
      <c r="J257" s="158" t="n"/>
      <c r="K257" s="160" t="n"/>
      <c r="L257" s="161" t="n"/>
    </row>
    <row r="258" ht="14.25" customHeight="1" s="82">
      <c r="A258" s="154" t="n"/>
      <c r="B258" s="154" t="n"/>
      <c r="C258" s="154" t="n"/>
      <c r="D258" s="154" t="n"/>
      <c r="E258" s="154" t="n"/>
      <c r="F258" s="154" t="n"/>
      <c r="G258" s="154" t="n"/>
      <c r="H258" s="155" t="n"/>
      <c r="I258" s="154" t="n"/>
      <c r="J258" s="154" t="n"/>
      <c r="K258" s="156" t="n"/>
      <c r="L258" s="157" t="n"/>
    </row>
    <row r="259" ht="14.25" customHeight="1" s="82">
      <c r="A259" s="158" t="n"/>
      <c r="B259" s="158" t="n"/>
      <c r="C259" s="158" t="n"/>
      <c r="D259" s="158" t="n"/>
      <c r="E259" s="158" t="n"/>
      <c r="F259" s="158" t="n"/>
      <c r="G259" s="158" t="n"/>
      <c r="H259" s="159" t="n"/>
      <c r="I259" s="158" t="n"/>
      <c r="J259" s="158" t="n"/>
      <c r="K259" s="160" t="n"/>
      <c r="L259" s="161" t="n"/>
    </row>
    <row r="260" ht="14.25" customHeight="1" s="82">
      <c r="A260" s="154" t="n"/>
      <c r="B260" s="154" t="n"/>
      <c r="C260" s="154" t="n"/>
      <c r="D260" s="154" t="n"/>
      <c r="E260" s="154" t="n"/>
      <c r="F260" s="154" t="n"/>
      <c r="G260" s="154" t="n"/>
      <c r="H260" s="155" t="n"/>
      <c r="I260" s="154" t="n"/>
      <c r="J260" s="154" t="n"/>
      <c r="K260" s="156" t="n"/>
      <c r="L260" s="157" t="n"/>
    </row>
    <row r="261" ht="14.25" customHeight="1" s="82">
      <c r="A261" s="158" t="n"/>
      <c r="B261" s="158" t="n"/>
      <c r="C261" s="158" t="n"/>
      <c r="D261" s="158" t="n"/>
      <c r="E261" s="158" t="n"/>
      <c r="F261" s="158" t="n"/>
      <c r="G261" s="158" t="n"/>
      <c r="H261" s="159" t="n"/>
      <c r="I261" s="158" t="n"/>
      <c r="J261" s="158" t="n"/>
      <c r="K261" s="160" t="n"/>
      <c r="L261" s="161" t="n"/>
    </row>
    <row r="262" ht="14.25" customHeight="1" s="82">
      <c r="A262" s="154" t="n"/>
      <c r="B262" s="154" t="n"/>
      <c r="C262" s="154" t="n"/>
      <c r="D262" s="154" t="n"/>
      <c r="E262" s="154" t="n"/>
      <c r="F262" s="154" t="n"/>
      <c r="G262" s="154" t="n"/>
      <c r="H262" s="155" t="n"/>
      <c r="I262" s="154" t="n"/>
      <c r="J262" s="154" t="n"/>
      <c r="K262" s="156" t="n"/>
      <c r="L262" s="157" t="n"/>
    </row>
    <row r="263" ht="14.25" customHeight="1" s="82">
      <c r="A263" s="158" t="n"/>
      <c r="B263" s="158" t="n"/>
      <c r="C263" s="158" t="n"/>
      <c r="D263" s="158" t="n"/>
      <c r="E263" s="158" t="n"/>
      <c r="F263" s="158" t="n"/>
      <c r="G263" s="158" t="n"/>
      <c r="H263" s="159" t="n"/>
      <c r="I263" s="158" t="n"/>
      <c r="J263" s="158" t="n"/>
      <c r="K263" s="160" t="n"/>
      <c r="L263" s="161" t="n"/>
    </row>
    <row r="264" ht="14.25" customHeight="1" s="82">
      <c r="A264" s="154" t="n"/>
      <c r="B264" s="154" t="n"/>
      <c r="C264" s="154" t="n"/>
      <c r="D264" s="154" t="n"/>
      <c r="E264" s="154" t="n"/>
      <c r="F264" s="154" t="n"/>
      <c r="G264" s="154" t="n"/>
      <c r="H264" s="155" t="n"/>
      <c r="I264" s="154" t="n"/>
      <c r="J264" s="154" t="n"/>
      <c r="K264" s="156" t="n"/>
      <c r="L264" s="157" t="n"/>
    </row>
    <row r="265" ht="14.25" customHeight="1" s="82">
      <c r="A265" s="158" t="n"/>
      <c r="B265" s="158" t="n"/>
      <c r="C265" s="158" t="n"/>
      <c r="D265" s="158" t="n"/>
      <c r="E265" s="158" t="n"/>
      <c r="F265" s="158" t="n"/>
      <c r="G265" s="158" t="n"/>
      <c r="H265" s="159" t="n"/>
      <c r="I265" s="158" t="n"/>
      <c r="J265" s="158" t="n"/>
      <c r="K265" s="160" t="n"/>
      <c r="L265" s="161" t="n"/>
    </row>
    <row r="266" ht="14.25" customHeight="1" s="82">
      <c r="A266" s="154" t="n"/>
      <c r="B266" s="154" t="n"/>
      <c r="C266" s="154" t="n"/>
      <c r="D266" s="154" t="n"/>
      <c r="E266" s="154" t="n"/>
      <c r="F266" s="154" t="n"/>
      <c r="G266" s="154" t="n"/>
      <c r="H266" s="155" t="n"/>
      <c r="I266" s="154" t="n"/>
      <c r="J266" s="154" t="n"/>
      <c r="K266" s="156" t="n"/>
      <c r="L266" s="157" t="n"/>
    </row>
    <row r="267" ht="14.25" customHeight="1" s="82">
      <c r="A267" s="158" t="n"/>
      <c r="B267" s="158" t="n"/>
      <c r="C267" s="158" t="n"/>
      <c r="D267" s="158" t="n"/>
      <c r="E267" s="158" t="n"/>
      <c r="F267" s="158" t="n"/>
      <c r="G267" s="158" t="n"/>
      <c r="H267" s="159" t="n"/>
      <c r="I267" s="158" t="n"/>
      <c r="J267" s="158" t="n"/>
      <c r="K267" s="160" t="n"/>
      <c r="L267" s="161" t="n"/>
    </row>
    <row r="268" ht="14.25" customHeight="1" s="82">
      <c r="A268" s="154" t="n"/>
      <c r="B268" s="154" t="n"/>
      <c r="C268" s="154" t="n"/>
      <c r="D268" s="154" t="n"/>
      <c r="E268" s="154" t="n"/>
      <c r="F268" s="154" t="n"/>
      <c r="G268" s="154" t="n"/>
      <c r="H268" s="155" t="n"/>
      <c r="I268" s="154" t="n"/>
      <c r="J268" s="154" t="n"/>
      <c r="K268" s="156" t="n"/>
      <c r="L268" s="157" t="n"/>
    </row>
    <row r="269" ht="14.25" customHeight="1" s="82">
      <c r="A269" s="158" t="n"/>
      <c r="B269" s="158" t="n"/>
      <c r="C269" s="158" t="n"/>
      <c r="D269" s="158" t="n"/>
      <c r="E269" s="158" t="n"/>
      <c r="F269" s="158" t="n"/>
      <c r="G269" s="158" t="n"/>
      <c r="H269" s="159" t="n"/>
      <c r="I269" s="158" t="n"/>
      <c r="J269" s="158" t="n"/>
      <c r="K269" s="160" t="n"/>
      <c r="L269" s="161" t="n"/>
    </row>
    <row r="270" ht="14.25" customHeight="1" s="82">
      <c r="A270" s="154" t="n"/>
      <c r="B270" s="154" t="n"/>
      <c r="C270" s="154" t="n"/>
      <c r="D270" s="154" t="n"/>
      <c r="E270" s="154" t="n"/>
      <c r="F270" s="154" t="n"/>
      <c r="G270" s="154" t="n"/>
      <c r="H270" s="155" t="n"/>
      <c r="I270" s="154" t="n"/>
      <c r="J270" s="154" t="n"/>
      <c r="K270" s="156" t="n"/>
      <c r="L270" s="157" t="n"/>
    </row>
    <row r="271" ht="14.25" customHeight="1" s="82">
      <c r="A271" s="158" t="n"/>
      <c r="B271" s="158" t="n"/>
      <c r="C271" s="158" t="n"/>
      <c r="D271" s="158" t="n"/>
      <c r="E271" s="158" t="n"/>
      <c r="F271" s="158" t="n"/>
      <c r="G271" s="158" t="n"/>
      <c r="H271" s="159" t="n"/>
      <c r="I271" s="158" t="n"/>
      <c r="J271" s="158" t="n"/>
      <c r="K271" s="160" t="n"/>
      <c r="L271" s="161" t="n"/>
    </row>
    <row r="272" ht="14.25" customHeight="1" s="82">
      <c r="A272" s="154" t="n"/>
      <c r="B272" s="154" t="n"/>
      <c r="C272" s="154" t="n"/>
      <c r="D272" s="154" t="n"/>
      <c r="E272" s="154" t="n"/>
      <c r="F272" s="154" t="n"/>
      <c r="G272" s="154" t="n"/>
      <c r="H272" s="155" t="n"/>
      <c r="I272" s="154" t="n"/>
      <c r="J272" s="154" t="n"/>
      <c r="K272" s="156" t="n"/>
      <c r="L272" s="157" t="n"/>
    </row>
    <row r="273" ht="14.25" customHeight="1" s="82">
      <c r="A273" s="158" t="n"/>
      <c r="B273" s="158" t="n"/>
      <c r="C273" s="158" t="n"/>
      <c r="D273" s="158" t="n"/>
      <c r="E273" s="158" t="n"/>
      <c r="F273" s="158" t="n"/>
      <c r="G273" s="158" t="n"/>
      <c r="H273" s="159" t="n"/>
      <c r="I273" s="158" t="n"/>
      <c r="J273" s="158" t="n"/>
      <c r="K273" s="160" t="n"/>
      <c r="L273" s="161" t="n"/>
    </row>
    <row r="274" ht="14.25" customHeight="1" s="82">
      <c r="A274" s="154" t="n"/>
      <c r="B274" s="154" t="n"/>
      <c r="C274" s="154" t="n"/>
      <c r="D274" s="154" t="n"/>
      <c r="E274" s="154" t="n"/>
      <c r="F274" s="154" t="n"/>
      <c r="G274" s="154" t="n"/>
      <c r="H274" s="155" t="n"/>
      <c r="I274" s="154" t="n"/>
      <c r="J274" s="154" t="n"/>
      <c r="K274" s="156" t="n"/>
      <c r="L274" s="157" t="n"/>
    </row>
    <row r="275" ht="14.25" customHeight="1" s="82">
      <c r="A275" s="158" t="n"/>
      <c r="B275" s="158" t="n"/>
      <c r="C275" s="158" t="n"/>
      <c r="D275" s="158" t="n"/>
      <c r="E275" s="158" t="n"/>
      <c r="F275" s="158" t="n"/>
      <c r="G275" s="158" t="n"/>
      <c r="H275" s="159" t="n"/>
      <c r="I275" s="158" t="n"/>
      <c r="J275" s="158" t="n"/>
      <c r="K275" s="160" t="n"/>
      <c r="L275" s="161" t="n"/>
    </row>
    <row r="276" ht="14.25" customHeight="1" s="82">
      <c r="A276" s="154" t="n"/>
      <c r="B276" s="154" t="n"/>
      <c r="C276" s="154" t="n"/>
      <c r="D276" s="154" t="n"/>
      <c r="E276" s="154" t="n"/>
      <c r="F276" s="154" t="n"/>
      <c r="G276" s="154" t="n"/>
      <c r="H276" s="155" t="n"/>
      <c r="I276" s="154" t="n"/>
      <c r="J276" s="154" t="n"/>
      <c r="K276" s="156" t="n"/>
      <c r="L276" s="157" t="n"/>
    </row>
    <row r="277" ht="14.25" customHeight="1" s="82">
      <c r="A277" s="158" t="n"/>
      <c r="B277" s="158" t="n"/>
      <c r="C277" s="158" t="n"/>
      <c r="D277" s="158" t="n"/>
      <c r="E277" s="158" t="n"/>
      <c r="F277" s="158" t="n"/>
      <c r="G277" s="158" t="n"/>
      <c r="H277" s="159" t="n"/>
      <c r="I277" s="158" t="n"/>
      <c r="J277" s="158" t="n"/>
      <c r="K277" s="160" t="n"/>
      <c r="L277" s="161" t="n"/>
    </row>
    <row r="278" ht="14.25" customHeight="1" s="82">
      <c r="A278" s="154" t="n"/>
      <c r="B278" s="154" t="n"/>
      <c r="C278" s="154" t="n"/>
      <c r="D278" s="154" t="n"/>
      <c r="E278" s="154" t="n"/>
      <c r="F278" s="154" t="n"/>
      <c r="G278" s="154" t="n"/>
      <c r="H278" s="155" t="n"/>
      <c r="I278" s="154" t="n"/>
      <c r="J278" s="154" t="n"/>
      <c r="K278" s="156" t="n"/>
      <c r="L278" s="157" t="n"/>
    </row>
    <row r="279" ht="14.25" customHeight="1" s="82">
      <c r="A279" s="158" t="n"/>
      <c r="B279" s="158" t="n"/>
      <c r="C279" s="158" t="n"/>
      <c r="D279" s="158" t="n"/>
      <c r="E279" s="158" t="n"/>
      <c r="F279" s="158" t="n"/>
      <c r="G279" s="158" t="n"/>
      <c r="H279" s="159" t="n"/>
      <c r="I279" s="158" t="n"/>
      <c r="J279" s="158" t="n"/>
      <c r="K279" s="160" t="n"/>
      <c r="L279" s="161" t="n"/>
    </row>
    <row r="280" ht="14.25" customHeight="1" s="82">
      <c r="A280" s="154" t="n"/>
      <c r="B280" s="154" t="n"/>
      <c r="C280" s="154" t="n"/>
      <c r="D280" s="154" t="n"/>
      <c r="E280" s="154" t="n"/>
      <c r="F280" s="154" t="n"/>
      <c r="G280" s="154" t="n"/>
      <c r="H280" s="155" t="n"/>
      <c r="I280" s="154" t="n"/>
      <c r="J280" s="154" t="n"/>
      <c r="K280" s="156" t="n"/>
      <c r="L280" s="157" t="n"/>
    </row>
    <row r="281" ht="14.25" customHeight="1" s="82">
      <c r="A281" s="158" t="n"/>
      <c r="B281" s="158" t="n"/>
      <c r="C281" s="158" t="n"/>
      <c r="D281" s="158" t="n"/>
      <c r="E281" s="158" t="n"/>
      <c r="F281" s="158" t="n"/>
      <c r="G281" s="158" t="n"/>
      <c r="H281" s="159" t="n"/>
      <c r="I281" s="158" t="n"/>
      <c r="J281" s="158" t="n"/>
      <c r="K281" s="160" t="n"/>
      <c r="L281" s="161" t="n"/>
    </row>
    <row r="282" ht="14.25" customHeight="1" s="82">
      <c r="A282" s="154" t="n"/>
      <c r="B282" s="154" t="n"/>
      <c r="C282" s="154" t="n"/>
      <c r="D282" s="154" t="n"/>
      <c r="E282" s="154" t="n"/>
      <c r="F282" s="154" t="n"/>
      <c r="G282" s="154" t="n"/>
      <c r="H282" s="155" t="n"/>
      <c r="I282" s="154" t="n"/>
      <c r="J282" s="154" t="n"/>
      <c r="K282" s="156" t="n"/>
      <c r="L282" s="157" t="n"/>
    </row>
    <row r="283" ht="14.25" customHeight="1" s="82">
      <c r="A283" s="158" t="n"/>
      <c r="B283" s="158" t="n"/>
      <c r="C283" s="158" t="n"/>
      <c r="D283" s="158" t="n"/>
      <c r="E283" s="158" t="n"/>
      <c r="F283" s="158" t="n"/>
      <c r="G283" s="158" t="n"/>
      <c r="H283" s="159" t="n"/>
      <c r="I283" s="158" t="n"/>
      <c r="J283" s="158" t="n"/>
      <c r="K283" s="160" t="n"/>
      <c r="L283" s="161" t="n"/>
    </row>
    <row r="284" ht="14.25" customHeight="1" s="82">
      <c r="A284" s="154" t="n"/>
      <c r="B284" s="154" t="n"/>
      <c r="C284" s="154" t="n"/>
      <c r="D284" s="154" t="n"/>
      <c r="E284" s="154" t="n"/>
      <c r="F284" s="154" t="n"/>
      <c r="G284" s="154" t="n"/>
      <c r="H284" s="155" t="n"/>
      <c r="I284" s="154" t="n"/>
      <c r="J284" s="154" t="n"/>
      <c r="K284" s="156" t="n"/>
      <c r="L284" s="157" t="n"/>
    </row>
    <row r="285" ht="14.25" customHeight="1" s="82">
      <c r="A285" s="158" t="n"/>
      <c r="B285" s="158" t="n"/>
      <c r="C285" s="158" t="n"/>
      <c r="D285" s="158" t="n"/>
      <c r="E285" s="158" t="n"/>
      <c r="F285" s="158" t="n"/>
      <c r="G285" s="158" t="n"/>
      <c r="H285" s="159" t="n"/>
      <c r="I285" s="158" t="n"/>
      <c r="J285" s="158" t="n"/>
      <c r="K285" s="160" t="n"/>
      <c r="L285" s="161" t="n"/>
    </row>
    <row r="286" ht="14.25" customHeight="1" s="82">
      <c r="A286" s="154" t="n"/>
      <c r="B286" s="154" t="n"/>
      <c r="C286" s="154" t="n"/>
      <c r="D286" s="154" t="n"/>
      <c r="E286" s="154" t="n"/>
      <c r="F286" s="154" t="n"/>
      <c r="G286" s="154" t="n"/>
      <c r="H286" s="155" t="n"/>
      <c r="I286" s="154" t="n"/>
      <c r="J286" s="154" t="n"/>
      <c r="K286" s="156" t="n"/>
      <c r="L286" s="157" t="n"/>
    </row>
    <row r="287" ht="14.25" customHeight="1" s="82">
      <c r="A287" s="158" t="n"/>
      <c r="B287" s="158" t="n"/>
      <c r="C287" s="158" t="n"/>
      <c r="D287" s="158" t="n"/>
      <c r="E287" s="158" t="n"/>
      <c r="F287" s="158" t="n"/>
      <c r="G287" s="158" t="n"/>
      <c r="H287" s="159" t="n"/>
      <c r="I287" s="158" t="n"/>
      <c r="J287" s="158" t="n"/>
      <c r="K287" s="160" t="n"/>
      <c r="L287" s="161" t="n"/>
    </row>
    <row r="288" ht="14.25" customHeight="1" s="82">
      <c r="A288" s="154" t="n"/>
      <c r="B288" s="154" t="n"/>
      <c r="C288" s="154" t="n"/>
      <c r="D288" s="154" t="n"/>
      <c r="E288" s="154" t="n"/>
      <c r="F288" s="154" t="n"/>
      <c r="G288" s="154" t="n"/>
      <c r="H288" s="155" t="n"/>
      <c r="I288" s="154" t="n"/>
      <c r="J288" s="154" t="n"/>
      <c r="K288" s="156" t="n"/>
      <c r="L288" s="157" t="n"/>
    </row>
    <row r="289" ht="14.25" customHeight="1" s="82">
      <c r="A289" s="158" t="n"/>
      <c r="B289" s="158" t="n"/>
      <c r="C289" s="158" t="n"/>
      <c r="D289" s="158" t="n"/>
      <c r="E289" s="158" t="n"/>
      <c r="F289" s="158" t="n"/>
      <c r="G289" s="158" t="n"/>
      <c r="H289" s="159" t="n"/>
      <c r="I289" s="158" t="n"/>
      <c r="J289" s="158" t="n"/>
      <c r="K289" s="160" t="n"/>
      <c r="L289" s="161" t="n"/>
    </row>
    <row r="290" ht="14.25" customHeight="1" s="82">
      <c r="A290" s="154" t="n"/>
      <c r="B290" s="154" t="n"/>
      <c r="C290" s="154" t="n"/>
      <c r="D290" s="154" t="n"/>
      <c r="E290" s="154" t="n"/>
      <c r="F290" s="154" t="n"/>
      <c r="G290" s="154" t="n"/>
      <c r="H290" s="155" t="n"/>
      <c r="I290" s="154" t="n"/>
      <c r="J290" s="154" t="n"/>
      <c r="K290" s="156" t="n"/>
      <c r="L290" s="157" t="n"/>
    </row>
    <row r="291" ht="14.25" customHeight="1" s="82">
      <c r="A291" s="158" t="n"/>
      <c r="B291" s="158" t="n"/>
      <c r="C291" s="158" t="n"/>
      <c r="D291" s="158" t="n"/>
      <c r="E291" s="158" t="n"/>
      <c r="F291" s="158" t="n"/>
      <c r="G291" s="158" t="n"/>
      <c r="H291" s="159" t="n"/>
      <c r="I291" s="158" t="n"/>
      <c r="J291" s="158" t="n"/>
      <c r="K291" s="160" t="n"/>
      <c r="L291" s="161" t="n"/>
    </row>
    <row r="292" ht="14.25" customHeight="1" s="82">
      <c r="A292" s="154" t="n"/>
      <c r="B292" s="154" t="n"/>
      <c r="C292" s="154" t="n"/>
      <c r="D292" s="154" t="n"/>
      <c r="E292" s="154" t="n"/>
      <c r="F292" s="154" t="n"/>
      <c r="G292" s="154" t="n"/>
      <c r="H292" s="155" t="n"/>
      <c r="I292" s="154" t="n"/>
      <c r="J292" s="154" t="n"/>
      <c r="K292" s="156" t="n"/>
      <c r="L292" s="157" t="n"/>
    </row>
    <row r="293" ht="14.25" customHeight="1" s="82">
      <c r="A293" s="158" t="n"/>
      <c r="B293" s="158" t="n"/>
      <c r="C293" s="158" t="n"/>
      <c r="D293" s="158" t="n"/>
      <c r="E293" s="158" t="n"/>
      <c r="F293" s="158" t="n"/>
      <c r="G293" s="158" t="n"/>
      <c r="H293" s="159" t="n"/>
      <c r="I293" s="158" t="n"/>
      <c r="J293" s="158" t="n"/>
      <c r="K293" s="160" t="n"/>
      <c r="L293" s="161" t="n"/>
    </row>
    <row r="294" ht="14.25" customHeight="1" s="82">
      <c r="A294" s="154" t="n"/>
      <c r="B294" s="154" t="n"/>
      <c r="C294" s="154" t="n"/>
      <c r="D294" s="154" t="n"/>
      <c r="E294" s="154" t="n"/>
      <c r="F294" s="154" t="n"/>
      <c r="G294" s="154" t="n"/>
      <c r="H294" s="155" t="n"/>
      <c r="I294" s="154" t="n"/>
      <c r="J294" s="154" t="n"/>
      <c r="K294" s="156" t="n"/>
      <c r="L294" s="157" t="n"/>
    </row>
    <row r="295" ht="14.25" customHeight="1" s="82">
      <c r="A295" s="158" t="n"/>
      <c r="B295" s="158" t="n"/>
      <c r="C295" s="158" t="n"/>
      <c r="D295" s="158" t="n"/>
      <c r="E295" s="158" t="n"/>
      <c r="F295" s="158" t="n"/>
      <c r="G295" s="158" t="n"/>
      <c r="H295" s="159" t="n"/>
      <c r="I295" s="158" t="n"/>
      <c r="J295" s="158" t="n"/>
      <c r="K295" s="160" t="n"/>
      <c r="L295" s="161" t="n"/>
    </row>
    <row r="296" ht="14.25" customHeight="1" s="82">
      <c r="A296" s="154" t="n"/>
      <c r="B296" s="154" t="n"/>
      <c r="C296" s="154" t="n"/>
      <c r="D296" s="154" t="n"/>
      <c r="E296" s="154" t="n"/>
      <c r="F296" s="154" t="n"/>
      <c r="G296" s="154" t="n"/>
      <c r="H296" s="155" t="n"/>
      <c r="I296" s="154" t="n"/>
      <c r="J296" s="154" t="n"/>
      <c r="K296" s="156" t="n"/>
      <c r="L296" s="157" t="n"/>
    </row>
    <row r="297" ht="14.25" customHeight="1" s="82">
      <c r="A297" s="158" t="n"/>
      <c r="B297" s="158" t="n"/>
      <c r="C297" s="158" t="n"/>
      <c r="D297" s="158" t="n"/>
      <c r="E297" s="158" t="n"/>
      <c r="F297" s="158" t="n"/>
      <c r="G297" s="158" t="n"/>
      <c r="H297" s="159" t="n"/>
      <c r="I297" s="158" t="n"/>
      <c r="J297" s="158" t="n"/>
      <c r="K297" s="160" t="n"/>
      <c r="L297" s="161" t="n"/>
    </row>
    <row r="298" ht="14.25" customHeight="1" s="82">
      <c r="A298" s="154" t="n"/>
      <c r="B298" s="154" t="n"/>
      <c r="C298" s="154" t="n"/>
      <c r="D298" s="154" t="n"/>
      <c r="E298" s="154" t="n"/>
      <c r="F298" s="154" t="n"/>
      <c r="G298" s="154" t="n"/>
      <c r="H298" s="155" t="n"/>
      <c r="I298" s="154" t="n"/>
      <c r="J298" s="154" t="n"/>
      <c r="K298" s="156" t="n"/>
      <c r="L298" s="157" t="n"/>
    </row>
    <row r="299" ht="14.25" customHeight="1" s="82">
      <c r="A299" s="158" t="n"/>
      <c r="B299" s="158" t="n"/>
      <c r="C299" s="158" t="n"/>
      <c r="D299" s="158" t="n"/>
      <c r="E299" s="158" t="n"/>
      <c r="F299" s="158" t="n"/>
      <c r="G299" s="158" t="n"/>
      <c r="H299" s="159" t="n"/>
      <c r="I299" s="158" t="n"/>
      <c r="J299" s="158" t="n"/>
      <c r="K299" s="160" t="n"/>
      <c r="L299" s="161" t="n"/>
    </row>
    <row r="300" ht="14.25" customHeight="1" s="82">
      <c r="A300" s="154" t="n"/>
      <c r="B300" s="154" t="n"/>
      <c r="C300" s="154" t="n"/>
      <c r="D300" s="154" t="n"/>
      <c r="E300" s="154" t="n"/>
      <c r="F300" s="154" t="n"/>
      <c r="G300" s="154" t="n"/>
      <c r="H300" s="155" t="n"/>
      <c r="I300" s="154" t="n"/>
      <c r="J300" s="154" t="n"/>
      <c r="K300" s="156" t="n"/>
      <c r="L300" s="157" t="n"/>
    </row>
    <row r="301" ht="14.25" customHeight="1" s="82">
      <c r="A301" s="158" t="n"/>
      <c r="B301" s="158" t="n"/>
      <c r="C301" s="158" t="n"/>
      <c r="D301" s="158" t="n"/>
      <c r="E301" s="158" t="n"/>
      <c r="F301" s="158" t="n"/>
      <c r="G301" s="158" t="n"/>
      <c r="H301" s="159" t="n"/>
      <c r="I301" s="158" t="n"/>
      <c r="J301" s="158" t="n"/>
      <c r="K301" s="160" t="n"/>
      <c r="L301" s="161" t="n"/>
    </row>
    <row r="302" ht="14.25" customHeight="1" s="82">
      <c r="A302" s="154" t="n"/>
      <c r="B302" s="154" t="n"/>
      <c r="C302" s="154" t="n"/>
      <c r="D302" s="154" t="n"/>
      <c r="E302" s="154" t="n"/>
      <c r="F302" s="154" t="n"/>
      <c r="G302" s="154" t="n"/>
      <c r="H302" s="155" t="n"/>
      <c r="I302" s="154" t="n"/>
      <c r="J302" s="154" t="n"/>
      <c r="K302" s="156" t="n"/>
      <c r="L302" s="157" t="n"/>
    </row>
    <row r="303" ht="14.25" customHeight="1" s="82">
      <c r="A303" s="158" t="n"/>
      <c r="B303" s="158" t="n"/>
      <c r="C303" s="158" t="n"/>
      <c r="D303" s="158" t="n"/>
      <c r="E303" s="158" t="n"/>
      <c r="F303" s="158" t="n"/>
      <c r="G303" s="158" t="n"/>
      <c r="H303" s="159" t="n"/>
      <c r="I303" s="158" t="n"/>
      <c r="J303" s="158" t="n"/>
      <c r="K303" s="160" t="n"/>
      <c r="L303" s="161" t="n"/>
    </row>
    <row r="304" ht="14.25" customHeight="1" s="82">
      <c r="A304" s="154" t="n"/>
      <c r="B304" s="154" t="n"/>
      <c r="C304" s="154" t="n"/>
      <c r="D304" s="154" t="n"/>
      <c r="E304" s="154" t="n"/>
      <c r="F304" s="154" t="n"/>
      <c r="G304" s="154" t="n"/>
      <c r="H304" s="155" t="n"/>
      <c r="I304" s="154" t="n"/>
      <c r="J304" s="154" t="n"/>
      <c r="K304" s="156" t="n"/>
      <c r="L304" s="157" t="n"/>
    </row>
    <row r="305" ht="14.25" customHeight="1" s="82">
      <c r="A305" s="158" t="n"/>
      <c r="B305" s="158" t="n"/>
      <c r="C305" s="158" t="n"/>
      <c r="D305" s="158" t="n"/>
      <c r="E305" s="158" t="n"/>
      <c r="F305" s="158" t="n"/>
      <c r="G305" s="158" t="n"/>
      <c r="H305" s="159" t="n"/>
      <c r="I305" s="158" t="n"/>
      <c r="J305" s="158" t="n"/>
      <c r="K305" s="160" t="n"/>
      <c r="L305" s="161" t="n"/>
    </row>
    <row r="306" ht="14.25" customHeight="1" s="82">
      <c r="A306" s="154" t="n"/>
      <c r="B306" s="154" t="n"/>
      <c r="C306" s="154" t="n"/>
      <c r="D306" s="154" t="n"/>
      <c r="E306" s="154" t="n"/>
      <c r="F306" s="154" t="n"/>
      <c r="G306" s="154" t="n"/>
      <c r="H306" s="155" t="n"/>
      <c r="I306" s="154" t="n"/>
      <c r="J306" s="154" t="n"/>
      <c r="K306" s="156" t="n"/>
      <c r="L306" s="157" t="n"/>
    </row>
    <row r="307" ht="14.25" customHeight="1" s="82">
      <c r="A307" s="158" t="n"/>
      <c r="B307" s="158" t="n"/>
      <c r="C307" s="158" t="n"/>
      <c r="D307" s="158" t="n"/>
      <c r="E307" s="158" t="n"/>
      <c r="F307" s="158" t="n"/>
      <c r="G307" s="158" t="n"/>
      <c r="H307" s="159" t="n"/>
      <c r="I307" s="158" t="n"/>
      <c r="J307" s="158" t="n"/>
      <c r="K307" s="160" t="n"/>
      <c r="L307" s="161" t="n"/>
    </row>
    <row r="308" ht="14.25" customHeight="1" s="82">
      <c r="A308" s="154" t="n"/>
      <c r="B308" s="154" t="n"/>
      <c r="C308" s="154" t="n"/>
      <c r="D308" s="154" t="n"/>
      <c r="E308" s="154" t="n"/>
      <c r="F308" s="154" t="n"/>
      <c r="G308" s="154" t="n"/>
      <c r="H308" s="155" t="n"/>
      <c r="I308" s="154" t="n"/>
      <c r="J308" s="154" t="n"/>
      <c r="K308" s="156" t="n"/>
      <c r="L308" s="157" t="n"/>
    </row>
    <row r="309" ht="14.25" customHeight="1" s="82">
      <c r="A309" s="158" t="n"/>
      <c r="B309" s="158" t="n"/>
      <c r="C309" s="158" t="n"/>
      <c r="D309" s="158" t="n"/>
      <c r="E309" s="158" t="n"/>
      <c r="F309" s="158" t="n"/>
      <c r="G309" s="158" t="n"/>
      <c r="H309" s="159" t="n"/>
      <c r="I309" s="158" t="n"/>
      <c r="J309" s="158" t="n"/>
      <c r="K309" s="160" t="n"/>
      <c r="L309" s="161" t="n"/>
    </row>
    <row r="310" ht="14.25" customHeight="1" s="82">
      <c r="A310" s="154" t="n"/>
      <c r="B310" s="154" t="n"/>
      <c r="C310" s="154" t="n"/>
      <c r="D310" s="154" t="n"/>
      <c r="E310" s="154" t="n"/>
      <c r="F310" s="154" t="n"/>
      <c r="G310" s="154" t="n"/>
      <c r="H310" s="155" t="n"/>
      <c r="I310" s="154" t="n"/>
      <c r="J310" s="154" t="n"/>
      <c r="K310" s="156" t="n"/>
      <c r="L310" s="157" t="n"/>
    </row>
    <row r="311" ht="14.25" customHeight="1" s="82">
      <c r="A311" s="158" t="n"/>
      <c r="B311" s="158" t="n"/>
      <c r="C311" s="158" t="n"/>
      <c r="D311" s="158" t="n"/>
      <c r="E311" s="158" t="n"/>
      <c r="F311" s="158" t="n"/>
      <c r="G311" s="158" t="n"/>
      <c r="H311" s="159" t="n"/>
      <c r="I311" s="158" t="n"/>
      <c r="J311" s="158" t="n"/>
      <c r="K311" s="160" t="n"/>
      <c r="L311" s="161" t="n"/>
    </row>
    <row r="312" ht="14.25" customHeight="1" s="82">
      <c r="A312" s="154" t="n"/>
      <c r="B312" s="154" t="n"/>
      <c r="C312" s="154" t="n"/>
      <c r="D312" s="154" t="n"/>
      <c r="E312" s="154" t="n"/>
      <c r="F312" s="154" t="n"/>
      <c r="G312" s="154" t="n"/>
      <c r="H312" s="155" t="n"/>
      <c r="I312" s="154" t="n"/>
      <c r="J312" s="154" t="n"/>
      <c r="K312" s="156" t="n"/>
      <c r="L312" s="157" t="n"/>
    </row>
    <row r="313" ht="14.25" customHeight="1" s="82">
      <c r="A313" s="158" t="n"/>
      <c r="B313" s="158" t="n"/>
      <c r="C313" s="158" t="n"/>
      <c r="D313" s="158" t="n"/>
      <c r="E313" s="158" t="n"/>
      <c r="F313" s="158" t="n"/>
      <c r="G313" s="158" t="n"/>
      <c r="H313" s="159" t="n"/>
      <c r="I313" s="158" t="n"/>
      <c r="J313" s="158" t="n"/>
      <c r="K313" s="160" t="n"/>
      <c r="L313" s="161" t="n"/>
    </row>
    <row r="314" ht="14.25" customHeight="1" s="82">
      <c r="A314" s="154" t="n"/>
      <c r="B314" s="154" t="n"/>
      <c r="C314" s="154" t="n"/>
      <c r="D314" s="154" t="n"/>
      <c r="E314" s="154" t="n"/>
      <c r="F314" s="154" t="n"/>
      <c r="G314" s="154" t="n"/>
      <c r="H314" s="155" t="n"/>
      <c r="I314" s="154" t="n"/>
      <c r="J314" s="154" t="n"/>
      <c r="K314" s="156" t="n"/>
      <c r="L314" s="157" t="n"/>
    </row>
    <row r="315" ht="14.25" customHeight="1" s="82">
      <c r="A315" s="158" t="n"/>
      <c r="B315" s="158" t="n"/>
      <c r="C315" s="158" t="n"/>
      <c r="D315" s="158" t="n"/>
      <c r="E315" s="158" t="n"/>
      <c r="F315" s="158" t="n"/>
      <c r="G315" s="158" t="n"/>
      <c r="H315" s="159" t="n"/>
      <c r="I315" s="158" t="n"/>
      <c r="J315" s="158" t="n"/>
      <c r="K315" s="160" t="n"/>
      <c r="L315" s="161" t="n"/>
    </row>
    <row r="316" ht="14.25" customHeight="1" s="82">
      <c r="A316" s="154" t="n"/>
      <c r="B316" s="154" t="n"/>
      <c r="C316" s="154" t="n"/>
      <c r="D316" s="154" t="n"/>
      <c r="E316" s="154" t="n"/>
      <c r="F316" s="154" t="n"/>
      <c r="G316" s="154" t="n"/>
      <c r="H316" s="155" t="n"/>
      <c r="I316" s="154" t="n"/>
      <c r="J316" s="154" t="n"/>
      <c r="K316" s="156" t="n"/>
      <c r="L316" s="157" t="n"/>
    </row>
    <row r="317" ht="14.25" customHeight="1" s="82">
      <c r="A317" s="158" t="n"/>
      <c r="B317" s="158" t="n"/>
      <c r="C317" s="158" t="n"/>
      <c r="D317" s="158" t="n"/>
      <c r="E317" s="158" t="n"/>
      <c r="F317" s="158" t="n"/>
      <c r="G317" s="158" t="n"/>
      <c r="H317" s="159" t="n"/>
      <c r="I317" s="158" t="n"/>
      <c r="J317" s="158" t="n"/>
      <c r="K317" s="160" t="n"/>
      <c r="L317" s="161" t="n"/>
    </row>
    <row r="318" ht="14.25" customHeight="1" s="82">
      <c r="A318" s="154" t="n"/>
      <c r="B318" s="154" t="n"/>
      <c r="C318" s="154" t="n"/>
      <c r="D318" s="154" t="n"/>
      <c r="E318" s="154" t="n"/>
      <c r="F318" s="154" t="n"/>
      <c r="G318" s="154" t="n"/>
      <c r="H318" s="155" t="n"/>
      <c r="I318" s="154" t="n"/>
      <c r="J318" s="154" t="n"/>
      <c r="K318" s="156" t="n"/>
      <c r="L318" s="157" t="n"/>
    </row>
    <row r="319" ht="14.25" customHeight="1" s="82">
      <c r="A319" s="158" t="n"/>
      <c r="B319" s="158" t="n"/>
      <c r="C319" s="158" t="n"/>
      <c r="D319" s="158" t="n"/>
      <c r="E319" s="158" t="n"/>
      <c r="F319" s="158" t="n"/>
      <c r="G319" s="158" t="n"/>
      <c r="H319" s="159" t="n"/>
      <c r="I319" s="158" t="n"/>
      <c r="J319" s="158" t="n"/>
      <c r="K319" s="160" t="n"/>
      <c r="L319" s="161" t="n"/>
    </row>
    <row r="320" ht="14.25" customHeight="1" s="82">
      <c r="A320" s="154" t="n"/>
      <c r="B320" s="154" t="n"/>
      <c r="C320" s="154" t="n"/>
      <c r="D320" s="154" t="n"/>
      <c r="E320" s="154" t="n"/>
      <c r="F320" s="154" t="n"/>
      <c r="G320" s="154" t="n"/>
      <c r="H320" s="155" t="n"/>
      <c r="I320" s="154" t="n"/>
      <c r="J320" s="154" t="n"/>
      <c r="K320" s="156" t="n"/>
      <c r="L320" s="157" t="n"/>
    </row>
    <row r="321" ht="14.25" customHeight="1" s="82">
      <c r="A321" s="158" t="n"/>
      <c r="B321" s="158" t="n"/>
      <c r="C321" s="158" t="n"/>
      <c r="D321" s="158" t="n"/>
      <c r="E321" s="158" t="n"/>
      <c r="F321" s="158" t="n"/>
      <c r="G321" s="158" t="n"/>
      <c r="H321" s="159" t="n"/>
      <c r="I321" s="158" t="n"/>
      <c r="J321" s="158" t="n"/>
      <c r="K321" s="160" t="n"/>
      <c r="L321" s="161" t="n"/>
    </row>
    <row r="322" ht="14.25" customHeight="1" s="82">
      <c r="A322" s="154" t="n"/>
      <c r="B322" s="154" t="n"/>
      <c r="C322" s="154" t="n"/>
      <c r="D322" s="154" t="n"/>
      <c r="E322" s="154" t="n"/>
      <c r="F322" s="154" t="n"/>
      <c r="G322" s="154" t="n"/>
      <c r="H322" s="155" t="n"/>
      <c r="I322" s="154" t="n"/>
      <c r="J322" s="154" t="n"/>
      <c r="K322" s="156" t="n"/>
      <c r="L322" s="157" t="n"/>
    </row>
    <row r="323" ht="14.25" customHeight="1" s="82">
      <c r="A323" s="158" t="n"/>
      <c r="B323" s="158" t="n"/>
      <c r="C323" s="158" t="n"/>
      <c r="D323" s="158" t="n"/>
      <c r="E323" s="158" t="n"/>
      <c r="F323" s="158" t="n"/>
      <c r="G323" s="158" t="n"/>
      <c r="H323" s="159" t="n"/>
      <c r="I323" s="158" t="n"/>
      <c r="J323" s="158" t="n"/>
      <c r="K323" s="160" t="n"/>
      <c r="L323" s="161" t="n"/>
    </row>
    <row r="324" ht="14.25" customHeight="1" s="82">
      <c r="A324" s="154" t="n"/>
      <c r="B324" s="154" t="n"/>
      <c r="C324" s="154" t="n"/>
      <c r="D324" s="154" t="n"/>
      <c r="E324" s="154" t="n"/>
      <c r="F324" s="154" t="n"/>
      <c r="G324" s="154" t="n"/>
      <c r="H324" s="155" t="n"/>
      <c r="I324" s="154" t="n"/>
      <c r="J324" s="154" t="n"/>
      <c r="K324" s="156" t="n"/>
      <c r="L324" s="157" t="n"/>
    </row>
    <row r="325" ht="14.25" customHeight="1" s="82">
      <c r="A325" s="158" t="n"/>
      <c r="B325" s="158" t="n"/>
      <c r="C325" s="158" t="n"/>
      <c r="D325" s="158" t="n"/>
      <c r="E325" s="158" t="n"/>
      <c r="F325" s="158" t="n"/>
      <c r="G325" s="158" t="n"/>
      <c r="H325" s="159" t="n"/>
      <c r="I325" s="158" t="n"/>
      <c r="J325" s="158" t="n"/>
      <c r="K325" s="160" t="n"/>
      <c r="L325" s="161" t="n"/>
    </row>
    <row r="326" ht="14.25" customHeight="1" s="82">
      <c r="A326" s="154" t="n"/>
      <c r="B326" s="154" t="n"/>
      <c r="C326" s="154" t="n"/>
      <c r="D326" s="154" t="n"/>
      <c r="E326" s="154" t="n"/>
      <c r="F326" s="154" t="n"/>
      <c r="G326" s="154" t="n"/>
      <c r="H326" s="155" t="n"/>
      <c r="I326" s="154" t="n"/>
      <c r="J326" s="154" t="n"/>
      <c r="K326" s="156" t="n"/>
      <c r="L326" s="157" t="n"/>
    </row>
    <row r="327" ht="14.25" customHeight="1" s="82">
      <c r="A327" s="158" t="n"/>
      <c r="B327" s="158" t="n"/>
      <c r="C327" s="158" t="n"/>
      <c r="D327" s="158" t="n"/>
      <c r="E327" s="158" t="n"/>
      <c r="F327" s="158" t="n"/>
      <c r="G327" s="158" t="n"/>
      <c r="H327" s="159" t="n"/>
      <c r="I327" s="158" t="n"/>
      <c r="J327" s="158" t="n"/>
      <c r="K327" s="160" t="n"/>
      <c r="L327" s="161" t="n"/>
    </row>
    <row r="328" ht="14.25" customHeight="1" s="82">
      <c r="A328" s="154" t="n"/>
      <c r="B328" s="154" t="n"/>
      <c r="C328" s="154" t="n"/>
      <c r="D328" s="154" t="n"/>
      <c r="E328" s="154" t="n"/>
      <c r="F328" s="154" t="n"/>
      <c r="G328" s="154" t="n"/>
      <c r="H328" s="155" t="n"/>
      <c r="I328" s="154" t="n"/>
      <c r="J328" s="154" t="n"/>
      <c r="K328" s="156" t="n"/>
      <c r="L328" s="157" t="n"/>
    </row>
    <row r="329" ht="14.25" customHeight="1" s="82">
      <c r="A329" s="158" t="n"/>
      <c r="B329" s="158" t="n"/>
      <c r="C329" s="158" t="n"/>
      <c r="D329" s="158" t="n"/>
      <c r="E329" s="158" t="n"/>
      <c r="F329" s="158" t="n"/>
      <c r="G329" s="158" t="n"/>
      <c r="H329" s="159" t="n"/>
      <c r="I329" s="158" t="n"/>
      <c r="J329" s="158" t="n"/>
      <c r="K329" s="160" t="n"/>
      <c r="L329" s="161" t="n"/>
    </row>
    <row r="330" ht="14.25" customHeight="1" s="82">
      <c r="A330" s="154" t="n"/>
      <c r="B330" s="154" t="n"/>
      <c r="C330" s="154" t="n"/>
      <c r="D330" s="154" t="n"/>
      <c r="E330" s="154" t="n"/>
      <c r="F330" s="154" t="n"/>
      <c r="G330" s="154" t="n"/>
      <c r="H330" s="155" t="n"/>
      <c r="I330" s="154" t="n"/>
      <c r="J330" s="154" t="n"/>
      <c r="K330" s="156" t="n"/>
      <c r="L330" s="157" t="n"/>
    </row>
    <row r="331" ht="14.25" customHeight="1" s="82">
      <c r="A331" s="158" t="n"/>
      <c r="B331" s="158" t="n"/>
      <c r="C331" s="158" t="n"/>
      <c r="D331" s="158" t="n"/>
      <c r="E331" s="158" t="n"/>
      <c r="F331" s="158" t="n"/>
      <c r="G331" s="158" t="n"/>
      <c r="H331" s="159" t="n"/>
      <c r="I331" s="158" t="n"/>
      <c r="J331" s="158" t="n"/>
      <c r="K331" s="160" t="n"/>
      <c r="L331" s="161" t="n"/>
    </row>
    <row r="332" ht="14.25" customHeight="1" s="82">
      <c r="A332" s="154" t="n"/>
      <c r="B332" s="154" t="n"/>
      <c r="C332" s="154" t="n"/>
      <c r="D332" s="154" t="n"/>
      <c r="E332" s="154" t="n"/>
      <c r="F332" s="154" t="n"/>
      <c r="G332" s="154" t="n"/>
      <c r="H332" s="155" t="n"/>
      <c r="I332" s="154" t="n"/>
      <c r="J332" s="154" t="n"/>
      <c r="K332" s="156" t="n"/>
      <c r="L332" s="157" t="n"/>
    </row>
    <row r="333" ht="14.25" customHeight="1" s="82">
      <c r="A333" s="158" t="n"/>
      <c r="B333" s="158" t="n"/>
      <c r="C333" s="158" t="n"/>
      <c r="D333" s="158" t="n"/>
      <c r="E333" s="158" t="n"/>
      <c r="F333" s="158" t="n"/>
      <c r="G333" s="158" t="n"/>
      <c r="H333" s="159" t="n"/>
      <c r="I333" s="158" t="n"/>
      <c r="J333" s="158" t="n"/>
      <c r="K333" s="160" t="n"/>
      <c r="L333" s="161" t="n"/>
    </row>
    <row r="334" ht="14.25" customHeight="1" s="82">
      <c r="A334" s="154" t="n"/>
      <c r="B334" s="154" t="n"/>
      <c r="C334" s="154" t="n"/>
      <c r="D334" s="154" t="n"/>
      <c r="E334" s="154" t="n"/>
      <c r="F334" s="154" t="n"/>
      <c r="G334" s="154" t="n"/>
      <c r="H334" s="155" t="n"/>
      <c r="I334" s="154" t="n"/>
      <c r="J334" s="154" t="n"/>
      <c r="K334" s="156" t="n"/>
      <c r="L334" s="157" t="n"/>
    </row>
    <row r="335" ht="14.25" customHeight="1" s="82">
      <c r="A335" s="158" t="n"/>
      <c r="B335" s="158" t="n"/>
      <c r="C335" s="158" t="n"/>
      <c r="D335" s="158" t="n"/>
      <c r="E335" s="158" t="n"/>
      <c r="F335" s="158" t="n"/>
      <c r="G335" s="158" t="n"/>
      <c r="H335" s="159" t="n"/>
      <c r="I335" s="158" t="n"/>
      <c r="J335" s="158" t="n"/>
      <c r="K335" s="160" t="n"/>
      <c r="L335" s="161" t="n"/>
    </row>
    <row r="336" ht="14.25" customHeight="1" s="82">
      <c r="A336" s="154" t="n"/>
      <c r="B336" s="154" t="n"/>
      <c r="C336" s="154" t="n"/>
      <c r="D336" s="154" t="n"/>
      <c r="E336" s="154" t="n"/>
      <c r="F336" s="154" t="n"/>
      <c r="G336" s="154" t="n"/>
      <c r="H336" s="155" t="n"/>
      <c r="I336" s="154" t="n"/>
      <c r="J336" s="154" t="n"/>
      <c r="K336" s="156" t="n"/>
      <c r="L336" s="157" t="n"/>
    </row>
    <row r="337" ht="14.25" customHeight="1" s="82">
      <c r="A337" s="158" t="n"/>
      <c r="B337" s="158" t="n"/>
      <c r="C337" s="158" t="n"/>
      <c r="D337" s="158" t="n"/>
      <c r="E337" s="158" t="n"/>
      <c r="F337" s="158" t="n"/>
      <c r="G337" s="158" t="n"/>
      <c r="H337" s="159" t="n"/>
      <c r="I337" s="158" t="n"/>
      <c r="J337" s="158" t="n"/>
      <c r="K337" s="160" t="n"/>
      <c r="L337" s="161" t="n"/>
    </row>
    <row r="338" ht="14.25" customHeight="1" s="82">
      <c r="A338" s="154" t="n"/>
      <c r="B338" s="154" t="n"/>
      <c r="C338" s="154" t="n"/>
      <c r="D338" s="154" t="n"/>
      <c r="E338" s="154" t="n"/>
      <c r="F338" s="154" t="n"/>
      <c r="G338" s="154" t="n"/>
      <c r="H338" s="155" t="n"/>
      <c r="I338" s="154" t="n"/>
      <c r="J338" s="154" t="n"/>
      <c r="K338" s="156" t="n"/>
      <c r="L338" s="157" t="n"/>
    </row>
    <row r="339" ht="14.25" customHeight="1" s="82">
      <c r="A339" s="158" t="n"/>
      <c r="B339" s="158" t="n"/>
      <c r="C339" s="158" t="n"/>
      <c r="D339" s="158" t="n"/>
      <c r="E339" s="158" t="n"/>
      <c r="F339" s="158" t="n"/>
      <c r="G339" s="158" t="n"/>
      <c r="H339" s="159" t="n"/>
      <c r="I339" s="158" t="n"/>
      <c r="J339" s="158" t="n"/>
      <c r="K339" s="160" t="n"/>
      <c r="L339" s="161" t="n"/>
    </row>
    <row r="340" ht="14.25" customHeight="1" s="82">
      <c r="A340" s="154" t="n"/>
      <c r="B340" s="154" t="n"/>
      <c r="C340" s="154" t="n"/>
      <c r="D340" s="154" t="n"/>
      <c r="E340" s="154" t="n"/>
      <c r="F340" s="154" t="n"/>
      <c r="G340" s="154" t="n"/>
      <c r="H340" s="155" t="n"/>
      <c r="I340" s="154" t="n"/>
      <c r="J340" s="154" t="n"/>
      <c r="K340" s="156" t="n"/>
      <c r="L340" s="157" t="n"/>
    </row>
    <row r="341" ht="14.25" customHeight="1" s="82">
      <c r="A341" s="158" t="n"/>
      <c r="B341" s="158" t="n"/>
      <c r="C341" s="158" t="n"/>
      <c r="D341" s="158" t="n"/>
      <c r="E341" s="158" t="n"/>
      <c r="F341" s="158" t="n"/>
      <c r="G341" s="158" t="n"/>
      <c r="H341" s="159" t="n"/>
      <c r="I341" s="158" t="n"/>
      <c r="J341" s="158" t="n"/>
      <c r="K341" s="160" t="n"/>
      <c r="L341" s="161" t="n"/>
    </row>
    <row r="342" ht="14.25" customHeight="1" s="82">
      <c r="A342" s="154" t="n"/>
      <c r="B342" s="154" t="n"/>
      <c r="C342" s="154" t="n"/>
      <c r="D342" s="154" t="n"/>
      <c r="E342" s="154" t="n"/>
      <c r="F342" s="154" t="n"/>
      <c r="G342" s="154" t="n"/>
      <c r="H342" s="155" t="n"/>
      <c r="I342" s="154" t="n"/>
      <c r="J342" s="154" t="n"/>
      <c r="K342" s="156" t="n"/>
      <c r="L342" s="157" t="n"/>
    </row>
    <row r="343" ht="14.25" customHeight="1" s="82">
      <c r="A343" s="158" t="n"/>
      <c r="B343" s="158" t="n"/>
      <c r="C343" s="158" t="n"/>
      <c r="D343" s="158" t="n"/>
      <c r="E343" s="158" t="n"/>
      <c r="F343" s="158" t="n"/>
      <c r="G343" s="158" t="n"/>
      <c r="H343" s="159" t="n"/>
      <c r="I343" s="158" t="n"/>
      <c r="J343" s="158" t="n"/>
      <c r="K343" s="160" t="n"/>
      <c r="L343" s="161" t="n"/>
    </row>
    <row r="344" ht="14.25" customHeight="1" s="82">
      <c r="A344" s="154" t="n"/>
      <c r="B344" s="154" t="n"/>
      <c r="C344" s="154" t="n"/>
      <c r="D344" s="154" t="n"/>
      <c r="E344" s="154" t="n"/>
      <c r="F344" s="154" t="n"/>
      <c r="G344" s="154" t="n"/>
      <c r="H344" s="155" t="n"/>
      <c r="I344" s="154" t="n"/>
      <c r="J344" s="154" t="n"/>
      <c r="K344" s="156" t="n"/>
      <c r="L344" s="157" t="n"/>
    </row>
    <row r="345" ht="14.25" customHeight="1" s="82">
      <c r="A345" s="158" t="n"/>
      <c r="B345" s="158" t="n"/>
      <c r="C345" s="158" t="n"/>
      <c r="D345" s="158" t="n"/>
      <c r="E345" s="158" t="n"/>
      <c r="F345" s="158" t="n"/>
      <c r="G345" s="158" t="n"/>
      <c r="H345" s="159" t="n"/>
      <c r="I345" s="158" t="n"/>
      <c r="J345" s="158" t="n"/>
      <c r="K345" s="160" t="n"/>
      <c r="L345" s="161" t="n"/>
    </row>
    <row r="346" ht="14.25" customHeight="1" s="82">
      <c r="A346" s="154" t="n"/>
      <c r="B346" s="154" t="n"/>
      <c r="C346" s="154" t="n"/>
      <c r="D346" s="154" t="n"/>
      <c r="E346" s="154" t="n"/>
      <c r="F346" s="154" t="n"/>
      <c r="G346" s="154" t="n"/>
      <c r="H346" s="155" t="n"/>
      <c r="I346" s="154" t="n"/>
      <c r="J346" s="154" t="n"/>
      <c r="K346" s="156" t="n"/>
      <c r="L346" s="157" t="n"/>
    </row>
    <row r="347" ht="14.25" customHeight="1" s="82">
      <c r="A347" s="158" t="n"/>
      <c r="B347" s="158" t="n"/>
      <c r="C347" s="158" t="n"/>
      <c r="D347" s="158" t="n"/>
      <c r="E347" s="158" t="n"/>
      <c r="F347" s="158" t="n"/>
      <c r="G347" s="158" t="n"/>
      <c r="H347" s="159" t="n"/>
      <c r="I347" s="158" t="n"/>
      <c r="J347" s="158" t="n"/>
      <c r="K347" s="160" t="n"/>
      <c r="L347" s="161" t="n"/>
    </row>
    <row r="348" ht="14.25" customHeight="1" s="82">
      <c r="A348" s="154" t="n"/>
      <c r="B348" s="154" t="n"/>
      <c r="C348" s="154" t="n"/>
      <c r="D348" s="154" t="n"/>
      <c r="E348" s="154" t="n"/>
      <c r="F348" s="154" t="n"/>
      <c r="G348" s="154" t="n"/>
      <c r="H348" s="155" t="n"/>
      <c r="I348" s="154" t="n"/>
      <c r="J348" s="154" t="n"/>
      <c r="K348" s="156" t="n"/>
      <c r="L348" s="157" t="n"/>
    </row>
    <row r="349" ht="14.25" customHeight="1" s="82">
      <c r="A349" s="158" t="n"/>
      <c r="B349" s="158" t="n"/>
      <c r="C349" s="158" t="n"/>
      <c r="D349" s="158" t="n"/>
      <c r="E349" s="158" t="n"/>
      <c r="F349" s="158" t="n"/>
      <c r="G349" s="158" t="n"/>
      <c r="H349" s="159" t="n"/>
      <c r="I349" s="158" t="n"/>
      <c r="J349" s="158" t="n"/>
      <c r="K349" s="160" t="n"/>
      <c r="L349" s="161" t="n"/>
    </row>
    <row r="350" ht="14.25" customHeight="1" s="82">
      <c r="A350" s="154" t="n"/>
      <c r="B350" s="154" t="n"/>
      <c r="C350" s="154" t="n"/>
      <c r="D350" s="154" t="n"/>
      <c r="E350" s="154" t="n"/>
      <c r="F350" s="154" t="n"/>
      <c r="G350" s="154" t="n"/>
      <c r="H350" s="155" t="n"/>
      <c r="I350" s="154" t="n"/>
      <c r="J350" s="154" t="n"/>
      <c r="K350" s="156" t="n"/>
      <c r="L350" s="157" t="n"/>
    </row>
    <row r="351" ht="14.25" customHeight="1" s="82">
      <c r="A351" s="158" t="n"/>
      <c r="B351" s="158" t="n"/>
      <c r="C351" s="158" t="n"/>
      <c r="D351" s="158" t="n"/>
      <c r="E351" s="158" t="n"/>
      <c r="F351" s="158" t="n"/>
      <c r="G351" s="158" t="n"/>
      <c r="H351" s="159" t="n"/>
      <c r="I351" s="158" t="n"/>
      <c r="J351" s="158" t="n"/>
      <c r="K351" s="160" t="n"/>
      <c r="L351" s="161" t="n"/>
    </row>
    <row r="352" ht="14.25" customHeight="1" s="82">
      <c r="A352" s="154" t="n"/>
      <c r="B352" s="154" t="n"/>
      <c r="C352" s="154" t="n"/>
      <c r="D352" s="154" t="n"/>
      <c r="E352" s="154" t="n"/>
      <c r="F352" s="154" t="n"/>
      <c r="G352" s="154" t="n"/>
      <c r="H352" s="155" t="n"/>
      <c r="I352" s="154" t="n"/>
      <c r="J352" s="154" t="n"/>
      <c r="K352" s="156" t="n"/>
      <c r="L352" s="157" t="n"/>
    </row>
    <row r="353" ht="14.25" customHeight="1" s="82">
      <c r="A353" s="158" t="n"/>
      <c r="B353" s="158" t="n"/>
      <c r="C353" s="158" t="n"/>
      <c r="D353" s="158" t="n"/>
      <c r="E353" s="158" t="n"/>
      <c r="F353" s="158" t="n"/>
      <c r="G353" s="158" t="n"/>
      <c r="H353" s="159" t="n"/>
      <c r="I353" s="158" t="n"/>
      <c r="J353" s="158" t="n"/>
      <c r="K353" s="160" t="n"/>
      <c r="L353" s="161" t="n"/>
    </row>
    <row r="354" ht="14.25" customHeight="1" s="82">
      <c r="A354" s="154" t="n"/>
      <c r="B354" s="154" t="n"/>
      <c r="C354" s="154" t="n"/>
      <c r="D354" s="154" t="n"/>
      <c r="E354" s="154" t="n"/>
      <c r="F354" s="154" t="n"/>
      <c r="G354" s="154" t="n"/>
      <c r="H354" s="155" t="n"/>
      <c r="I354" s="154" t="n"/>
      <c r="J354" s="154" t="n"/>
      <c r="K354" s="156" t="n"/>
      <c r="L354" s="157" t="n"/>
    </row>
    <row r="355" ht="14.25" customHeight="1" s="82">
      <c r="A355" s="158" t="n"/>
      <c r="B355" s="158" t="n"/>
      <c r="C355" s="158" t="n"/>
      <c r="D355" s="158" t="n"/>
      <c r="E355" s="158" t="n"/>
      <c r="F355" s="158" t="n"/>
      <c r="G355" s="158" t="n"/>
      <c r="H355" s="159" t="n"/>
      <c r="I355" s="158" t="n"/>
      <c r="J355" s="158" t="n"/>
      <c r="K355" s="160" t="n"/>
      <c r="L355" s="161" t="n"/>
    </row>
    <row r="356" ht="14.25" customHeight="1" s="82">
      <c r="A356" s="154" t="n"/>
      <c r="B356" s="154" t="n"/>
      <c r="C356" s="154" t="n"/>
      <c r="D356" s="154" t="n"/>
      <c r="E356" s="154" t="n"/>
      <c r="F356" s="154" t="n"/>
      <c r="G356" s="154" t="n"/>
      <c r="H356" s="155" t="n"/>
      <c r="I356" s="154" t="n"/>
      <c r="J356" s="154" t="n"/>
      <c r="K356" s="156" t="n"/>
      <c r="L356" s="157" t="n"/>
    </row>
    <row r="357" ht="14.25" customHeight="1" s="82">
      <c r="A357" s="158" t="n"/>
      <c r="B357" s="158" t="n"/>
      <c r="C357" s="158" t="n"/>
      <c r="D357" s="158" t="n"/>
      <c r="E357" s="158" t="n"/>
      <c r="F357" s="158" t="n"/>
      <c r="G357" s="158" t="n"/>
      <c r="H357" s="159" t="n"/>
      <c r="I357" s="158" t="n"/>
      <c r="J357" s="158" t="n"/>
      <c r="K357" s="160" t="n"/>
      <c r="L357" s="161" t="n"/>
    </row>
    <row r="358" ht="14.25" customHeight="1" s="82">
      <c r="A358" s="154" t="n"/>
      <c r="B358" s="154" t="n"/>
      <c r="C358" s="154" t="n"/>
      <c r="D358" s="154" t="n"/>
      <c r="E358" s="154" t="n"/>
      <c r="F358" s="154" t="n"/>
      <c r="G358" s="154" t="n"/>
      <c r="H358" s="155" t="n"/>
      <c r="I358" s="154" t="n"/>
      <c r="J358" s="154" t="n"/>
      <c r="K358" s="156" t="n"/>
      <c r="L358" s="157" t="n"/>
    </row>
    <row r="359" ht="14.25" customHeight="1" s="82">
      <c r="A359" s="158" t="n"/>
      <c r="B359" s="158" t="n"/>
      <c r="C359" s="158" t="n"/>
      <c r="D359" s="158" t="n"/>
      <c r="E359" s="158" t="n"/>
      <c r="F359" s="158" t="n"/>
      <c r="G359" s="158" t="n"/>
      <c r="H359" s="159" t="n"/>
      <c r="I359" s="158" t="n"/>
      <c r="J359" s="158" t="n"/>
      <c r="K359" s="160" t="n"/>
      <c r="L359" s="161" t="n"/>
    </row>
    <row r="360" ht="14.25" customHeight="1" s="82">
      <c r="A360" s="154" t="n"/>
      <c r="B360" s="154" t="n"/>
      <c r="C360" s="154" t="n"/>
      <c r="D360" s="154" t="n"/>
      <c r="E360" s="154" t="n"/>
      <c r="F360" s="154" t="n"/>
      <c r="G360" s="154" t="n"/>
      <c r="H360" s="155" t="n"/>
      <c r="I360" s="154" t="n"/>
      <c r="J360" s="154" t="n"/>
      <c r="K360" s="156" t="n"/>
      <c r="L360" s="157" t="n"/>
    </row>
    <row r="361" ht="14.25" customHeight="1" s="82">
      <c r="A361" s="158" t="n"/>
      <c r="B361" s="158" t="n"/>
      <c r="C361" s="158" t="n"/>
      <c r="D361" s="158" t="n"/>
      <c r="E361" s="158" t="n"/>
      <c r="F361" s="158" t="n"/>
      <c r="G361" s="158" t="n"/>
      <c r="H361" s="159" t="n"/>
      <c r="I361" s="158" t="n"/>
      <c r="J361" s="158" t="n"/>
      <c r="K361" s="160" t="n"/>
      <c r="L361" s="161" t="n"/>
    </row>
    <row r="362" ht="14.25" customHeight="1" s="82">
      <c r="A362" s="154" t="n"/>
      <c r="B362" s="154" t="n"/>
      <c r="C362" s="154" t="n"/>
      <c r="D362" s="154" t="n"/>
      <c r="E362" s="154" t="n"/>
      <c r="F362" s="154" t="n"/>
      <c r="G362" s="154" t="n"/>
      <c r="H362" s="155" t="n"/>
      <c r="I362" s="154" t="n"/>
      <c r="J362" s="154" t="n"/>
      <c r="K362" s="156" t="n"/>
      <c r="L362" s="157" t="n"/>
    </row>
    <row r="363" ht="14.25" customHeight="1" s="82">
      <c r="A363" s="158" t="n"/>
      <c r="B363" s="158" t="n"/>
      <c r="C363" s="158" t="n"/>
      <c r="D363" s="158" t="n"/>
      <c r="E363" s="158" t="n"/>
      <c r="F363" s="158" t="n"/>
      <c r="G363" s="158" t="n"/>
      <c r="H363" s="159" t="n"/>
      <c r="I363" s="158" t="n"/>
      <c r="J363" s="158" t="n"/>
      <c r="K363" s="160" t="n"/>
      <c r="L363" s="161" t="n"/>
    </row>
    <row r="364" ht="14.25" customHeight="1" s="82">
      <c r="A364" s="154" t="n"/>
      <c r="B364" s="154" t="n"/>
      <c r="C364" s="154" t="n"/>
      <c r="D364" s="154" t="n"/>
      <c r="E364" s="154" t="n"/>
      <c r="F364" s="154" t="n"/>
      <c r="G364" s="154" t="n"/>
      <c r="H364" s="155" t="n"/>
      <c r="I364" s="154" t="n"/>
      <c r="J364" s="154" t="n"/>
      <c r="K364" s="156" t="n"/>
      <c r="L364" s="157" t="n"/>
    </row>
    <row r="365" ht="14.25" customHeight="1" s="82">
      <c r="A365" s="158" t="n"/>
      <c r="B365" s="158" t="n"/>
      <c r="C365" s="158" t="n"/>
      <c r="D365" s="158" t="n"/>
      <c r="E365" s="158" t="n"/>
      <c r="F365" s="158" t="n"/>
      <c r="G365" s="158" t="n"/>
      <c r="H365" s="159" t="n"/>
      <c r="I365" s="158" t="n"/>
      <c r="J365" s="158" t="n"/>
      <c r="K365" s="160" t="n"/>
      <c r="L365" s="161" t="n"/>
    </row>
    <row r="366" ht="14.25" customHeight="1" s="82">
      <c r="A366" s="154" t="n"/>
      <c r="B366" s="154" t="n"/>
      <c r="C366" s="154" t="n"/>
      <c r="D366" s="154" t="n"/>
      <c r="E366" s="154" t="n"/>
      <c r="F366" s="154" t="n"/>
      <c r="G366" s="154" t="n"/>
      <c r="H366" s="155" t="n"/>
      <c r="I366" s="154" t="n"/>
      <c r="J366" s="154" t="n"/>
      <c r="K366" s="156" t="n"/>
      <c r="L366" s="157" t="n"/>
    </row>
    <row r="367" ht="14.25" customHeight="1" s="82">
      <c r="A367" s="158" t="n"/>
      <c r="B367" s="158" t="n"/>
      <c r="C367" s="158" t="n"/>
      <c r="D367" s="158" t="n"/>
      <c r="E367" s="158" t="n"/>
      <c r="F367" s="158" t="n"/>
      <c r="G367" s="158" t="n"/>
      <c r="H367" s="159" t="n"/>
      <c r="I367" s="158" t="n"/>
      <c r="J367" s="158" t="n"/>
      <c r="K367" s="160" t="n"/>
      <c r="L367" s="161" t="n"/>
    </row>
    <row r="368" ht="14.25" customHeight="1" s="82">
      <c r="A368" s="154" t="n"/>
      <c r="B368" s="154" t="n"/>
      <c r="C368" s="154" t="n"/>
      <c r="D368" s="154" t="n"/>
      <c r="E368" s="154" t="n"/>
      <c r="F368" s="154" t="n"/>
      <c r="G368" s="154" t="n"/>
      <c r="H368" s="155" t="n"/>
      <c r="I368" s="154" t="n"/>
      <c r="J368" s="154" t="n"/>
      <c r="K368" s="156" t="n"/>
      <c r="L368" s="157" t="n"/>
    </row>
    <row r="369" ht="14.25" customHeight="1" s="82">
      <c r="A369" s="158" t="n"/>
      <c r="B369" s="158" t="n"/>
      <c r="C369" s="158" t="n"/>
      <c r="D369" s="158" t="n"/>
      <c r="E369" s="158" t="n"/>
      <c r="F369" s="158" t="n"/>
      <c r="G369" s="158" t="n"/>
      <c r="H369" s="159" t="n"/>
      <c r="I369" s="158" t="n"/>
      <c r="J369" s="158" t="n"/>
      <c r="K369" s="160" t="n"/>
      <c r="L369" s="161" t="n"/>
    </row>
    <row r="370" ht="14.25" customHeight="1" s="82">
      <c r="A370" s="154" t="n"/>
      <c r="B370" s="154" t="n"/>
      <c r="C370" s="154" t="n"/>
      <c r="D370" s="154" t="n"/>
      <c r="E370" s="154" t="n"/>
      <c r="F370" s="154" t="n"/>
      <c r="G370" s="154" t="n"/>
      <c r="H370" s="155" t="n"/>
      <c r="I370" s="154" t="n"/>
      <c r="J370" s="154" t="n"/>
      <c r="K370" s="156" t="n"/>
      <c r="L370" s="157" t="n"/>
    </row>
    <row r="371" ht="14.25" customHeight="1" s="82">
      <c r="A371" s="158" t="n"/>
      <c r="B371" s="158" t="n"/>
      <c r="C371" s="158" t="n"/>
      <c r="D371" s="158" t="n"/>
      <c r="E371" s="158" t="n"/>
      <c r="F371" s="158" t="n"/>
      <c r="G371" s="158" t="n"/>
      <c r="H371" s="159" t="n"/>
      <c r="I371" s="158" t="n"/>
      <c r="J371" s="158" t="n"/>
      <c r="K371" s="160" t="n"/>
      <c r="L371" s="161" t="n"/>
    </row>
    <row r="372" ht="14.25" customHeight="1" s="82">
      <c r="A372" s="154" t="n"/>
      <c r="B372" s="154" t="n"/>
      <c r="C372" s="154" t="n"/>
      <c r="D372" s="154" t="n"/>
      <c r="E372" s="154" t="n"/>
      <c r="F372" s="154" t="n"/>
      <c r="G372" s="154" t="n"/>
      <c r="H372" s="155" t="n"/>
      <c r="I372" s="154" t="n"/>
      <c r="J372" s="154" t="n"/>
      <c r="K372" s="156" t="n"/>
      <c r="L372" s="157" t="n"/>
    </row>
    <row r="373" ht="14.25" customHeight="1" s="82">
      <c r="A373" s="158" t="n"/>
      <c r="B373" s="158" t="n"/>
      <c r="C373" s="158" t="n"/>
      <c r="D373" s="158" t="n"/>
      <c r="E373" s="158" t="n"/>
      <c r="F373" s="158" t="n"/>
      <c r="G373" s="158" t="n"/>
      <c r="H373" s="159" t="n"/>
      <c r="I373" s="158" t="n"/>
      <c r="J373" s="158" t="n"/>
      <c r="K373" s="160" t="n"/>
      <c r="L373" s="161" t="n"/>
    </row>
    <row r="374" ht="14.25" customHeight="1" s="82">
      <c r="A374" s="154" t="n"/>
      <c r="B374" s="154" t="n"/>
      <c r="C374" s="154" t="n"/>
      <c r="D374" s="154" t="n"/>
      <c r="E374" s="154" t="n"/>
      <c r="F374" s="154" t="n"/>
      <c r="G374" s="154" t="n"/>
      <c r="H374" s="155" t="n"/>
      <c r="I374" s="154" t="n"/>
      <c r="J374" s="154" t="n"/>
      <c r="K374" s="156" t="n"/>
      <c r="L374" s="157" t="n"/>
    </row>
    <row r="375" ht="14.25" customHeight="1" s="82">
      <c r="A375" s="158" t="n"/>
      <c r="B375" s="158" t="n"/>
      <c r="C375" s="158" t="n"/>
      <c r="D375" s="158" t="n"/>
      <c r="E375" s="158" t="n"/>
      <c r="F375" s="158" t="n"/>
      <c r="G375" s="158" t="n"/>
      <c r="H375" s="159" t="n"/>
      <c r="I375" s="158" t="n"/>
      <c r="J375" s="158" t="n"/>
      <c r="K375" s="160" t="n"/>
      <c r="L375" s="161" t="n"/>
    </row>
    <row r="376" ht="14.25" customHeight="1" s="82">
      <c r="A376" s="154" t="n"/>
      <c r="B376" s="154" t="n"/>
      <c r="C376" s="154" t="n"/>
      <c r="D376" s="154" t="n"/>
      <c r="E376" s="154" t="n"/>
      <c r="F376" s="154" t="n"/>
      <c r="G376" s="154" t="n"/>
      <c r="H376" s="155" t="n"/>
      <c r="I376" s="154" t="n"/>
      <c r="J376" s="154" t="n"/>
      <c r="K376" s="156" t="n"/>
      <c r="L376" s="157" t="n"/>
    </row>
    <row r="377" ht="14.25" customHeight="1" s="82">
      <c r="A377" s="158" t="n"/>
      <c r="B377" s="158" t="n"/>
      <c r="C377" s="158" t="n"/>
      <c r="D377" s="158" t="n"/>
      <c r="E377" s="158" t="n"/>
      <c r="F377" s="158" t="n"/>
      <c r="G377" s="158" t="n"/>
      <c r="H377" s="159" t="n"/>
      <c r="I377" s="158" t="n"/>
      <c r="J377" s="158" t="n"/>
      <c r="K377" s="160" t="n"/>
      <c r="L377" s="161" t="n"/>
    </row>
    <row r="378" ht="14.25" customHeight="1" s="82">
      <c r="A378" s="154" t="n"/>
      <c r="B378" s="154" t="n"/>
      <c r="C378" s="154" t="n"/>
      <c r="D378" s="154" t="n"/>
      <c r="E378" s="154" t="n"/>
      <c r="F378" s="154" t="n"/>
      <c r="G378" s="154" t="n"/>
      <c r="H378" s="155" t="n"/>
      <c r="I378" s="154" t="n"/>
      <c r="J378" s="154" t="n"/>
      <c r="K378" s="156" t="n"/>
      <c r="L378" s="157" t="n"/>
    </row>
    <row r="379" ht="14.25" customHeight="1" s="82">
      <c r="A379" s="158" t="n"/>
      <c r="B379" s="158" t="n"/>
      <c r="C379" s="158" t="n"/>
      <c r="D379" s="158" t="n"/>
      <c r="E379" s="158" t="n"/>
      <c r="F379" s="158" t="n"/>
      <c r="G379" s="158" t="n"/>
      <c r="H379" s="159" t="n"/>
      <c r="I379" s="158" t="n"/>
      <c r="J379" s="158" t="n"/>
      <c r="K379" s="160" t="n"/>
      <c r="L379" s="161" t="n"/>
    </row>
    <row r="380" ht="14.25" customHeight="1" s="82">
      <c r="A380" s="154" t="n"/>
      <c r="B380" s="154" t="n"/>
      <c r="C380" s="154" t="n"/>
      <c r="D380" s="154" t="n"/>
      <c r="E380" s="154" t="n"/>
      <c r="F380" s="154" t="n"/>
      <c r="G380" s="154" t="n"/>
      <c r="H380" s="155" t="n"/>
      <c r="I380" s="154" t="n"/>
      <c r="J380" s="154" t="n"/>
      <c r="K380" s="156" t="n"/>
      <c r="L380" s="157" t="n"/>
    </row>
    <row r="381" ht="14.25" customHeight="1" s="82">
      <c r="A381" s="158" t="n"/>
      <c r="B381" s="158" t="n"/>
      <c r="C381" s="158" t="n"/>
      <c r="D381" s="158" t="n"/>
      <c r="E381" s="158" t="n"/>
      <c r="F381" s="158" t="n"/>
      <c r="G381" s="158" t="n"/>
      <c r="H381" s="159" t="n"/>
      <c r="I381" s="158" t="n"/>
      <c r="J381" s="158" t="n"/>
      <c r="K381" s="160" t="n"/>
      <c r="L381" s="161" t="n"/>
    </row>
    <row r="382" ht="14.25" customHeight="1" s="82">
      <c r="A382" s="154" t="n"/>
      <c r="B382" s="154" t="n"/>
      <c r="C382" s="154" t="n"/>
      <c r="D382" s="154" t="n"/>
      <c r="E382" s="154" t="n"/>
      <c r="F382" s="154" t="n"/>
      <c r="G382" s="154" t="n"/>
      <c r="H382" s="155" t="n"/>
      <c r="I382" s="154" t="n"/>
      <c r="J382" s="154" t="n"/>
      <c r="K382" s="156" t="n"/>
      <c r="L382" s="157" t="n"/>
    </row>
    <row r="383" ht="14.25" customHeight="1" s="82">
      <c r="A383" s="158" t="n"/>
      <c r="B383" s="158" t="n"/>
      <c r="C383" s="158" t="n"/>
      <c r="D383" s="158" t="n"/>
      <c r="E383" s="158" t="n"/>
      <c r="F383" s="158" t="n"/>
      <c r="G383" s="158" t="n"/>
      <c r="H383" s="159" t="n"/>
      <c r="I383" s="158" t="n"/>
      <c r="J383" s="158" t="n"/>
      <c r="K383" s="160" t="n"/>
      <c r="L383" s="161" t="n"/>
    </row>
    <row r="384" ht="14.25" customHeight="1" s="82">
      <c r="A384" s="154" t="n"/>
      <c r="B384" s="154" t="n"/>
      <c r="C384" s="154" t="n"/>
      <c r="D384" s="154" t="n"/>
      <c r="E384" s="154" t="n"/>
      <c r="F384" s="154" t="n"/>
      <c r="G384" s="154" t="n"/>
      <c r="H384" s="155" t="n"/>
      <c r="I384" s="154" t="n"/>
      <c r="J384" s="154" t="n"/>
      <c r="K384" s="156" t="n"/>
      <c r="L384" s="157" t="n"/>
    </row>
    <row r="385" ht="14.25" customHeight="1" s="82">
      <c r="A385" s="158" t="n"/>
      <c r="B385" s="158" t="n"/>
      <c r="C385" s="158" t="n"/>
      <c r="D385" s="158" t="n"/>
      <c r="E385" s="158" t="n"/>
      <c r="F385" s="158" t="n"/>
      <c r="G385" s="158" t="n"/>
      <c r="H385" s="159" t="n"/>
      <c r="I385" s="158" t="n"/>
      <c r="J385" s="158" t="n"/>
      <c r="K385" s="160" t="n"/>
      <c r="L385" s="161" t="n"/>
    </row>
    <row r="386" ht="14.25" customHeight="1" s="82">
      <c r="A386" s="154" t="n"/>
      <c r="B386" s="154" t="n"/>
      <c r="C386" s="154" t="n"/>
      <c r="D386" s="154" t="n"/>
      <c r="E386" s="154" t="n"/>
      <c r="F386" s="154" t="n"/>
      <c r="G386" s="154" t="n"/>
      <c r="H386" s="155" t="n"/>
      <c r="I386" s="154" t="n"/>
      <c r="J386" s="154" t="n"/>
      <c r="K386" s="156" t="n"/>
      <c r="L386" s="157" t="n"/>
    </row>
    <row r="387" ht="14.25" customHeight="1" s="82">
      <c r="A387" s="158" t="n"/>
      <c r="B387" s="158" t="n"/>
      <c r="C387" s="158" t="n"/>
      <c r="D387" s="158" t="n"/>
      <c r="E387" s="158" t="n"/>
      <c r="F387" s="158" t="n"/>
      <c r="G387" s="158" t="n"/>
      <c r="H387" s="159" t="n"/>
      <c r="I387" s="158" t="n"/>
      <c r="J387" s="158" t="n"/>
      <c r="K387" s="160" t="n"/>
      <c r="L387" s="161" t="n"/>
    </row>
    <row r="388" ht="14.25" customHeight="1" s="82">
      <c r="A388" s="154" t="n"/>
      <c r="B388" s="154" t="n"/>
      <c r="C388" s="154" t="n"/>
      <c r="D388" s="154" t="n"/>
      <c r="E388" s="154" t="n"/>
      <c r="F388" s="154" t="n"/>
      <c r="G388" s="154" t="n"/>
      <c r="H388" s="155" t="n"/>
      <c r="I388" s="154" t="n"/>
      <c r="J388" s="154" t="n"/>
      <c r="K388" s="156" t="n"/>
      <c r="L388" s="157" t="n"/>
    </row>
    <row r="389" ht="14.25" customHeight="1" s="82">
      <c r="A389" s="158" t="n"/>
      <c r="B389" s="158" t="n"/>
      <c r="C389" s="158" t="n"/>
      <c r="D389" s="158" t="n"/>
      <c r="E389" s="158" t="n"/>
      <c r="F389" s="158" t="n"/>
      <c r="G389" s="158" t="n"/>
      <c r="H389" s="159" t="n"/>
      <c r="I389" s="158" t="n"/>
      <c r="J389" s="158" t="n"/>
      <c r="K389" s="160" t="n"/>
      <c r="L389" s="161" t="n"/>
    </row>
    <row r="390" ht="14.25" customHeight="1" s="82">
      <c r="A390" s="154" t="n"/>
      <c r="B390" s="154" t="n"/>
      <c r="C390" s="154" t="n"/>
      <c r="D390" s="154" t="n"/>
      <c r="E390" s="154" t="n"/>
      <c r="F390" s="154" t="n"/>
      <c r="G390" s="154" t="n"/>
      <c r="H390" s="155" t="n"/>
      <c r="I390" s="154" t="n"/>
      <c r="J390" s="154" t="n"/>
      <c r="K390" s="156" t="n"/>
      <c r="L390" s="157" t="n"/>
    </row>
    <row r="391" ht="14.25" customHeight="1" s="82">
      <c r="A391" s="158" t="n"/>
      <c r="B391" s="158" t="n"/>
      <c r="C391" s="158" t="n"/>
      <c r="D391" s="158" t="n"/>
      <c r="E391" s="158" t="n"/>
      <c r="F391" s="158" t="n"/>
      <c r="G391" s="158" t="n"/>
      <c r="H391" s="159" t="n"/>
      <c r="I391" s="158" t="n"/>
      <c r="J391" s="158" t="n"/>
      <c r="K391" s="160" t="n"/>
      <c r="L391" s="161" t="n"/>
    </row>
    <row r="392" ht="14.25" customHeight="1" s="82">
      <c r="A392" s="154" t="n"/>
      <c r="B392" s="154" t="n"/>
      <c r="C392" s="154" t="n"/>
      <c r="D392" s="154" t="n"/>
      <c r="E392" s="154" t="n"/>
      <c r="F392" s="154" t="n"/>
      <c r="G392" s="154" t="n"/>
      <c r="H392" s="155" t="n"/>
      <c r="I392" s="154" t="n"/>
      <c r="J392" s="154" t="n"/>
      <c r="K392" s="156" t="n"/>
      <c r="L392" s="157" t="n"/>
    </row>
    <row r="393" ht="14.25" customHeight="1" s="82">
      <c r="A393" s="158" t="n"/>
      <c r="B393" s="158" t="n"/>
      <c r="C393" s="158" t="n"/>
      <c r="D393" s="158" t="n"/>
      <c r="E393" s="158" t="n"/>
      <c r="F393" s="158" t="n"/>
      <c r="G393" s="158" t="n"/>
      <c r="H393" s="159" t="n"/>
      <c r="I393" s="158" t="n"/>
      <c r="J393" s="158" t="n"/>
      <c r="K393" s="160" t="n"/>
      <c r="L393" s="161" t="n"/>
    </row>
    <row r="394" ht="14.25" customHeight="1" s="82">
      <c r="A394" s="154" t="n"/>
      <c r="B394" s="154" t="n"/>
      <c r="C394" s="154" t="n"/>
      <c r="D394" s="154" t="n"/>
      <c r="E394" s="154" t="n"/>
      <c r="F394" s="154" t="n"/>
      <c r="G394" s="154" t="n"/>
      <c r="H394" s="155" t="n"/>
      <c r="I394" s="154" t="n"/>
      <c r="J394" s="154" t="n"/>
      <c r="K394" s="156" t="n"/>
      <c r="L394" s="157" t="n"/>
    </row>
    <row r="395" ht="14.25" customHeight="1" s="82">
      <c r="A395" s="158" t="n"/>
      <c r="B395" s="158" t="n"/>
      <c r="C395" s="158" t="n"/>
      <c r="D395" s="158" t="n"/>
      <c r="E395" s="158" t="n"/>
      <c r="F395" s="158" t="n"/>
      <c r="G395" s="158" t="n"/>
      <c r="H395" s="159" t="n"/>
      <c r="I395" s="158" t="n"/>
      <c r="J395" s="158" t="n"/>
      <c r="K395" s="160" t="n"/>
      <c r="L395" s="161" t="n"/>
    </row>
    <row r="396" ht="14.25" customHeight="1" s="82">
      <c r="A396" s="154" t="n"/>
      <c r="B396" s="154" t="n"/>
      <c r="C396" s="154" t="n"/>
      <c r="D396" s="154" t="n"/>
      <c r="E396" s="154" t="n"/>
      <c r="F396" s="154" t="n"/>
      <c r="G396" s="154" t="n"/>
      <c r="H396" s="155" t="n"/>
      <c r="I396" s="154" t="n"/>
      <c r="J396" s="154" t="n"/>
      <c r="K396" s="156" t="n"/>
      <c r="L396" s="157" t="n"/>
    </row>
    <row r="397" ht="14.25" customHeight="1" s="82">
      <c r="A397" s="158" t="n"/>
      <c r="B397" s="158" t="n"/>
      <c r="C397" s="158" t="n"/>
      <c r="D397" s="158" t="n"/>
      <c r="E397" s="158" t="n"/>
      <c r="F397" s="158" t="n"/>
      <c r="G397" s="158" t="n"/>
      <c r="H397" s="159" t="n"/>
      <c r="I397" s="158" t="n"/>
      <c r="J397" s="158" t="n"/>
      <c r="K397" s="160" t="n"/>
      <c r="L397" s="161" t="n"/>
    </row>
    <row r="398" ht="14.25" customHeight="1" s="82">
      <c r="A398" s="154" t="n"/>
      <c r="B398" s="154" t="n"/>
      <c r="C398" s="154" t="n"/>
      <c r="D398" s="154" t="n"/>
      <c r="E398" s="154" t="n"/>
      <c r="F398" s="154" t="n"/>
      <c r="G398" s="154" t="n"/>
      <c r="H398" s="155" t="n"/>
      <c r="I398" s="154" t="n"/>
      <c r="J398" s="154" t="n"/>
      <c r="K398" s="156" t="n"/>
      <c r="L398" s="157" t="n"/>
    </row>
    <row r="399" ht="14.25" customHeight="1" s="82">
      <c r="A399" s="158" t="n"/>
      <c r="B399" s="158" t="n"/>
      <c r="C399" s="158" t="n"/>
      <c r="D399" s="158" t="n"/>
      <c r="E399" s="158" t="n"/>
      <c r="F399" s="158" t="n"/>
      <c r="G399" s="158" t="n"/>
      <c r="H399" s="159" t="n"/>
      <c r="I399" s="158" t="n"/>
      <c r="J399" s="158" t="n"/>
      <c r="K399" s="160" t="n"/>
      <c r="L399" s="161" t="n"/>
    </row>
    <row r="400" ht="14.25" customHeight="1" s="82">
      <c r="A400" s="154" t="n"/>
      <c r="B400" s="154" t="n"/>
      <c r="C400" s="154" t="n"/>
      <c r="D400" s="154" t="n"/>
      <c r="E400" s="154" t="n"/>
      <c r="F400" s="154" t="n"/>
      <c r="G400" s="154" t="n"/>
      <c r="H400" s="155" t="n"/>
      <c r="I400" s="154" t="n"/>
      <c r="J400" s="154" t="n"/>
      <c r="K400" s="156" t="n"/>
      <c r="L400" s="157" t="n"/>
    </row>
    <row r="401" ht="14.25" customHeight="1" s="82">
      <c r="A401" s="158" t="n"/>
      <c r="B401" s="158" t="n"/>
      <c r="C401" s="158" t="n"/>
      <c r="D401" s="158" t="n"/>
      <c r="E401" s="158" t="n"/>
      <c r="F401" s="158" t="n"/>
      <c r="G401" s="158" t="n"/>
      <c r="H401" s="159" t="n"/>
      <c r="I401" s="158" t="n"/>
      <c r="J401" s="158" t="n"/>
      <c r="K401" s="160" t="n"/>
      <c r="L401" s="161" t="n"/>
    </row>
    <row r="402" ht="14.25" customHeight="1" s="82">
      <c r="A402" s="154" t="n"/>
      <c r="B402" s="154" t="n"/>
      <c r="C402" s="154" t="n"/>
      <c r="D402" s="154" t="n"/>
      <c r="E402" s="154" t="n"/>
      <c r="F402" s="154" t="n"/>
      <c r="G402" s="154" t="n"/>
      <c r="H402" s="155" t="n"/>
      <c r="I402" s="154" t="n"/>
      <c r="J402" s="154" t="n"/>
      <c r="K402" s="156" t="n"/>
      <c r="L402" s="157" t="n"/>
    </row>
    <row r="403" ht="14.25" customHeight="1" s="82">
      <c r="A403" s="158" t="n"/>
      <c r="B403" s="158" t="n"/>
      <c r="C403" s="158" t="n"/>
      <c r="D403" s="158" t="n"/>
      <c r="E403" s="158" t="n"/>
      <c r="F403" s="158" t="n"/>
      <c r="G403" s="158" t="n"/>
      <c r="H403" s="159" t="n"/>
      <c r="I403" s="158" t="n"/>
      <c r="J403" s="158" t="n"/>
      <c r="K403" s="160" t="n"/>
      <c r="L403" s="161" t="n"/>
    </row>
    <row r="404" ht="14.25" customHeight="1" s="82">
      <c r="A404" s="154" t="n"/>
      <c r="B404" s="154" t="n"/>
      <c r="C404" s="154" t="n"/>
      <c r="D404" s="154" t="n"/>
      <c r="E404" s="154" t="n"/>
      <c r="F404" s="154" t="n"/>
      <c r="G404" s="154" t="n"/>
      <c r="H404" s="155" t="n"/>
      <c r="I404" s="154" t="n"/>
      <c r="J404" s="154" t="n"/>
      <c r="K404" s="156" t="n"/>
      <c r="L404" s="157" t="n"/>
    </row>
    <row r="405" ht="14.25" customHeight="1" s="82">
      <c r="A405" s="158" t="n"/>
      <c r="B405" s="158" t="n"/>
      <c r="C405" s="158" t="n"/>
      <c r="D405" s="158" t="n"/>
      <c r="E405" s="158" t="n"/>
      <c r="F405" s="158" t="n"/>
      <c r="G405" s="158" t="n"/>
      <c r="H405" s="159" t="n"/>
      <c r="I405" s="158" t="n"/>
      <c r="J405" s="158" t="n"/>
      <c r="K405" s="160" t="n"/>
      <c r="L405" s="161" t="n"/>
    </row>
    <row r="406" ht="14.25" customHeight="1" s="82">
      <c r="A406" s="154" t="n"/>
      <c r="B406" s="154" t="n"/>
      <c r="C406" s="154" t="n"/>
      <c r="D406" s="154" t="n"/>
      <c r="E406" s="154" t="n"/>
      <c r="F406" s="154" t="n"/>
      <c r="G406" s="154" t="n"/>
      <c r="H406" s="155" t="n"/>
      <c r="I406" s="154" t="n"/>
      <c r="J406" s="154" t="n"/>
      <c r="K406" s="156" t="n"/>
      <c r="L406" s="157" t="n"/>
    </row>
    <row r="407" ht="14.25" customHeight="1" s="82">
      <c r="A407" s="158" t="n"/>
      <c r="B407" s="158" t="n"/>
      <c r="C407" s="158" t="n"/>
      <c r="D407" s="158" t="n"/>
      <c r="E407" s="158" t="n"/>
      <c r="F407" s="158" t="n"/>
      <c r="G407" s="158" t="n"/>
      <c r="H407" s="159" t="n"/>
      <c r="I407" s="158" t="n"/>
      <c r="J407" s="158" t="n"/>
      <c r="K407" s="160" t="n"/>
      <c r="L407" s="161" t="n"/>
    </row>
    <row r="408" ht="14.25" customHeight="1" s="82">
      <c r="A408" s="154" t="n"/>
      <c r="B408" s="154" t="n"/>
      <c r="C408" s="154" t="n"/>
      <c r="D408" s="154" t="n"/>
      <c r="E408" s="154" t="n"/>
      <c r="F408" s="154" t="n"/>
      <c r="G408" s="154" t="n"/>
      <c r="H408" s="155" t="n"/>
      <c r="I408" s="154" t="n"/>
      <c r="J408" s="154" t="n"/>
      <c r="K408" s="156" t="n"/>
      <c r="L408" s="157" t="n"/>
    </row>
    <row r="409" ht="14.25" customHeight="1" s="82">
      <c r="A409" s="158" t="n"/>
      <c r="B409" s="158" t="n"/>
      <c r="C409" s="158" t="n"/>
      <c r="D409" s="158" t="n"/>
      <c r="E409" s="158" t="n"/>
      <c r="F409" s="158" t="n"/>
      <c r="G409" s="158" t="n"/>
      <c r="H409" s="159" t="n"/>
      <c r="I409" s="158" t="n"/>
      <c r="J409" s="158" t="n"/>
      <c r="K409" s="160" t="n"/>
      <c r="L409" s="161" t="n"/>
    </row>
    <row r="410" ht="14.25" customHeight="1" s="82">
      <c r="A410" s="154" t="n"/>
      <c r="B410" s="154" t="n"/>
      <c r="C410" s="154" t="n"/>
      <c r="D410" s="154" t="n"/>
      <c r="E410" s="154" t="n"/>
      <c r="F410" s="154" t="n"/>
      <c r="G410" s="154" t="n"/>
      <c r="H410" s="155" t="n"/>
      <c r="I410" s="154" t="n"/>
      <c r="J410" s="154" t="n"/>
      <c r="K410" s="156" t="n"/>
      <c r="L410" s="157" t="n"/>
    </row>
    <row r="411" ht="14.25" customHeight="1" s="82">
      <c r="A411" s="158" t="n"/>
      <c r="B411" s="158" t="n"/>
      <c r="C411" s="158" t="n"/>
      <c r="D411" s="158" t="n"/>
      <c r="E411" s="158" t="n"/>
      <c r="F411" s="158" t="n"/>
      <c r="G411" s="158" t="n"/>
      <c r="H411" s="159" t="n"/>
      <c r="I411" s="158" t="n"/>
      <c r="J411" s="158" t="n"/>
      <c r="K411" s="160" t="n"/>
      <c r="L411" s="161" t="n"/>
    </row>
    <row r="412" ht="14.25" customHeight="1" s="82">
      <c r="A412" s="154" t="n"/>
      <c r="B412" s="154" t="n"/>
      <c r="C412" s="154" t="n"/>
      <c r="D412" s="154" t="n"/>
      <c r="E412" s="154" t="n"/>
      <c r="F412" s="154" t="n"/>
      <c r="G412" s="154" t="n"/>
      <c r="H412" s="155" t="n"/>
      <c r="I412" s="154" t="n"/>
      <c r="J412" s="154" t="n"/>
      <c r="K412" s="156" t="n"/>
      <c r="L412" s="157" t="n"/>
    </row>
    <row r="413" ht="14.25" customHeight="1" s="82">
      <c r="A413" s="158" t="n"/>
      <c r="B413" s="158" t="n"/>
      <c r="C413" s="158" t="n"/>
      <c r="D413" s="158" t="n"/>
      <c r="E413" s="158" t="n"/>
      <c r="F413" s="158" t="n"/>
      <c r="G413" s="158" t="n"/>
      <c r="H413" s="159" t="n"/>
      <c r="I413" s="158" t="n"/>
      <c r="J413" s="158" t="n"/>
      <c r="K413" s="160" t="n"/>
      <c r="L413" s="161" t="n"/>
    </row>
    <row r="414" ht="14.25" customHeight="1" s="82">
      <c r="A414" s="154" t="n"/>
      <c r="B414" s="154" t="n"/>
      <c r="C414" s="154" t="n"/>
      <c r="D414" s="154" t="n"/>
      <c r="E414" s="154" t="n"/>
      <c r="F414" s="154" t="n"/>
      <c r="G414" s="154" t="n"/>
      <c r="H414" s="155" t="n"/>
      <c r="I414" s="154" t="n"/>
      <c r="J414" s="154" t="n"/>
      <c r="K414" s="156" t="n"/>
      <c r="L414" s="157" t="n"/>
    </row>
    <row r="415" ht="14.25" customHeight="1" s="82">
      <c r="A415" s="158" t="n"/>
      <c r="B415" s="158" t="n"/>
      <c r="C415" s="158" t="n"/>
      <c r="D415" s="158" t="n"/>
      <c r="E415" s="158" t="n"/>
      <c r="F415" s="158" t="n"/>
      <c r="G415" s="158" t="n"/>
      <c r="H415" s="159" t="n"/>
      <c r="I415" s="158" t="n"/>
      <c r="J415" s="158" t="n"/>
      <c r="K415" s="160" t="n"/>
      <c r="L415" s="161" t="n"/>
    </row>
    <row r="416" ht="14.25" customHeight="1" s="82">
      <c r="A416" s="154" t="n"/>
      <c r="B416" s="154" t="n"/>
      <c r="C416" s="154" t="n"/>
      <c r="D416" s="154" t="n"/>
      <c r="E416" s="154" t="n"/>
      <c r="F416" s="154" t="n"/>
      <c r="G416" s="154" t="n"/>
      <c r="H416" s="155" t="n"/>
      <c r="I416" s="154" t="n"/>
      <c r="J416" s="154" t="n"/>
      <c r="K416" s="156" t="n"/>
      <c r="L416" s="157" t="n"/>
    </row>
    <row r="417" ht="14.25" customHeight="1" s="82">
      <c r="A417" s="158" t="n"/>
      <c r="B417" s="158" t="n"/>
      <c r="C417" s="158" t="n"/>
      <c r="D417" s="158" t="n"/>
      <c r="E417" s="158" t="n"/>
      <c r="F417" s="158" t="n"/>
      <c r="G417" s="158" t="n"/>
      <c r="H417" s="159" t="n"/>
      <c r="I417" s="158" t="n"/>
      <c r="J417" s="158" t="n"/>
      <c r="K417" s="160" t="n"/>
      <c r="L417" s="161" t="n"/>
    </row>
    <row r="418" ht="14.25" customHeight="1" s="82">
      <c r="A418" s="154" t="n"/>
      <c r="B418" s="154" t="n"/>
      <c r="C418" s="154" t="n"/>
      <c r="D418" s="154" t="n"/>
      <c r="E418" s="154" t="n"/>
      <c r="F418" s="154" t="n"/>
      <c r="G418" s="154" t="n"/>
      <c r="H418" s="155" t="n"/>
      <c r="I418" s="154" t="n"/>
      <c r="J418" s="154" t="n"/>
      <c r="K418" s="156" t="n"/>
      <c r="L418" s="157" t="n"/>
    </row>
    <row r="419" ht="14.25" customHeight="1" s="82">
      <c r="A419" s="158" t="n"/>
      <c r="B419" s="158" t="n"/>
      <c r="C419" s="158" t="n"/>
      <c r="D419" s="158" t="n"/>
      <c r="E419" s="158" t="n"/>
      <c r="F419" s="158" t="n"/>
      <c r="G419" s="158" t="n"/>
      <c r="H419" s="159" t="n"/>
      <c r="I419" s="158" t="n"/>
      <c r="J419" s="158" t="n"/>
      <c r="K419" s="160" t="n"/>
      <c r="L419" s="161" t="n"/>
    </row>
    <row r="420" ht="14.25" customHeight="1" s="82">
      <c r="A420" s="154" t="n"/>
      <c r="B420" s="154" t="n"/>
      <c r="C420" s="154" t="n"/>
      <c r="D420" s="154" t="n"/>
      <c r="E420" s="154" t="n"/>
      <c r="F420" s="154" t="n"/>
      <c r="G420" s="154" t="n"/>
      <c r="H420" s="155" t="n"/>
      <c r="I420" s="154" t="n"/>
      <c r="J420" s="154" t="n"/>
      <c r="K420" s="156" t="n"/>
      <c r="L420" s="157" t="n"/>
    </row>
    <row r="421" ht="14.25" customHeight="1" s="82">
      <c r="A421" s="158" t="n"/>
      <c r="B421" s="158" t="n"/>
      <c r="C421" s="158" t="n"/>
      <c r="D421" s="158" t="n"/>
      <c r="E421" s="158" t="n"/>
      <c r="F421" s="158" t="n"/>
      <c r="G421" s="158" t="n"/>
      <c r="H421" s="159" t="n"/>
      <c r="I421" s="158" t="n"/>
      <c r="J421" s="158" t="n"/>
      <c r="K421" s="160" t="n"/>
      <c r="L421" s="161" t="n"/>
    </row>
    <row r="422" ht="14.25" customHeight="1" s="82">
      <c r="A422" s="154" t="n"/>
      <c r="B422" s="154" t="n"/>
      <c r="C422" s="154" t="n"/>
      <c r="D422" s="154" t="n"/>
      <c r="E422" s="154" t="n"/>
      <c r="F422" s="154" t="n"/>
      <c r="G422" s="154" t="n"/>
      <c r="H422" s="155" t="n"/>
      <c r="I422" s="154" t="n"/>
      <c r="J422" s="154" t="n"/>
      <c r="K422" s="156" t="n"/>
      <c r="L422" s="157" t="n"/>
    </row>
    <row r="423" ht="14.25" customHeight="1" s="82">
      <c r="A423" s="158" t="n"/>
      <c r="B423" s="158" t="n"/>
      <c r="C423" s="158" t="n"/>
      <c r="D423" s="158" t="n"/>
      <c r="E423" s="158" t="n"/>
      <c r="F423" s="158" t="n"/>
      <c r="G423" s="158" t="n"/>
      <c r="H423" s="159" t="n"/>
      <c r="I423" s="158" t="n"/>
      <c r="J423" s="158" t="n"/>
      <c r="K423" s="160" t="n"/>
      <c r="L423" s="161" t="n"/>
    </row>
    <row r="424" ht="14.25" customHeight="1" s="82">
      <c r="A424" s="154" t="n"/>
      <c r="B424" s="154" t="n"/>
      <c r="C424" s="154" t="n"/>
      <c r="D424" s="154" t="n"/>
      <c r="E424" s="154" t="n"/>
      <c r="F424" s="154" t="n"/>
      <c r="G424" s="154" t="n"/>
      <c r="H424" s="155" t="n"/>
      <c r="I424" s="154" t="n"/>
      <c r="J424" s="154" t="n"/>
      <c r="K424" s="156" t="n"/>
      <c r="L424" s="157" t="n"/>
    </row>
    <row r="425" ht="14.25" customHeight="1" s="82">
      <c r="A425" s="158" t="n"/>
      <c r="B425" s="158" t="n"/>
      <c r="C425" s="158" t="n"/>
      <c r="D425" s="158" t="n"/>
      <c r="E425" s="158" t="n"/>
      <c r="F425" s="158" t="n"/>
      <c r="G425" s="158" t="n"/>
      <c r="H425" s="159" t="n"/>
      <c r="I425" s="158" t="n"/>
      <c r="J425" s="158" t="n"/>
      <c r="K425" s="160" t="n"/>
      <c r="L425" s="161" t="n"/>
    </row>
    <row r="426" ht="14.25" customHeight="1" s="82">
      <c r="A426" s="154" t="n"/>
      <c r="B426" s="154" t="n"/>
      <c r="C426" s="154" t="n"/>
      <c r="D426" s="154" t="n"/>
      <c r="E426" s="154" t="n"/>
      <c r="F426" s="154" t="n"/>
      <c r="G426" s="154" t="n"/>
      <c r="H426" s="155" t="n"/>
      <c r="I426" s="154" t="n"/>
      <c r="J426" s="154" t="n"/>
      <c r="K426" s="156" t="n"/>
      <c r="L426" s="157" t="n"/>
    </row>
    <row r="427" ht="14.25" customHeight="1" s="82">
      <c r="A427" s="158" t="n"/>
      <c r="B427" s="158" t="n"/>
      <c r="C427" s="158" t="n"/>
      <c r="D427" s="158" t="n"/>
      <c r="E427" s="158" t="n"/>
      <c r="F427" s="158" t="n"/>
      <c r="G427" s="158" t="n"/>
      <c r="H427" s="159" t="n"/>
      <c r="I427" s="158" t="n"/>
      <c r="J427" s="158" t="n"/>
      <c r="K427" s="160" t="n"/>
      <c r="L427" s="161" t="n"/>
    </row>
    <row r="428" ht="14.25" customHeight="1" s="82">
      <c r="A428" s="154" t="n"/>
      <c r="B428" s="154" t="n"/>
      <c r="C428" s="154" t="n"/>
      <c r="D428" s="154" t="n"/>
      <c r="E428" s="154" t="n"/>
      <c r="F428" s="154" t="n"/>
      <c r="G428" s="154" t="n"/>
      <c r="H428" s="155" t="n"/>
      <c r="I428" s="154" t="n"/>
      <c r="J428" s="154" t="n"/>
      <c r="K428" s="156" t="n"/>
      <c r="L428" s="157" t="n"/>
    </row>
    <row r="429" ht="14.25" customHeight="1" s="82">
      <c r="A429" s="158" t="n"/>
      <c r="B429" s="158" t="n"/>
      <c r="C429" s="158" t="n"/>
      <c r="D429" s="158" t="n"/>
      <c r="E429" s="158" t="n"/>
      <c r="F429" s="158" t="n"/>
      <c r="G429" s="158" t="n"/>
      <c r="H429" s="159" t="n"/>
      <c r="I429" s="158" t="n"/>
      <c r="J429" s="158" t="n"/>
      <c r="K429" s="160" t="n"/>
      <c r="L429" s="161" t="n"/>
    </row>
    <row r="430" ht="14.25" customHeight="1" s="82">
      <c r="A430" s="154" t="n"/>
      <c r="B430" s="154" t="n"/>
      <c r="C430" s="154" t="n"/>
      <c r="D430" s="154" t="n"/>
      <c r="E430" s="154" t="n"/>
      <c r="F430" s="154" t="n"/>
      <c r="G430" s="154" t="n"/>
      <c r="H430" s="155" t="n"/>
      <c r="I430" s="154" t="n"/>
      <c r="J430" s="154" t="n"/>
      <c r="K430" s="156" t="n"/>
      <c r="L430" s="157" t="n"/>
    </row>
    <row r="431" ht="14.25" customHeight="1" s="82">
      <c r="A431" s="158" t="n"/>
      <c r="B431" s="158" t="n"/>
      <c r="C431" s="158" t="n"/>
      <c r="D431" s="158" t="n"/>
      <c r="E431" s="158" t="n"/>
      <c r="F431" s="158" t="n"/>
      <c r="G431" s="158" t="n"/>
      <c r="H431" s="159" t="n"/>
      <c r="I431" s="158" t="n"/>
      <c r="J431" s="158" t="n"/>
      <c r="K431" s="160" t="n"/>
      <c r="L431" s="161" t="n"/>
    </row>
    <row r="432" ht="14.25" customHeight="1" s="82">
      <c r="A432" s="154" t="n"/>
      <c r="B432" s="154" t="n"/>
      <c r="C432" s="154" t="n"/>
      <c r="D432" s="154" t="n"/>
      <c r="E432" s="154" t="n"/>
      <c r="F432" s="154" t="n"/>
      <c r="G432" s="154" t="n"/>
      <c r="H432" s="155" t="n"/>
      <c r="I432" s="154" t="n"/>
      <c r="J432" s="154" t="n"/>
      <c r="K432" s="156" t="n"/>
      <c r="L432" s="157" t="n"/>
    </row>
    <row r="433" ht="14.25" customHeight="1" s="82">
      <c r="A433" s="158" t="n"/>
      <c r="B433" s="158" t="n"/>
      <c r="C433" s="158" t="n"/>
      <c r="D433" s="158" t="n"/>
      <c r="E433" s="158" t="n"/>
      <c r="F433" s="158" t="n"/>
      <c r="G433" s="158" t="n"/>
      <c r="H433" s="159" t="n"/>
      <c r="I433" s="158" t="n"/>
      <c r="J433" s="158" t="n"/>
      <c r="K433" s="160" t="n"/>
      <c r="L433" s="161" t="n"/>
    </row>
    <row r="434" ht="14.25" customHeight="1" s="82">
      <c r="A434" s="154" t="n"/>
      <c r="B434" s="154" t="n"/>
      <c r="C434" s="154" t="n"/>
      <c r="D434" s="154" t="n"/>
      <c r="E434" s="154" t="n"/>
      <c r="F434" s="154" t="n"/>
      <c r="G434" s="154" t="n"/>
      <c r="H434" s="155" t="n"/>
      <c r="I434" s="154" t="n"/>
      <c r="J434" s="154" t="n"/>
      <c r="K434" s="156" t="n"/>
      <c r="L434" s="157" t="n"/>
    </row>
    <row r="435" ht="14.25" customHeight="1" s="82">
      <c r="A435" s="158" t="n"/>
      <c r="B435" s="158" t="n"/>
      <c r="C435" s="158" t="n"/>
      <c r="D435" s="158" t="n"/>
      <c r="E435" s="158" t="n"/>
      <c r="F435" s="158" t="n"/>
      <c r="G435" s="158" t="n"/>
      <c r="H435" s="159" t="n"/>
      <c r="I435" s="158" t="n"/>
      <c r="J435" s="158" t="n"/>
      <c r="K435" s="160" t="n"/>
      <c r="L435" s="161" t="n"/>
    </row>
    <row r="436" ht="14.25" customHeight="1" s="82">
      <c r="A436" s="154" t="n"/>
      <c r="B436" s="154" t="n"/>
      <c r="C436" s="154" t="n"/>
      <c r="D436" s="154" t="n"/>
      <c r="E436" s="154" t="n"/>
      <c r="F436" s="154" t="n"/>
      <c r="G436" s="154" t="n"/>
      <c r="H436" s="155" t="n"/>
      <c r="I436" s="154" t="n"/>
      <c r="J436" s="154" t="n"/>
      <c r="K436" s="156" t="n"/>
      <c r="L436" s="157" t="n"/>
    </row>
    <row r="437" ht="14.25" customHeight="1" s="82">
      <c r="A437" s="158" t="n"/>
      <c r="B437" s="158" t="n"/>
      <c r="C437" s="158" t="n"/>
      <c r="D437" s="158" t="n"/>
      <c r="E437" s="158" t="n"/>
      <c r="F437" s="158" t="n"/>
      <c r="G437" s="158" t="n"/>
      <c r="H437" s="159" t="n"/>
      <c r="I437" s="158" t="n"/>
      <c r="J437" s="158" t="n"/>
      <c r="K437" s="160" t="n"/>
      <c r="L437" s="161" t="n"/>
    </row>
    <row r="438" ht="14.25" customHeight="1" s="82">
      <c r="A438" s="154" t="n"/>
      <c r="B438" s="154" t="n"/>
      <c r="C438" s="154" t="n"/>
      <c r="D438" s="154" t="n"/>
      <c r="E438" s="154" t="n"/>
      <c r="F438" s="154" t="n"/>
      <c r="G438" s="154" t="n"/>
      <c r="H438" s="155" t="n"/>
      <c r="I438" s="154" t="n"/>
      <c r="J438" s="154" t="n"/>
      <c r="K438" s="156" t="n"/>
      <c r="L438" s="157" t="n"/>
    </row>
    <row r="439" ht="14.25" customHeight="1" s="82">
      <c r="A439" s="158" t="n"/>
      <c r="B439" s="158" t="n"/>
      <c r="C439" s="158" t="n"/>
      <c r="D439" s="158" t="n"/>
      <c r="E439" s="158" t="n"/>
      <c r="F439" s="158" t="n"/>
      <c r="G439" s="158" t="n"/>
      <c r="H439" s="159" t="n"/>
      <c r="I439" s="158" t="n"/>
      <c r="J439" s="158" t="n"/>
      <c r="K439" s="160" t="n"/>
      <c r="L439" s="161" t="n"/>
    </row>
    <row r="440" ht="14.25" customHeight="1" s="82">
      <c r="A440" s="154" t="n"/>
      <c r="B440" s="154" t="n"/>
      <c r="C440" s="154" t="n"/>
      <c r="D440" s="154" t="n"/>
      <c r="E440" s="154" t="n"/>
      <c r="F440" s="154" t="n"/>
      <c r="G440" s="154" t="n"/>
      <c r="H440" s="155" t="n"/>
      <c r="I440" s="154" t="n"/>
      <c r="J440" s="154" t="n"/>
      <c r="K440" s="156" t="n"/>
      <c r="L440" s="157" t="n"/>
    </row>
    <row r="441" ht="14.25" customHeight="1" s="82">
      <c r="A441" s="158" t="n"/>
      <c r="B441" s="158" t="n"/>
      <c r="C441" s="158" t="n"/>
      <c r="D441" s="158" t="n"/>
      <c r="E441" s="158" t="n"/>
      <c r="F441" s="158" t="n"/>
      <c r="G441" s="158" t="n"/>
      <c r="H441" s="159" t="n"/>
      <c r="I441" s="158" t="n"/>
      <c r="J441" s="158" t="n"/>
      <c r="K441" s="160" t="n"/>
      <c r="L441" s="161" t="n"/>
    </row>
    <row r="442" ht="14.25" customHeight="1" s="82">
      <c r="A442" s="154" t="n"/>
      <c r="B442" s="154" t="n"/>
      <c r="C442" s="154" t="n"/>
      <c r="D442" s="154" t="n"/>
      <c r="E442" s="154" t="n"/>
      <c r="F442" s="154" t="n"/>
      <c r="G442" s="154" t="n"/>
      <c r="H442" s="155" t="n"/>
      <c r="I442" s="154" t="n"/>
      <c r="J442" s="154" t="n"/>
      <c r="K442" s="156" t="n"/>
      <c r="L442" s="157" t="n"/>
    </row>
    <row r="443" ht="14.25" customHeight="1" s="82">
      <c r="A443" s="158" t="n"/>
      <c r="B443" s="158" t="n"/>
      <c r="C443" s="158" t="n"/>
      <c r="D443" s="158" t="n"/>
      <c r="E443" s="158" t="n"/>
      <c r="F443" s="158" t="n"/>
      <c r="G443" s="158" t="n"/>
      <c r="H443" s="159" t="n"/>
      <c r="I443" s="158" t="n"/>
      <c r="J443" s="158" t="n"/>
      <c r="K443" s="160" t="n"/>
      <c r="L443" s="161" t="n"/>
    </row>
    <row r="444" ht="14.25" customHeight="1" s="82">
      <c r="A444" s="154" t="n"/>
      <c r="B444" s="154" t="n"/>
      <c r="C444" s="154" t="n"/>
      <c r="D444" s="154" t="n"/>
      <c r="E444" s="154" t="n"/>
      <c r="F444" s="154" t="n"/>
      <c r="G444" s="154" t="n"/>
      <c r="H444" s="155" t="n"/>
      <c r="I444" s="154" t="n"/>
      <c r="J444" s="154" t="n"/>
      <c r="K444" s="156" t="n"/>
      <c r="L444" s="157" t="n"/>
    </row>
    <row r="445" ht="14.25" customHeight="1" s="82">
      <c r="A445" s="158" t="n"/>
      <c r="B445" s="158" t="n"/>
      <c r="C445" s="158" t="n"/>
      <c r="D445" s="158" t="n"/>
      <c r="E445" s="158" t="n"/>
      <c r="F445" s="158" t="n"/>
      <c r="G445" s="158" t="n"/>
      <c r="H445" s="159" t="n"/>
      <c r="I445" s="158" t="n"/>
      <c r="J445" s="158" t="n"/>
      <c r="K445" s="160" t="n"/>
      <c r="L445" s="161" t="n"/>
    </row>
    <row r="446" ht="14.25" customHeight="1" s="82">
      <c r="A446" s="154" t="n"/>
      <c r="B446" s="154" t="n"/>
      <c r="C446" s="154" t="n"/>
      <c r="D446" s="154" t="n"/>
      <c r="E446" s="154" t="n"/>
      <c r="F446" s="154" t="n"/>
      <c r="G446" s="154" t="n"/>
      <c r="H446" s="155" t="n"/>
      <c r="I446" s="154" t="n"/>
      <c r="J446" s="154" t="n"/>
      <c r="K446" s="156" t="n"/>
      <c r="L446" s="157" t="n"/>
    </row>
    <row r="447" ht="14.25" customHeight="1" s="82">
      <c r="A447" s="158" t="n"/>
      <c r="B447" s="158" t="n"/>
      <c r="C447" s="158" t="n"/>
      <c r="D447" s="158" t="n"/>
      <c r="E447" s="158" t="n"/>
      <c r="F447" s="158" t="n"/>
      <c r="G447" s="158" t="n"/>
      <c r="H447" s="159" t="n"/>
      <c r="I447" s="158" t="n"/>
      <c r="J447" s="158" t="n"/>
      <c r="K447" s="160" t="n"/>
      <c r="L447" s="161" t="n"/>
    </row>
    <row r="448" ht="14.25" customHeight="1" s="82">
      <c r="A448" s="154" t="n"/>
      <c r="B448" s="154" t="n"/>
      <c r="C448" s="154" t="n"/>
      <c r="D448" s="154" t="n"/>
      <c r="E448" s="154" t="n"/>
      <c r="F448" s="154" t="n"/>
      <c r="G448" s="154" t="n"/>
      <c r="H448" s="155" t="n"/>
      <c r="I448" s="154" t="n"/>
      <c r="J448" s="154" t="n"/>
      <c r="K448" s="156" t="n"/>
      <c r="L448" s="157" t="n"/>
    </row>
    <row r="449" ht="14.25" customHeight="1" s="82">
      <c r="A449" s="158" t="n"/>
      <c r="B449" s="158" t="n"/>
      <c r="C449" s="158" t="n"/>
      <c r="D449" s="158" t="n"/>
      <c r="E449" s="158" t="n"/>
      <c r="F449" s="158" t="n"/>
      <c r="G449" s="158" t="n"/>
      <c r="H449" s="159" t="n"/>
      <c r="I449" s="158" t="n"/>
      <c r="J449" s="158" t="n"/>
      <c r="K449" s="160" t="n"/>
      <c r="L449" s="161" t="n"/>
    </row>
    <row r="450" ht="14.25" customHeight="1" s="82">
      <c r="A450" s="154" t="n"/>
      <c r="B450" s="154" t="n"/>
      <c r="C450" s="154" t="n"/>
      <c r="D450" s="154" t="n"/>
      <c r="E450" s="154" t="n"/>
      <c r="F450" s="154" t="n"/>
      <c r="G450" s="154" t="n"/>
      <c r="H450" s="155" t="n"/>
      <c r="I450" s="154" t="n"/>
      <c r="J450" s="154" t="n"/>
      <c r="K450" s="156" t="n"/>
      <c r="L450" s="157" t="n"/>
    </row>
    <row r="451" ht="14.25" customHeight="1" s="82">
      <c r="A451" s="158" t="n"/>
      <c r="B451" s="158" t="n"/>
      <c r="C451" s="158" t="n"/>
      <c r="D451" s="158" t="n"/>
      <c r="E451" s="158" t="n"/>
      <c r="F451" s="158" t="n"/>
      <c r="G451" s="158" t="n"/>
      <c r="H451" s="159" t="n"/>
      <c r="I451" s="158" t="n"/>
      <c r="J451" s="158" t="n"/>
      <c r="K451" s="160" t="n"/>
      <c r="L451" s="161" t="n"/>
    </row>
    <row r="452" ht="14.25" customHeight="1" s="82">
      <c r="A452" s="154" t="n"/>
      <c r="B452" s="154" t="n"/>
      <c r="C452" s="154" t="n"/>
      <c r="D452" s="154" t="n"/>
      <c r="E452" s="154" t="n"/>
      <c r="F452" s="154" t="n"/>
      <c r="G452" s="154" t="n"/>
      <c r="H452" s="155" t="n"/>
      <c r="I452" s="154" t="n"/>
      <c r="J452" s="154" t="n"/>
      <c r="K452" s="156" t="n"/>
      <c r="L452" s="157" t="n"/>
    </row>
    <row r="453" ht="14.25" customHeight="1" s="82">
      <c r="A453" s="158" t="n"/>
      <c r="B453" s="158" t="n"/>
      <c r="C453" s="158" t="n"/>
      <c r="D453" s="158" t="n"/>
      <c r="E453" s="158" t="n"/>
      <c r="F453" s="158" t="n"/>
      <c r="G453" s="158" t="n"/>
      <c r="H453" s="159" t="n"/>
      <c r="I453" s="158" t="n"/>
      <c r="J453" s="158" t="n"/>
      <c r="K453" s="160" t="n"/>
      <c r="L453" s="161" t="n"/>
    </row>
    <row r="454" ht="14.25" customHeight="1" s="82">
      <c r="A454" s="154" t="n"/>
      <c r="B454" s="154" t="n"/>
      <c r="C454" s="154" t="n"/>
      <c r="D454" s="154" t="n"/>
      <c r="E454" s="154" t="n"/>
      <c r="F454" s="154" t="n"/>
      <c r="G454" s="154" t="n"/>
      <c r="H454" s="155" t="n"/>
      <c r="I454" s="154" t="n"/>
      <c r="J454" s="154" t="n"/>
      <c r="K454" s="156" t="n"/>
      <c r="L454" s="157" t="n"/>
    </row>
    <row r="455" ht="14.25" customHeight="1" s="82">
      <c r="A455" s="158" t="n"/>
      <c r="B455" s="158" t="n"/>
      <c r="C455" s="158" t="n"/>
      <c r="D455" s="158" t="n"/>
      <c r="E455" s="158" t="n"/>
      <c r="F455" s="158" t="n"/>
      <c r="G455" s="158" t="n"/>
      <c r="H455" s="159" t="n"/>
      <c r="I455" s="158" t="n"/>
      <c r="J455" s="158" t="n"/>
      <c r="K455" s="160" t="n"/>
      <c r="L455" s="161" t="n"/>
    </row>
    <row r="456" ht="14.25" customHeight="1" s="82">
      <c r="A456" s="154" t="n"/>
      <c r="B456" s="154" t="n"/>
      <c r="C456" s="154" t="n"/>
      <c r="D456" s="154" t="n"/>
      <c r="E456" s="154" t="n"/>
      <c r="F456" s="154" t="n"/>
      <c r="G456" s="154" t="n"/>
      <c r="H456" s="155" t="n"/>
      <c r="I456" s="154" t="n"/>
      <c r="J456" s="154" t="n"/>
      <c r="K456" s="156" t="n"/>
      <c r="L456" s="157" t="n"/>
    </row>
    <row r="457" ht="14.25" customHeight="1" s="82">
      <c r="A457" s="158" t="n"/>
      <c r="B457" s="158" t="n"/>
      <c r="C457" s="158" t="n"/>
      <c r="D457" s="158" t="n"/>
      <c r="E457" s="158" t="n"/>
      <c r="F457" s="158" t="n"/>
      <c r="G457" s="158" t="n"/>
      <c r="H457" s="159" t="n"/>
      <c r="I457" s="158" t="n"/>
      <c r="J457" s="158" t="n"/>
      <c r="K457" s="160" t="n"/>
      <c r="L457" s="161" t="n"/>
    </row>
    <row r="458" ht="14.25" customHeight="1" s="82">
      <c r="A458" s="154" t="n"/>
      <c r="B458" s="154" t="n"/>
      <c r="C458" s="154" t="n"/>
      <c r="D458" s="154" t="n"/>
      <c r="E458" s="154" t="n"/>
      <c r="F458" s="154" t="n"/>
      <c r="G458" s="154" t="n"/>
      <c r="H458" s="155" t="n"/>
      <c r="I458" s="154" t="n"/>
      <c r="J458" s="154" t="n"/>
      <c r="K458" s="156" t="n"/>
      <c r="L458" s="157" t="n"/>
    </row>
    <row r="459" ht="14.25" customHeight="1" s="82">
      <c r="A459" s="158" t="n"/>
      <c r="B459" s="158" t="n"/>
      <c r="C459" s="158" t="n"/>
      <c r="D459" s="158" t="n"/>
      <c r="E459" s="158" t="n"/>
      <c r="F459" s="158" t="n"/>
      <c r="G459" s="158" t="n"/>
      <c r="H459" s="159" t="n"/>
      <c r="I459" s="158" t="n"/>
      <c r="J459" s="158" t="n"/>
      <c r="K459" s="160" t="n"/>
      <c r="L459" s="161" t="n"/>
    </row>
    <row r="460" ht="14.25" customHeight="1" s="82">
      <c r="A460" s="154" t="n"/>
      <c r="B460" s="154" t="n"/>
      <c r="C460" s="154" t="n"/>
      <c r="D460" s="154" t="n"/>
      <c r="E460" s="154" t="n"/>
      <c r="F460" s="154" t="n"/>
      <c r="G460" s="154" t="n"/>
      <c r="H460" s="155" t="n"/>
      <c r="I460" s="154" t="n"/>
      <c r="J460" s="154" t="n"/>
      <c r="K460" s="156" t="n"/>
      <c r="L460" s="157" t="n"/>
    </row>
    <row r="461" ht="14.25" customHeight="1" s="82">
      <c r="A461" s="158" t="n"/>
      <c r="B461" s="158" t="n"/>
      <c r="C461" s="158" t="n"/>
      <c r="D461" s="158" t="n"/>
      <c r="E461" s="158" t="n"/>
      <c r="F461" s="158" t="n"/>
      <c r="G461" s="158" t="n"/>
      <c r="H461" s="159" t="n"/>
      <c r="I461" s="158" t="n"/>
      <c r="J461" s="158" t="n"/>
      <c r="K461" s="160" t="n"/>
      <c r="L461" s="161" t="n"/>
    </row>
    <row r="462" ht="14.25" customHeight="1" s="82">
      <c r="A462" s="154" t="n"/>
      <c r="B462" s="154" t="n"/>
      <c r="C462" s="154" t="n"/>
      <c r="D462" s="154" t="n"/>
      <c r="E462" s="154" t="n"/>
      <c r="F462" s="154" t="n"/>
      <c r="G462" s="154" t="n"/>
      <c r="H462" s="155" t="n"/>
      <c r="I462" s="154" t="n"/>
      <c r="J462" s="154" t="n"/>
      <c r="K462" s="156" t="n"/>
      <c r="L462" s="157" t="n"/>
    </row>
    <row r="463" ht="14.25" customHeight="1" s="82">
      <c r="A463" s="158" t="n"/>
      <c r="B463" s="158" t="n"/>
      <c r="C463" s="158" t="n"/>
      <c r="D463" s="158" t="n"/>
      <c r="E463" s="158" t="n"/>
      <c r="F463" s="158" t="n"/>
      <c r="G463" s="158" t="n"/>
      <c r="H463" s="159" t="n"/>
      <c r="I463" s="158" t="n"/>
      <c r="J463" s="158" t="n"/>
      <c r="K463" s="160" t="n"/>
      <c r="L463" s="161" t="n"/>
    </row>
    <row r="464" ht="14.25" customHeight="1" s="82">
      <c r="A464" s="154" t="n"/>
      <c r="B464" s="154" t="n"/>
      <c r="C464" s="154" t="n"/>
      <c r="D464" s="154" t="n"/>
      <c r="E464" s="154" t="n"/>
      <c r="F464" s="154" t="n"/>
      <c r="G464" s="154" t="n"/>
      <c r="H464" s="155" t="n"/>
      <c r="I464" s="154" t="n"/>
      <c r="J464" s="154" t="n"/>
      <c r="K464" s="156" t="n"/>
      <c r="L464" s="157" t="n"/>
    </row>
    <row r="465" ht="14.25" customHeight="1" s="82">
      <c r="A465" s="158" t="n"/>
      <c r="B465" s="158" t="n"/>
      <c r="C465" s="158" t="n"/>
      <c r="D465" s="158" t="n"/>
      <c r="E465" s="158" t="n"/>
      <c r="F465" s="158" t="n"/>
      <c r="G465" s="158" t="n"/>
      <c r="H465" s="159" t="n"/>
      <c r="I465" s="158" t="n"/>
      <c r="J465" s="158" t="n"/>
      <c r="K465" s="160" t="n"/>
      <c r="L465" s="161" t="n"/>
    </row>
    <row r="466" ht="14.25" customHeight="1" s="82">
      <c r="A466" s="154" t="n"/>
      <c r="B466" s="154" t="n"/>
      <c r="C466" s="154" t="n"/>
      <c r="D466" s="154" t="n"/>
      <c r="E466" s="154" t="n"/>
      <c r="F466" s="154" t="n"/>
      <c r="G466" s="154" t="n"/>
      <c r="H466" s="155" t="n"/>
      <c r="I466" s="154" t="n"/>
      <c r="J466" s="154" t="n"/>
      <c r="K466" s="156" t="n"/>
      <c r="L466" s="157" t="n"/>
    </row>
    <row r="467" ht="14.25" customHeight="1" s="82">
      <c r="A467" s="158" t="n"/>
      <c r="B467" s="158" t="n"/>
      <c r="C467" s="158" t="n"/>
      <c r="D467" s="158" t="n"/>
      <c r="E467" s="158" t="n"/>
      <c r="F467" s="158" t="n"/>
      <c r="G467" s="158" t="n"/>
      <c r="H467" s="159" t="n"/>
      <c r="I467" s="158" t="n"/>
      <c r="J467" s="158" t="n"/>
      <c r="K467" s="160" t="n"/>
      <c r="L467" s="161" t="n"/>
    </row>
    <row r="468" ht="14.25" customHeight="1" s="82">
      <c r="A468" s="154" t="n"/>
      <c r="B468" s="154" t="n"/>
      <c r="C468" s="154" t="n"/>
      <c r="D468" s="154" t="n"/>
      <c r="E468" s="154" t="n"/>
      <c r="F468" s="154" t="n"/>
      <c r="G468" s="154" t="n"/>
      <c r="H468" s="155" t="n"/>
      <c r="I468" s="154" t="n"/>
      <c r="J468" s="154" t="n"/>
      <c r="K468" s="156" t="n"/>
      <c r="L468" s="157" t="n"/>
    </row>
    <row r="469" ht="14.25" customHeight="1" s="82">
      <c r="A469" s="158" t="n"/>
      <c r="B469" s="158" t="n"/>
      <c r="C469" s="158" t="n"/>
      <c r="D469" s="158" t="n"/>
      <c r="E469" s="158" t="n"/>
      <c r="F469" s="158" t="n"/>
      <c r="G469" s="158" t="n"/>
      <c r="H469" s="159" t="n"/>
      <c r="I469" s="158" t="n"/>
      <c r="J469" s="158" t="n"/>
      <c r="K469" s="160" t="n"/>
      <c r="L469" s="161" t="n"/>
    </row>
    <row r="470" ht="14.25" customHeight="1" s="82">
      <c r="A470" s="154" t="n"/>
      <c r="B470" s="154" t="n"/>
      <c r="C470" s="154" t="n"/>
      <c r="D470" s="154" t="n"/>
      <c r="E470" s="154" t="n"/>
      <c r="F470" s="154" t="n"/>
      <c r="G470" s="154" t="n"/>
      <c r="H470" s="155" t="n"/>
      <c r="I470" s="154" t="n"/>
      <c r="J470" s="154" t="n"/>
      <c r="K470" s="156" t="n"/>
      <c r="L470" s="157" t="n"/>
    </row>
    <row r="471" ht="14.25" customHeight="1" s="82">
      <c r="A471" s="158" t="n"/>
      <c r="B471" s="158" t="n"/>
      <c r="C471" s="158" t="n"/>
      <c r="D471" s="158" t="n"/>
      <c r="E471" s="158" t="n"/>
      <c r="F471" s="158" t="n"/>
      <c r="G471" s="158" t="n"/>
      <c r="H471" s="159" t="n"/>
      <c r="I471" s="158" t="n"/>
      <c r="J471" s="158" t="n"/>
      <c r="K471" s="160" t="n"/>
      <c r="L471" s="161" t="n"/>
    </row>
    <row r="472" ht="14.25" customHeight="1" s="82">
      <c r="A472" s="154" t="n"/>
      <c r="B472" s="154" t="n"/>
      <c r="C472" s="154" t="n"/>
      <c r="D472" s="154" t="n"/>
      <c r="E472" s="154" t="n"/>
      <c r="F472" s="154" t="n"/>
      <c r="G472" s="154" t="n"/>
      <c r="H472" s="155" t="n"/>
      <c r="I472" s="154" t="n"/>
      <c r="J472" s="154" t="n"/>
      <c r="K472" s="156" t="n"/>
      <c r="L472" s="157" t="n"/>
    </row>
    <row r="473" ht="14.25" customHeight="1" s="82">
      <c r="A473" s="158" t="n"/>
      <c r="B473" s="158" t="n"/>
      <c r="C473" s="158" t="n"/>
      <c r="D473" s="158" t="n"/>
      <c r="E473" s="158" t="n"/>
      <c r="F473" s="158" t="n"/>
      <c r="G473" s="158" t="n"/>
      <c r="H473" s="159" t="n"/>
      <c r="I473" s="158" t="n"/>
      <c r="J473" s="158" t="n"/>
      <c r="K473" s="160" t="n"/>
      <c r="L473" s="161" t="n"/>
    </row>
    <row r="474" ht="14.25" customHeight="1" s="82">
      <c r="A474" s="154" t="n"/>
      <c r="B474" s="154" t="n"/>
      <c r="C474" s="154" t="n"/>
      <c r="D474" s="154" t="n"/>
      <c r="E474" s="154" t="n"/>
      <c r="F474" s="154" t="n"/>
      <c r="G474" s="154" t="n"/>
      <c r="H474" s="155" t="n"/>
      <c r="I474" s="154" t="n"/>
      <c r="J474" s="154" t="n"/>
      <c r="K474" s="156" t="n"/>
      <c r="L474" s="157" t="n"/>
    </row>
    <row r="475" ht="14.25" customHeight="1" s="82">
      <c r="A475" s="158" t="n"/>
      <c r="B475" s="158" t="n"/>
      <c r="C475" s="158" t="n"/>
      <c r="D475" s="158" t="n"/>
      <c r="E475" s="158" t="n"/>
      <c r="F475" s="158" t="n"/>
      <c r="G475" s="158" t="n"/>
      <c r="H475" s="159" t="n"/>
      <c r="I475" s="158" t="n"/>
      <c r="J475" s="158" t="n"/>
      <c r="K475" s="160" t="n"/>
      <c r="L475" s="161" t="n"/>
    </row>
    <row r="476" ht="14.25" customHeight="1" s="82">
      <c r="A476" s="154" t="n"/>
      <c r="B476" s="154" t="n"/>
      <c r="C476" s="154" t="n"/>
      <c r="D476" s="154" t="n"/>
      <c r="E476" s="154" t="n"/>
      <c r="F476" s="154" t="n"/>
      <c r="G476" s="154" t="n"/>
      <c r="H476" s="155" t="n"/>
      <c r="I476" s="154" t="n"/>
      <c r="J476" s="154" t="n"/>
      <c r="K476" s="156" t="n"/>
      <c r="L476" s="157" t="n"/>
    </row>
    <row r="477" ht="14.25" customHeight="1" s="82">
      <c r="A477" s="158" t="n"/>
      <c r="B477" s="158" t="n"/>
      <c r="C477" s="158" t="n"/>
      <c r="D477" s="158" t="n"/>
      <c r="E477" s="158" t="n"/>
      <c r="F477" s="158" t="n"/>
      <c r="G477" s="158" t="n"/>
      <c r="H477" s="159" t="n"/>
      <c r="I477" s="158" t="n"/>
      <c r="J477" s="158" t="n"/>
      <c r="K477" s="160" t="n"/>
      <c r="L477" s="161" t="n"/>
    </row>
    <row r="478" ht="14.25" customHeight="1" s="82">
      <c r="A478" s="154" t="n"/>
      <c r="B478" s="154" t="n"/>
      <c r="C478" s="154" t="n"/>
      <c r="D478" s="154" t="n"/>
      <c r="E478" s="154" t="n"/>
      <c r="F478" s="154" t="n"/>
      <c r="G478" s="154" t="n"/>
      <c r="H478" s="155" t="n"/>
      <c r="I478" s="154" t="n"/>
      <c r="J478" s="154" t="n"/>
      <c r="K478" s="156" t="n"/>
      <c r="L478" s="157" t="n"/>
    </row>
    <row r="479" ht="14.25" customHeight="1" s="82">
      <c r="A479" s="158" t="n"/>
      <c r="B479" s="158" t="n"/>
      <c r="C479" s="158" t="n"/>
      <c r="D479" s="158" t="n"/>
      <c r="E479" s="158" t="n"/>
      <c r="F479" s="158" t="n"/>
      <c r="G479" s="158" t="n"/>
      <c r="H479" s="159" t="n"/>
      <c r="I479" s="158" t="n"/>
      <c r="J479" s="158" t="n"/>
      <c r="K479" s="160" t="n"/>
      <c r="L479" s="161" t="n"/>
    </row>
    <row r="480" ht="14.25" customHeight="1" s="82">
      <c r="A480" s="154" t="n"/>
      <c r="B480" s="154" t="n"/>
      <c r="C480" s="154" t="n"/>
      <c r="D480" s="154" t="n"/>
      <c r="E480" s="154" t="n"/>
      <c r="F480" s="154" t="n"/>
      <c r="G480" s="154" t="n"/>
      <c r="H480" s="155" t="n"/>
      <c r="I480" s="154" t="n"/>
      <c r="J480" s="154" t="n"/>
      <c r="K480" s="156" t="n"/>
      <c r="L480" s="157" t="n"/>
    </row>
    <row r="481" ht="14.25" customHeight="1" s="82">
      <c r="A481" s="158" t="n"/>
      <c r="B481" s="158" t="n"/>
      <c r="C481" s="158" t="n"/>
      <c r="D481" s="158" t="n"/>
      <c r="E481" s="158" t="n"/>
      <c r="F481" s="158" t="n"/>
      <c r="G481" s="158" t="n"/>
      <c r="H481" s="159" t="n"/>
      <c r="I481" s="158" t="n"/>
      <c r="J481" s="158" t="n"/>
      <c r="K481" s="160" t="n"/>
      <c r="L481" s="161" t="n"/>
    </row>
    <row r="482" ht="14.25" customHeight="1" s="82">
      <c r="A482" s="154" t="n"/>
      <c r="B482" s="154" t="n"/>
      <c r="C482" s="154" t="n"/>
      <c r="D482" s="154" t="n"/>
      <c r="E482" s="154" t="n"/>
      <c r="F482" s="154" t="n"/>
      <c r="G482" s="154" t="n"/>
      <c r="H482" s="155" t="n"/>
      <c r="I482" s="154" t="n"/>
      <c r="J482" s="154" t="n"/>
      <c r="K482" s="156" t="n"/>
      <c r="L482" s="157" t="n"/>
    </row>
    <row r="483" ht="14.25" customHeight="1" s="82">
      <c r="A483" s="158" t="n"/>
      <c r="B483" s="158" t="n"/>
      <c r="C483" s="158" t="n"/>
      <c r="D483" s="158" t="n"/>
      <c r="E483" s="158" t="n"/>
      <c r="F483" s="158" t="n"/>
      <c r="G483" s="158" t="n"/>
      <c r="H483" s="159" t="n"/>
      <c r="I483" s="158" t="n"/>
      <c r="J483" s="158" t="n"/>
      <c r="K483" s="160" t="n"/>
      <c r="L483" s="161" t="n"/>
    </row>
    <row r="484" ht="14.25" customHeight="1" s="82">
      <c r="A484" s="154" t="n"/>
      <c r="B484" s="154" t="n"/>
      <c r="C484" s="154" t="n"/>
      <c r="D484" s="154" t="n"/>
      <c r="E484" s="154" t="n"/>
      <c r="F484" s="154" t="n"/>
      <c r="G484" s="154" t="n"/>
      <c r="H484" s="155" t="n"/>
      <c r="I484" s="154" t="n"/>
      <c r="J484" s="154" t="n"/>
      <c r="K484" s="156" t="n"/>
      <c r="L484" s="157" t="n"/>
    </row>
    <row r="485" ht="14.25" customHeight="1" s="82">
      <c r="A485" s="158" t="n"/>
      <c r="B485" s="158" t="n"/>
      <c r="C485" s="158" t="n"/>
      <c r="D485" s="158" t="n"/>
      <c r="E485" s="158" t="n"/>
      <c r="F485" s="158" t="n"/>
      <c r="G485" s="158" t="n"/>
      <c r="H485" s="159" t="n"/>
      <c r="I485" s="158" t="n"/>
      <c r="J485" s="158" t="n"/>
      <c r="K485" s="160" t="n"/>
      <c r="L485" s="161" t="n"/>
    </row>
    <row r="486" ht="14.25" customHeight="1" s="82">
      <c r="A486" s="154" t="n"/>
      <c r="B486" s="154" t="n"/>
      <c r="C486" s="154" t="n"/>
      <c r="D486" s="154" t="n"/>
      <c r="E486" s="154" t="n"/>
      <c r="F486" s="154" t="n"/>
      <c r="G486" s="154" t="n"/>
      <c r="H486" s="155" t="n"/>
      <c r="I486" s="154" t="n"/>
      <c r="J486" s="154" t="n"/>
      <c r="K486" s="156" t="n"/>
      <c r="L486" s="157" t="n"/>
    </row>
    <row r="487" ht="14.25" customHeight="1" s="82">
      <c r="A487" s="158" t="n"/>
      <c r="B487" s="158" t="n"/>
      <c r="C487" s="158" t="n"/>
      <c r="D487" s="158" t="n"/>
      <c r="E487" s="158" t="n"/>
      <c r="F487" s="158" t="n"/>
      <c r="G487" s="158" t="n"/>
      <c r="H487" s="159" t="n"/>
      <c r="I487" s="158" t="n"/>
      <c r="J487" s="158" t="n"/>
      <c r="K487" s="160" t="n"/>
      <c r="L487" s="161" t="n"/>
    </row>
    <row r="488" ht="14.25" customHeight="1" s="82">
      <c r="A488" s="154" t="n"/>
      <c r="B488" s="154" t="n"/>
      <c r="C488" s="154" t="n"/>
      <c r="D488" s="154" t="n"/>
      <c r="E488" s="154" t="n"/>
      <c r="F488" s="154" t="n"/>
      <c r="G488" s="154" t="n"/>
      <c r="H488" s="155" t="n"/>
      <c r="I488" s="154" t="n"/>
      <c r="J488" s="154" t="n"/>
      <c r="K488" s="156" t="n"/>
      <c r="L488" s="157" t="n"/>
    </row>
    <row r="489" ht="14.25" customHeight="1" s="82">
      <c r="A489" s="158" t="n"/>
      <c r="B489" s="158" t="n"/>
      <c r="C489" s="158" t="n"/>
      <c r="D489" s="158" t="n"/>
      <c r="E489" s="158" t="n"/>
      <c r="F489" s="158" t="n"/>
      <c r="G489" s="158" t="n"/>
      <c r="H489" s="159" t="n"/>
      <c r="I489" s="158" t="n"/>
      <c r="J489" s="158" t="n"/>
      <c r="K489" s="160" t="n"/>
      <c r="L489" s="161" t="n"/>
    </row>
    <row r="490" ht="14.25" customHeight="1" s="82">
      <c r="A490" s="154" t="n"/>
      <c r="B490" s="154" t="n"/>
      <c r="C490" s="154" t="n"/>
      <c r="D490" s="154" t="n"/>
      <c r="E490" s="154" t="n"/>
      <c r="F490" s="154" t="n"/>
      <c r="G490" s="154" t="n"/>
      <c r="H490" s="155" t="n"/>
      <c r="I490" s="154" t="n"/>
      <c r="J490" s="154" t="n"/>
      <c r="K490" s="156" t="n"/>
      <c r="L490" s="157" t="n"/>
    </row>
    <row r="491" ht="14.25" customHeight="1" s="82">
      <c r="A491" s="158" t="n"/>
      <c r="B491" s="158" t="n"/>
      <c r="C491" s="158" t="n"/>
      <c r="D491" s="158" t="n"/>
      <c r="E491" s="158" t="n"/>
      <c r="F491" s="158" t="n"/>
      <c r="G491" s="158" t="n"/>
      <c r="H491" s="159" t="n"/>
      <c r="I491" s="158" t="n"/>
      <c r="J491" s="158" t="n"/>
      <c r="K491" s="160" t="n"/>
      <c r="L491" s="161" t="n"/>
    </row>
    <row r="492" ht="14.25" customHeight="1" s="82">
      <c r="A492" s="154" t="n"/>
      <c r="B492" s="154" t="n"/>
      <c r="C492" s="154" t="n"/>
      <c r="D492" s="154" t="n"/>
      <c r="E492" s="154" t="n"/>
      <c r="F492" s="154" t="n"/>
      <c r="G492" s="154" t="n"/>
      <c r="H492" s="155" t="n"/>
      <c r="I492" s="154" t="n"/>
      <c r="J492" s="154" t="n"/>
      <c r="K492" s="156" t="n"/>
      <c r="L492" s="157" t="n"/>
    </row>
    <row r="493" ht="14.25" customHeight="1" s="82">
      <c r="A493" s="158" t="n"/>
      <c r="B493" s="158" t="n"/>
      <c r="C493" s="158" t="n"/>
      <c r="D493" s="158" t="n"/>
      <c r="E493" s="158" t="n"/>
      <c r="F493" s="158" t="n"/>
      <c r="G493" s="158" t="n"/>
      <c r="H493" s="159" t="n"/>
      <c r="I493" s="158" t="n"/>
      <c r="J493" s="158" t="n"/>
      <c r="K493" s="160" t="n"/>
      <c r="L493" s="161" t="n"/>
    </row>
    <row r="494" ht="14.25" customHeight="1" s="82">
      <c r="A494" s="154" t="n"/>
      <c r="B494" s="154" t="n"/>
      <c r="C494" s="154" t="n"/>
      <c r="D494" s="154" t="n"/>
      <c r="E494" s="154" t="n"/>
      <c r="F494" s="154" t="n"/>
      <c r="G494" s="154" t="n"/>
      <c r="H494" s="155" t="n"/>
      <c r="I494" s="154" t="n"/>
      <c r="J494" s="154" t="n"/>
      <c r="K494" s="156" t="n"/>
      <c r="L494" s="157" t="n"/>
    </row>
    <row r="495" ht="14.25" customHeight="1" s="82">
      <c r="A495" s="158" t="n"/>
      <c r="B495" s="158" t="n"/>
      <c r="C495" s="158" t="n"/>
      <c r="D495" s="158" t="n"/>
      <c r="E495" s="158" t="n"/>
      <c r="F495" s="158" t="n"/>
      <c r="G495" s="158" t="n"/>
      <c r="H495" s="159" t="n"/>
      <c r="I495" s="158" t="n"/>
      <c r="J495" s="158" t="n"/>
      <c r="K495" s="160" t="n"/>
      <c r="L495" s="161" t="n"/>
    </row>
    <row r="496" ht="14.25" customHeight="1" s="82">
      <c r="A496" s="154" t="n"/>
      <c r="B496" s="154" t="n"/>
      <c r="C496" s="154" t="n"/>
      <c r="D496" s="154" t="n"/>
      <c r="E496" s="154" t="n"/>
      <c r="F496" s="154" t="n"/>
      <c r="G496" s="154" t="n"/>
      <c r="H496" s="155" t="n"/>
      <c r="I496" s="154" t="n"/>
      <c r="J496" s="154" t="n"/>
      <c r="K496" s="156" t="n"/>
      <c r="L496" s="157" t="n"/>
    </row>
    <row r="497" ht="14.25" customHeight="1" s="82">
      <c r="A497" s="158" t="n"/>
      <c r="B497" s="158" t="n"/>
      <c r="C497" s="158" t="n"/>
      <c r="D497" s="158" t="n"/>
      <c r="E497" s="158" t="n"/>
      <c r="F497" s="158" t="n"/>
      <c r="G497" s="158" t="n"/>
      <c r="H497" s="159" t="n"/>
      <c r="I497" s="158" t="n"/>
      <c r="J497" s="158" t="n"/>
      <c r="K497" s="160" t="n"/>
      <c r="L497" s="161" t="n"/>
    </row>
    <row r="498" ht="14.25" customHeight="1" s="82">
      <c r="A498" s="154" t="n"/>
      <c r="B498" s="154" t="n"/>
      <c r="C498" s="154" t="n"/>
      <c r="D498" s="154" t="n"/>
      <c r="E498" s="154" t="n"/>
      <c r="F498" s="154" t="n"/>
      <c r="G498" s="154" t="n"/>
      <c r="H498" s="155" t="n"/>
      <c r="I498" s="154" t="n"/>
      <c r="J498" s="154" t="n"/>
      <c r="K498" s="156" t="n"/>
      <c r="L498" s="157" t="n"/>
    </row>
    <row r="499" ht="14.25" customHeight="1" s="82">
      <c r="A499" s="158" t="n"/>
      <c r="B499" s="158" t="n"/>
      <c r="C499" s="158" t="n"/>
      <c r="D499" s="158" t="n"/>
      <c r="E499" s="158" t="n"/>
      <c r="F499" s="158" t="n"/>
      <c r="G499" s="158" t="n"/>
      <c r="H499" s="159" t="n"/>
      <c r="I499" s="158" t="n"/>
      <c r="J499" s="158" t="n"/>
      <c r="K499" s="160" t="n"/>
      <c r="L499" s="161" t="n"/>
    </row>
    <row r="500" ht="14.25" customHeight="1" s="82">
      <c r="A500" s="154" t="n"/>
      <c r="B500" s="154" t="n"/>
      <c r="C500" s="154" t="n"/>
      <c r="D500" s="154" t="n"/>
      <c r="E500" s="154" t="n"/>
      <c r="F500" s="154" t="n"/>
      <c r="G500" s="154" t="n"/>
      <c r="H500" s="155" t="n"/>
      <c r="I500" s="154" t="n"/>
      <c r="J500" s="154" t="n"/>
      <c r="K500" s="156" t="n"/>
      <c r="L500" s="157" t="n"/>
    </row>
    <row r="501" ht="14.25" customHeight="1" s="82">
      <c r="A501" s="158" t="n"/>
      <c r="B501" s="158" t="n"/>
      <c r="C501" s="158" t="n"/>
      <c r="D501" s="158" t="n"/>
      <c r="E501" s="158" t="n"/>
      <c r="F501" s="158" t="n"/>
      <c r="G501" s="158" t="n"/>
      <c r="H501" s="159" t="n"/>
      <c r="I501" s="158" t="n"/>
      <c r="J501" s="158" t="n"/>
      <c r="K501" s="160" t="n"/>
      <c r="L501" s="161" t="n"/>
    </row>
    <row r="502" ht="14.25" customHeight="1" s="82">
      <c r="A502" s="154" t="n"/>
      <c r="B502" s="154" t="n"/>
      <c r="C502" s="154" t="n"/>
      <c r="D502" s="154" t="n"/>
      <c r="E502" s="154" t="n"/>
      <c r="F502" s="154" t="n"/>
      <c r="G502" s="154" t="n"/>
      <c r="H502" s="155" t="n"/>
      <c r="I502" s="154" t="n"/>
      <c r="J502" s="154" t="n"/>
      <c r="K502" s="156" t="n"/>
      <c r="L502" s="157" t="n"/>
    </row>
    <row r="503" ht="14.25" customHeight="1" s="82">
      <c r="A503" s="158" t="n"/>
      <c r="B503" s="158" t="n"/>
      <c r="C503" s="158" t="n"/>
      <c r="D503" s="158" t="n"/>
      <c r="E503" s="158" t="n"/>
      <c r="F503" s="158" t="n"/>
      <c r="G503" s="158" t="n"/>
      <c r="H503" s="159" t="n"/>
      <c r="I503" s="158" t="n"/>
      <c r="J503" s="158" t="n"/>
      <c r="K503" s="160" t="n"/>
      <c r="L503" s="161" t="n"/>
    </row>
  </sheetData>
  <mergeCells count="1">
    <mergeCell ref="A1:L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2026-05-06T18:38:20Z</dcterms:created>
  <dcterms:modified xmlns:dcterms="http://purl.org/dc/terms/" xmlns:xsi="http://www.w3.org/2001/XMLSchema-instance" xsi:type="dcterms:W3CDTF">2026-08-14T22:30:09Z</dcterms:modified>
  <cp:revision>7</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0x0101000AAA05724311284189F4070B0DC7234B</vt:lpwstr>
  </property>
  <property name="MediaServiceImageTags" fmtid="{D5CDD505-2E9C-101B-9397-08002B2CF9AE}" pid="3">
    <vt:lpwstr xmlns:vt="http://schemas.openxmlformats.org/officeDocument/2006/docPropsVTypes"/>
  </property>
</Properties>
</file>